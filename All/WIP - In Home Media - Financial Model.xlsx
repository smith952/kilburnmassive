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nthonyhuighes/Documents/"/>
    </mc:Choice>
  </mc:AlternateContent>
  <xr:revisionPtr revIDLastSave="0" documentId="8_{086484EE-9556-E142-BD38-AA848D741DE8}" xr6:coauthVersionLast="47" xr6:coauthVersionMax="47" xr10:uidLastSave="{00000000-0000-0000-0000-000000000000}"/>
  <bookViews>
    <workbookView xWindow="0" yWindow="500" windowWidth="28800" windowHeight="16080" activeTab="3" xr2:uid="{00000000-000D-0000-FFFF-FFFF00000000}"/>
  </bookViews>
  <sheets>
    <sheet name="Consolidated P&amp;L" sheetId="1" r:id="rId1"/>
    <sheet name="Revenue summary" sheetId="2" r:id="rId2"/>
    <sheet name="Non Staff costs" sheetId="3" r:id="rId3"/>
    <sheet name="Staff costs" sheetId="4" r:id="rId4"/>
    <sheet name="Working Capital" sheetId="5" r:id="rId5"/>
    <sheet name="Balance Sheet" sheetId="6" r:id="rId6"/>
    <sheet name="Cashflow" sheetId="7" r:id="rId7"/>
    <sheet name="Aged receivables " sheetId="8" r:id="rId8"/>
    <sheet name="Aged payable" sheetId="9" r:id="rId9"/>
    <sheet name="4th P&amp;L" sheetId="10" state="hidden" r:id="rId10"/>
    <sheet name="Eris P&amp;L" sheetId="11" state="hidden" r:id="rId11"/>
    <sheet name="HO P&amp;L" sheetId="12" state="hidden" r:id="rId12"/>
    <sheet name="Sales forecast" sheetId="13" state="hidden" r:id="rId13"/>
    <sheet name="Lookup" sheetId="14" state="hidden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3" l="1"/>
  <c r="F21" i="13"/>
  <c r="E21" i="13"/>
  <c r="D21" i="13"/>
  <c r="C21" i="13"/>
  <c r="D19" i="13"/>
  <c r="E19" i="13" s="1"/>
  <c r="F19" i="13" s="1"/>
  <c r="G19" i="13" s="1"/>
  <c r="H19" i="13" s="1"/>
  <c r="D10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D15" i="13" s="1"/>
  <c r="D23" i="13" s="1"/>
  <c r="C8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C15" i="13" s="1"/>
  <c r="C23" i="13" s="1"/>
  <c r="D4" i="13"/>
  <c r="E4" i="13" s="1"/>
  <c r="BF49" i="12"/>
  <c r="BE49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O48" i="12"/>
  <c r="N48" i="12"/>
  <c r="M48" i="12"/>
  <c r="L48" i="12"/>
  <c r="K48" i="12"/>
  <c r="J48" i="12"/>
  <c r="I48" i="12"/>
  <c r="H48" i="12"/>
  <c r="G48" i="12"/>
  <c r="F48" i="12"/>
  <c r="E48" i="12"/>
  <c r="BF48" i="12" s="1"/>
  <c r="D48" i="12"/>
  <c r="C48" i="12"/>
  <c r="BE48" i="12" s="1"/>
  <c r="BF47" i="12"/>
  <c r="BE47" i="12"/>
  <c r="BD47" i="12"/>
  <c r="BC47" i="12"/>
  <c r="BB47" i="12"/>
  <c r="Q47" i="12"/>
  <c r="BF46" i="12"/>
  <c r="BE46" i="12"/>
  <c r="BD46" i="12"/>
  <c r="BD48" i="12" s="1"/>
  <c r="BC46" i="12"/>
  <c r="BC48" i="12" s="1"/>
  <c r="BB46" i="12"/>
  <c r="BB48" i="12" s="1"/>
  <c r="Q46" i="12"/>
  <c r="Q48" i="12" s="1"/>
  <c r="BF45" i="12"/>
  <c r="BE45" i="12"/>
  <c r="BF44" i="12"/>
  <c r="BE44" i="12"/>
  <c r="BF42" i="12"/>
  <c r="BE42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I41" i="12"/>
  <c r="H41" i="12"/>
  <c r="G41" i="12"/>
  <c r="F41" i="12"/>
  <c r="E41" i="12"/>
  <c r="C41" i="12"/>
  <c r="BE41" i="12" s="1"/>
  <c r="BF40" i="12"/>
  <c r="BE40" i="12"/>
  <c r="BD40" i="12"/>
  <c r="BC40" i="12"/>
  <c r="BB40" i="12"/>
  <c r="Q40" i="12"/>
  <c r="G39" i="12"/>
  <c r="F39" i="12"/>
  <c r="D39" i="12"/>
  <c r="Q39" i="12" s="1"/>
  <c r="Q38" i="12"/>
  <c r="BF37" i="12"/>
  <c r="BE37" i="12"/>
  <c r="BD37" i="12"/>
  <c r="BC37" i="12"/>
  <c r="BB37" i="12"/>
  <c r="Q37" i="12"/>
  <c r="BF36" i="12"/>
  <c r="BD36" i="12"/>
  <c r="BC36" i="12"/>
  <c r="BB36" i="12"/>
  <c r="Q36" i="12"/>
  <c r="BF35" i="12"/>
  <c r="BE35" i="12"/>
  <c r="BD35" i="12"/>
  <c r="BC35" i="12"/>
  <c r="BB35" i="12"/>
  <c r="Q35" i="12"/>
  <c r="BE34" i="12"/>
  <c r="BD34" i="12"/>
  <c r="BC34" i="12"/>
  <c r="Q34" i="12"/>
  <c r="D34" i="12"/>
  <c r="BB34" i="12" s="1"/>
  <c r="BE33" i="12"/>
  <c r="BD33" i="12"/>
  <c r="BD41" i="12" s="1"/>
  <c r="BC33" i="12"/>
  <c r="BC41" i="12" s="1"/>
  <c r="I33" i="12"/>
  <c r="H33" i="12"/>
  <c r="BF32" i="12"/>
  <c r="BC32" i="12"/>
  <c r="BF31" i="12"/>
  <c r="BE31" i="12"/>
  <c r="BC31" i="12"/>
  <c r="BF30" i="12"/>
  <c r="BE30" i="12"/>
  <c r="BF28" i="12"/>
  <c r="BE28" i="12"/>
  <c r="BE27" i="12"/>
  <c r="AW27" i="12"/>
  <c r="AU27" i="12"/>
  <c r="AS27" i="12"/>
  <c r="AQ27" i="12"/>
  <c r="AO27" i="12"/>
  <c r="AM27" i="12"/>
  <c r="AK27" i="12"/>
  <c r="AI27" i="12"/>
  <c r="AG27" i="12"/>
  <c r="AE27" i="12"/>
  <c r="AC27" i="12"/>
  <c r="AA27" i="12"/>
  <c r="O27" i="12"/>
  <c r="M27" i="12"/>
  <c r="K27" i="12"/>
  <c r="I27" i="12"/>
  <c r="G27" i="12"/>
  <c r="E27" i="12"/>
  <c r="C27" i="12"/>
  <c r="BF26" i="12"/>
  <c r="BE26" i="12"/>
  <c r="BE25" i="12"/>
  <c r="AX25" i="12"/>
  <c r="AX27" i="12" s="1"/>
  <c r="AX29" i="12" s="1"/>
  <c r="AX43" i="12" s="1"/>
  <c r="AX50" i="12" s="1"/>
  <c r="AW25" i="12"/>
  <c r="AV25" i="12"/>
  <c r="AV27" i="12" s="1"/>
  <c r="AU25" i="12"/>
  <c r="AT25" i="12"/>
  <c r="AT27" i="12" s="1"/>
  <c r="AS25" i="12"/>
  <c r="AR25" i="12"/>
  <c r="AR27" i="12" s="1"/>
  <c r="AR29" i="12" s="1"/>
  <c r="AR43" i="12" s="1"/>
  <c r="AR50" i="12" s="1"/>
  <c r="AQ25" i="12"/>
  <c r="AP25" i="12"/>
  <c r="AP27" i="12" s="1"/>
  <c r="AP29" i="12" s="1"/>
  <c r="AP43" i="12" s="1"/>
  <c r="AP50" i="12" s="1"/>
  <c r="AO25" i="12"/>
  <c r="AN25" i="12"/>
  <c r="AN27" i="12" s="1"/>
  <c r="AM25" i="12"/>
  <c r="AL25" i="12"/>
  <c r="AL27" i="12" s="1"/>
  <c r="AK25" i="12"/>
  <c r="AJ25" i="12"/>
  <c r="AJ27" i="12" s="1"/>
  <c r="AJ29" i="12" s="1"/>
  <c r="AJ43" i="12" s="1"/>
  <c r="AJ50" i="12" s="1"/>
  <c r="AI25" i="12"/>
  <c r="AH25" i="12"/>
  <c r="AH27" i="12" s="1"/>
  <c r="AH29" i="12" s="1"/>
  <c r="AH43" i="12" s="1"/>
  <c r="AH50" i="12" s="1"/>
  <c r="AG25" i="12"/>
  <c r="AF25" i="12"/>
  <c r="AF27" i="12" s="1"/>
  <c r="AE25" i="12"/>
  <c r="AD25" i="12"/>
  <c r="AD27" i="12" s="1"/>
  <c r="AC25" i="12"/>
  <c r="AB25" i="12"/>
  <c r="AB27" i="12" s="1"/>
  <c r="AB29" i="12" s="1"/>
  <c r="AB43" i="12" s="1"/>
  <c r="AB50" i="12" s="1"/>
  <c r="AA25" i="12"/>
  <c r="O25" i="12"/>
  <c r="N25" i="12"/>
  <c r="N27" i="12" s="1"/>
  <c r="M25" i="12"/>
  <c r="L25" i="12"/>
  <c r="L27" i="12" s="1"/>
  <c r="K25" i="12"/>
  <c r="J25" i="12"/>
  <c r="J27" i="12" s="1"/>
  <c r="J29" i="12" s="1"/>
  <c r="I25" i="12"/>
  <c r="H25" i="12"/>
  <c r="H27" i="12" s="1"/>
  <c r="H29" i="12" s="1"/>
  <c r="H43" i="12" s="1"/>
  <c r="H50" i="12" s="1"/>
  <c r="G25" i="12"/>
  <c r="F25" i="12"/>
  <c r="F27" i="12" s="1"/>
  <c r="E25" i="12"/>
  <c r="D25" i="12"/>
  <c r="C25" i="12"/>
  <c r="Q24" i="12"/>
  <c r="Q23" i="12"/>
  <c r="Q22" i="12"/>
  <c r="Q21" i="12"/>
  <c r="BF20" i="12"/>
  <c r="BE20" i="12"/>
  <c r="BD20" i="12"/>
  <c r="BD25" i="12" s="1"/>
  <c r="BD27" i="12" s="1"/>
  <c r="BC20" i="12"/>
  <c r="BC25" i="12" s="1"/>
  <c r="BC27" i="12" s="1"/>
  <c r="BC29" i="12" s="1"/>
  <c r="BB20" i="12"/>
  <c r="BB25" i="12" s="1"/>
  <c r="BB27" i="12" s="1"/>
  <c r="Q20" i="12"/>
  <c r="BF19" i="12"/>
  <c r="BE19" i="12"/>
  <c r="BD19" i="12"/>
  <c r="BC19" i="12"/>
  <c r="BB19" i="12"/>
  <c r="BF18" i="12"/>
  <c r="BE18" i="12"/>
  <c r="BD18" i="12"/>
  <c r="BC18" i="12"/>
  <c r="BB18" i="12"/>
  <c r="BF11" i="12"/>
  <c r="BE11" i="12"/>
  <c r="BF10" i="12"/>
  <c r="BE10" i="12"/>
  <c r="BE9" i="12"/>
  <c r="BD9" i="12"/>
  <c r="BD29" i="12" s="1"/>
  <c r="BD43" i="12" s="1"/>
  <c r="BC9" i="12"/>
  <c r="BB9" i="12"/>
  <c r="AX9" i="12"/>
  <c r="AW9" i="12"/>
  <c r="AW29" i="12" s="1"/>
  <c r="AW43" i="12" s="1"/>
  <c r="AW50" i="12" s="1"/>
  <c r="AV9" i="12"/>
  <c r="AU9" i="12"/>
  <c r="AU29" i="12" s="1"/>
  <c r="AU43" i="12" s="1"/>
  <c r="AU50" i="12" s="1"/>
  <c r="AT9" i="12"/>
  <c r="AS9" i="12"/>
  <c r="AS29" i="12" s="1"/>
  <c r="AS43" i="12" s="1"/>
  <c r="AS50" i="12" s="1"/>
  <c r="AR9" i="12"/>
  <c r="AQ9" i="12"/>
  <c r="AQ29" i="12" s="1"/>
  <c r="AQ43" i="12" s="1"/>
  <c r="AQ50" i="12" s="1"/>
  <c r="AP9" i="12"/>
  <c r="AO9" i="12"/>
  <c r="AO29" i="12" s="1"/>
  <c r="AO43" i="12" s="1"/>
  <c r="AO50" i="12" s="1"/>
  <c r="AN9" i="12"/>
  <c r="AM9" i="12"/>
  <c r="AM29" i="12" s="1"/>
  <c r="AM43" i="12" s="1"/>
  <c r="AM50" i="12" s="1"/>
  <c r="AL9" i="12"/>
  <c r="AK9" i="12"/>
  <c r="AK29" i="12" s="1"/>
  <c r="AK43" i="12" s="1"/>
  <c r="AK50" i="12" s="1"/>
  <c r="AJ9" i="12"/>
  <c r="AI9" i="12"/>
  <c r="AI29" i="12" s="1"/>
  <c r="AI43" i="12" s="1"/>
  <c r="AI50" i="12" s="1"/>
  <c r="AH9" i="12"/>
  <c r="AG9" i="12"/>
  <c r="AG29" i="12" s="1"/>
  <c r="AG43" i="12" s="1"/>
  <c r="AG50" i="12" s="1"/>
  <c r="AF9" i="12"/>
  <c r="AE9" i="12"/>
  <c r="AE29" i="12" s="1"/>
  <c r="AE43" i="12" s="1"/>
  <c r="AE50" i="12" s="1"/>
  <c r="AD9" i="12"/>
  <c r="AC9" i="12"/>
  <c r="AC29" i="12" s="1"/>
  <c r="AC43" i="12" s="1"/>
  <c r="AC50" i="12" s="1"/>
  <c r="AB9" i="12"/>
  <c r="AA9" i="12"/>
  <c r="AA29" i="12" s="1"/>
  <c r="AA43" i="12" s="1"/>
  <c r="AA50" i="12" s="1"/>
  <c r="Q9" i="12"/>
  <c r="O9" i="12"/>
  <c r="O29" i="12" s="1"/>
  <c r="N9" i="12"/>
  <c r="N29" i="12" s="1"/>
  <c r="M9" i="12"/>
  <c r="M29" i="12" s="1"/>
  <c r="L9" i="12"/>
  <c r="K9" i="12"/>
  <c r="K29" i="12" s="1"/>
  <c r="J9" i="12"/>
  <c r="I9" i="12"/>
  <c r="I29" i="12" s="1"/>
  <c r="I43" i="12" s="1"/>
  <c r="I50" i="12" s="1"/>
  <c r="H9" i="12"/>
  <c r="G9" i="12"/>
  <c r="G29" i="12" s="1"/>
  <c r="G43" i="12" s="1"/>
  <c r="G50" i="12" s="1"/>
  <c r="F9" i="12"/>
  <c r="F29" i="12" s="1"/>
  <c r="F43" i="12" s="1"/>
  <c r="F50" i="12" s="1"/>
  <c r="E9" i="12"/>
  <c r="E29" i="12" s="1"/>
  <c r="E43" i="12" s="1"/>
  <c r="E50" i="12" s="1"/>
  <c r="D9" i="12"/>
  <c r="C9" i="12"/>
  <c r="C29" i="12" s="1"/>
  <c r="BC2" i="12"/>
  <c r="BC3" i="12" s="1"/>
  <c r="BF45" i="11"/>
  <c r="BE45" i="11"/>
  <c r="BD44" i="11"/>
  <c r="BB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O44" i="11"/>
  <c r="N44" i="11"/>
  <c r="M44" i="11"/>
  <c r="L44" i="11"/>
  <c r="K44" i="11"/>
  <c r="J44" i="11"/>
  <c r="I44" i="11"/>
  <c r="H44" i="11"/>
  <c r="G44" i="11"/>
  <c r="F44" i="11"/>
  <c r="E44" i="11"/>
  <c r="BF44" i="11" s="1"/>
  <c r="D44" i="11"/>
  <c r="C44" i="11"/>
  <c r="BE44" i="11" s="1"/>
  <c r="BF43" i="11"/>
  <c r="BE43" i="11"/>
  <c r="BD43" i="11"/>
  <c r="BC43" i="11"/>
  <c r="BB43" i="11"/>
  <c r="Q43" i="11"/>
  <c r="BF42" i="11"/>
  <c r="BE42" i="11"/>
  <c r="BD42" i="11"/>
  <c r="BC42" i="11"/>
  <c r="BC44" i="11" s="1"/>
  <c r="BB42" i="11"/>
  <c r="Q42" i="11"/>
  <c r="Q44" i="11" s="1"/>
  <c r="BF41" i="11"/>
  <c r="BE41" i="11"/>
  <c r="BF40" i="11"/>
  <c r="BE40" i="11"/>
  <c r="BF38" i="11"/>
  <c r="BE38" i="11"/>
  <c r="BD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G37" i="11"/>
  <c r="F37" i="11"/>
  <c r="E37" i="11"/>
  <c r="D37" i="11"/>
  <c r="C37" i="11"/>
  <c r="BE37" i="11" s="1"/>
  <c r="BE31" i="11"/>
  <c r="BD31" i="11"/>
  <c r="BC31" i="11"/>
  <c r="O31" i="11"/>
  <c r="N31" i="11"/>
  <c r="M31" i="11"/>
  <c r="L31" i="11"/>
  <c r="K31" i="11"/>
  <c r="J31" i="11"/>
  <c r="I31" i="11"/>
  <c r="H31" i="11"/>
  <c r="BE30" i="11"/>
  <c r="BD30" i="11"/>
  <c r="BC30" i="11"/>
  <c r="N30" i="11"/>
  <c r="L30" i="11"/>
  <c r="I30" i="11"/>
  <c r="H30" i="11"/>
  <c r="H28" i="11"/>
  <c r="I27" i="11"/>
  <c r="H27" i="11"/>
  <c r="BE26" i="11"/>
  <c r="BD26" i="11"/>
  <c r="BC26" i="11"/>
  <c r="BC37" i="11" s="1"/>
  <c r="B26" i="11"/>
  <c r="BF25" i="11"/>
  <c r="BC25" i="11"/>
  <c r="BF24" i="11"/>
  <c r="BE24" i="11"/>
  <c r="BC24" i="11"/>
  <c r="BF23" i="11"/>
  <c r="BE23" i="11"/>
  <c r="BF21" i="11"/>
  <c r="BE21" i="11"/>
  <c r="AX20" i="11"/>
  <c r="AT20" i="11"/>
  <c r="AT22" i="11" s="1"/>
  <c r="AT39" i="11" s="1"/>
  <c r="AT46" i="11" s="1"/>
  <c r="AR20" i="11"/>
  <c r="AP20" i="11"/>
  <c r="AL20" i="11"/>
  <c r="AL22" i="11" s="1"/>
  <c r="AL39" i="11" s="1"/>
  <c r="AL46" i="11" s="1"/>
  <c r="AJ20" i="11"/>
  <c r="AH20" i="11"/>
  <c r="AD20" i="11"/>
  <c r="AD22" i="11" s="1"/>
  <c r="AD39" i="11" s="1"/>
  <c r="AD46" i="11" s="1"/>
  <c r="AB20" i="11"/>
  <c r="H20" i="11"/>
  <c r="D20" i="11"/>
  <c r="BF19" i="11"/>
  <c r="BE19" i="11"/>
  <c r="AX18" i="11"/>
  <c r="AW18" i="11"/>
  <c r="AW20" i="11" s="1"/>
  <c r="AV18" i="11"/>
  <c r="AV20" i="11" s="1"/>
  <c r="AU18" i="11"/>
  <c r="AU20" i="11" s="1"/>
  <c r="AU22" i="11" s="1"/>
  <c r="AU39" i="11" s="1"/>
  <c r="AU46" i="11" s="1"/>
  <c r="AT18" i="11"/>
  <c r="AS18" i="11"/>
  <c r="AS20" i="11" s="1"/>
  <c r="AR18" i="11"/>
  <c r="AQ18" i="11"/>
  <c r="AQ20" i="11" s="1"/>
  <c r="AP18" i="11"/>
  <c r="AO18" i="11"/>
  <c r="AO20" i="11" s="1"/>
  <c r="AN18" i="11"/>
  <c r="AN20" i="11" s="1"/>
  <c r="AM18" i="11"/>
  <c r="AM20" i="11" s="1"/>
  <c r="AM22" i="11" s="1"/>
  <c r="AM39" i="11" s="1"/>
  <c r="AM46" i="11" s="1"/>
  <c r="AL18" i="11"/>
  <c r="AK18" i="11"/>
  <c r="AK20" i="11" s="1"/>
  <c r="AJ18" i="11"/>
  <c r="AI18" i="11"/>
  <c r="AI20" i="11" s="1"/>
  <c r="AH18" i="11"/>
  <c r="AG18" i="11"/>
  <c r="AG20" i="11" s="1"/>
  <c r="AF18" i="11"/>
  <c r="AF20" i="11" s="1"/>
  <c r="AE18" i="11"/>
  <c r="AE20" i="11" s="1"/>
  <c r="AE22" i="11" s="1"/>
  <c r="AE39" i="11" s="1"/>
  <c r="AE46" i="11" s="1"/>
  <c r="AD18" i="11"/>
  <c r="AC18" i="11"/>
  <c r="AC20" i="11" s="1"/>
  <c r="AB18" i="11"/>
  <c r="AA18" i="11"/>
  <c r="AA20" i="11" s="1"/>
  <c r="O18" i="11"/>
  <c r="O20" i="11" s="1"/>
  <c r="H18" i="11"/>
  <c r="G18" i="11"/>
  <c r="G20" i="11" s="1"/>
  <c r="F18" i="11"/>
  <c r="F20" i="11" s="1"/>
  <c r="E18" i="11"/>
  <c r="E20" i="11" s="1"/>
  <c r="E22" i="11" s="1"/>
  <c r="E39" i="11" s="1"/>
  <c r="E46" i="11" s="1"/>
  <c r="D18" i="11"/>
  <c r="C18" i="11"/>
  <c r="BE18" i="11" s="1"/>
  <c r="BE17" i="11"/>
  <c r="BD17" i="11"/>
  <c r="BC17" i="11"/>
  <c r="O17" i="11"/>
  <c r="BF16" i="11"/>
  <c r="BE16" i="11"/>
  <c r="BD16" i="11"/>
  <c r="BD18" i="11" s="1"/>
  <c r="BC16" i="11"/>
  <c r="BC18" i="11" s="1"/>
  <c r="BB16" i="11"/>
  <c r="Q16" i="11"/>
  <c r="BF15" i="11"/>
  <c r="BE15" i="11"/>
  <c r="BD15" i="11"/>
  <c r="BC15" i="11"/>
  <c r="BB15" i="11"/>
  <c r="BF14" i="11"/>
  <c r="BE14" i="11"/>
  <c r="BD14" i="11"/>
  <c r="BC14" i="11"/>
  <c r="BB14" i="11"/>
  <c r="BF13" i="11"/>
  <c r="BE13" i="11"/>
  <c r="BD13" i="11"/>
  <c r="BD20" i="11" s="1"/>
  <c r="BC13" i="11"/>
  <c r="BB13" i="11"/>
  <c r="Q13" i="11"/>
  <c r="BF12" i="11"/>
  <c r="BE12" i="11"/>
  <c r="BF11" i="11"/>
  <c r="BE11" i="11"/>
  <c r="BD10" i="11"/>
  <c r="BD22" i="11" s="1"/>
  <c r="BD39" i="11" s="1"/>
  <c r="BD46" i="11" s="1"/>
  <c r="AX10" i="11"/>
  <c r="AX22" i="11" s="1"/>
  <c r="AX39" i="11" s="1"/>
  <c r="AX46" i="11" s="1"/>
  <c r="AW10" i="11"/>
  <c r="AW22" i="11" s="1"/>
  <c r="AW39" i="11" s="1"/>
  <c r="AW46" i="11" s="1"/>
  <c r="AV10" i="11"/>
  <c r="AU10" i="11"/>
  <c r="AT10" i="11"/>
  <c r="AS10" i="11"/>
  <c r="AS22" i="11" s="1"/>
  <c r="AS39" i="11" s="1"/>
  <c r="AS46" i="11" s="1"/>
  <c r="AR10" i="11"/>
  <c r="AQ10" i="11"/>
  <c r="AQ22" i="11" s="1"/>
  <c r="AQ39" i="11" s="1"/>
  <c r="AQ46" i="11" s="1"/>
  <c r="AP10" i="11"/>
  <c r="AP22" i="11" s="1"/>
  <c r="AP39" i="11" s="1"/>
  <c r="AP46" i="11" s="1"/>
  <c r="AO10" i="11"/>
  <c r="AO22" i="11" s="1"/>
  <c r="AO39" i="11" s="1"/>
  <c r="AO46" i="11" s="1"/>
  <c r="AN10" i="11"/>
  <c r="AM10" i="11"/>
  <c r="AL10" i="11"/>
  <c r="AK10" i="11"/>
  <c r="AK22" i="11" s="1"/>
  <c r="AK39" i="11" s="1"/>
  <c r="AK46" i="11" s="1"/>
  <c r="AJ10" i="11"/>
  <c r="AI10" i="11"/>
  <c r="AI22" i="11" s="1"/>
  <c r="AI39" i="11" s="1"/>
  <c r="AI46" i="11" s="1"/>
  <c r="AH10" i="11"/>
  <c r="AH22" i="11" s="1"/>
  <c r="AH39" i="11" s="1"/>
  <c r="AH46" i="11" s="1"/>
  <c r="AG10" i="11"/>
  <c r="AG22" i="11" s="1"/>
  <c r="AG39" i="11" s="1"/>
  <c r="AG46" i="11" s="1"/>
  <c r="AF10" i="11"/>
  <c r="AE10" i="11"/>
  <c r="AD10" i="11"/>
  <c r="AC10" i="11"/>
  <c r="AC22" i="11" s="1"/>
  <c r="AC39" i="11" s="1"/>
  <c r="AC46" i="11" s="1"/>
  <c r="AB10" i="11"/>
  <c r="AB22" i="11" s="1"/>
  <c r="AB39" i="11" s="1"/>
  <c r="AB46" i="11" s="1"/>
  <c r="AA10" i="11"/>
  <c r="AA22" i="11" s="1"/>
  <c r="AA39" i="11" s="1"/>
  <c r="AA46" i="11" s="1"/>
  <c r="I10" i="11"/>
  <c r="H10" i="11"/>
  <c r="H22" i="11" s="1"/>
  <c r="G10" i="11"/>
  <c r="G22" i="11" s="1"/>
  <c r="G39" i="11" s="1"/>
  <c r="G46" i="11" s="1"/>
  <c r="F10" i="11"/>
  <c r="E10" i="11"/>
  <c r="D10" i="11"/>
  <c r="C10" i="11"/>
  <c r="BE8" i="11"/>
  <c r="BD8" i="11"/>
  <c r="BC8" i="11"/>
  <c r="BC10" i="11" s="1"/>
  <c r="I7" i="11"/>
  <c r="I29" i="11" s="1"/>
  <c r="H7" i="11"/>
  <c r="H29" i="11" s="1"/>
  <c r="O6" i="11"/>
  <c r="N6" i="11"/>
  <c r="N33" i="12" s="1"/>
  <c r="N41" i="12" s="1"/>
  <c r="M6" i="11"/>
  <c r="M30" i="11" s="1"/>
  <c r="L6" i="11"/>
  <c r="L33" i="12" s="1"/>
  <c r="L41" i="12" s="1"/>
  <c r="K6" i="11"/>
  <c r="J6" i="11"/>
  <c r="J30" i="11" s="1"/>
  <c r="BC3" i="11"/>
  <c r="BC2" i="11"/>
  <c r="AS52" i="10"/>
  <c r="BF51" i="10"/>
  <c r="BE51" i="10"/>
  <c r="BB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O50" i="10"/>
  <c r="N50" i="10"/>
  <c r="M50" i="10"/>
  <c r="L50" i="10"/>
  <c r="K50" i="10"/>
  <c r="J50" i="10"/>
  <c r="BF50" i="10" s="1"/>
  <c r="I50" i="10"/>
  <c r="H50" i="10"/>
  <c r="G50" i="10"/>
  <c r="F50" i="10"/>
  <c r="E50" i="10"/>
  <c r="D50" i="10"/>
  <c r="C50" i="10"/>
  <c r="BE50" i="10" s="1"/>
  <c r="BF49" i="10"/>
  <c r="BE49" i="10"/>
  <c r="BD49" i="10"/>
  <c r="BC49" i="10"/>
  <c r="BB49" i="10"/>
  <c r="Q49" i="10"/>
  <c r="Q50" i="10" s="1"/>
  <c r="BF48" i="10"/>
  <c r="BE48" i="10"/>
  <c r="BD48" i="10"/>
  <c r="BD50" i="10" s="1"/>
  <c r="BC48" i="10"/>
  <c r="BC50" i="10" s="1"/>
  <c r="BB48" i="10"/>
  <c r="Q48" i="10"/>
  <c r="BF47" i="10"/>
  <c r="BE47" i="10"/>
  <c r="BF46" i="10"/>
  <c r="BE46" i="10"/>
  <c r="AU45" i="10"/>
  <c r="AU52" i="10" s="1"/>
  <c r="BF44" i="10"/>
  <c r="BE44" i="10"/>
  <c r="BD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E43" i="10" s="1"/>
  <c r="BF42" i="10"/>
  <c r="BE42" i="10"/>
  <c r="BD42" i="10"/>
  <c r="BC42" i="10"/>
  <c r="Q42" i="10"/>
  <c r="O42" i="10"/>
  <c r="BB42" i="10" s="1"/>
  <c r="BE41" i="10"/>
  <c r="BD41" i="10"/>
  <c r="BC41" i="10"/>
  <c r="Q41" i="10"/>
  <c r="O41" i="10"/>
  <c r="BD40" i="10"/>
  <c r="BC40" i="10"/>
  <c r="Q40" i="10"/>
  <c r="BE39" i="10"/>
  <c r="BD39" i="10"/>
  <c r="BC39" i="10"/>
  <c r="BB39" i="10"/>
  <c r="Q39" i="10"/>
  <c r="O39" i="10"/>
  <c r="BF39" i="10" s="1"/>
  <c r="BE38" i="10"/>
  <c r="BD38" i="10"/>
  <c r="BC38" i="10"/>
  <c r="Q38" i="10"/>
  <c r="O38" i="10"/>
  <c r="BE37" i="10"/>
  <c r="BD37" i="10"/>
  <c r="BC37" i="10"/>
  <c r="BC43" i="10" s="1"/>
  <c r="Q37" i="10"/>
  <c r="O37" i="10"/>
  <c r="BF36" i="10"/>
  <c r="BC36" i="10"/>
  <c r="BF35" i="10"/>
  <c r="BE35" i="10"/>
  <c r="BC35" i="10"/>
  <c r="BF34" i="10"/>
  <c r="BE34" i="10"/>
  <c r="AX33" i="10"/>
  <c r="AX45" i="10" s="1"/>
  <c r="AX52" i="10" s="1"/>
  <c r="AL33" i="10"/>
  <c r="AL45" i="10" s="1"/>
  <c r="AL52" i="10" s="1"/>
  <c r="AE33" i="10"/>
  <c r="AE45" i="10" s="1"/>
  <c r="AE52" i="10" s="1"/>
  <c r="AD33" i="10"/>
  <c r="AD45" i="10" s="1"/>
  <c r="AD52" i="10" s="1"/>
  <c r="E33" i="10"/>
  <c r="E45" i="10" s="1"/>
  <c r="E52" i="10" s="1"/>
  <c r="BF32" i="10"/>
  <c r="BE32" i="10"/>
  <c r="AU31" i="10"/>
  <c r="AU33" i="10" s="1"/>
  <c r="AS31" i="10"/>
  <c r="AQ31" i="10"/>
  <c r="AM31" i="10"/>
  <c r="AM33" i="10" s="1"/>
  <c r="AM45" i="10" s="1"/>
  <c r="AM52" i="10" s="1"/>
  <c r="AK31" i="10"/>
  <c r="AI31" i="10"/>
  <c r="AE31" i="10"/>
  <c r="AC31" i="10"/>
  <c r="AA31" i="10"/>
  <c r="E31" i="10"/>
  <c r="BF30" i="10"/>
  <c r="BE30" i="10"/>
  <c r="AX29" i="10"/>
  <c r="AX31" i="10" s="1"/>
  <c r="AW29" i="10"/>
  <c r="AW31" i="10" s="1"/>
  <c r="AV29" i="10"/>
  <c r="AV31" i="10" s="1"/>
  <c r="AU29" i="10"/>
  <c r="AT29" i="10"/>
  <c r="AT31" i="10" s="1"/>
  <c r="AT33" i="10" s="1"/>
  <c r="AT45" i="10" s="1"/>
  <c r="AT52" i="10" s="1"/>
  <c r="AS29" i="10"/>
  <c r="AR29" i="10"/>
  <c r="AR31" i="10" s="1"/>
  <c r="AQ29" i="10"/>
  <c r="AP29" i="10"/>
  <c r="AP31" i="10" s="1"/>
  <c r="AP33" i="10" s="1"/>
  <c r="AP45" i="10" s="1"/>
  <c r="AP52" i="10" s="1"/>
  <c r="AO29" i="10"/>
  <c r="AO31" i="10" s="1"/>
  <c r="AN29" i="10"/>
  <c r="AN31" i="10" s="1"/>
  <c r="AM29" i="10"/>
  <c r="AL29" i="10"/>
  <c r="AL31" i="10" s="1"/>
  <c r="AK29" i="10"/>
  <c r="AJ29" i="10"/>
  <c r="AJ31" i="10" s="1"/>
  <c r="AI29" i="10"/>
  <c r="AH29" i="10"/>
  <c r="AH31" i="10" s="1"/>
  <c r="AH33" i="10" s="1"/>
  <c r="AH45" i="10" s="1"/>
  <c r="AH52" i="10" s="1"/>
  <c r="AG29" i="10"/>
  <c r="AG31" i="10" s="1"/>
  <c r="AF29" i="10"/>
  <c r="AF31" i="10" s="1"/>
  <c r="AE29" i="10"/>
  <c r="AD29" i="10"/>
  <c r="AD31" i="10" s="1"/>
  <c r="AC29" i="10"/>
  <c r="AB29" i="10"/>
  <c r="AB31" i="10" s="1"/>
  <c r="AA29" i="10"/>
  <c r="O29" i="10"/>
  <c r="H29" i="10"/>
  <c r="G29" i="10"/>
  <c r="G31" i="10" s="1"/>
  <c r="F29" i="10"/>
  <c r="E29" i="10"/>
  <c r="D29" i="10"/>
  <c r="D31" i="10" s="1"/>
  <c r="C29" i="10"/>
  <c r="BE29" i="10" s="1"/>
  <c r="BE28" i="10"/>
  <c r="BD28" i="10"/>
  <c r="BC28" i="10"/>
  <c r="BF27" i="10"/>
  <c r="BE27" i="10"/>
  <c r="BD27" i="10"/>
  <c r="BD29" i="10" s="1"/>
  <c r="BC27" i="10"/>
  <c r="BC29" i="10" s="1"/>
  <c r="BB27" i="10"/>
  <c r="Q27" i="10"/>
  <c r="BF26" i="10"/>
  <c r="BE26" i="10"/>
  <c r="BD26" i="10"/>
  <c r="BC26" i="10"/>
  <c r="BB26" i="10"/>
  <c r="BF25" i="10"/>
  <c r="BE25" i="10"/>
  <c r="BD25" i="10"/>
  <c r="BC25" i="10"/>
  <c r="BB25" i="10"/>
  <c r="BE24" i="10"/>
  <c r="BD24" i="10"/>
  <c r="BC24" i="10"/>
  <c r="N22" i="10"/>
  <c r="M22" i="10"/>
  <c r="L22" i="10"/>
  <c r="K22" i="10"/>
  <c r="J22" i="10"/>
  <c r="I22" i="10"/>
  <c r="H22" i="10"/>
  <c r="G22" i="10"/>
  <c r="C22" i="10"/>
  <c r="O21" i="10"/>
  <c r="N21" i="10"/>
  <c r="M21" i="10"/>
  <c r="L21" i="10"/>
  <c r="K21" i="10"/>
  <c r="J21" i="10"/>
  <c r="I21" i="10"/>
  <c r="H21" i="10"/>
  <c r="Q21" i="10" s="1"/>
  <c r="C21" i="10"/>
  <c r="O20" i="10"/>
  <c r="N20" i="10"/>
  <c r="M20" i="10"/>
  <c r="L20" i="10"/>
  <c r="K20" i="10"/>
  <c r="J20" i="10"/>
  <c r="I20" i="10"/>
  <c r="H20" i="10"/>
  <c r="F20" i="10"/>
  <c r="E20" i="10"/>
  <c r="BE19" i="10"/>
  <c r="BD19" i="10"/>
  <c r="BD31" i="10" s="1"/>
  <c r="BC19" i="10"/>
  <c r="O19" i="10"/>
  <c r="N19" i="10"/>
  <c r="M19" i="10"/>
  <c r="L19" i="10"/>
  <c r="K19" i="10"/>
  <c r="J19" i="10"/>
  <c r="I19" i="10"/>
  <c r="H19" i="10"/>
  <c r="C19" i="10"/>
  <c r="BF18" i="10"/>
  <c r="BE18" i="10"/>
  <c r="BF17" i="10"/>
  <c r="BE17" i="10"/>
  <c r="BD16" i="10"/>
  <c r="AX16" i="10"/>
  <c r="AW16" i="10"/>
  <c r="AV16" i="10"/>
  <c r="AV33" i="10" s="1"/>
  <c r="AV45" i="10" s="1"/>
  <c r="AV52" i="10" s="1"/>
  <c r="AU16" i="10"/>
  <c r="AT16" i="10"/>
  <c r="AS16" i="10"/>
  <c r="AS33" i="10" s="1"/>
  <c r="AS45" i="10" s="1"/>
  <c r="AR16" i="10"/>
  <c r="AQ16" i="10"/>
  <c r="AQ33" i="10" s="1"/>
  <c r="AQ45" i="10" s="1"/>
  <c r="AQ52" i="10" s="1"/>
  <c r="AP16" i="10"/>
  <c r="AO16" i="10"/>
  <c r="AN16" i="10"/>
  <c r="AN33" i="10" s="1"/>
  <c r="AN45" i="10" s="1"/>
  <c r="AN52" i="10" s="1"/>
  <c r="AM16" i="10"/>
  <c r="AL16" i="10"/>
  <c r="AK16" i="10"/>
  <c r="AK33" i="10" s="1"/>
  <c r="AK45" i="10" s="1"/>
  <c r="AK52" i="10" s="1"/>
  <c r="AJ16" i="10"/>
  <c r="AI16" i="10"/>
  <c r="AI33" i="10" s="1"/>
  <c r="AI45" i="10" s="1"/>
  <c r="AI52" i="10" s="1"/>
  <c r="AH16" i="10"/>
  <c r="AG16" i="10"/>
  <c r="AF16" i="10"/>
  <c r="AF33" i="10" s="1"/>
  <c r="AF45" i="10" s="1"/>
  <c r="AF52" i="10" s="1"/>
  <c r="AE16" i="10"/>
  <c r="AD16" i="10"/>
  <c r="AC16" i="10"/>
  <c r="AC33" i="10" s="1"/>
  <c r="AC45" i="10" s="1"/>
  <c r="AC52" i="10" s="1"/>
  <c r="AB16" i="10"/>
  <c r="AA16" i="10"/>
  <c r="AA33" i="10" s="1"/>
  <c r="AA45" i="10" s="1"/>
  <c r="AA52" i="10" s="1"/>
  <c r="G16" i="10"/>
  <c r="F16" i="10"/>
  <c r="E16" i="10"/>
  <c r="BD15" i="10"/>
  <c r="BC15" i="10"/>
  <c r="I15" i="10"/>
  <c r="H15" i="10"/>
  <c r="G15" i="10"/>
  <c r="E15" i="10"/>
  <c r="D15" i="10"/>
  <c r="C15" i="10"/>
  <c r="BE15" i="10" s="1"/>
  <c r="D12" i="10"/>
  <c r="BD11" i="10"/>
  <c r="BC11" i="10"/>
  <c r="O11" i="10"/>
  <c r="N11" i="10"/>
  <c r="M11" i="10"/>
  <c r="L11" i="10"/>
  <c r="K11" i="10"/>
  <c r="J11" i="10"/>
  <c r="I11" i="10"/>
  <c r="H11" i="10"/>
  <c r="Q11" i="10" s="1"/>
  <c r="D11" i="10"/>
  <c r="C11" i="10"/>
  <c r="BE11" i="10" s="1"/>
  <c r="BD10" i="10"/>
  <c r="BC10" i="10"/>
  <c r="O10" i="10"/>
  <c r="N10" i="10"/>
  <c r="M10" i="10"/>
  <c r="L10" i="10"/>
  <c r="K10" i="10"/>
  <c r="J10" i="10"/>
  <c r="I10" i="10"/>
  <c r="H10" i="10"/>
  <c r="D10" i="10"/>
  <c r="C10" i="10"/>
  <c r="N9" i="10"/>
  <c r="M9" i="10"/>
  <c r="L9" i="10"/>
  <c r="K9" i="10"/>
  <c r="J9" i="10"/>
  <c r="I9" i="10"/>
  <c r="H9" i="10"/>
  <c r="BE8" i="10"/>
  <c r="BD8" i="10"/>
  <c r="BC8" i="10"/>
  <c r="O8" i="10"/>
  <c r="N8" i="10"/>
  <c r="M8" i="10"/>
  <c r="L8" i="10"/>
  <c r="K8" i="10"/>
  <c r="J8" i="10"/>
  <c r="I8" i="10"/>
  <c r="H8" i="10"/>
  <c r="G8" i="10"/>
  <c r="F8" i="10"/>
  <c r="D8" i="10"/>
  <c r="BB8" i="10" s="1"/>
  <c r="BE7" i="10"/>
  <c r="BD7" i="10"/>
  <c r="BC7" i="10"/>
  <c r="BC16" i="10" s="1"/>
  <c r="O7" i="10"/>
  <c r="N7" i="10"/>
  <c r="M7" i="10"/>
  <c r="L7" i="10"/>
  <c r="K7" i="10"/>
  <c r="J7" i="10"/>
  <c r="I7" i="10"/>
  <c r="H7" i="10"/>
  <c r="D7" i="10"/>
  <c r="C7" i="10"/>
  <c r="C16" i="10" s="1"/>
  <c r="F6" i="10"/>
  <c r="G6" i="10" s="1"/>
  <c r="E6" i="10"/>
  <c r="D6" i="10"/>
  <c r="BC2" i="10"/>
  <c r="BC3" i="10" s="1"/>
  <c r="F14" i="9"/>
  <c r="C14" i="9"/>
  <c r="B14" i="9"/>
  <c r="F12" i="9"/>
  <c r="E12" i="9"/>
  <c r="E14" i="9" s="1"/>
  <c r="D12" i="9"/>
  <c r="D14" i="9" s="1"/>
  <c r="C12" i="9"/>
  <c r="B12" i="9"/>
  <c r="G11" i="9"/>
  <c r="G10" i="9"/>
  <c r="G8" i="9"/>
  <c r="G12" i="9" s="1"/>
  <c r="E10" i="8"/>
  <c r="G8" i="8"/>
  <c r="G10" i="8" s="1"/>
  <c r="F8" i="8"/>
  <c r="E8" i="8"/>
  <c r="D8" i="8"/>
  <c r="C8" i="8"/>
  <c r="C10" i="8" s="1"/>
  <c r="B8" i="8"/>
  <c r="D10" i="8" s="1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G16" i="7"/>
  <c r="F16" i="7"/>
  <c r="E16" i="7"/>
  <c r="D16" i="7"/>
  <c r="C16" i="7"/>
  <c r="F15" i="7"/>
  <c r="E15" i="7"/>
  <c r="D15" i="7"/>
  <c r="C15" i="7"/>
  <c r="B15" i="7"/>
  <c r="F14" i="7"/>
  <c r="E14" i="7"/>
  <c r="D14" i="7"/>
  <c r="C14" i="7"/>
  <c r="B14" i="7"/>
  <c r="F10" i="7"/>
  <c r="E10" i="7"/>
  <c r="D10" i="7"/>
  <c r="C10" i="7"/>
  <c r="F9" i="7"/>
  <c r="E9" i="7"/>
  <c r="D9" i="7"/>
  <c r="C9" i="7"/>
  <c r="B9" i="7"/>
  <c r="F51" i="6"/>
  <c r="E51" i="6"/>
  <c r="D51" i="6"/>
  <c r="C51" i="6"/>
  <c r="B51" i="6"/>
  <c r="G49" i="6"/>
  <c r="H49" i="6" s="1"/>
  <c r="I49" i="6" s="1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H48" i="6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G48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F32" i="6"/>
  <c r="F41" i="6" s="1"/>
  <c r="C32" i="6"/>
  <c r="C41" i="6" s="1"/>
  <c r="B32" i="6"/>
  <c r="B41" i="6" s="1"/>
  <c r="F29" i="6"/>
  <c r="E29" i="6"/>
  <c r="E32" i="6" s="1"/>
  <c r="D29" i="6"/>
  <c r="D32" i="6" s="1"/>
  <c r="D41" i="6" s="1"/>
  <c r="C29" i="6"/>
  <c r="I28" i="6"/>
  <c r="G28" i="6"/>
  <c r="H28" i="6" s="1"/>
  <c r="H16" i="7" s="1"/>
  <c r="F20" i="6"/>
  <c r="E20" i="6"/>
  <c r="D20" i="6"/>
  <c r="C20" i="6"/>
  <c r="B20" i="6"/>
  <c r="I18" i="6"/>
  <c r="G18" i="6"/>
  <c r="H18" i="6" s="1"/>
  <c r="F13" i="6"/>
  <c r="E13" i="6"/>
  <c r="D13" i="6"/>
  <c r="C13" i="6"/>
  <c r="B13" i="6"/>
  <c r="G12" i="6"/>
  <c r="F8" i="6"/>
  <c r="E8" i="6"/>
  <c r="E22" i="6" s="1"/>
  <c r="D8" i="6"/>
  <c r="D22" i="6" s="1"/>
  <c r="D43" i="6" s="1"/>
  <c r="D52" i="6" s="1"/>
  <c r="C8" i="6"/>
  <c r="E7" i="6"/>
  <c r="E37" i="5" s="1"/>
  <c r="E41" i="5" s="1"/>
  <c r="E35" i="7" s="1"/>
  <c r="B7" i="6"/>
  <c r="B8" i="6" s="1"/>
  <c r="B22" i="6" s="1"/>
  <c r="B43" i="6" s="1"/>
  <c r="B52" i="6" s="1"/>
  <c r="F41" i="5"/>
  <c r="F35" i="7" s="1"/>
  <c r="B41" i="5"/>
  <c r="B35" i="7" s="1"/>
  <c r="G39" i="5"/>
  <c r="F39" i="5"/>
  <c r="E39" i="5"/>
  <c r="D39" i="5"/>
  <c r="F38" i="5"/>
  <c r="E38" i="5"/>
  <c r="D38" i="5"/>
  <c r="F37" i="5"/>
  <c r="D37" i="5"/>
  <c r="D41" i="5" s="1"/>
  <c r="D35" i="7" s="1"/>
  <c r="C37" i="5"/>
  <c r="C41" i="5" s="1"/>
  <c r="C35" i="7" s="1"/>
  <c r="B37" i="5"/>
  <c r="B34" i="5"/>
  <c r="C30" i="5" s="1"/>
  <c r="C34" i="5" s="1"/>
  <c r="H31" i="5"/>
  <c r="G31" i="5"/>
  <c r="D30" i="5"/>
  <c r="D34" i="5" s="1"/>
  <c r="E30" i="5" s="1"/>
  <c r="E34" i="5" s="1"/>
  <c r="F30" i="5" s="1"/>
  <c r="F34" i="5" s="1"/>
  <c r="G30" i="5" s="1"/>
  <c r="G34" i="5" s="1"/>
  <c r="F24" i="5"/>
  <c r="G20" i="5" s="1"/>
  <c r="J23" i="5"/>
  <c r="F20" i="5"/>
  <c r="E20" i="5"/>
  <c r="E24" i="5" s="1"/>
  <c r="D20" i="5"/>
  <c r="D24" i="5" s="1"/>
  <c r="C20" i="5"/>
  <c r="C24" i="5" s="1"/>
  <c r="B20" i="5"/>
  <c r="B24" i="5" s="1"/>
  <c r="G14" i="5"/>
  <c r="F12" i="5"/>
  <c r="F16" i="5" s="1"/>
  <c r="G12" i="5" s="1"/>
  <c r="E12" i="5"/>
  <c r="E16" i="5" s="1"/>
  <c r="D12" i="5"/>
  <c r="D16" i="5" s="1"/>
  <c r="C12" i="5"/>
  <c r="C16" i="5" s="1"/>
  <c r="B12" i="5"/>
  <c r="B16" i="5" s="1"/>
  <c r="E7" i="5"/>
  <c r="B7" i="5"/>
  <c r="G6" i="5"/>
  <c r="G38" i="5" s="1"/>
  <c r="F3" i="5"/>
  <c r="F7" i="5" s="1"/>
  <c r="G3" i="5" s="1"/>
  <c r="E3" i="5"/>
  <c r="D3" i="5"/>
  <c r="D7" i="5" s="1"/>
  <c r="C3" i="5"/>
  <c r="C7" i="5" s="1"/>
  <c r="B3" i="5"/>
  <c r="J12" i="4"/>
  <c r="F8" i="4"/>
  <c r="E8" i="4"/>
  <c r="F7" i="4"/>
  <c r="E7" i="4"/>
  <c r="H6" i="4"/>
  <c r="T6" i="4" s="1"/>
  <c r="G6" i="4"/>
  <c r="F6" i="4"/>
  <c r="E6" i="4"/>
  <c r="F5" i="4"/>
  <c r="E5" i="4"/>
  <c r="F4" i="4"/>
  <c r="E4" i="4"/>
  <c r="U3" i="4"/>
  <c r="T3" i="4"/>
  <c r="S3" i="4"/>
  <c r="M3" i="4"/>
  <c r="L3" i="4"/>
  <c r="K3" i="4"/>
  <c r="H3" i="4"/>
  <c r="V3" i="4" s="1"/>
  <c r="E3" i="4"/>
  <c r="E2" i="4"/>
  <c r="H2" i="4" s="1"/>
  <c r="H28" i="3"/>
  <c r="G28" i="3"/>
  <c r="F28" i="3"/>
  <c r="E28" i="3"/>
  <c r="D28" i="3"/>
  <c r="C28" i="3"/>
  <c r="B28" i="3"/>
  <c r="H20" i="3"/>
  <c r="I20" i="3" s="1"/>
  <c r="G20" i="3"/>
  <c r="H13" i="3"/>
  <c r="G13" i="3"/>
  <c r="F13" i="3"/>
  <c r="E13" i="3"/>
  <c r="D13" i="3"/>
  <c r="C13" i="3"/>
  <c r="H7" i="3"/>
  <c r="I7" i="3" s="1"/>
  <c r="G7" i="3"/>
  <c r="D3" i="3"/>
  <c r="C3" i="3"/>
  <c r="G64" i="2"/>
  <c r="F64" i="2"/>
  <c r="E64" i="2"/>
  <c r="D64" i="2"/>
  <c r="C64" i="2"/>
  <c r="K63" i="2"/>
  <c r="E63" i="2"/>
  <c r="C63" i="2"/>
  <c r="S60" i="2"/>
  <c r="R60" i="2"/>
  <c r="Q60" i="2"/>
  <c r="P60" i="2"/>
  <c r="O60" i="2"/>
  <c r="N60" i="2"/>
  <c r="M60" i="2"/>
  <c r="Q31" i="5" s="1"/>
  <c r="L60" i="2"/>
  <c r="P31" i="5" s="1"/>
  <c r="K60" i="2"/>
  <c r="O31" i="5" s="1"/>
  <c r="J60" i="2"/>
  <c r="N31" i="5" s="1"/>
  <c r="I60" i="2"/>
  <c r="M31" i="5" s="1"/>
  <c r="H60" i="2"/>
  <c r="L31" i="5" s="1"/>
  <c r="G60" i="2"/>
  <c r="K31" i="5" s="1"/>
  <c r="F60" i="2"/>
  <c r="J31" i="5" s="1"/>
  <c r="E60" i="2"/>
  <c r="I31" i="5" s="1"/>
  <c r="D60" i="2"/>
  <c r="C60" i="2"/>
  <c r="L49" i="2"/>
  <c r="M49" i="2" s="1"/>
  <c r="N49" i="2" s="1"/>
  <c r="O49" i="2" s="1"/>
  <c r="P49" i="2" s="1"/>
  <c r="Q49" i="2" s="1"/>
  <c r="R49" i="2" s="1"/>
  <c r="S49" i="2" s="1"/>
  <c r="K49" i="2"/>
  <c r="J49" i="2"/>
  <c r="S48" i="2"/>
  <c r="I48" i="2"/>
  <c r="J48" i="2" s="1"/>
  <c r="H48" i="2"/>
  <c r="G48" i="2"/>
  <c r="K42" i="2"/>
  <c r="L42" i="2" s="1"/>
  <c r="M42" i="2" s="1"/>
  <c r="N42" i="2" s="1"/>
  <c r="O42" i="2" s="1"/>
  <c r="P42" i="2" s="1"/>
  <c r="Q42" i="2" s="1"/>
  <c r="R42" i="2" s="1"/>
  <c r="S42" i="2" s="1"/>
  <c r="J42" i="2"/>
  <c r="I42" i="2"/>
  <c r="R41" i="2"/>
  <c r="Q33" i="2"/>
  <c r="Q63" i="2" s="1"/>
  <c r="U8" i="1" s="1"/>
  <c r="P33" i="2"/>
  <c r="N33" i="2"/>
  <c r="B33" i="2"/>
  <c r="O33" i="2" s="1"/>
  <c r="P25" i="2"/>
  <c r="Q25" i="2" s="1"/>
  <c r="R25" i="2" s="1"/>
  <c r="S25" i="2" s="1"/>
  <c r="O25" i="2"/>
  <c r="N25" i="2"/>
  <c r="P24" i="2"/>
  <c r="B24" i="2"/>
  <c r="O24" i="2" s="1"/>
  <c r="O63" i="2" s="1"/>
  <c r="I16" i="2"/>
  <c r="J16" i="2" s="1"/>
  <c r="K16" i="2" s="1"/>
  <c r="L16" i="2" s="1"/>
  <c r="M16" i="2" s="1"/>
  <c r="N16" i="2" s="1"/>
  <c r="O16" i="2" s="1"/>
  <c r="P16" i="2" s="1"/>
  <c r="Q16" i="2" s="1"/>
  <c r="H16" i="2"/>
  <c r="H64" i="2" s="1"/>
  <c r="L9" i="1" s="1"/>
  <c r="I15" i="2"/>
  <c r="I63" i="2" s="1"/>
  <c r="M8" i="1" s="1"/>
  <c r="H15" i="2"/>
  <c r="H63" i="2" s="1"/>
  <c r="F15" i="2"/>
  <c r="R15" i="2" s="1"/>
  <c r="B15" i="2"/>
  <c r="G15" i="2" s="1"/>
  <c r="S7" i="2"/>
  <c r="R7" i="2"/>
  <c r="Q7" i="2"/>
  <c r="P7" i="2"/>
  <c r="O7" i="2"/>
  <c r="N7" i="2"/>
  <c r="M7" i="2"/>
  <c r="L7" i="2"/>
  <c r="K7" i="2"/>
  <c r="K64" i="2" s="1"/>
  <c r="O9" i="1" s="1"/>
  <c r="J7" i="2"/>
  <c r="J64" i="2" s="1"/>
  <c r="I7" i="2"/>
  <c r="P6" i="2"/>
  <c r="P63" i="2" s="1"/>
  <c r="D6" i="2"/>
  <c r="D63" i="2" s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F48" i="1" s="1"/>
  <c r="E45" i="1"/>
  <c r="E48" i="1" s="1"/>
  <c r="D45" i="1"/>
  <c r="D48" i="1" s="1"/>
  <c r="C45" i="1"/>
  <c r="C48" i="1" s="1"/>
  <c r="B45" i="1"/>
  <c r="B48" i="1" s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M41" i="1"/>
  <c r="L41" i="1"/>
  <c r="K41" i="1"/>
  <c r="J41" i="1"/>
  <c r="I41" i="1"/>
  <c r="H41" i="1"/>
  <c r="G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J48" i="1" s="1"/>
  <c r="I38" i="1"/>
  <c r="C32" i="1"/>
  <c r="F30" i="1"/>
  <c r="F32" i="1" s="1"/>
  <c r="E30" i="1"/>
  <c r="E32" i="1" s="1"/>
  <c r="E34" i="1" s="1"/>
  <c r="E50" i="1" s="1"/>
  <c r="D30" i="1"/>
  <c r="D32" i="1" s="1"/>
  <c r="C30" i="1"/>
  <c r="I28" i="1"/>
  <c r="H28" i="1"/>
  <c r="D28" i="1"/>
  <c r="C28" i="1"/>
  <c r="B28" i="1"/>
  <c r="B30" i="1" s="1"/>
  <c r="B32" i="1" s="1"/>
  <c r="G27" i="1"/>
  <c r="L19" i="1"/>
  <c r="K19" i="1"/>
  <c r="J19" i="1"/>
  <c r="I19" i="1"/>
  <c r="H19" i="1"/>
  <c r="G19" i="1"/>
  <c r="L16" i="1"/>
  <c r="I16" i="1"/>
  <c r="F16" i="1"/>
  <c r="F34" i="1" s="1"/>
  <c r="F50" i="1" s="1"/>
  <c r="F6" i="7" s="1"/>
  <c r="F21" i="7" s="1"/>
  <c r="F26" i="7" s="1"/>
  <c r="F30" i="7" s="1"/>
  <c r="E16" i="1"/>
  <c r="D16" i="1"/>
  <c r="D34" i="1" s="1"/>
  <c r="C16" i="1"/>
  <c r="B16" i="1"/>
  <c r="B34" i="1" s="1"/>
  <c r="B50" i="1" s="1"/>
  <c r="N9" i="1"/>
  <c r="K9" i="1"/>
  <c r="J9" i="1"/>
  <c r="I9" i="1"/>
  <c r="H9" i="1"/>
  <c r="G9" i="1"/>
  <c r="T8" i="1"/>
  <c r="S8" i="1"/>
  <c r="O8" i="1"/>
  <c r="L8" i="1"/>
  <c r="I8" i="1"/>
  <c r="H8" i="1"/>
  <c r="H16" i="1" s="1"/>
  <c r="G8" i="1"/>
  <c r="G16" i="1" s="1"/>
  <c r="G6" i="1"/>
  <c r="C4" i="3" s="1"/>
  <c r="F6" i="1"/>
  <c r="W5" i="1"/>
  <c r="V5" i="1"/>
  <c r="U5" i="1"/>
  <c r="T5" i="1"/>
  <c r="S5" i="1"/>
  <c r="R5" i="1"/>
  <c r="Q5" i="1"/>
  <c r="M3" i="3" s="1"/>
  <c r="P5" i="1"/>
  <c r="L3" i="3" s="1"/>
  <c r="O5" i="1"/>
  <c r="K3" i="3" s="1"/>
  <c r="N5" i="1"/>
  <c r="J3" i="3" s="1"/>
  <c r="M5" i="1"/>
  <c r="I3" i="3" s="1"/>
  <c r="L5" i="1"/>
  <c r="H3" i="3" s="1"/>
  <c r="K5" i="1"/>
  <c r="G3" i="3" s="1"/>
  <c r="J5" i="1"/>
  <c r="F3" i="3" s="1"/>
  <c r="I5" i="1"/>
  <c r="E3" i="3" s="1"/>
  <c r="M48" i="1" l="1"/>
  <c r="BC31" i="10"/>
  <c r="BC43" i="12"/>
  <c r="BC50" i="12" s="1"/>
  <c r="BC20" i="11"/>
  <c r="E6" i="7"/>
  <c r="E21" i="7" s="1"/>
  <c r="E26" i="7" s="1"/>
  <c r="E30" i="7" s="1"/>
  <c r="E57" i="1"/>
  <c r="B6" i="7"/>
  <c r="B21" i="7" s="1"/>
  <c r="B26" i="7" s="1"/>
  <c r="B30" i="7" s="1"/>
  <c r="B34" i="7" s="1"/>
  <c r="B57" i="1"/>
  <c r="H4" i="5"/>
  <c r="H13" i="5"/>
  <c r="I14" i="5" s="1"/>
  <c r="I39" i="5" s="1"/>
  <c r="S31" i="5"/>
  <c r="O3" i="3"/>
  <c r="I13" i="3"/>
  <c r="M19" i="1" s="1"/>
  <c r="J7" i="3"/>
  <c r="I28" i="3"/>
  <c r="J20" i="3"/>
  <c r="X2" i="4"/>
  <c r="P2" i="4"/>
  <c r="W2" i="4"/>
  <c r="O2" i="4"/>
  <c r="V2" i="4"/>
  <c r="N2" i="4"/>
  <c r="U2" i="4"/>
  <c r="M2" i="4"/>
  <c r="T2" i="4"/>
  <c r="L2" i="4"/>
  <c r="S2" i="4"/>
  <c r="K2" i="4"/>
  <c r="Z2" i="4"/>
  <c r="R2" i="4"/>
  <c r="Y2" i="4"/>
  <c r="Q2" i="4"/>
  <c r="T31" i="5"/>
  <c r="P3" i="3"/>
  <c r="I48" i="1"/>
  <c r="I4" i="5"/>
  <c r="I13" i="5"/>
  <c r="J14" i="5" s="1"/>
  <c r="J39" i="5" s="1"/>
  <c r="F57" i="1"/>
  <c r="L64" i="2"/>
  <c r="P9" i="1" s="1"/>
  <c r="S15" i="2"/>
  <c r="S63" i="2" s="1"/>
  <c r="W8" i="1" s="1"/>
  <c r="G63" i="2"/>
  <c r="K8" i="1" s="1"/>
  <c r="K16" i="1" s="1"/>
  <c r="G16" i="5"/>
  <c r="G16" i="6"/>
  <c r="H30" i="5"/>
  <c r="H34" i="5" s="1"/>
  <c r="U31" i="5"/>
  <c r="Q3" i="3"/>
  <c r="V31" i="5"/>
  <c r="R3" i="3"/>
  <c r="K48" i="1"/>
  <c r="N64" i="2"/>
  <c r="R9" i="1" s="1"/>
  <c r="O16" i="1"/>
  <c r="M64" i="2"/>
  <c r="Q9" i="1" s="1"/>
  <c r="G4" i="5"/>
  <c r="G13" i="5"/>
  <c r="H14" i="5" s="1"/>
  <c r="H39" i="5" s="1"/>
  <c r="W31" i="5"/>
  <c r="S3" i="3"/>
  <c r="L13" i="5"/>
  <c r="M14" i="5" s="1"/>
  <c r="M39" i="5" s="1"/>
  <c r="L4" i="5"/>
  <c r="L48" i="1"/>
  <c r="C34" i="1"/>
  <c r="C50" i="1" s="1"/>
  <c r="D50" i="1"/>
  <c r="P64" i="2"/>
  <c r="T9" i="1" s="1"/>
  <c r="T16" i="1" s="1"/>
  <c r="O64" i="2"/>
  <c r="S9" i="1" s="1"/>
  <c r="S16" i="1" s="1"/>
  <c r="R31" i="5"/>
  <c r="N3" i="3"/>
  <c r="H6" i="1"/>
  <c r="R16" i="2"/>
  <c r="S16" i="2" s="1"/>
  <c r="S64" i="2" s="1"/>
  <c r="W9" i="1" s="1"/>
  <c r="Q64" i="2"/>
  <c r="U9" i="1" s="1"/>
  <c r="U16" i="1" s="1"/>
  <c r="O3" i="4"/>
  <c r="W3" i="4"/>
  <c r="G5" i="4"/>
  <c r="H5" i="4" s="1"/>
  <c r="M6" i="4"/>
  <c r="U6" i="4"/>
  <c r="G7" i="4"/>
  <c r="H7" i="4" s="1"/>
  <c r="J15" i="2"/>
  <c r="J63" i="2" s="1"/>
  <c r="N8" i="1" s="1"/>
  <c r="N16" i="1" s="1"/>
  <c r="L24" i="2"/>
  <c r="L63" i="2" s="1"/>
  <c r="P8" i="1" s="1"/>
  <c r="P16" i="1" s="1"/>
  <c r="R33" i="2"/>
  <c r="R63" i="2" s="1"/>
  <c r="V8" i="1" s="1"/>
  <c r="F63" i="2"/>
  <c r="J8" i="1" s="1"/>
  <c r="J16" i="1" s="1"/>
  <c r="P3" i="4"/>
  <c r="X3" i="4"/>
  <c r="N6" i="4"/>
  <c r="V6" i="4"/>
  <c r="M24" i="2"/>
  <c r="M63" i="2" s="1"/>
  <c r="Q8" i="1" s="1"/>
  <c r="Q3" i="4"/>
  <c r="Y3" i="4"/>
  <c r="O6" i="4"/>
  <c r="W6" i="4"/>
  <c r="N24" i="2"/>
  <c r="N63" i="2" s="1"/>
  <c r="R8" i="1" s="1"/>
  <c r="R16" i="1" s="1"/>
  <c r="R3" i="4"/>
  <c r="Z3" i="4"/>
  <c r="P6" i="4"/>
  <c r="X6" i="4"/>
  <c r="J28" i="6"/>
  <c r="I16" i="7"/>
  <c r="Q6" i="4"/>
  <c r="Y6" i="4"/>
  <c r="G37" i="5"/>
  <c r="G41" i="5" s="1"/>
  <c r="I64" i="2"/>
  <c r="M9" i="1" s="1"/>
  <c r="M16" i="1" s="1"/>
  <c r="R6" i="4"/>
  <c r="Z6" i="4"/>
  <c r="G4" i="4"/>
  <c r="H4" i="4" s="1"/>
  <c r="K6" i="4"/>
  <c r="S6" i="4"/>
  <c r="G8" i="4"/>
  <c r="H8" i="4" s="1"/>
  <c r="N3" i="4"/>
  <c r="L6" i="4"/>
  <c r="C22" i="6"/>
  <c r="C43" i="6" s="1"/>
  <c r="C52" i="6" s="1"/>
  <c r="G14" i="9"/>
  <c r="G16" i="9"/>
  <c r="E41" i="6"/>
  <c r="E43" i="6" s="1"/>
  <c r="E52" i="6" s="1"/>
  <c r="J18" i="6"/>
  <c r="F22" i="6"/>
  <c r="F43" i="6" s="1"/>
  <c r="F52" i="6" s="1"/>
  <c r="G10" i="7"/>
  <c r="H12" i="6"/>
  <c r="H12" i="10"/>
  <c r="H16" i="10" s="1"/>
  <c r="H14" i="10"/>
  <c r="H6" i="10"/>
  <c r="H13" i="10"/>
  <c r="BC33" i="10"/>
  <c r="BC45" i="10" s="1"/>
  <c r="BC52" i="10" s="1"/>
  <c r="BE10" i="10"/>
  <c r="Q10" i="10"/>
  <c r="AB33" i="10"/>
  <c r="AB45" i="10" s="1"/>
  <c r="AB52" i="10" s="1"/>
  <c r="AJ33" i="10"/>
  <c r="AJ45" i="10" s="1"/>
  <c r="AJ52" i="10" s="1"/>
  <c r="AR33" i="10"/>
  <c r="AR45" i="10" s="1"/>
  <c r="AR52" i="10" s="1"/>
  <c r="BD33" i="10"/>
  <c r="BD45" i="10" s="1"/>
  <c r="BD52" i="10" s="1"/>
  <c r="BB10" i="10"/>
  <c r="BF19" i="10"/>
  <c r="Q20" i="10"/>
  <c r="BF37" i="10"/>
  <c r="BB37" i="10"/>
  <c r="C16" i="9"/>
  <c r="D16" i="9"/>
  <c r="Q43" i="10"/>
  <c r="F10" i="8"/>
  <c r="E16" i="9"/>
  <c r="G33" i="10"/>
  <c r="G45" i="10" s="1"/>
  <c r="G52" i="10" s="1"/>
  <c r="F31" i="10"/>
  <c r="F33" i="10" s="1"/>
  <c r="F45" i="10" s="1"/>
  <c r="F52" i="10" s="1"/>
  <c r="BE16" i="10"/>
  <c r="Q22" i="10"/>
  <c r="BE10" i="11"/>
  <c r="B10" i="8"/>
  <c r="D16" i="10"/>
  <c r="Q8" i="10"/>
  <c r="BB11" i="10"/>
  <c r="AG33" i="10"/>
  <c r="AG45" i="10" s="1"/>
  <c r="AG52" i="10" s="1"/>
  <c r="AO33" i="10"/>
  <c r="AO45" i="10" s="1"/>
  <c r="AO52" i="10" s="1"/>
  <c r="AW33" i="10"/>
  <c r="AW45" i="10" s="1"/>
  <c r="AW52" i="10" s="1"/>
  <c r="Q19" i="10"/>
  <c r="C31" i="10"/>
  <c r="BE31" i="10" s="1"/>
  <c r="BB41" i="10"/>
  <c r="BF41" i="10"/>
  <c r="Q7" i="10"/>
  <c r="BB19" i="10"/>
  <c r="BF38" i="10"/>
  <c r="BB38" i="10"/>
  <c r="D22" i="11"/>
  <c r="K30" i="11"/>
  <c r="Q30" i="11" s="1"/>
  <c r="K33" i="12"/>
  <c r="K41" i="12" s="1"/>
  <c r="K43" i="12" s="1"/>
  <c r="K50" i="12" s="1"/>
  <c r="K27" i="11"/>
  <c r="N43" i="12"/>
  <c r="N50" i="12" s="1"/>
  <c r="AF29" i="12"/>
  <c r="AF43" i="12" s="1"/>
  <c r="AF50" i="12" s="1"/>
  <c r="AN29" i="12"/>
  <c r="AN43" i="12" s="1"/>
  <c r="AN50" i="12" s="1"/>
  <c r="AV29" i="12"/>
  <c r="AV43" i="12" s="1"/>
  <c r="AV50" i="12" s="1"/>
  <c r="O43" i="12"/>
  <c r="O50" i="12" s="1"/>
  <c r="BF25" i="12"/>
  <c r="F16" i="9"/>
  <c r="AJ22" i="11"/>
  <c r="AJ39" i="11" s="1"/>
  <c r="AJ46" i="11" s="1"/>
  <c r="AR22" i="11"/>
  <c r="AR39" i="11" s="1"/>
  <c r="AR46" i="11" s="1"/>
  <c r="E10" i="13"/>
  <c r="F4" i="13"/>
  <c r="H21" i="13"/>
  <c r="I19" i="13"/>
  <c r="F22" i="11"/>
  <c r="F39" i="11" s="1"/>
  <c r="F46" i="11" s="1"/>
  <c r="BB29" i="12"/>
  <c r="E15" i="13"/>
  <c r="E23" i="13" s="1"/>
  <c r="I26" i="11"/>
  <c r="BB7" i="10"/>
  <c r="O33" i="12"/>
  <c r="O41" i="12" s="1"/>
  <c r="O30" i="11"/>
  <c r="BC22" i="11"/>
  <c r="BC39" i="11" s="1"/>
  <c r="BC46" i="11" s="1"/>
  <c r="BE29" i="12"/>
  <c r="C43" i="12"/>
  <c r="BD50" i="12"/>
  <c r="B16" i="9"/>
  <c r="AF22" i="11"/>
  <c r="AF39" i="11" s="1"/>
  <c r="AF46" i="11" s="1"/>
  <c r="AN22" i="11"/>
  <c r="AN39" i="11" s="1"/>
  <c r="AN46" i="11" s="1"/>
  <c r="AV22" i="11"/>
  <c r="AV39" i="11" s="1"/>
  <c r="AV46" i="11" s="1"/>
  <c r="D29" i="12"/>
  <c r="L29" i="12"/>
  <c r="L43" i="12" s="1"/>
  <c r="L50" i="12" s="1"/>
  <c r="AD29" i="12"/>
  <c r="AD43" i="12" s="1"/>
  <c r="AD50" i="12" s="1"/>
  <c r="AL29" i="12"/>
  <c r="AL43" i="12" s="1"/>
  <c r="AL50" i="12" s="1"/>
  <c r="AT29" i="12"/>
  <c r="AT43" i="12" s="1"/>
  <c r="AT50" i="12" s="1"/>
  <c r="Q25" i="12"/>
  <c r="Q27" i="12" s="1"/>
  <c r="Q29" i="12" s="1"/>
  <c r="I28" i="11"/>
  <c r="J7" i="11"/>
  <c r="O27" i="11"/>
  <c r="BF30" i="11"/>
  <c r="BB30" i="11"/>
  <c r="BF31" i="11"/>
  <c r="BB31" i="11"/>
  <c r="Q31" i="11"/>
  <c r="M43" i="12"/>
  <c r="M50" i="12" s="1"/>
  <c r="BF9" i="12"/>
  <c r="C20" i="11"/>
  <c r="BE20" i="11" s="1"/>
  <c r="H26" i="11"/>
  <c r="J27" i="11"/>
  <c r="Q27" i="11" s="1"/>
  <c r="D27" i="12"/>
  <c r="BF27" i="12" s="1"/>
  <c r="J33" i="12"/>
  <c r="D41" i="12"/>
  <c r="L27" i="11"/>
  <c r="BF34" i="12"/>
  <c r="M27" i="11"/>
  <c r="M33" i="12"/>
  <c r="M41" i="12" s="1"/>
  <c r="N27" i="11"/>
  <c r="K7" i="4" l="1"/>
  <c r="J7" i="4"/>
  <c r="K8" i="4"/>
  <c r="J8" i="4"/>
  <c r="X5" i="4"/>
  <c r="P5" i="4"/>
  <c r="W5" i="4"/>
  <c r="O5" i="4"/>
  <c r="V5" i="4"/>
  <c r="N5" i="4"/>
  <c r="U5" i="4"/>
  <c r="M5" i="4"/>
  <c r="T5" i="4"/>
  <c r="L5" i="4"/>
  <c r="S5" i="4"/>
  <c r="K5" i="4"/>
  <c r="Z5" i="4"/>
  <c r="R5" i="4"/>
  <c r="Y5" i="4"/>
  <c r="Q5" i="4"/>
  <c r="S13" i="5"/>
  <c r="T14" i="5" s="1"/>
  <c r="T39" i="5" s="1"/>
  <c r="S4" i="5"/>
  <c r="M13" i="5"/>
  <c r="N14" i="5" s="1"/>
  <c r="N39" i="5" s="1"/>
  <c r="M4" i="5"/>
  <c r="Y10" i="4"/>
  <c r="V28" i="1" s="1"/>
  <c r="Q10" i="4"/>
  <c r="N28" i="1" s="1"/>
  <c r="X10" i="4"/>
  <c r="U28" i="1" s="1"/>
  <c r="P10" i="4"/>
  <c r="M28" i="1" s="1"/>
  <c r="W10" i="4"/>
  <c r="T28" i="1" s="1"/>
  <c r="O10" i="4"/>
  <c r="L28" i="1" s="1"/>
  <c r="V10" i="4"/>
  <c r="S28" i="1" s="1"/>
  <c r="N10" i="4"/>
  <c r="K28" i="1" s="1"/>
  <c r="U10" i="4"/>
  <c r="R28" i="1" s="1"/>
  <c r="M10" i="4"/>
  <c r="J28" i="1" s="1"/>
  <c r="T10" i="4"/>
  <c r="Q28" i="1" s="1"/>
  <c r="S10" i="4"/>
  <c r="P28" i="1" s="1"/>
  <c r="Z10" i="4"/>
  <c r="W28" i="1" s="1"/>
  <c r="R10" i="4"/>
  <c r="O28" i="1" s="1"/>
  <c r="M4" i="4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BF29" i="12"/>
  <c r="D43" i="12"/>
  <c r="N4" i="5"/>
  <c r="N13" i="5"/>
  <c r="O14" i="5" s="1"/>
  <c r="O39" i="5" s="1"/>
  <c r="Q8" i="3"/>
  <c r="Q6" i="3"/>
  <c r="Q9" i="3"/>
  <c r="K4" i="5"/>
  <c r="K13" i="5"/>
  <c r="L14" i="5" s="1"/>
  <c r="L39" i="5" s="1"/>
  <c r="J17" i="11"/>
  <c r="J18" i="11" s="1"/>
  <c r="J20" i="11" s="1"/>
  <c r="J28" i="10"/>
  <c r="J29" i="10" s="1"/>
  <c r="Q12" i="4"/>
  <c r="N27" i="1" s="1"/>
  <c r="M12" i="4"/>
  <c r="J27" i="1" s="1"/>
  <c r="J28" i="3"/>
  <c r="K20" i="3"/>
  <c r="N41" i="1"/>
  <c r="N48" i="1" s="1"/>
  <c r="J8" i="11"/>
  <c r="J29" i="11"/>
  <c r="J26" i="11"/>
  <c r="J28" i="11"/>
  <c r="K7" i="11"/>
  <c r="G35" i="7"/>
  <c r="H37" i="5"/>
  <c r="G7" i="6"/>
  <c r="G8" i="6" s="1"/>
  <c r="S6" i="3"/>
  <c r="S9" i="3"/>
  <c r="S8" i="3"/>
  <c r="W16" i="1"/>
  <c r="Y14" i="4"/>
  <c r="Y12" i="4"/>
  <c r="V27" i="1" s="1"/>
  <c r="N17" i="11"/>
  <c r="N18" i="11" s="1"/>
  <c r="N20" i="11" s="1"/>
  <c r="N28" i="10"/>
  <c r="N29" i="10" s="1"/>
  <c r="U12" i="4"/>
  <c r="R27" i="1" s="1"/>
  <c r="U14" i="4"/>
  <c r="R13" i="5"/>
  <c r="S14" i="5" s="1"/>
  <c r="S39" i="5" s="1"/>
  <c r="R4" i="5"/>
  <c r="D6" i="7"/>
  <c r="D21" i="7" s="1"/>
  <c r="D26" i="7" s="1"/>
  <c r="D30" i="7" s="1"/>
  <c r="D57" i="1"/>
  <c r="H16" i="6"/>
  <c r="I30" i="5"/>
  <c r="I34" i="5" s="1"/>
  <c r="K17" i="11"/>
  <c r="K18" i="11" s="1"/>
  <c r="K20" i="11" s="1"/>
  <c r="K28" i="10"/>
  <c r="K29" i="10" s="1"/>
  <c r="R12" i="4"/>
  <c r="O27" i="1" s="1"/>
  <c r="R14" i="4"/>
  <c r="N12" i="4"/>
  <c r="K27" i="1" s="1"/>
  <c r="N14" i="4"/>
  <c r="J13" i="3"/>
  <c r="N19" i="1" s="1"/>
  <c r="K7" i="3"/>
  <c r="I21" i="13"/>
  <c r="J19" i="13"/>
  <c r="BF41" i="12"/>
  <c r="BB33" i="12"/>
  <c r="BB41" i="12" s="1"/>
  <c r="BB43" i="12" s="1"/>
  <c r="BB50" i="12" s="1"/>
  <c r="J41" i="12"/>
  <c r="J43" i="12" s="1"/>
  <c r="J50" i="12" s="1"/>
  <c r="BF33" i="12"/>
  <c r="D4" i="3"/>
  <c r="I6" i="1"/>
  <c r="C6" i="7"/>
  <c r="C21" i="7" s="1"/>
  <c r="C26" i="7" s="1"/>
  <c r="C30" i="7" s="1"/>
  <c r="C57" i="1"/>
  <c r="G20" i="6"/>
  <c r="G23" i="7"/>
  <c r="Z14" i="4"/>
  <c r="Z12" i="4"/>
  <c r="W27" i="1" s="1"/>
  <c r="V12" i="4"/>
  <c r="S27" i="1" s="1"/>
  <c r="D39" i="11"/>
  <c r="C33" i="10"/>
  <c r="H23" i="10"/>
  <c r="I14" i="10"/>
  <c r="I6" i="10"/>
  <c r="I13" i="10"/>
  <c r="I12" i="10"/>
  <c r="P8" i="3"/>
  <c r="P6" i="3"/>
  <c r="P9" i="3"/>
  <c r="K12" i="4"/>
  <c r="H27" i="1" s="1"/>
  <c r="O12" i="4"/>
  <c r="L27" i="1" s="1"/>
  <c r="R64" i="2"/>
  <c r="V9" i="1" s="1"/>
  <c r="V16" i="1" s="1"/>
  <c r="K18" i="6"/>
  <c r="J16" i="7"/>
  <c r="K28" i="6"/>
  <c r="J13" i="5"/>
  <c r="K14" i="5" s="1"/>
  <c r="K39" i="5" s="1"/>
  <c r="J4" i="5"/>
  <c r="L17" i="11"/>
  <c r="L18" i="11" s="1"/>
  <c r="L20" i="11" s="1"/>
  <c r="L28" i="10"/>
  <c r="L29" i="10" s="1"/>
  <c r="S14" i="4"/>
  <c r="S12" i="4"/>
  <c r="P27" i="1" s="1"/>
  <c r="W12" i="4"/>
  <c r="T27" i="1" s="1"/>
  <c r="W14" i="4"/>
  <c r="O8" i="3"/>
  <c r="O6" i="3"/>
  <c r="O9" i="3"/>
  <c r="O22" i="10" s="1"/>
  <c r="C32" i="7"/>
  <c r="B36" i="7"/>
  <c r="R8" i="3"/>
  <c r="R6" i="3"/>
  <c r="R9" i="3"/>
  <c r="H12" i="5"/>
  <c r="H16" i="5" s="1"/>
  <c r="G11" i="6"/>
  <c r="L12" i="4"/>
  <c r="I27" i="1" s="1"/>
  <c r="L14" i="4"/>
  <c r="I17" i="11"/>
  <c r="I28" i="10"/>
  <c r="P12" i="4"/>
  <c r="M27" i="1" s="1"/>
  <c r="P14" i="4"/>
  <c r="D33" i="10"/>
  <c r="H37" i="11"/>
  <c r="I37" i="11"/>
  <c r="F10" i="13"/>
  <c r="F15" i="13" s="1"/>
  <c r="F23" i="13" s="1"/>
  <c r="G4" i="13"/>
  <c r="Q33" i="12"/>
  <c r="Q41" i="12" s="1"/>
  <c r="Q43" i="12" s="1"/>
  <c r="Q50" i="12" s="1"/>
  <c r="BE43" i="12"/>
  <c r="C50" i="12"/>
  <c r="BE50" i="12" s="1"/>
  <c r="C22" i="11"/>
  <c r="H10" i="7"/>
  <c r="I12" i="6"/>
  <c r="Q16" i="1"/>
  <c r="P4" i="5"/>
  <c r="P13" i="5"/>
  <c r="Q14" i="5" s="1"/>
  <c r="Q39" i="5" s="1"/>
  <c r="U13" i="5"/>
  <c r="V14" i="5" s="1"/>
  <c r="V39" i="5" s="1"/>
  <c r="U4" i="5"/>
  <c r="T13" i="5"/>
  <c r="U14" i="5" s="1"/>
  <c r="U39" i="5" s="1"/>
  <c r="T4" i="5"/>
  <c r="O13" i="5"/>
  <c r="P14" i="5" s="1"/>
  <c r="P39" i="5" s="1"/>
  <c r="O4" i="5"/>
  <c r="M17" i="11"/>
  <c r="M18" i="11" s="1"/>
  <c r="M20" i="11" s="1"/>
  <c r="M28" i="10"/>
  <c r="M29" i="10" s="1"/>
  <c r="T12" i="4"/>
  <c r="Q27" i="1" s="1"/>
  <c r="T14" i="4"/>
  <c r="X12" i="4"/>
  <c r="U27" i="1" s="1"/>
  <c r="X14" i="4"/>
  <c r="V4" i="5" l="1"/>
  <c r="V13" i="5"/>
  <c r="W14" i="5" s="1"/>
  <c r="W39" i="5" s="1"/>
  <c r="K28" i="3"/>
  <c r="L20" i="3"/>
  <c r="O41" i="1"/>
  <c r="O48" i="1" s="1"/>
  <c r="J24" i="10"/>
  <c r="J13" i="10"/>
  <c r="I23" i="10"/>
  <c r="J15" i="10"/>
  <c r="J12" i="10"/>
  <c r="J14" i="10"/>
  <c r="J6" i="10"/>
  <c r="U30" i="1"/>
  <c r="Q4" i="5"/>
  <c r="Q13" i="5"/>
  <c r="R14" i="5" s="1"/>
  <c r="R39" i="5" s="1"/>
  <c r="J12" i="6"/>
  <c r="I10" i="7"/>
  <c r="I5" i="5"/>
  <c r="I30" i="1"/>
  <c r="BE22" i="11"/>
  <c r="C39" i="11"/>
  <c r="D45" i="10"/>
  <c r="G9" i="7"/>
  <c r="G13" i="6"/>
  <c r="G22" i="6" s="1"/>
  <c r="I16" i="10"/>
  <c r="D46" i="11"/>
  <c r="O30" i="1"/>
  <c r="W4" i="5"/>
  <c r="W13" i="5"/>
  <c r="BB17" i="11"/>
  <c r="BB18" i="11" s="1"/>
  <c r="BB20" i="11" s="1"/>
  <c r="BF17" i="11"/>
  <c r="I18" i="11"/>
  <c r="Q17" i="11"/>
  <c r="Q18" i="11" s="1"/>
  <c r="Q20" i="11" s="1"/>
  <c r="Q30" i="1"/>
  <c r="G10" i="13"/>
  <c r="G15" i="13" s="1"/>
  <c r="G23" i="13" s="1"/>
  <c r="H4" i="13"/>
  <c r="H39" i="11"/>
  <c r="H46" i="11" s="1"/>
  <c r="H52" i="11" s="1"/>
  <c r="I12" i="5"/>
  <c r="I16" i="5" s="1"/>
  <c r="H11" i="6"/>
  <c r="O14" i="4"/>
  <c r="C34" i="7"/>
  <c r="J21" i="13"/>
  <c r="K19" i="13"/>
  <c r="K29" i="11"/>
  <c r="K26" i="11"/>
  <c r="K28" i="11"/>
  <c r="L7" i="11"/>
  <c r="K8" i="11"/>
  <c r="K10" i="11" s="1"/>
  <c r="K22" i="11" s="1"/>
  <c r="M14" i="4"/>
  <c r="BF43" i="12"/>
  <c r="D50" i="12"/>
  <c r="BF50" i="12" s="1"/>
  <c r="S30" i="1"/>
  <c r="E4" i="3"/>
  <c r="J6" i="1"/>
  <c r="J30" i="1"/>
  <c r="J5" i="5"/>
  <c r="M5" i="5"/>
  <c r="M30" i="1"/>
  <c r="T30" i="1"/>
  <c r="L28" i="6"/>
  <c r="K16" i="7"/>
  <c r="H30" i="1"/>
  <c r="V14" i="4"/>
  <c r="L7" i="3"/>
  <c r="K13" i="3"/>
  <c r="O19" i="1" s="1"/>
  <c r="O5" i="5" s="1"/>
  <c r="I16" i="6"/>
  <c r="J30" i="5"/>
  <c r="J34" i="5" s="1"/>
  <c r="R30" i="1"/>
  <c r="J37" i="11"/>
  <c r="N5" i="5"/>
  <c r="N30" i="1"/>
  <c r="Q28" i="10"/>
  <c r="Q29" i="10" s="1"/>
  <c r="I29" i="10"/>
  <c r="BB28" i="10"/>
  <c r="BB29" i="10" s="1"/>
  <c r="BF28" i="10"/>
  <c r="P30" i="1"/>
  <c r="K14" i="4"/>
  <c r="H31" i="10"/>
  <c r="W30" i="1"/>
  <c r="H20" i="6"/>
  <c r="H23" i="7"/>
  <c r="Q14" i="4"/>
  <c r="L5" i="5"/>
  <c r="L30" i="1"/>
  <c r="L18" i="6"/>
  <c r="J10" i="11"/>
  <c r="J10" i="4"/>
  <c r="G28" i="1" s="1"/>
  <c r="G38" i="1"/>
  <c r="G48" i="1" s="1"/>
  <c r="C45" i="10"/>
  <c r="BE33" i="10"/>
  <c r="K5" i="5"/>
  <c r="K30" i="1"/>
  <c r="V30" i="1"/>
  <c r="H38" i="1"/>
  <c r="H48" i="1" s="1"/>
  <c r="K37" i="11" l="1"/>
  <c r="K39" i="11" s="1"/>
  <c r="K46" i="11" s="1"/>
  <c r="M32" i="1"/>
  <c r="M34" i="1" s="1"/>
  <c r="M50" i="1" s="1"/>
  <c r="M21" i="5"/>
  <c r="N22" i="5" s="1"/>
  <c r="N38" i="5" s="1"/>
  <c r="K21" i="5"/>
  <c r="L22" i="5" s="1"/>
  <c r="L38" i="5" s="1"/>
  <c r="K32" i="1"/>
  <c r="K34" i="1" s="1"/>
  <c r="K50" i="1" s="1"/>
  <c r="H5" i="5"/>
  <c r="K24" i="10"/>
  <c r="J23" i="10"/>
  <c r="J31" i="10" s="1"/>
  <c r="K14" i="10"/>
  <c r="K6" i="10"/>
  <c r="K15" i="10"/>
  <c r="K12" i="10"/>
  <c r="K13" i="10"/>
  <c r="M20" i="3"/>
  <c r="P41" i="1"/>
  <c r="P48" i="1" s="1"/>
  <c r="L28" i="3"/>
  <c r="H33" i="10"/>
  <c r="I31" i="10"/>
  <c r="BF29" i="10"/>
  <c r="J21" i="5"/>
  <c r="K22" i="5" s="1"/>
  <c r="K38" i="5" s="1"/>
  <c r="J32" i="1"/>
  <c r="J34" i="1" s="1"/>
  <c r="J50" i="1" s="1"/>
  <c r="J22" i="11"/>
  <c r="J39" i="11" s="1"/>
  <c r="J46" i="11" s="1"/>
  <c r="K30" i="5"/>
  <c r="K34" i="5" s="1"/>
  <c r="J16" i="6"/>
  <c r="L16" i="7"/>
  <c r="M28" i="6"/>
  <c r="F4" i="3"/>
  <c r="K6" i="1"/>
  <c r="L29" i="11"/>
  <c r="L26" i="11"/>
  <c r="L28" i="11"/>
  <c r="M7" i="11"/>
  <c r="L8" i="11"/>
  <c r="L10" i="11" s="1"/>
  <c r="L22" i="11" s="1"/>
  <c r="J10" i="7"/>
  <c r="K12" i="6"/>
  <c r="J16" i="10"/>
  <c r="J33" i="10" s="1"/>
  <c r="J45" i="10" s="1"/>
  <c r="J52" i="10" s="1"/>
  <c r="C36" i="7"/>
  <c r="C37" i="7" s="1"/>
  <c r="D32" i="7"/>
  <c r="D34" i="7" s="1"/>
  <c r="C52" i="10"/>
  <c r="BE52" i="10" s="1"/>
  <c r="BE45" i="10"/>
  <c r="I20" i="6"/>
  <c r="I23" i="7"/>
  <c r="H9" i="7"/>
  <c r="H13" i="6"/>
  <c r="O21" i="5"/>
  <c r="P22" i="5" s="1"/>
  <c r="O32" i="1"/>
  <c r="O34" i="1" s="1"/>
  <c r="O50" i="1" s="1"/>
  <c r="N21" i="5"/>
  <c r="O22" i="5" s="1"/>
  <c r="O38" i="5" s="1"/>
  <c r="N32" i="1"/>
  <c r="N34" i="1" s="1"/>
  <c r="N50" i="1" s="1"/>
  <c r="J12" i="5"/>
  <c r="J16" i="5" s="1"/>
  <c r="I11" i="6"/>
  <c r="D52" i="10"/>
  <c r="P21" i="5"/>
  <c r="Q22" i="5" s="1"/>
  <c r="Q38" i="5" s="1"/>
  <c r="M7" i="3"/>
  <c r="L13" i="3"/>
  <c r="P19" i="1" s="1"/>
  <c r="P5" i="5" s="1"/>
  <c r="I20" i="11"/>
  <c r="BF18" i="11"/>
  <c r="BE39" i="11"/>
  <c r="C46" i="11"/>
  <c r="BE46" i="11" s="1"/>
  <c r="M18" i="6"/>
  <c r="G5" i="5"/>
  <c r="G7" i="5" s="1"/>
  <c r="G30" i="1"/>
  <c r="L21" i="5"/>
  <c r="M22" i="5" s="1"/>
  <c r="L32" i="1"/>
  <c r="L34" i="1" s="1"/>
  <c r="L50" i="1" s="1"/>
  <c r="H21" i="5"/>
  <c r="I22" i="5" s="1"/>
  <c r="I38" i="5" s="1"/>
  <c r="H32" i="1"/>
  <c r="H34" i="1" s="1"/>
  <c r="H50" i="1" s="1"/>
  <c r="L19" i="13"/>
  <c r="K21" i="13"/>
  <c r="H10" i="13"/>
  <c r="H15" i="13" s="1"/>
  <c r="H23" i="13" s="1"/>
  <c r="I4" i="13"/>
  <c r="J13" i="13"/>
  <c r="I33" i="10"/>
  <c r="I45" i="10" s="1"/>
  <c r="I52" i="10" s="1"/>
  <c r="I21" i="5"/>
  <c r="J22" i="5" s="1"/>
  <c r="I32" i="1"/>
  <c r="I34" i="1" s="1"/>
  <c r="I50" i="1" s="1"/>
  <c r="J6" i="7" l="1"/>
  <c r="J57" i="1"/>
  <c r="M28" i="11"/>
  <c r="N7" i="11"/>
  <c r="M29" i="11"/>
  <c r="M26" i="11"/>
  <c r="M8" i="11"/>
  <c r="M10" i="11" s="1"/>
  <c r="M22" i="11" s="1"/>
  <c r="J20" i="6"/>
  <c r="J23" i="7"/>
  <c r="M19" i="13"/>
  <c r="L21" i="13"/>
  <c r="G30" i="6"/>
  <c r="G15" i="7" s="1"/>
  <c r="H3" i="5"/>
  <c r="H7" i="5" s="1"/>
  <c r="I9" i="7"/>
  <c r="I13" i="6"/>
  <c r="K16" i="6"/>
  <c r="L30" i="5"/>
  <c r="L34" i="5" s="1"/>
  <c r="M28" i="3"/>
  <c r="N20" i="3"/>
  <c r="Q41" i="1"/>
  <c r="Q48" i="1" s="1"/>
  <c r="O6" i="7"/>
  <c r="O57" i="1"/>
  <c r="L37" i="11"/>
  <c r="L39" i="11" s="1"/>
  <c r="L46" i="11" s="1"/>
  <c r="K6" i="7"/>
  <c r="K57" i="1"/>
  <c r="BF20" i="11"/>
  <c r="I22" i="11"/>
  <c r="H6" i="7"/>
  <c r="H57" i="1"/>
  <c r="N18" i="6"/>
  <c r="N7" i="3"/>
  <c r="M13" i="3"/>
  <c r="Q19" i="1" s="1"/>
  <c r="K12" i="5"/>
  <c r="K16" i="5" s="1"/>
  <c r="J11" i="6"/>
  <c r="P32" i="1"/>
  <c r="P34" i="1" s="1"/>
  <c r="P50" i="1" s="1"/>
  <c r="K10" i="7"/>
  <c r="L12" i="6"/>
  <c r="K16" i="10"/>
  <c r="G4" i="3"/>
  <c r="L6" i="1"/>
  <c r="G21" i="5"/>
  <c r="G32" i="1"/>
  <c r="G34" i="1" s="1"/>
  <c r="G50" i="1" s="1"/>
  <c r="I6" i="7"/>
  <c r="I57" i="1"/>
  <c r="L24" i="10"/>
  <c r="K23" i="10"/>
  <c r="K31" i="10" s="1"/>
  <c r="L14" i="10"/>
  <c r="L6" i="10"/>
  <c r="L13" i="10"/>
  <c r="L15" i="10"/>
  <c r="L12" i="10"/>
  <c r="M6" i="7"/>
  <c r="M57" i="1"/>
  <c r="N6" i="7"/>
  <c r="N57" i="1"/>
  <c r="I10" i="13"/>
  <c r="I15" i="13" s="1"/>
  <c r="I23" i="13" s="1"/>
  <c r="J4" i="13"/>
  <c r="K13" i="13"/>
  <c r="L6" i="7"/>
  <c r="L57" i="1"/>
  <c r="D36" i="7"/>
  <c r="E32" i="7"/>
  <c r="E34" i="7" s="1"/>
  <c r="M16" i="7"/>
  <c r="N28" i="6"/>
  <c r="H45" i="10"/>
  <c r="K11" i="6" l="1"/>
  <c r="L12" i="5"/>
  <c r="L16" i="5" s="1"/>
  <c r="N19" i="13"/>
  <c r="M21" i="13"/>
  <c r="K33" i="10"/>
  <c r="G6" i="7"/>
  <c r="G57" i="1"/>
  <c r="G47" i="6" s="1"/>
  <c r="Q5" i="5"/>
  <c r="Q21" i="5"/>
  <c r="R22" i="5" s="1"/>
  <c r="R38" i="5" s="1"/>
  <c r="Q32" i="1"/>
  <c r="Q34" i="1" s="1"/>
  <c r="Q50" i="1" s="1"/>
  <c r="L16" i="6"/>
  <c r="M30" i="5"/>
  <c r="M34" i="5" s="1"/>
  <c r="R41" i="1"/>
  <c r="R48" i="1" s="1"/>
  <c r="N28" i="3"/>
  <c r="O20" i="3"/>
  <c r="N16" i="7"/>
  <c r="O28" i="6"/>
  <c r="H22" i="5"/>
  <c r="H38" i="5" s="1"/>
  <c r="H41" i="5" s="1"/>
  <c r="G24" i="5"/>
  <c r="L10" i="7"/>
  <c r="M12" i="6"/>
  <c r="O7" i="3"/>
  <c r="N13" i="3"/>
  <c r="R19" i="1" s="1"/>
  <c r="K20" i="6"/>
  <c r="K23" i="7"/>
  <c r="I39" i="11"/>
  <c r="J10" i="13"/>
  <c r="J15" i="13" s="1"/>
  <c r="J23" i="13" s="1"/>
  <c r="K4" i="13"/>
  <c r="L13" i="13"/>
  <c r="M37" i="11"/>
  <c r="M39" i="11" s="1"/>
  <c r="M46" i="11" s="1"/>
  <c r="Q26" i="11"/>
  <c r="Q37" i="11" s="1"/>
  <c r="H30" i="6"/>
  <c r="H15" i="7" s="1"/>
  <c r="I3" i="5"/>
  <c r="I7" i="5" s="1"/>
  <c r="J6" i="5"/>
  <c r="J38" i="5" s="1"/>
  <c r="J9" i="7"/>
  <c r="J13" i="6"/>
  <c r="L16" i="10"/>
  <c r="H52" i="10"/>
  <c r="L23" i="10"/>
  <c r="M14" i="10"/>
  <c r="M6" i="10"/>
  <c r="M13" i="10"/>
  <c r="M15" i="10"/>
  <c r="M12" i="10"/>
  <c r="M24" i="10"/>
  <c r="O18" i="6"/>
  <c r="E36" i="7"/>
  <c r="F32" i="7"/>
  <c r="F34" i="7" s="1"/>
  <c r="H4" i="3"/>
  <c r="M6" i="1"/>
  <c r="P6" i="7"/>
  <c r="P57" i="1"/>
  <c r="N29" i="11"/>
  <c r="Q29" i="11" s="1"/>
  <c r="N26" i="11"/>
  <c r="N8" i="11"/>
  <c r="N28" i="11"/>
  <c r="Q28" i="11" s="1"/>
  <c r="O7" i="11"/>
  <c r="L31" i="10" l="1"/>
  <c r="M10" i="7"/>
  <c r="N12" i="6"/>
  <c r="G32" i="7"/>
  <c r="F36" i="7"/>
  <c r="N13" i="10"/>
  <c r="Q13" i="10" s="1"/>
  <c r="O15" i="10"/>
  <c r="N15" i="10"/>
  <c r="N12" i="10"/>
  <c r="N24" i="10"/>
  <c r="N14" i="10"/>
  <c r="Q14" i="10" s="1"/>
  <c r="N6" i="10"/>
  <c r="M23" i="10"/>
  <c r="M31" i="10" s="1"/>
  <c r="O28" i="11"/>
  <c r="O8" i="11"/>
  <c r="O10" i="11" s="1"/>
  <c r="O22" i="11" s="1"/>
  <c r="O29" i="11"/>
  <c r="O26" i="11"/>
  <c r="O37" i="11" s="1"/>
  <c r="L33" i="10"/>
  <c r="L45" i="10" s="1"/>
  <c r="L52" i="10" s="1"/>
  <c r="I46" i="11"/>
  <c r="H20" i="5"/>
  <c r="H24" i="5" s="1"/>
  <c r="G27" i="6"/>
  <c r="M16" i="6"/>
  <c r="N30" i="5"/>
  <c r="N34" i="5" s="1"/>
  <c r="K45" i="10"/>
  <c r="H35" i="7"/>
  <c r="H7" i="6"/>
  <c r="H8" i="6" s="1"/>
  <c r="H22" i="6" s="1"/>
  <c r="I37" i="5"/>
  <c r="I41" i="5" s="1"/>
  <c r="L20" i="6"/>
  <c r="L23" i="7"/>
  <c r="O16" i="7"/>
  <c r="P28" i="6"/>
  <c r="Q6" i="7"/>
  <c r="Q57" i="1"/>
  <c r="N21" i="13"/>
  <c r="O19" i="13"/>
  <c r="M12" i="5"/>
  <c r="M16" i="5" s="1"/>
  <c r="L11" i="6"/>
  <c r="N10" i="11"/>
  <c r="Q8" i="11"/>
  <c r="Q10" i="11" s="1"/>
  <c r="Q22" i="11" s="1"/>
  <c r="Q39" i="11" s="1"/>
  <c r="Q46" i="11" s="1"/>
  <c r="P18" i="6"/>
  <c r="N37" i="11"/>
  <c r="R5" i="5"/>
  <c r="R21" i="5"/>
  <c r="S22" i="5" s="1"/>
  <c r="R32" i="1"/>
  <c r="R34" i="1" s="1"/>
  <c r="R50" i="1" s="1"/>
  <c r="O40" i="10"/>
  <c r="S41" i="1"/>
  <c r="S48" i="1" s="1"/>
  <c r="O28" i="3"/>
  <c r="P20" i="3"/>
  <c r="K9" i="7"/>
  <c r="K13" i="6"/>
  <c r="Q24" i="10"/>
  <c r="I4" i="3"/>
  <c r="N6" i="1"/>
  <c r="M16" i="10"/>
  <c r="BB8" i="11"/>
  <c r="BB10" i="11" s="1"/>
  <c r="BB22" i="11" s="1"/>
  <c r="I30" i="6"/>
  <c r="I15" i="7" s="1"/>
  <c r="J3" i="5"/>
  <c r="J7" i="5" s="1"/>
  <c r="M13" i="13"/>
  <c r="K10" i="13"/>
  <c r="K15" i="13" s="1"/>
  <c r="K23" i="13" s="1"/>
  <c r="L4" i="13"/>
  <c r="P7" i="3"/>
  <c r="G51" i="6"/>
  <c r="H47" i="6"/>
  <c r="P28" i="3" l="1"/>
  <c r="Q20" i="3"/>
  <c r="T41" i="1"/>
  <c r="T48" i="1" s="1"/>
  <c r="L10" i="13"/>
  <c r="L15" i="13" s="1"/>
  <c r="L23" i="13" s="1"/>
  <c r="M4" i="13"/>
  <c r="N13" i="13"/>
  <c r="J4" i="3"/>
  <c r="O6" i="1"/>
  <c r="Q18" i="6"/>
  <c r="O12" i="6"/>
  <c r="N10" i="7"/>
  <c r="P16" i="7"/>
  <c r="Q28" i="6"/>
  <c r="BF37" i="11"/>
  <c r="N16" i="10"/>
  <c r="Q12" i="10"/>
  <c r="BF40" i="10"/>
  <c r="BB40" i="10"/>
  <c r="BB43" i="10" s="1"/>
  <c r="O43" i="10"/>
  <c r="BF43" i="10" s="1"/>
  <c r="K52" i="10"/>
  <c r="R6" i="7"/>
  <c r="R57" i="1"/>
  <c r="N22" i="11"/>
  <c r="BF10" i="11"/>
  <c r="N16" i="6"/>
  <c r="O30" i="5"/>
  <c r="O34" i="5" s="1"/>
  <c r="Q15" i="10"/>
  <c r="BF15" i="10"/>
  <c r="L9" i="7"/>
  <c r="L13" i="6"/>
  <c r="M20" i="6"/>
  <c r="M23" i="7"/>
  <c r="O39" i="11"/>
  <c r="O46" i="11" s="1"/>
  <c r="BB15" i="10"/>
  <c r="H51" i="6"/>
  <c r="I47" i="6"/>
  <c r="N12" i="5"/>
  <c r="N16" i="5" s="1"/>
  <c r="M11" i="6"/>
  <c r="G14" i="7"/>
  <c r="G21" i="7" s="1"/>
  <c r="G26" i="7" s="1"/>
  <c r="G30" i="7" s="1"/>
  <c r="G34" i="7" s="1"/>
  <c r="G32" i="6"/>
  <c r="G41" i="6" s="1"/>
  <c r="G43" i="6" s="1"/>
  <c r="G52" i="6" s="1"/>
  <c r="K3" i="5"/>
  <c r="K7" i="5" s="1"/>
  <c r="J30" i="6"/>
  <c r="J15" i="7" s="1"/>
  <c r="BB26" i="11"/>
  <c r="BB37" i="11" s="1"/>
  <c r="O21" i="13"/>
  <c r="P19" i="13"/>
  <c r="I35" i="7"/>
  <c r="I7" i="6"/>
  <c r="I8" i="6" s="1"/>
  <c r="I22" i="6" s="1"/>
  <c r="J37" i="5"/>
  <c r="J41" i="5" s="1"/>
  <c r="H27" i="6"/>
  <c r="I20" i="5"/>
  <c r="I24" i="5" s="1"/>
  <c r="O14" i="10"/>
  <c r="O6" i="10"/>
  <c r="O12" i="10" s="1"/>
  <c r="N23" i="10"/>
  <c r="O13" i="10"/>
  <c r="BB39" i="11"/>
  <c r="BB46" i="11" s="1"/>
  <c r="Q7" i="3"/>
  <c r="M33" i="10"/>
  <c r="I52" i="11"/>
  <c r="J52" i="11" s="1"/>
  <c r="K52" i="11" s="1"/>
  <c r="L52" i="11" s="1"/>
  <c r="M52" i="11" s="1"/>
  <c r="BF26" i="11"/>
  <c r="K30" i="6" l="1"/>
  <c r="K15" i="7" s="1"/>
  <c r="L3" i="5"/>
  <c r="L7" i="5" s="1"/>
  <c r="M6" i="5"/>
  <c r="M38" i="5" s="1"/>
  <c r="O16" i="6"/>
  <c r="P30" i="5"/>
  <c r="P34" i="5" s="1"/>
  <c r="H32" i="6"/>
  <c r="H41" i="6" s="1"/>
  <c r="H43" i="6" s="1"/>
  <c r="H52" i="6" s="1"/>
  <c r="H14" i="7"/>
  <c r="H21" i="7" s="1"/>
  <c r="H26" i="7" s="1"/>
  <c r="H30" i="7" s="1"/>
  <c r="K4" i="3"/>
  <c r="P6" i="1"/>
  <c r="J35" i="7"/>
  <c r="J7" i="6"/>
  <c r="J8" i="6" s="1"/>
  <c r="J22" i="6" s="1"/>
  <c r="K37" i="5"/>
  <c r="K41" i="5" s="1"/>
  <c r="N20" i="6"/>
  <c r="N23" i="7"/>
  <c r="R7" i="3"/>
  <c r="G36" i="7"/>
  <c r="H32" i="7"/>
  <c r="O10" i="7"/>
  <c r="P12" i="6"/>
  <c r="M10" i="13"/>
  <c r="M15" i="13" s="1"/>
  <c r="M23" i="13" s="1"/>
  <c r="N4" i="13"/>
  <c r="O13" i="13"/>
  <c r="N31" i="10"/>
  <c r="Q23" i="10"/>
  <c r="Q31" i="10" s="1"/>
  <c r="O16" i="10"/>
  <c r="P21" i="13"/>
  <c r="Q19" i="13"/>
  <c r="M9" i="7"/>
  <c r="M13" i="6"/>
  <c r="N39" i="11"/>
  <c r="BF22" i="11"/>
  <c r="BB12" i="10"/>
  <c r="BB16" i="10" s="1"/>
  <c r="N11" i="6"/>
  <c r="O12" i="5"/>
  <c r="O16" i="5" s="1"/>
  <c r="Q16" i="10"/>
  <c r="Q33" i="10" s="1"/>
  <c r="Q45" i="10" s="1"/>
  <c r="Q52" i="10" s="1"/>
  <c r="N33" i="10"/>
  <c r="N45" i="10" s="1"/>
  <c r="N52" i="10" s="1"/>
  <c r="R18" i="6"/>
  <c r="Q28" i="3"/>
  <c r="R20" i="3"/>
  <c r="U41" i="1"/>
  <c r="U48" i="1" s="1"/>
  <c r="R28" i="6"/>
  <c r="Q16" i="7"/>
  <c r="M45" i="10"/>
  <c r="J47" i="6"/>
  <c r="I51" i="6"/>
  <c r="I27" i="6"/>
  <c r="J20" i="5"/>
  <c r="J24" i="5" s="1"/>
  <c r="N10" i="13" l="1"/>
  <c r="N15" i="13" s="1"/>
  <c r="N23" i="13" s="1"/>
  <c r="O4" i="13"/>
  <c r="P13" i="13"/>
  <c r="J27" i="6"/>
  <c r="K20" i="5"/>
  <c r="K24" i="5" s="1"/>
  <c r="Q21" i="13"/>
  <c r="R19" i="13"/>
  <c r="H34" i="7"/>
  <c r="I14" i="7"/>
  <c r="I21" i="7" s="1"/>
  <c r="I26" i="7" s="1"/>
  <c r="I30" i="7" s="1"/>
  <c r="I32" i="6"/>
  <c r="I41" i="6" s="1"/>
  <c r="I43" i="6" s="1"/>
  <c r="I52" i="6" s="1"/>
  <c r="R28" i="3"/>
  <c r="S20" i="3"/>
  <c r="V41" i="1"/>
  <c r="V48" i="1" s="1"/>
  <c r="P12" i="5"/>
  <c r="P16" i="5" s="1"/>
  <c r="O11" i="6"/>
  <c r="P10" i="7"/>
  <c r="Q12" i="6"/>
  <c r="BF16" i="10"/>
  <c r="K35" i="7"/>
  <c r="L37" i="5"/>
  <c r="L41" i="5" s="1"/>
  <c r="K7" i="6"/>
  <c r="K8" i="6" s="1"/>
  <c r="K22" i="6" s="1"/>
  <c r="P16" i="6"/>
  <c r="Q30" i="5"/>
  <c r="Q34" i="5" s="1"/>
  <c r="O20" i="6"/>
  <c r="O23" i="7"/>
  <c r="J51" i="6"/>
  <c r="K47" i="6"/>
  <c r="R16" i="7"/>
  <c r="S28" i="6"/>
  <c r="N9" i="7"/>
  <c r="N13" i="6"/>
  <c r="M52" i="10"/>
  <c r="N46" i="11"/>
  <c r="BF39" i="11"/>
  <c r="L4" i="3"/>
  <c r="Q6" i="1"/>
  <c r="M3" i="5"/>
  <c r="M7" i="5" s="1"/>
  <c r="L30" i="6"/>
  <c r="L15" i="7" s="1"/>
  <c r="S18" i="6"/>
  <c r="S7" i="3"/>
  <c r="M4" i="3" l="1"/>
  <c r="O11" i="3" s="1"/>
  <c r="O24" i="10" s="1"/>
  <c r="R6" i="1"/>
  <c r="S16" i="7"/>
  <c r="T28" i="6"/>
  <c r="P20" i="6"/>
  <c r="P23" i="7"/>
  <c r="O9" i="7"/>
  <c r="O13" i="6"/>
  <c r="R21" i="13"/>
  <c r="S19" i="13"/>
  <c r="Q12" i="5"/>
  <c r="Q16" i="5" s="1"/>
  <c r="P11" i="6"/>
  <c r="K27" i="6"/>
  <c r="L20" i="5"/>
  <c r="L24" i="5" s="1"/>
  <c r="L47" i="6"/>
  <c r="K51" i="6"/>
  <c r="L35" i="7"/>
  <c r="L7" i="6"/>
  <c r="L8" i="6" s="1"/>
  <c r="L22" i="6" s="1"/>
  <c r="M37" i="5"/>
  <c r="M41" i="5" s="1"/>
  <c r="BF46" i="11"/>
  <c r="N52" i="11"/>
  <c r="O52" i="11" s="1"/>
  <c r="S28" i="3"/>
  <c r="W41" i="1"/>
  <c r="W48" i="1" s="1"/>
  <c r="J32" i="6"/>
  <c r="J41" i="6" s="1"/>
  <c r="J43" i="6" s="1"/>
  <c r="J52" i="6" s="1"/>
  <c r="J14" i="7"/>
  <c r="J21" i="7" s="1"/>
  <c r="J26" i="7" s="1"/>
  <c r="J30" i="7" s="1"/>
  <c r="T18" i="6"/>
  <c r="O10" i="13"/>
  <c r="O15" i="13" s="1"/>
  <c r="O23" i="13" s="1"/>
  <c r="P4" i="13"/>
  <c r="Q13" i="13"/>
  <c r="R12" i="6"/>
  <c r="Q10" i="7"/>
  <c r="M30" i="6"/>
  <c r="M15" i="7" s="1"/>
  <c r="N3" i="5"/>
  <c r="N7" i="5" s="1"/>
  <c r="Q16" i="6"/>
  <c r="R30" i="5"/>
  <c r="R34" i="5" s="1"/>
  <c r="H36" i="7"/>
  <c r="I32" i="7"/>
  <c r="I34" i="7" s="1"/>
  <c r="I36" i="7" l="1"/>
  <c r="J32" i="7"/>
  <c r="J34" i="7" s="1"/>
  <c r="S30" i="5"/>
  <c r="S34" i="5" s="1"/>
  <c r="R16" i="6"/>
  <c r="P10" i="13"/>
  <c r="P15" i="13" s="1"/>
  <c r="P23" i="13" s="1"/>
  <c r="Q4" i="13"/>
  <c r="R13" i="13"/>
  <c r="L27" i="6"/>
  <c r="M20" i="5"/>
  <c r="M24" i="5" s="1"/>
  <c r="K32" i="6"/>
  <c r="K41" i="6" s="1"/>
  <c r="K43" i="6" s="1"/>
  <c r="K52" i="6" s="1"/>
  <c r="K14" i="7"/>
  <c r="K21" i="7" s="1"/>
  <c r="K26" i="7" s="1"/>
  <c r="K30" i="7" s="1"/>
  <c r="O3" i="5"/>
  <c r="O7" i="5" s="1"/>
  <c r="N30" i="6"/>
  <c r="N15" i="7" s="1"/>
  <c r="P6" i="5"/>
  <c r="P38" i="5" s="1"/>
  <c r="U18" i="6"/>
  <c r="P9" i="7"/>
  <c r="P13" i="6"/>
  <c r="Q11" i="6"/>
  <c r="R12" i="5"/>
  <c r="R16" i="5" s="1"/>
  <c r="U28" i="6"/>
  <c r="T16" i="7"/>
  <c r="Q20" i="6"/>
  <c r="Q23" i="7"/>
  <c r="M35" i="7"/>
  <c r="M7" i="6"/>
  <c r="M8" i="6" s="1"/>
  <c r="M22" i="6" s="1"/>
  <c r="N37" i="5"/>
  <c r="N41" i="5" s="1"/>
  <c r="T19" i="13"/>
  <c r="S21" i="13"/>
  <c r="N4" i="3"/>
  <c r="P11" i="3" s="1"/>
  <c r="S6" i="1"/>
  <c r="R10" i="7"/>
  <c r="S12" i="6"/>
  <c r="L51" i="6"/>
  <c r="M47" i="6"/>
  <c r="BB24" i="10"/>
  <c r="BB31" i="10" s="1"/>
  <c r="BB33" i="10" s="1"/>
  <c r="BB45" i="10" s="1"/>
  <c r="BB52" i="10" s="1"/>
  <c r="BF24" i="10"/>
  <c r="U16" i="7" l="1"/>
  <c r="V28" i="6"/>
  <c r="Q10" i="13"/>
  <c r="Q15" i="13" s="1"/>
  <c r="Q23" i="13" s="1"/>
  <c r="R4" i="13"/>
  <c r="S13" i="13"/>
  <c r="V18" i="6"/>
  <c r="L14" i="7"/>
  <c r="L21" i="7" s="1"/>
  <c r="L26" i="7" s="1"/>
  <c r="L30" i="7" s="1"/>
  <c r="L32" i="6"/>
  <c r="L41" i="6" s="1"/>
  <c r="L43" i="6" s="1"/>
  <c r="L52" i="6" s="1"/>
  <c r="U19" i="13"/>
  <c r="T21" i="13"/>
  <c r="R20" i="6"/>
  <c r="R23" i="7"/>
  <c r="K32" i="7"/>
  <c r="K34" i="7" s="1"/>
  <c r="J36" i="7"/>
  <c r="O30" i="6"/>
  <c r="O15" i="7" s="1"/>
  <c r="P3" i="5"/>
  <c r="P7" i="5" s="1"/>
  <c r="S16" i="6"/>
  <c r="T30" i="5"/>
  <c r="T34" i="5" s="1"/>
  <c r="O4" i="3"/>
  <c r="T6" i="1"/>
  <c r="N47" i="6"/>
  <c r="M51" i="6"/>
  <c r="S12" i="5"/>
  <c r="S16" i="5" s="1"/>
  <c r="R11" i="6"/>
  <c r="N35" i="7"/>
  <c r="O37" i="5"/>
  <c r="O41" i="5" s="1"/>
  <c r="N7" i="6"/>
  <c r="N8" i="6" s="1"/>
  <c r="N22" i="6" s="1"/>
  <c r="Q9" i="7"/>
  <c r="Q13" i="6"/>
  <c r="S10" i="7"/>
  <c r="T12" i="6"/>
  <c r="M27" i="6"/>
  <c r="N20" i="5"/>
  <c r="N24" i="5" s="1"/>
  <c r="K36" i="7" l="1"/>
  <c r="L32" i="7"/>
  <c r="L34" i="7" s="1"/>
  <c r="P4" i="3"/>
  <c r="U6" i="1"/>
  <c r="W18" i="6"/>
  <c r="O35" i="7"/>
  <c r="O7" i="6"/>
  <c r="O8" i="6" s="1"/>
  <c r="O22" i="6" s="1"/>
  <c r="P37" i="5"/>
  <c r="P41" i="5" s="1"/>
  <c r="O10" i="3"/>
  <c r="Q11" i="3"/>
  <c r="U30" i="5"/>
  <c r="U34" i="5" s="1"/>
  <c r="T16" i="6"/>
  <c r="R10" i="13"/>
  <c r="R15" i="13" s="1"/>
  <c r="R23" i="13" s="1"/>
  <c r="S4" i="13"/>
  <c r="T13" i="13"/>
  <c r="O20" i="5"/>
  <c r="O24" i="5" s="1"/>
  <c r="N27" i="6"/>
  <c r="M14" i="7"/>
  <c r="M21" i="7" s="1"/>
  <c r="M26" i="7" s="1"/>
  <c r="M30" i="7" s="1"/>
  <c r="M32" i="6"/>
  <c r="M41" i="6" s="1"/>
  <c r="M43" i="6" s="1"/>
  <c r="M52" i="6" s="1"/>
  <c r="S20" i="6"/>
  <c r="S23" i="7"/>
  <c r="T10" i="7"/>
  <c r="U12" i="6"/>
  <c r="Q3" i="5"/>
  <c r="Q7" i="5" s="1"/>
  <c r="P30" i="6"/>
  <c r="P15" i="7" s="1"/>
  <c r="V19" i="13"/>
  <c r="V21" i="13" s="1"/>
  <c r="U21" i="13"/>
  <c r="V16" i="7"/>
  <c r="W28" i="6"/>
  <c r="W16" i="7" s="1"/>
  <c r="R9" i="7"/>
  <c r="R13" i="6"/>
  <c r="S11" i="6"/>
  <c r="T12" i="5"/>
  <c r="T16" i="5" s="1"/>
  <c r="N51" i="6"/>
  <c r="O47" i="6"/>
  <c r="P47" i="6" l="1"/>
  <c r="O51" i="6"/>
  <c r="T20" i="6"/>
  <c r="T23" i="7"/>
  <c r="P10" i="3"/>
  <c r="P13" i="3" s="1"/>
  <c r="T19" i="1" s="1"/>
  <c r="R11" i="3"/>
  <c r="U16" i="6"/>
  <c r="V30" i="5"/>
  <c r="V34" i="5" s="1"/>
  <c r="Q4" i="3"/>
  <c r="V6" i="1"/>
  <c r="P20" i="5"/>
  <c r="P24" i="5" s="1"/>
  <c r="O27" i="6"/>
  <c r="O23" i="10"/>
  <c r="O13" i="3"/>
  <c r="S19" i="1" s="1"/>
  <c r="R3" i="5"/>
  <c r="R7" i="5" s="1"/>
  <c r="Q30" i="6"/>
  <c r="Q15" i="7" s="1"/>
  <c r="S6" i="5"/>
  <c r="S38" i="5" s="1"/>
  <c r="L36" i="7"/>
  <c r="M32" i="7"/>
  <c r="M34" i="7" s="1"/>
  <c r="U10" i="7"/>
  <c r="V12" i="6"/>
  <c r="U13" i="13"/>
  <c r="S10" i="13"/>
  <c r="S15" i="13" s="1"/>
  <c r="S23" i="13" s="1"/>
  <c r="T4" i="13"/>
  <c r="U12" i="5"/>
  <c r="U16" i="5" s="1"/>
  <c r="T11" i="6"/>
  <c r="N14" i="7"/>
  <c r="N21" i="7" s="1"/>
  <c r="N26" i="7" s="1"/>
  <c r="N30" i="7" s="1"/>
  <c r="N32" i="6"/>
  <c r="N41" i="6" s="1"/>
  <c r="N43" i="6" s="1"/>
  <c r="N52" i="6" s="1"/>
  <c r="S9" i="7"/>
  <c r="S13" i="6"/>
  <c r="P35" i="7"/>
  <c r="P7" i="6"/>
  <c r="P8" i="6" s="1"/>
  <c r="P22" i="6" s="1"/>
  <c r="Q37" i="5"/>
  <c r="Q41" i="5" s="1"/>
  <c r="M36" i="7" l="1"/>
  <c r="N32" i="7"/>
  <c r="N34" i="7" s="1"/>
  <c r="V16" i="6"/>
  <c r="W30" i="5"/>
  <c r="W34" i="5" s="1"/>
  <c r="W16" i="6" s="1"/>
  <c r="T5" i="5"/>
  <c r="T21" i="5"/>
  <c r="U22" i="5" s="1"/>
  <c r="U38" i="5" s="1"/>
  <c r="T32" i="1"/>
  <c r="T34" i="1" s="1"/>
  <c r="T50" i="1" s="1"/>
  <c r="T9" i="7"/>
  <c r="T13" i="6"/>
  <c r="Q35" i="7"/>
  <c r="Q7" i="6"/>
  <c r="Q8" i="6" s="1"/>
  <c r="Q22" i="6" s="1"/>
  <c r="R37" i="5"/>
  <c r="R41" i="5" s="1"/>
  <c r="V12" i="5"/>
  <c r="V16" i="5" s="1"/>
  <c r="U11" i="6"/>
  <c r="P27" i="6"/>
  <c r="Q20" i="5"/>
  <c r="Q24" i="5" s="1"/>
  <c r="S5" i="5"/>
  <c r="S21" i="5"/>
  <c r="T22" i="5" s="1"/>
  <c r="T38" i="5" s="1"/>
  <c r="S32" i="1"/>
  <c r="S34" i="1" s="1"/>
  <c r="S50" i="1" s="1"/>
  <c r="V10" i="7"/>
  <c r="W12" i="6"/>
  <c r="W10" i="7" s="1"/>
  <c r="U20" i="6"/>
  <c r="U23" i="7"/>
  <c r="R4" i="3"/>
  <c r="R10" i="3" s="1"/>
  <c r="R13" i="3" s="1"/>
  <c r="V19" i="1" s="1"/>
  <c r="W6" i="1"/>
  <c r="S4" i="3" s="1"/>
  <c r="S10" i="3" s="1"/>
  <c r="O31" i="10"/>
  <c r="BF23" i="10"/>
  <c r="O14" i="7"/>
  <c r="O21" i="7" s="1"/>
  <c r="O26" i="7" s="1"/>
  <c r="O30" i="7" s="1"/>
  <c r="O32" i="6"/>
  <c r="O41" i="6" s="1"/>
  <c r="O43" i="6" s="1"/>
  <c r="O52" i="6" s="1"/>
  <c r="T10" i="13"/>
  <c r="T15" i="13" s="1"/>
  <c r="T23" i="13" s="1"/>
  <c r="U4" i="13"/>
  <c r="V13" i="13"/>
  <c r="R30" i="6"/>
  <c r="R15" i="7" s="1"/>
  <c r="S3" i="5"/>
  <c r="S7" i="5" s="1"/>
  <c r="S11" i="3"/>
  <c r="Q10" i="3"/>
  <c r="Q13" i="3" s="1"/>
  <c r="U19" i="1" s="1"/>
  <c r="Q47" i="6"/>
  <c r="P51" i="6"/>
  <c r="P14" i="7" l="1"/>
  <c r="P21" i="7" s="1"/>
  <c r="P26" i="7" s="1"/>
  <c r="P30" i="7" s="1"/>
  <c r="P32" i="6"/>
  <c r="P41" i="6" s="1"/>
  <c r="P43" i="6" s="1"/>
  <c r="P52" i="6" s="1"/>
  <c r="V11" i="6"/>
  <c r="W12" i="5"/>
  <c r="W16" i="5" s="1"/>
  <c r="W11" i="6" s="1"/>
  <c r="Q27" i="6"/>
  <c r="R20" i="5"/>
  <c r="R24" i="5" s="1"/>
  <c r="U5" i="5"/>
  <c r="U32" i="1"/>
  <c r="U34" i="1" s="1"/>
  <c r="U50" i="1" s="1"/>
  <c r="U21" i="5"/>
  <c r="V22" i="5" s="1"/>
  <c r="W20" i="6"/>
  <c r="W23" i="7"/>
  <c r="S6" i="7"/>
  <c r="S57" i="1"/>
  <c r="V20" i="6"/>
  <c r="V23" i="7"/>
  <c r="O32" i="7"/>
  <c r="O34" i="7" s="1"/>
  <c r="N36" i="7"/>
  <c r="R47" i="6"/>
  <c r="Q51" i="6"/>
  <c r="T6" i="7"/>
  <c r="T57" i="1"/>
  <c r="U9" i="7"/>
  <c r="U13" i="6"/>
  <c r="S30" i="6"/>
  <c r="S15" i="7" s="1"/>
  <c r="T3" i="5"/>
  <c r="T7" i="5" s="1"/>
  <c r="BF31" i="10"/>
  <c r="O33" i="10"/>
  <c r="V5" i="5"/>
  <c r="V21" i="5"/>
  <c r="W22" i="5" s="1"/>
  <c r="W38" i="5" s="1"/>
  <c r="V32" i="1"/>
  <c r="V34" i="1" s="1"/>
  <c r="V50" i="1" s="1"/>
  <c r="R35" i="7"/>
  <c r="R7" i="6"/>
  <c r="R8" i="6" s="1"/>
  <c r="R22" i="6" s="1"/>
  <c r="S37" i="5"/>
  <c r="S41" i="5" s="1"/>
  <c r="S13" i="3"/>
  <c r="W19" i="1" s="1"/>
  <c r="U10" i="13"/>
  <c r="U15" i="13" s="1"/>
  <c r="U23" i="13" s="1"/>
  <c r="V4" i="13"/>
  <c r="V10" i="13" s="1"/>
  <c r="V15" i="13" s="1"/>
  <c r="V23" i="13" s="1"/>
  <c r="O36" i="7" l="1"/>
  <c r="P32" i="7"/>
  <c r="V6" i="7"/>
  <c r="V57" i="1"/>
  <c r="U6" i="7"/>
  <c r="U57" i="1"/>
  <c r="R27" i="6"/>
  <c r="S20" i="5"/>
  <c r="S24" i="5" s="1"/>
  <c r="O45" i="10"/>
  <c r="BF33" i="10"/>
  <c r="Q14" i="7"/>
  <c r="Q21" i="7" s="1"/>
  <c r="Q26" i="7" s="1"/>
  <c r="Q30" i="7" s="1"/>
  <c r="Q32" i="6"/>
  <c r="Q41" i="6" s="1"/>
  <c r="Q43" i="6" s="1"/>
  <c r="Q52" i="6" s="1"/>
  <c r="R51" i="6"/>
  <c r="S47" i="6"/>
  <c r="W9" i="7"/>
  <c r="W13" i="6"/>
  <c r="S35" i="7"/>
  <c r="S7" i="6"/>
  <c r="S8" i="6" s="1"/>
  <c r="S22" i="6" s="1"/>
  <c r="T37" i="5"/>
  <c r="T41" i="5" s="1"/>
  <c r="T30" i="6"/>
  <c r="T15" i="7" s="1"/>
  <c r="V6" i="5"/>
  <c r="V38" i="5" s="1"/>
  <c r="U3" i="5"/>
  <c r="U7" i="5" s="1"/>
  <c r="V13" i="6"/>
  <c r="V9" i="7"/>
  <c r="W5" i="5"/>
  <c r="W21" i="5"/>
  <c r="W32" i="1"/>
  <c r="W34" i="1" s="1"/>
  <c r="W50" i="1" s="1"/>
  <c r="P34" i="7"/>
  <c r="R14" i="7" l="1"/>
  <c r="R21" i="7" s="1"/>
  <c r="R26" i="7" s="1"/>
  <c r="R30" i="7" s="1"/>
  <c r="R32" i="6"/>
  <c r="R41" i="6" s="1"/>
  <c r="R43" i="6" s="1"/>
  <c r="R52" i="6" s="1"/>
  <c r="P36" i="7"/>
  <c r="Q32" i="7"/>
  <c r="Q34" i="7" s="1"/>
  <c r="W6" i="7"/>
  <c r="W57" i="1"/>
  <c r="T35" i="7"/>
  <c r="T7" i="6"/>
  <c r="T8" i="6" s="1"/>
  <c r="T22" i="6" s="1"/>
  <c r="U37" i="5"/>
  <c r="U41" i="5" s="1"/>
  <c r="T47" i="6"/>
  <c r="S51" i="6"/>
  <c r="O52" i="10"/>
  <c r="BF52" i="10" s="1"/>
  <c r="BF45" i="10"/>
  <c r="U30" i="6"/>
  <c r="U15" i="7" s="1"/>
  <c r="V3" i="5"/>
  <c r="V7" i="5" s="1"/>
  <c r="S27" i="6"/>
  <c r="T20" i="5"/>
  <c r="T24" i="5" s="1"/>
  <c r="Q36" i="7" l="1"/>
  <c r="R32" i="7"/>
  <c r="R34" i="7" s="1"/>
  <c r="T27" i="6"/>
  <c r="U20" i="5"/>
  <c r="U24" i="5" s="1"/>
  <c r="S32" i="6"/>
  <c r="S41" i="6" s="1"/>
  <c r="S43" i="6" s="1"/>
  <c r="S52" i="6" s="1"/>
  <c r="S14" i="7"/>
  <c r="S21" i="7" s="1"/>
  <c r="S26" i="7" s="1"/>
  <c r="S30" i="7" s="1"/>
  <c r="T51" i="6"/>
  <c r="U47" i="6"/>
  <c r="V30" i="6"/>
  <c r="V15" i="7" s="1"/>
  <c r="W3" i="5"/>
  <c r="W7" i="5" s="1"/>
  <c r="W30" i="6" s="1"/>
  <c r="W15" i="7" s="1"/>
  <c r="U35" i="7"/>
  <c r="U7" i="6"/>
  <c r="U8" i="6" s="1"/>
  <c r="U22" i="6" s="1"/>
  <c r="V37" i="5"/>
  <c r="V41" i="5" s="1"/>
  <c r="V35" i="7" l="1"/>
  <c r="V7" i="6"/>
  <c r="V8" i="6" s="1"/>
  <c r="V22" i="6" s="1"/>
  <c r="W37" i="5"/>
  <c r="W41" i="5" s="1"/>
  <c r="U27" i="6"/>
  <c r="V20" i="5"/>
  <c r="V24" i="5" s="1"/>
  <c r="T14" i="7"/>
  <c r="T21" i="7" s="1"/>
  <c r="T26" i="7" s="1"/>
  <c r="T30" i="7" s="1"/>
  <c r="T32" i="6"/>
  <c r="T41" i="6" s="1"/>
  <c r="T43" i="6" s="1"/>
  <c r="T52" i="6" s="1"/>
  <c r="V47" i="6"/>
  <c r="U51" i="6"/>
  <c r="S32" i="7"/>
  <c r="S34" i="7" s="1"/>
  <c r="R36" i="7"/>
  <c r="S36" i="7" l="1"/>
  <c r="T32" i="7"/>
  <c r="T34" i="7" s="1"/>
  <c r="U14" i="7"/>
  <c r="U21" i="7" s="1"/>
  <c r="U26" i="7" s="1"/>
  <c r="U30" i="7" s="1"/>
  <c r="U32" i="6"/>
  <c r="U41" i="6" s="1"/>
  <c r="U43" i="6" s="1"/>
  <c r="U52" i="6" s="1"/>
  <c r="V51" i="6"/>
  <c r="W47" i="6"/>
  <c r="W51" i="6" s="1"/>
  <c r="W20" i="5"/>
  <c r="W24" i="5" s="1"/>
  <c r="W27" i="6" s="1"/>
  <c r="V27" i="6"/>
  <c r="W35" i="7"/>
  <c r="W7" i="6"/>
  <c r="W8" i="6" s="1"/>
  <c r="W22" i="6" s="1"/>
  <c r="T36" i="7" l="1"/>
  <c r="U32" i="7"/>
  <c r="U34" i="7" s="1"/>
  <c r="V32" i="6"/>
  <c r="V41" i="6" s="1"/>
  <c r="V43" i="6" s="1"/>
  <c r="V52" i="6" s="1"/>
  <c r="V14" i="7"/>
  <c r="V21" i="7" s="1"/>
  <c r="V26" i="7" s="1"/>
  <c r="V30" i="7" s="1"/>
  <c r="W14" i="7"/>
  <c r="W21" i="7" s="1"/>
  <c r="W26" i="7" s="1"/>
  <c r="W30" i="7" s="1"/>
  <c r="W32" i="6"/>
  <c r="W41" i="6" s="1"/>
  <c r="W43" i="6" s="1"/>
  <c r="W52" i="6" s="1"/>
  <c r="U36" i="7" l="1"/>
  <c r="V32" i="7"/>
  <c r="V34" i="7" s="1"/>
  <c r="W32" i="7" l="1"/>
  <c r="W34" i="7" s="1"/>
  <c r="W36" i="7" s="1"/>
  <c r="V36" i="7"/>
</calcChain>
</file>

<file path=xl/sharedStrings.xml><?xml version="1.0" encoding="utf-8"?>
<sst xmlns="http://schemas.openxmlformats.org/spreadsheetml/2006/main" count="1335" uniqueCount="268">
  <si>
    <t>Actual</t>
  </si>
  <si>
    <t>FORECAST</t>
  </si>
  <si>
    <t>Income</t>
  </si>
  <si>
    <t>New screens</t>
  </si>
  <si>
    <t xml:space="preserve">Live screens </t>
  </si>
  <si>
    <t>Revenue 1 - Software (annual upfront fee)</t>
  </si>
  <si>
    <t>Revenue 2 - Ad partner revenue</t>
  </si>
  <si>
    <t>Other Revenue</t>
  </si>
  <si>
    <t>Total Income</t>
  </si>
  <si>
    <t>Less Cost of Sales</t>
  </si>
  <si>
    <t xml:space="preserve">Direct costs </t>
  </si>
  <si>
    <t>Other Direct costs</t>
  </si>
  <si>
    <t xml:space="preserve">   Staff Cost</t>
  </si>
  <si>
    <t xml:space="preserve">   Commission/ Consultancy costs</t>
  </si>
  <si>
    <t xml:space="preserve">   Direct Wages </t>
  </si>
  <si>
    <t xml:space="preserve">   Total Staff Cost</t>
  </si>
  <si>
    <t>Total Cost of Sales</t>
  </si>
  <si>
    <t>Gross Profit</t>
  </si>
  <si>
    <t>Less Operating Expenses</t>
  </si>
  <si>
    <t>Consulting</t>
  </si>
  <si>
    <t>Marketing/ Advertising</t>
  </si>
  <si>
    <t>Sundries/expenses/legals</t>
  </si>
  <si>
    <t>Website costs</t>
  </si>
  <si>
    <t>Bookkeeping &amp; Accountancy fees</t>
  </si>
  <si>
    <t>Office costs/ rent</t>
  </si>
  <si>
    <t>Subscriptions</t>
  </si>
  <si>
    <t>Postage, Freight &amp; Courier</t>
  </si>
  <si>
    <t>Travel/ entertainment</t>
  </si>
  <si>
    <t>General expenses</t>
  </si>
  <si>
    <t>Total Operating Expenses</t>
  </si>
  <si>
    <t>Operating Profit</t>
  </si>
  <si>
    <t>Non-operating Expenses</t>
  </si>
  <si>
    <t>Depreciation</t>
  </si>
  <si>
    <t>Total Non-operating Expenses</t>
  </si>
  <si>
    <t>Net Profit</t>
  </si>
  <si>
    <t>Phase 1 - no capex</t>
  </si>
  <si>
    <t>Freeholder / MA (Kings Chelsea/ Xenia)</t>
  </si>
  <si>
    <t>Annual software revenue</t>
  </si>
  <si>
    <t>Ad partner revenue</t>
  </si>
  <si>
    <t>Phase 2</t>
  </si>
  <si>
    <t>Xenia</t>
  </si>
  <si>
    <t>Units - 7000</t>
  </si>
  <si>
    <t>1 screen/ 75 units</t>
  </si>
  <si>
    <t>**existing screens</t>
  </si>
  <si>
    <t>£50/screen/m</t>
  </si>
  <si>
    <t>Phase 3</t>
  </si>
  <si>
    <t>Phase 4</t>
  </si>
  <si>
    <t>JTRE / Rhodium</t>
  </si>
  <si>
    <t>Existing screens revenue</t>
  </si>
  <si>
    <t>20 screens</t>
  </si>
  <si>
    <t>Capex./ screen</t>
  </si>
  <si>
    <t>Cost of Screen</t>
  </si>
  <si>
    <t>Screen Set up and Installation</t>
  </si>
  <si>
    <t>Cost per screen</t>
  </si>
  <si>
    <t>New screens per month</t>
  </si>
  <si>
    <t>Total screens</t>
  </si>
  <si>
    <t>LDSK</t>
  </si>
  <si>
    <t>Screens - support fee</t>
  </si>
  <si>
    <t>Direct costs  3</t>
  </si>
  <si>
    <t>Direct costs 4</t>
  </si>
  <si>
    <t>Direct costs  5</t>
  </si>
  <si>
    <t>Direct costs  6</t>
  </si>
  <si>
    <t>Total direct costs</t>
  </si>
  <si>
    <t>Overheads</t>
  </si>
  <si>
    <t>Software Development costs</t>
  </si>
  <si>
    <t>Total</t>
  </si>
  <si>
    <t>Name</t>
  </si>
  <si>
    <t>Title</t>
  </si>
  <si>
    <t>Department</t>
  </si>
  <si>
    <t>Annual salary</t>
  </si>
  <si>
    <t>Gross Pay</t>
  </si>
  <si>
    <t>Employer NI</t>
  </si>
  <si>
    <t>Pension</t>
  </si>
  <si>
    <t>Stephen</t>
  </si>
  <si>
    <t>Contractor</t>
  </si>
  <si>
    <t>Dave</t>
  </si>
  <si>
    <t>TBC</t>
  </si>
  <si>
    <t>Employee</t>
  </si>
  <si>
    <t>Owen</t>
  </si>
  <si>
    <t>Director</t>
  </si>
  <si>
    <t>Tony</t>
  </si>
  <si>
    <t>Total employees</t>
  </si>
  <si>
    <t>Total contractors</t>
  </si>
  <si>
    <t>VAT</t>
  </si>
  <si>
    <t>O/bal</t>
  </si>
  <si>
    <t>VAT On Sales</t>
  </si>
  <si>
    <t>VAT on Purchases</t>
  </si>
  <si>
    <t>VAT Payment (Jun; Sept; Dec; Mar)</t>
  </si>
  <si>
    <t>C/bal</t>
  </si>
  <si>
    <t>Trade Debtors</t>
  </si>
  <si>
    <t>Sales</t>
  </si>
  <si>
    <t>Receipt</t>
  </si>
  <si>
    <t>Aged Receivable</t>
  </si>
  <si>
    <t>Trade Creditors</t>
  </si>
  <si>
    <t>Purchases</t>
  </si>
  <si>
    <t>Payment</t>
  </si>
  <si>
    <t>PPE</t>
  </si>
  <si>
    <t>Opening</t>
  </si>
  <si>
    <t>Additions</t>
  </si>
  <si>
    <t>Closing</t>
  </si>
  <si>
    <t>Bank</t>
  </si>
  <si>
    <t>Receipts</t>
  </si>
  <si>
    <t>Balance Sheet</t>
  </si>
  <si>
    <t>ACT</t>
  </si>
  <si>
    <t>Act</t>
  </si>
  <si>
    <t>Forecast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</si>
  <si>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</si>
  <si>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</si>
  <si>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</si>
  <si>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</si>
  <si>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</si>
  <si>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</si>
  <si>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</si>
  <si>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</si>
  <si>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</si>
  <si>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</si>
  <si>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</si>
  <si>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</si>
  <si>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</si>
  <si>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Assets</t>
  </si>
  <si>
    <t xml:space="preserve">   Bank</t>
  </si>
  <si>
    <t xml:space="preserve">In Home Media </t>
  </si>
  <si>
    <t xml:space="preserve">   Total Bank</t>
  </si>
  <si>
    <t xml:space="preserve">   Current Assets</t>
  </si>
  <si>
    <t>Accounts Receivable</t>
  </si>
  <si>
    <t>Prepayments</t>
  </si>
  <si>
    <t xml:space="preserve">   Total Current Assets</t>
  </si>
  <si>
    <t xml:space="preserve">   Fixed Assets</t>
  </si>
  <si>
    <t xml:space="preserve">   Screens</t>
  </si>
  <si>
    <t xml:space="preserve">   Less Accumulated Depreciation on Computer Equipment</t>
  </si>
  <si>
    <t xml:space="preserve">   IHM MA Portal</t>
  </si>
  <si>
    <t xml:space="preserve">   Total Fixed Assets</t>
  </si>
  <si>
    <t>Total Assets</t>
  </si>
  <si>
    <t>Liabilities</t>
  </si>
  <si>
    <t xml:space="preserve">   Current Liabilities</t>
  </si>
  <si>
    <t>Accounts Payable</t>
  </si>
  <si>
    <t>Accruals</t>
  </si>
  <si>
    <t>PAYE Payable</t>
  </si>
  <si>
    <t xml:space="preserve">   Total Current Liabilities</t>
  </si>
  <si>
    <t xml:space="preserve">   Non-Current Liabilities</t>
  </si>
  <si>
    <t xml:space="preserve">   Total Non-Current Liabilities</t>
  </si>
  <si>
    <t>Total Liabilities</t>
  </si>
  <si>
    <t>Net Assets</t>
  </si>
  <si>
    <t>Equity</t>
  </si>
  <si>
    <t>Current Year Earnings</t>
  </si>
  <si>
    <t>Retained Earnings</t>
  </si>
  <si>
    <t>Share Premium</t>
  </si>
  <si>
    <t>Total Equity</t>
  </si>
  <si>
    <t>Cashflow</t>
  </si>
  <si>
    <t>2024/2025</t>
  </si>
  <si>
    <t>Net Profit (Excl' Depreciation)</t>
  </si>
  <si>
    <t>Change in Current Assets</t>
  </si>
  <si>
    <t>Change in Trade Debtors</t>
  </si>
  <si>
    <t>Change in Prepayments</t>
  </si>
  <si>
    <t>Change in Current Liabilities</t>
  </si>
  <si>
    <t>Change in Trade Creditors</t>
  </si>
  <si>
    <t>Change in VAT</t>
  </si>
  <si>
    <t>Change in Accruals</t>
  </si>
  <si>
    <t>Change in Corporation Tax</t>
  </si>
  <si>
    <t xml:space="preserve">Add back depreciation </t>
  </si>
  <si>
    <t>NET CASH FLOW FROM OPERATIONS</t>
  </si>
  <si>
    <t>Capital Expenditure</t>
  </si>
  <si>
    <t>Loans</t>
  </si>
  <si>
    <t>NET CASH FLOW FROM FINANCING &amp; INVESTMENTS</t>
  </si>
  <si>
    <t>Dividends</t>
  </si>
  <si>
    <t>Increase / decrease in cash</t>
  </si>
  <si>
    <t>Cash b/f</t>
  </si>
  <si>
    <t>Cash c/f</t>
  </si>
  <si>
    <t>Aged Receivables Summary</t>
  </si>
  <si>
    <t>IN HOME MEDIA LTD</t>
  </si>
  <si>
    <t>As at 13 August 2024</t>
  </si>
  <si>
    <t>Contact</t>
  </si>
  <si>
    <t>&lt; 1 Month</t>
  </si>
  <si>
    <t>1 Month</t>
  </si>
  <si>
    <t>2 Months</t>
  </si>
  <si>
    <t>3 Months</t>
  </si>
  <si>
    <t>Older</t>
  </si>
  <si>
    <t xml:space="preserve">Budenberg / Xenia Estates </t>
  </si>
  <si>
    <t>Walk In Media</t>
  </si>
  <si>
    <t>Percentage of total</t>
  </si>
  <si>
    <t>Aged Payables Summary</t>
  </si>
  <si>
    <t>Aged Payables</t>
  </si>
  <si>
    <t>Ameco</t>
  </si>
  <si>
    <t>Eris Connect Limited</t>
  </si>
  <si>
    <t>Steele Raymond</t>
  </si>
  <si>
    <t>Total Aged Payables</t>
  </si>
  <si>
    <t>2023/2024</t>
  </si>
  <si>
    <t>4th P&amp;L</t>
  </si>
  <si>
    <t>Per Screen</t>
  </si>
  <si>
    <t>YE Feb-24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</si>
  <si>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</si>
  <si>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</si>
  <si>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</si>
  <si>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</si>
  <si>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</si>
  <si>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</si>
  <si>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</si>
  <si>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</si>
  <si>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</si>
  <si>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</si>
  <si>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</si>
  <si>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</si>
  <si>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 xml:space="preserve">Revenue - new screens </t>
  </si>
  <si>
    <t>Revenue - set up and instalation</t>
  </si>
  <si>
    <t>Revenue -  Survey</t>
  </si>
  <si>
    <t xml:space="preserve">Revenue - Wall Mount </t>
  </si>
  <si>
    <t xml:space="preserve">Revenue - software set up </t>
  </si>
  <si>
    <t xml:space="preserve">Revenue - software </t>
  </si>
  <si>
    <t xml:space="preserve">Per month Rental 50 or below </t>
  </si>
  <si>
    <t>Per month Rental 50 or above</t>
  </si>
  <si>
    <t xml:space="preserve">Revenue - media and advertising </t>
  </si>
  <si>
    <t xml:space="preserve">Direct costs - screens </t>
  </si>
  <si>
    <t>Direct costs  - set up and instalation</t>
  </si>
  <si>
    <t>Direct costs  - wall mount</t>
  </si>
  <si>
    <t>Direct costs  - Survey cost</t>
  </si>
  <si>
    <t xml:space="preserve">Direct costs  - software </t>
  </si>
  <si>
    <t xml:space="preserve">Direct costs  - media and advertising </t>
  </si>
  <si>
    <t xml:space="preserve">   Direct Wages - Media Manager</t>
  </si>
  <si>
    <t>Domain/ hosting and other exp.</t>
  </si>
  <si>
    <t>Delivery charges</t>
  </si>
  <si>
    <t>Audit &amp; Accountancy fees</t>
  </si>
  <si>
    <t>Office costs</t>
  </si>
  <si>
    <t>Include Eris to the model -</t>
  </si>
  <si>
    <t>Yes</t>
  </si>
  <si>
    <t>Eris P&amp;L</t>
  </si>
  <si>
    <t>Per screen</t>
  </si>
  <si>
    <t>New screens - do not change</t>
  </si>
  <si>
    <t>Live screens</t>
  </si>
  <si>
    <t>Ad Revenue Per Screen /month</t>
  </si>
  <si>
    <t>Direct costs</t>
  </si>
  <si>
    <t>Software cost</t>
  </si>
  <si>
    <t>5g costs - one off</t>
  </si>
  <si>
    <t>5g on-going cost</t>
  </si>
  <si>
    <t>Freeholder Cost - £20 per month</t>
  </si>
  <si>
    <t>Install cost</t>
  </si>
  <si>
    <t>Survey</t>
  </si>
  <si>
    <t>Add Opex</t>
  </si>
  <si>
    <t>Screen costs - not included in the P&amp;L</t>
  </si>
  <si>
    <t>50 screens @£600/ month</t>
  </si>
  <si>
    <t>Cash position</t>
  </si>
  <si>
    <t>HO P&amp;L</t>
  </si>
  <si>
    <t xml:space="preserve">        Owen</t>
  </si>
  <si>
    <t xml:space="preserve">        Jimmy</t>
  </si>
  <si>
    <t xml:space="preserve">        Tony</t>
  </si>
  <si>
    <t xml:space="preserve">        Other</t>
  </si>
  <si>
    <t>Revenue per screen</t>
  </si>
  <si>
    <t>4th Utility</t>
  </si>
  <si>
    <t>45</t>
  </si>
  <si>
    <t>Revenue - screens</t>
  </si>
  <si>
    <t>Revenue - software set up</t>
  </si>
  <si>
    <t>Per month Rental 50 or below</t>
  </si>
  <si>
    <t>Revenue - media and advertising</t>
  </si>
  <si>
    <t>Total income</t>
  </si>
  <si>
    <t>Eris</t>
  </si>
  <si>
    <t>Ad Revenue Per Screen/ month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</si>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</sst>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£-809]#,##0.00;\-[$£-809]#,##0.00"/>
    <numFmt numFmtId="165" formatCode="[$£]#,##0"/>
    <numFmt numFmtId="166" formatCode="[$£]#,##0.00"/>
    <numFmt numFmtId="167" formatCode="mmm\-d"/>
    <numFmt numFmtId="168" formatCode="[$£]#,##0.0"/>
    <numFmt numFmtId="169" formatCode="#,##0;\(#,##0\)"/>
    <numFmt numFmtId="170" formatCode="[$£-809]#,##0;\-[$£-809]#,##0"/>
    <numFmt numFmtId="171" formatCode="#,##0.00;\(#,##0.00\)"/>
    <numFmt numFmtId="172" formatCode="#,##0\ ;\(#,##0\);&quot;- &quot;"/>
    <numFmt numFmtId="173" formatCode="_-* #,##0_-;\-* #,##0_-;_-* &quot;-&quot;??_-;_-@"/>
    <numFmt numFmtId="174" formatCode="[$£-809]#,##0.0;\-[$£-809]#,##0.0"/>
  </numFmts>
  <fonts count="35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u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  <font>
      <b/>
      <sz val="10"/>
      <color theme="1"/>
      <name val="Arial"/>
      <family val="2"/>
    </font>
    <font>
      <b/>
      <u/>
      <sz val="10"/>
      <color theme="1"/>
      <name val="Calibri"/>
      <family val="2"/>
      <scheme val="minor"/>
    </font>
    <font>
      <b/>
      <sz val="10"/>
      <color theme="1"/>
      <name val="&quot;Quattrocento Sans&quot;"/>
    </font>
    <font>
      <b/>
      <sz val="10"/>
      <color theme="1"/>
      <name val="Calibri"/>
      <family val="2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2D7FF"/>
        <bgColor rgb="FFD2D7FF"/>
      </patternFill>
    </fill>
    <fill>
      <patternFill patternType="solid">
        <fgColor rgb="FFF6F5DE"/>
        <bgColor rgb="FFF6F5DE"/>
      </patternFill>
    </fill>
    <fill>
      <patternFill patternType="solid">
        <fgColor rgb="FFD9D9D9"/>
        <bgColor rgb="FFD9D9D9"/>
      </patternFill>
    </fill>
    <fill>
      <patternFill patternType="solid">
        <fgColor rgb="FFFFF6F6"/>
        <bgColor rgb="FFFFF6F6"/>
      </patternFill>
    </fill>
    <fill>
      <patternFill patternType="solid">
        <fgColor rgb="FFEFEFEF"/>
        <bgColor rgb="FFEFEFE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EF6DE"/>
        <bgColor rgb="FFDEF6DE"/>
      </patternFill>
    </fill>
    <fill>
      <patternFill patternType="solid">
        <fgColor rgb="FFA4C2F4"/>
        <bgColor rgb="FFA4C2F4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DF6"/>
        <bgColor rgb="FFFFFDF6"/>
      </patternFill>
    </fill>
  </fills>
  <borders count="9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/>
      <top style="dotted">
        <color rgb="FFFFFFFF"/>
      </top>
      <bottom/>
      <diagonal/>
    </border>
    <border>
      <left/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/>
      <top/>
      <bottom style="dotted">
        <color rgb="FF000000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/>
      <right style="dotted">
        <color rgb="FFFFFFFF"/>
      </right>
      <top style="thin">
        <color rgb="FF000000"/>
      </top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 style="thin">
        <color rgb="FF000000"/>
      </top>
      <bottom style="dotted">
        <color rgb="FF000000"/>
      </bottom>
      <diagonal/>
    </border>
    <border>
      <left style="dotted">
        <color rgb="FFFFFFFF"/>
      </left>
      <right/>
      <top style="thin">
        <color rgb="FF000000"/>
      </top>
      <bottom style="dotted">
        <color rgb="FF000000"/>
      </bottom>
      <diagonal/>
    </border>
    <border>
      <left/>
      <right style="dotted">
        <color rgb="FFFFFFFF"/>
      </right>
      <top/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thin">
        <color rgb="FF000000"/>
      </bottom>
      <diagonal/>
    </border>
    <border>
      <left style="dotted">
        <color rgb="FFFFFFFF"/>
      </left>
      <right/>
      <top/>
      <bottom style="thin">
        <color rgb="FF000000"/>
      </bottom>
      <diagonal/>
    </border>
    <border>
      <left/>
      <right style="dotted">
        <color rgb="FFFFFFFF"/>
      </right>
      <top/>
      <bottom style="double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uble">
        <color rgb="FF000000"/>
      </bottom>
      <diagonal/>
    </border>
    <border>
      <left style="dotted">
        <color rgb="FFFFFFFF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tted">
        <color rgb="FFFFFFFF"/>
      </right>
      <top style="thin">
        <color rgb="FF000000"/>
      </top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dotted">
        <color rgb="FFFFFFFF"/>
      </right>
      <top/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/>
      <diagonal/>
    </border>
    <border>
      <left/>
      <right style="dotted">
        <color rgb="FFFFFFFF"/>
      </right>
      <top style="dotted">
        <color rgb="FFFFFFFF"/>
      </top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 style="dotted">
        <color rgb="FFFFFFFF"/>
      </right>
      <top style="dotted">
        <color rgb="FFFFFFFF"/>
      </top>
      <bottom style="double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10"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horizontal="center" vertical="center"/>
    </xf>
    <xf numFmtId="17" fontId="7" fillId="4" borderId="3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7" fontId="7" fillId="2" borderId="0" xfId="0" applyNumberFormat="1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" fontId="7" fillId="2" borderId="7" xfId="0" applyNumberFormat="1" applyFont="1" applyFill="1" applyBorder="1" applyAlignment="1">
      <alignment horizontal="center"/>
    </xf>
    <xf numFmtId="164" fontId="6" fillId="3" borderId="0" xfId="0" applyNumberFormat="1" applyFont="1" applyFill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10" fillId="3" borderId="0" xfId="0" applyNumberFormat="1" applyFont="1" applyFill="1"/>
    <xf numFmtId="37" fontId="8" fillId="3" borderId="3" xfId="0" applyNumberFormat="1" applyFont="1" applyFill="1" applyBorder="1" applyAlignment="1">
      <alignment horizontal="center" vertical="center"/>
    </xf>
    <xf numFmtId="37" fontId="8" fillId="2" borderId="3" xfId="0" applyNumberFormat="1" applyFont="1" applyFill="1" applyBorder="1" applyAlignment="1">
      <alignment horizontal="center" vertical="center"/>
    </xf>
    <xf numFmtId="37" fontId="8" fillId="2" borderId="3" xfId="0" applyNumberFormat="1" applyFont="1" applyFill="1" applyBorder="1" applyAlignment="1">
      <alignment vertical="center"/>
    </xf>
    <xf numFmtId="37" fontId="8" fillId="2" borderId="8" xfId="0" applyNumberFormat="1" applyFont="1" applyFill="1" applyBorder="1" applyAlignment="1">
      <alignment vertical="center"/>
    </xf>
    <xf numFmtId="37" fontId="8" fillId="2" borderId="0" xfId="0" applyNumberFormat="1" applyFont="1" applyFill="1" applyAlignment="1">
      <alignment vertical="center"/>
    </xf>
    <xf numFmtId="37" fontId="11" fillId="2" borderId="0" xfId="0" applyNumberFormat="1" applyFont="1" applyFill="1" applyAlignment="1">
      <alignment vertical="center"/>
    </xf>
    <xf numFmtId="164" fontId="12" fillId="3" borderId="0" xfId="0" applyNumberFormat="1" applyFont="1" applyFill="1"/>
    <xf numFmtId="37" fontId="9" fillId="2" borderId="3" xfId="0" applyNumberFormat="1" applyFont="1" applyFill="1" applyBorder="1" applyAlignment="1">
      <alignment horizontal="center" vertical="center"/>
    </xf>
    <xf numFmtId="37" fontId="9" fillId="2" borderId="3" xfId="0" applyNumberFormat="1" applyFont="1" applyFill="1" applyBorder="1" applyAlignment="1">
      <alignment vertical="center"/>
    </xf>
    <xf numFmtId="37" fontId="9" fillId="2" borderId="8" xfId="0" applyNumberFormat="1" applyFont="1" applyFill="1" applyBorder="1" applyAlignment="1">
      <alignment vertical="center"/>
    </xf>
    <xf numFmtId="37" fontId="9" fillId="2" borderId="0" xfId="0" applyNumberFormat="1" applyFont="1" applyFill="1" applyAlignment="1">
      <alignment vertical="center"/>
    </xf>
    <xf numFmtId="37" fontId="6" fillId="2" borderId="0" xfId="0" applyNumberFormat="1" applyFont="1" applyFill="1" applyAlignment="1">
      <alignment vertical="center"/>
    </xf>
    <xf numFmtId="37" fontId="9" fillId="2" borderId="4" xfId="0" applyNumberFormat="1" applyFont="1" applyFill="1" applyBorder="1" applyAlignment="1">
      <alignment horizontal="center" vertical="center"/>
    </xf>
    <xf numFmtId="37" fontId="9" fillId="2" borderId="4" xfId="0" applyNumberFormat="1" applyFont="1" applyFill="1" applyBorder="1" applyAlignment="1">
      <alignment vertical="center"/>
    </xf>
    <xf numFmtId="37" fontId="9" fillId="2" borderId="5" xfId="0" applyNumberFormat="1" applyFont="1" applyFill="1" applyBorder="1" applyAlignment="1">
      <alignment vertical="center"/>
    </xf>
    <xf numFmtId="37" fontId="9" fillId="2" borderId="9" xfId="0" applyNumberFormat="1" applyFont="1" applyFill="1" applyBorder="1" applyAlignment="1">
      <alignment horizontal="center" vertical="center"/>
    </xf>
    <xf numFmtId="37" fontId="9" fillId="2" borderId="9" xfId="0" applyNumberFormat="1" applyFont="1" applyFill="1" applyBorder="1" applyAlignment="1">
      <alignment vertical="center"/>
    </xf>
    <xf numFmtId="37" fontId="9" fillId="2" borderId="10" xfId="0" applyNumberFormat="1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37" fontId="13" fillId="6" borderId="12" xfId="0" applyNumberFormat="1" applyFont="1" applyFill="1" applyBorder="1" applyAlignment="1">
      <alignment horizontal="center" vertical="center"/>
    </xf>
    <xf numFmtId="37" fontId="13" fillId="6" borderId="12" xfId="0" applyNumberFormat="1" applyFont="1" applyFill="1" applyBorder="1" applyAlignment="1">
      <alignment vertical="center"/>
    </xf>
    <xf numFmtId="37" fontId="13" fillId="6" borderId="13" xfId="0" applyNumberFormat="1" applyFont="1" applyFill="1" applyBorder="1" applyAlignment="1">
      <alignment vertical="center"/>
    </xf>
    <xf numFmtId="37" fontId="13" fillId="6" borderId="11" xfId="0" applyNumberFormat="1" applyFont="1" applyFill="1" applyBorder="1" applyAlignment="1">
      <alignment vertical="center"/>
    </xf>
    <xf numFmtId="37" fontId="6" fillId="6" borderId="11" xfId="0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37" fontId="9" fillId="2" borderId="14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horizontal="right" wrapText="1"/>
    </xf>
    <xf numFmtId="0" fontId="6" fillId="3" borderId="1" xfId="0" applyFont="1" applyFill="1" applyBorder="1" applyAlignment="1">
      <alignment vertical="center"/>
    </xf>
    <xf numFmtId="37" fontId="13" fillId="2" borderId="6" xfId="0" applyNumberFormat="1" applyFont="1" applyFill="1" applyBorder="1" applyAlignment="1">
      <alignment horizontal="center" vertical="center"/>
    </xf>
    <xf numFmtId="37" fontId="13" fillId="2" borderId="6" xfId="0" applyNumberFormat="1" applyFont="1" applyFill="1" applyBorder="1" applyAlignment="1">
      <alignment vertical="center"/>
    </xf>
    <xf numFmtId="37" fontId="13" fillId="2" borderId="7" xfId="0" applyNumberFormat="1" applyFont="1" applyFill="1" applyBorder="1" applyAlignment="1">
      <alignment vertical="center"/>
    </xf>
    <xf numFmtId="37" fontId="13" fillId="2" borderId="0" xfId="0" applyNumberFormat="1" applyFont="1" applyFill="1" applyAlignment="1">
      <alignment vertical="center"/>
    </xf>
    <xf numFmtId="37" fontId="1" fillId="2" borderId="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/>
    </xf>
    <xf numFmtId="37" fontId="13" fillId="2" borderId="16" xfId="0" applyNumberFormat="1" applyFont="1" applyFill="1" applyBorder="1" applyAlignment="1">
      <alignment horizontal="center" vertical="center"/>
    </xf>
    <xf numFmtId="37" fontId="13" fillId="2" borderId="17" xfId="0" applyNumberFormat="1" applyFont="1" applyFill="1" applyBorder="1" applyAlignment="1">
      <alignment horizontal="center" vertical="center"/>
    </xf>
    <xf numFmtId="37" fontId="13" fillId="2" borderId="16" xfId="0" applyNumberFormat="1" applyFont="1" applyFill="1" applyBorder="1" applyAlignment="1">
      <alignment vertical="center"/>
    </xf>
    <xf numFmtId="37" fontId="13" fillId="2" borderId="18" xfId="0" applyNumberFormat="1" applyFont="1" applyFill="1" applyBorder="1" applyAlignment="1">
      <alignment vertical="center"/>
    </xf>
    <xf numFmtId="37" fontId="1" fillId="2" borderId="9" xfId="0" applyNumberFormat="1" applyFont="1" applyFill="1" applyBorder="1" applyAlignment="1">
      <alignment horizontal="center" vertical="center"/>
    </xf>
    <xf numFmtId="37" fontId="1" fillId="2" borderId="9" xfId="0" applyNumberFormat="1" applyFont="1" applyFill="1" applyBorder="1" applyAlignment="1">
      <alignment vertical="center"/>
    </xf>
    <xf numFmtId="37" fontId="1" fillId="2" borderId="10" xfId="0" applyNumberFormat="1" applyFont="1" applyFill="1" applyBorder="1" applyAlignment="1">
      <alignment vertical="center"/>
    </xf>
    <xf numFmtId="37" fontId="1" fillId="2" borderId="0" xfId="0" applyNumberFormat="1" applyFont="1" applyFill="1" applyAlignment="1">
      <alignment vertical="center"/>
    </xf>
    <xf numFmtId="37" fontId="14" fillId="2" borderId="0" xfId="0" applyNumberFormat="1" applyFont="1" applyFill="1" applyAlignment="1">
      <alignment vertical="center"/>
    </xf>
    <xf numFmtId="37" fontId="13" fillId="6" borderId="19" xfId="0" applyNumberFormat="1" applyFont="1" applyFill="1" applyBorder="1" applyAlignment="1">
      <alignment vertical="center"/>
    </xf>
    <xf numFmtId="37" fontId="6" fillId="6" borderId="19" xfId="0" applyNumberFormat="1" applyFont="1" applyFill="1" applyBorder="1" applyAlignment="1">
      <alignment vertical="center"/>
    </xf>
    <xf numFmtId="37" fontId="1" fillId="2" borderId="4" xfId="0" applyNumberFormat="1" applyFont="1" applyFill="1" applyBorder="1" applyAlignment="1">
      <alignment vertical="center"/>
    </xf>
    <xf numFmtId="37" fontId="1" fillId="2" borderId="5" xfId="0" applyNumberFormat="1" applyFont="1" applyFill="1" applyBorder="1" applyAlignment="1">
      <alignment vertical="center"/>
    </xf>
    <xf numFmtId="0" fontId="13" fillId="6" borderId="15" xfId="0" applyFont="1" applyFill="1" applyBorder="1" applyAlignment="1">
      <alignment vertical="center"/>
    </xf>
    <xf numFmtId="37" fontId="13" fillId="6" borderId="16" xfId="0" applyNumberFormat="1" applyFont="1" applyFill="1" applyBorder="1" applyAlignment="1">
      <alignment horizontal="center" vertical="center"/>
    </xf>
    <xf numFmtId="37" fontId="13" fillId="6" borderId="16" xfId="0" applyNumberFormat="1" applyFont="1" applyFill="1" applyBorder="1" applyAlignment="1">
      <alignment vertical="center"/>
    </xf>
    <xf numFmtId="37" fontId="13" fillId="6" borderId="18" xfId="0" applyNumberFormat="1" applyFont="1" applyFill="1" applyBorder="1" applyAlignment="1">
      <alignment vertical="center"/>
    </xf>
    <xf numFmtId="37" fontId="13" fillId="6" borderId="0" xfId="0" applyNumberFormat="1" applyFont="1" applyFill="1" applyAlignment="1">
      <alignment vertical="center"/>
    </xf>
    <xf numFmtId="37" fontId="9" fillId="6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37" fontId="8" fillId="2" borderId="4" xfId="0" applyNumberFormat="1" applyFont="1" applyFill="1" applyBorder="1" applyAlignment="1">
      <alignment horizontal="center" vertical="center"/>
    </xf>
    <xf numFmtId="37" fontId="8" fillId="2" borderId="4" xfId="0" applyNumberFormat="1" applyFont="1" applyFill="1" applyBorder="1" applyAlignment="1">
      <alignment vertical="center"/>
    </xf>
    <xf numFmtId="37" fontId="8" fillId="2" borderId="5" xfId="0" applyNumberFormat="1" applyFont="1" applyFill="1" applyBorder="1" applyAlignment="1">
      <alignment vertical="center"/>
    </xf>
    <xf numFmtId="164" fontId="13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7" fontId="8" fillId="0" borderId="0" xfId="0" applyNumberFormat="1" applyFont="1" applyAlignment="1">
      <alignment horizontal="center" vertical="center"/>
    </xf>
    <xf numFmtId="37" fontId="8" fillId="2" borderId="0" xfId="0" applyNumberFormat="1" applyFont="1" applyFill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7" fontId="7" fillId="4" borderId="8" xfId="0" applyNumberFormat="1" applyFont="1" applyFill="1" applyBorder="1" applyAlignment="1">
      <alignment horizontal="center"/>
    </xf>
    <xf numFmtId="0" fontId="4" fillId="7" borderId="0" xfId="0" applyFont="1" applyFill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16" fillId="8" borderId="0" xfId="0" applyFont="1" applyFill="1"/>
    <xf numFmtId="0" fontId="18" fillId="0" borderId="0" xfId="0" applyFont="1"/>
    <xf numFmtId="165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  <xf numFmtId="0" fontId="21" fillId="0" borderId="0" xfId="0" applyFont="1"/>
    <xf numFmtId="3" fontId="18" fillId="0" borderId="0" xfId="0" applyNumberFormat="1" applyFont="1"/>
    <xf numFmtId="3" fontId="4" fillId="0" borderId="0" xfId="0" applyNumberFormat="1" applyFont="1" applyAlignment="1">
      <alignment vertical="center"/>
    </xf>
    <xf numFmtId="3" fontId="1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0" fontId="22" fillId="0" borderId="0" xfId="0" applyFont="1"/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19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0" fontId="23" fillId="2" borderId="0" xfId="0" applyFont="1" applyFill="1"/>
    <xf numFmtId="165" fontId="4" fillId="0" borderId="0" xfId="0" applyNumberFormat="1" applyFont="1" applyAlignment="1">
      <alignment horizontal="center" vertical="center"/>
    </xf>
    <xf numFmtId="0" fontId="22" fillId="3" borderId="0" xfId="0" applyFont="1" applyFill="1"/>
    <xf numFmtId="166" fontId="12" fillId="3" borderId="0" xfId="0" applyNumberFormat="1" applyFont="1" applyFill="1" applyAlignment="1">
      <alignment horizontal="center" vertical="center"/>
    </xf>
    <xf numFmtId="0" fontId="18" fillId="3" borderId="0" xfId="0" applyFont="1" applyFill="1"/>
    <xf numFmtId="166" fontId="19" fillId="3" borderId="0" xfId="0" applyNumberFormat="1" applyFont="1" applyFill="1" applyAlignment="1">
      <alignment horizontal="center"/>
    </xf>
    <xf numFmtId="0" fontId="4" fillId="3" borderId="15" xfId="0" applyFont="1" applyFill="1" applyBorder="1" applyAlignment="1">
      <alignment vertical="center"/>
    </xf>
    <xf numFmtId="3" fontId="12" fillId="3" borderId="15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7" fontId="7" fillId="7" borderId="3" xfId="0" applyNumberFormat="1" applyFont="1" applyFill="1" applyBorder="1" applyAlignment="1">
      <alignment horizontal="center"/>
    </xf>
    <xf numFmtId="167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12" fillId="3" borderId="0" xfId="0" applyFont="1" applyFill="1"/>
    <xf numFmtId="49" fontId="2" fillId="3" borderId="20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24" fillId="3" borderId="21" xfId="0" applyFont="1" applyFill="1" applyBorder="1"/>
    <xf numFmtId="49" fontId="2" fillId="3" borderId="22" xfId="0" applyNumberFormat="1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right" vertical="center"/>
    </xf>
    <xf numFmtId="49" fontId="4" fillId="0" borderId="0" xfId="0" applyNumberFormat="1" applyFont="1" applyAlignment="1">
      <alignment horizontal="center" vertical="center"/>
    </xf>
    <xf numFmtId="168" fontId="2" fillId="3" borderId="20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5" fontId="12" fillId="3" borderId="0" xfId="0" applyNumberFormat="1" applyFont="1" applyFill="1"/>
    <xf numFmtId="165" fontId="2" fillId="2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5" fontId="2" fillId="3" borderId="20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165" fontId="2" fillId="6" borderId="23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165" fontId="2" fillId="6" borderId="15" xfId="0" applyNumberFormat="1" applyFont="1" applyFill="1" applyBorder="1" applyAlignment="1">
      <alignment vertical="center"/>
    </xf>
    <xf numFmtId="165" fontId="2" fillId="6" borderId="24" xfId="0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5" borderId="0" xfId="0" applyFont="1" applyFill="1"/>
    <xf numFmtId="165" fontId="26" fillId="5" borderId="0" xfId="0" applyNumberFormat="1" applyFont="1" applyFill="1"/>
    <xf numFmtId="0" fontId="15" fillId="5" borderId="0" xfId="0" applyFont="1" applyFill="1"/>
    <xf numFmtId="167" fontId="24" fillId="5" borderId="0" xfId="0" applyNumberFormat="1" applyFont="1" applyFill="1" applyAlignment="1">
      <alignment horizontal="center"/>
    </xf>
    <xf numFmtId="167" fontId="24" fillId="5" borderId="0" xfId="0" applyNumberFormat="1" applyFont="1" applyFill="1" applyAlignment="1">
      <alignment horizontal="right"/>
    </xf>
    <xf numFmtId="37" fontId="15" fillId="7" borderId="0" xfId="0" applyNumberFormat="1" applyFont="1" applyFill="1" applyAlignment="1">
      <alignment vertical="center"/>
    </xf>
    <xf numFmtId="37" fontId="27" fillId="7" borderId="0" xfId="0" applyNumberFormat="1" applyFont="1" applyFill="1" applyAlignment="1">
      <alignment vertical="center"/>
    </xf>
    <xf numFmtId="3" fontId="15" fillId="9" borderId="25" xfId="0" applyNumberFormat="1" applyFont="1" applyFill="1" applyBorder="1" applyAlignment="1">
      <alignment horizontal="right"/>
    </xf>
    <xf numFmtId="4" fontId="27" fillId="9" borderId="26" xfId="0" applyNumberFormat="1" applyFont="1" applyFill="1" applyBorder="1" applyAlignment="1">
      <alignment horizontal="right"/>
    </xf>
    <xf numFmtId="0" fontId="15" fillId="0" borderId="0" xfId="0" applyFont="1"/>
    <xf numFmtId="3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/>
    </xf>
    <xf numFmtId="4" fontId="15" fillId="0" borderId="0" xfId="0" applyNumberFormat="1" applyFont="1"/>
    <xf numFmtId="3" fontId="15" fillId="0" borderId="0" xfId="0" applyNumberFormat="1" applyFont="1"/>
    <xf numFmtId="165" fontId="2" fillId="0" borderId="15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6" fillId="0" borderId="0" xfId="0" applyFont="1"/>
    <xf numFmtId="17" fontId="6" fillId="4" borderId="9" xfId="0" applyNumberFormat="1" applyFont="1" applyFill="1" applyBorder="1" applyAlignment="1">
      <alignment horizontal="center"/>
    </xf>
    <xf numFmtId="17" fontId="6" fillId="4" borderId="0" xfId="0" applyNumberFormat="1" applyFont="1" applyFill="1" applyAlignment="1">
      <alignment horizontal="center"/>
    </xf>
    <xf numFmtId="0" fontId="9" fillId="0" borderId="0" xfId="0" applyFont="1"/>
    <xf numFmtId="169" fontId="9" fillId="0" borderId="27" xfId="0" applyNumberFormat="1" applyFont="1" applyBorder="1" applyAlignment="1">
      <alignment horizontal="center"/>
    </xf>
    <xf numFmtId="169" fontId="9" fillId="0" borderId="28" xfId="0" applyNumberFormat="1" applyFont="1" applyBorder="1" applyAlignment="1">
      <alignment horizontal="center"/>
    </xf>
    <xf numFmtId="169" fontId="9" fillId="0" borderId="29" xfId="0" applyNumberFormat="1" applyFont="1" applyBorder="1" applyAlignment="1">
      <alignment horizontal="center"/>
    </xf>
    <xf numFmtId="169" fontId="9" fillId="0" borderId="30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169" fontId="9" fillId="0" borderId="31" xfId="0" applyNumberFormat="1" applyFont="1" applyBorder="1" applyAlignment="1">
      <alignment horizontal="center"/>
    </xf>
    <xf numFmtId="169" fontId="9" fillId="0" borderId="32" xfId="0" applyNumberFormat="1" applyFont="1" applyBorder="1" applyAlignment="1">
      <alignment horizontal="center"/>
    </xf>
    <xf numFmtId="0" fontId="6" fillId="8" borderId="33" xfId="0" applyFont="1" applyFill="1" applyBorder="1"/>
    <xf numFmtId="169" fontId="6" fillId="8" borderId="34" xfId="0" applyNumberFormat="1" applyFont="1" applyFill="1" applyBorder="1" applyAlignment="1">
      <alignment horizontal="center"/>
    </xf>
    <xf numFmtId="169" fontId="6" fillId="8" borderId="35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7" fontId="6" fillId="2" borderId="29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7" fontId="6" fillId="5" borderId="29" xfId="0" applyNumberFormat="1" applyFont="1" applyFill="1" applyBorder="1" applyAlignment="1">
      <alignment horizontal="center"/>
    </xf>
    <xf numFmtId="17" fontId="6" fillId="5" borderId="30" xfId="0" applyNumberFormat="1" applyFont="1" applyFill="1" applyBorder="1" applyAlignment="1">
      <alignment horizontal="center"/>
    </xf>
    <xf numFmtId="0" fontId="9" fillId="10" borderId="4" xfId="0" applyFont="1" applyFill="1" applyBorder="1"/>
    <xf numFmtId="0" fontId="9" fillId="2" borderId="4" xfId="0" applyFont="1" applyFill="1" applyBorder="1"/>
    <xf numFmtId="0" fontId="9" fillId="0" borderId="36" xfId="0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6" fillId="8" borderId="39" xfId="0" applyFont="1" applyFill="1" applyBorder="1" applyAlignment="1">
      <alignment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169" fontId="9" fillId="2" borderId="27" xfId="0" applyNumberFormat="1" applyFont="1" applyFill="1" applyBorder="1" applyAlignment="1">
      <alignment horizontal="center" vertical="center"/>
    </xf>
    <xf numFmtId="169" fontId="9" fillId="2" borderId="28" xfId="0" applyNumberFormat="1" applyFont="1" applyFill="1" applyBorder="1" applyAlignment="1">
      <alignment horizontal="center" vertical="center"/>
    </xf>
    <xf numFmtId="169" fontId="9" fillId="2" borderId="29" xfId="0" applyNumberFormat="1" applyFont="1" applyFill="1" applyBorder="1" applyAlignment="1">
      <alignment horizontal="center" vertical="center"/>
    </xf>
    <xf numFmtId="169" fontId="9" fillId="2" borderId="30" xfId="0" applyNumberFormat="1" applyFont="1" applyFill="1" applyBorder="1" applyAlignment="1">
      <alignment horizontal="center" vertical="center"/>
    </xf>
    <xf numFmtId="169" fontId="9" fillId="2" borderId="31" xfId="0" applyNumberFormat="1" applyFont="1" applyFill="1" applyBorder="1" applyAlignment="1">
      <alignment horizontal="center" vertical="center"/>
    </xf>
    <xf numFmtId="169" fontId="9" fillId="2" borderId="32" xfId="0" applyNumberFormat="1" applyFont="1" applyFill="1" applyBorder="1" applyAlignment="1">
      <alignment horizontal="center" vertical="center"/>
    </xf>
    <xf numFmtId="165" fontId="6" fillId="8" borderId="42" xfId="0" applyNumberFormat="1" applyFont="1" applyFill="1" applyBorder="1"/>
    <xf numFmtId="165" fontId="6" fillId="8" borderId="43" xfId="0" applyNumberFormat="1" applyFont="1" applyFill="1" applyBorder="1" applyAlignment="1">
      <alignment horizontal="center" vertical="center"/>
    </xf>
    <xf numFmtId="165" fontId="6" fillId="8" borderId="44" xfId="0" applyNumberFormat="1" applyFont="1" applyFill="1" applyBorder="1" applyAlignment="1">
      <alignment horizontal="center" vertical="center"/>
    </xf>
    <xf numFmtId="165" fontId="6" fillId="2" borderId="36" xfId="0" applyNumberFormat="1" applyFont="1" applyFill="1" applyBorder="1"/>
    <xf numFmtId="165" fontId="6" fillId="2" borderId="37" xfId="0" applyNumberFormat="1" applyFont="1" applyFill="1" applyBorder="1" applyAlignment="1">
      <alignment horizontal="center" vertical="center"/>
    </xf>
    <xf numFmtId="165" fontId="6" fillId="2" borderId="38" xfId="0" applyNumberFormat="1" applyFont="1" applyFill="1" applyBorder="1" applyAlignment="1">
      <alignment horizontal="center" vertical="center"/>
    </xf>
    <xf numFmtId="165" fontId="6" fillId="6" borderId="45" xfId="0" applyNumberFormat="1" applyFont="1" applyFill="1" applyBorder="1"/>
    <xf numFmtId="165" fontId="6" fillId="6" borderId="46" xfId="0" applyNumberFormat="1" applyFont="1" applyFill="1" applyBorder="1" applyAlignment="1">
      <alignment horizontal="center" vertical="center"/>
    </xf>
    <xf numFmtId="165" fontId="6" fillId="6" borderId="4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70" fontId="8" fillId="5" borderId="49" xfId="0" applyNumberFormat="1" applyFont="1" applyFill="1" applyBorder="1" applyAlignment="1">
      <alignment horizontal="center" vertical="center"/>
    </xf>
    <xf numFmtId="170" fontId="8" fillId="4" borderId="50" xfId="0" applyNumberFormat="1" applyFont="1" applyFill="1" applyBorder="1" applyAlignment="1">
      <alignment horizontal="center" vertical="center"/>
    </xf>
    <xf numFmtId="170" fontId="8" fillId="2" borderId="51" xfId="0" applyNumberFormat="1" applyFont="1" applyFill="1" applyBorder="1" applyAlignment="1">
      <alignment horizontal="center" vertical="center"/>
    </xf>
    <xf numFmtId="170" fontId="29" fillId="2" borderId="51" xfId="0" applyNumberFormat="1" applyFont="1" applyFill="1" applyBorder="1" applyAlignment="1">
      <alignment horizontal="center" vertical="center"/>
    </xf>
    <xf numFmtId="49" fontId="6" fillId="4" borderId="5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170" fontId="9" fillId="3" borderId="0" xfId="0" applyNumberFormat="1" applyFont="1" applyFill="1" applyAlignment="1">
      <alignment vertical="center"/>
    </xf>
    <xf numFmtId="170" fontId="10" fillId="0" borderId="55" xfId="0" applyNumberFormat="1" applyFont="1" applyBorder="1" applyAlignment="1">
      <alignment horizontal="right" vertical="center"/>
    </xf>
    <xf numFmtId="170" fontId="10" fillId="0" borderId="31" xfId="0" applyNumberFormat="1" applyFont="1" applyBorder="1" applyAlignment="1">
      <alignment horizontal="right" vertical="center"/>
    </xf>
    <xf numFmtId="170" fontId="8" fillId="2" borderId="0" xfId="0" applyNumberFormat="1" applyFont="1" applyFill="1" applyAlignment="1">
      <alignment vertical="center"/>
    </xf>
    <xf numFmtId="170" fontId="4" fillId="2" borderId="0" xfId="0" applyNumberFormat="1" applyFont="1" applyFill="1" applyAlignment="1">
      <alignment vertical="center"/>
    </xf>
    <xf numFmtId="170" fontId="6" fillId="3" borderId="1" xfId="0" applyNumberFormat="1" applyFont="1" applyFill="1" applyBorder="1" applyAlignment="1">
      <alignment vertical="center"/>
    </xf>
    <xf numFmtId="170" fontId="13" fillId="0" borderId="56" xfId="0" applyNumberFormat="1" applyFont="1" applyBorder="1" applyAlignment="1">
      <alignment horizontal="right" vertical="center"/>
    </xf>
    <xf numFmtId="170" fontId="13" fillId="0" borderId="57" xfId="0" applyNumberFormat="1" applyFont="1" applyBorder="1" applyAlignment="1">
      <alignment horizontal="right" vertical="center"/>
    </xf>
    <xf numFmtId="170" fontId="11" fillId="2" borderId="1" xfId="0" applyNumberFormat="1" applyFont="1" applyFill="1" applyBorder="1" applyAlignment="1">
      <alignment vertical="center"/>
    </xf>
    <xf numFmtId="170" fontId="2" fillId="2" borderId="1" xfId="0" applyNumberFormat="1" applyFont="1" applyFill="1" applyBorder="1" applyAlignment="1">
      <alignment vertical="center"/>
    </xf>
    <xf numFmtId="170" fontId="9" fillId="0" borderId="53" xfId="0" applyNumberFormat="1" applyFont="1" applyBorder="1" applyAlignment="1">
      <alignment vertical="center"/>
    </xf>
    <xf numFmtId="170" fontId="9" fillId="0" borderId="27" xfId="0" applyNumberFormat="1" applyFont="1" applyBorder="1" applyAlignment="1">
      <alignment vertical="center"/>
    </xf>
    <xf numFmtId="170" fontId="9" fillId="2" borderId="0" xfId="0" applyNumberFormat="1" applyFont="1" applyFill="1" applyAlignment="1">
      <alignment vertical="center"/>
    </xf>
    <xf numFmtId="170" fontId="6" fillId="3" borderId="0" xfId="0" applyNumberFormat="1" applyFont="1" applyFill="1" applyAlignment="1">
      <alignment vertical="center"/>
    </xf>
    <xf numFmtId="170" fontId="9" fillId="0" borderId="54" xfId="0" applyNumberFormat="1" applyFont="1" applyBorder="1" applyAlignment="1">
      <alignment vertical="center"/>
    </xf>
    <xf numFmtId="170" fontId="9" fillId="0" borderId="29" xfId="0" applyNumberFormat="1" applyFont="1" applyBorder="1" applyAlignment="1">
      <alignment vertical="center"/>
    </xf>
    <xf numFmtId="170" fontId="6" fillId="6" borderId="1" xfId="0" applyNumberFormat="1" applyFont="1" applyFill="1" applyBorder="1" applyAlignment="1">
      <alignment vertical="center"/>
    </xf>
    <xf numFmtId="170" fontId="13" fillId="6" borderId="56" xfId="0" applyNumberFormat="1" applyFont="1" applyFill="1" applyBorder="1" applyAlignment="1">
      <alignment horizontal="right" vertical="center"/>
    </xf>
    <xf numFmtId="170" fontId="13" fillId="6" borderId="57" xfId="0" applyNumberFormat="1" applyFont="1" applyFill="1" applyBorder="1" applyAlignment="1">
      <alignment horizontal="right" vertical="center"/>
    </xf>
    <xf numFmtId="170" fontId="6" fillId="8" borderId="1" xfId="0" applyNumberFormat="1" applyFont="1" applyFill="1" applyBorder="1" applyAlignment="1">
      <alignment vertical="center"/>
    </xf>
    <xf numFmtId="170" fontId="13" fillId="8" borderId="56" xfId="0" applyNumberFormat="1" applyFont="1" applyFill="1" applyBorder="1" applyAlignment="1">
      <alignment horizontal="right" vertical="center"/>
    </xf>
    <xf numFmtId="170" fontId="13" fillId="8" borderId="57" xfId="0" applyNumberFormat="1" applyFont="1" applyFill="1" applyBorder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171" fontId="10" fillId="0" borderId="58" xfId="0" applyNumberFormat="1" applyFont="1" applyBorder="1" applyAlignment="1">
      <alignment horizontal="right" vertical="center"/>
    </xf>
    <xf numFmtId="170" fontId="6" fillId="6" borderId="15" xfId="0" applyNumberFormat="1" applyFont="1" applyFill="1" applyBorder="1" applyAlignment="1">
      <alignment vertical="center"/>
    </xf>
    <xf numFmtId="170" fontId="13" fillId="6" borderId="59" xfId="0" applyNumberFormat="1" applyFont="1" applyFill="1" applyBorder="1" applyAlignment="1">
      <alignment horizontal="right" vertical="center"/>
    </xf>
    <xf numFmtId="170" fontId="13" fillId="6" borderId="60" xfId="0" applyNumberFormat="1" applyFont="1" applyFill="1" applyBorder="1" applyAlignment="1">
      <alignment horizontal="right" vertical="center"/>
    </xf>
    <xf numFmtId="170" fontId="11" fillId="2" borderId="15" xfId="0" applyNumberFormat="1" applyFont="1" applyFill="1" applyBorder="1" applyAlignment="1">
      <alignment vertical="center"/>
    </xf>
    <xf numFmtId="170" fontId="2" fillId="2" borderId="15" xfId="0" applyNumberFormat="1" applyFont="1" applyFill="1" applyBorder="1" applyAlignment="1">
      <alignment vertical="center"/>
    </xf>
    <xf numFmtId="170" fontId="9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70" fontId="1" fillId="2" borderId="0" xfId="0" applyNumberFormat="1" applyFont="1" applyFill="1" applyAlignment="1">
      <alignment vertical="center"/>
    </xf>
    <xf numFmtId="170" fontId="4" fillId="0" borderId="0" xfId="0" applyNumberFormat="1" applyFont="1" applyAlignment="1">
      <alignment vertical="center"/>
    </xf>
    <xf numFmtId="0" fontId="1" fillId="2" borderId="0" xfId="0" applyFont="1" applyFill="1"/>
    <xf numFmtId="0" fontId="6" fillId="4" borderId="62" xfId="0" applyFont="1" applyFill="1" applyBorder="1"/>
    <xf numFmtId="0" fontId="6" fillId="2" borderId="0" xfId="0" applyFont="1" applyFill="1"/>
    <xf numFmtId="17" fontId="6" fillId="4" borderId="63" xfId="0" applyNumberFormat="1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14" fontId="6" fillId="4" borderId="64" xfId="0" applyNumberFormat="1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1" fillId="0" borderId="0" xfId="0" applyFont="1"/>
    <xf numFmtId="172" fontId="6" fillId="2" borderId="0" xfId="0" applyNumberFormat="1" applyFont="1" applyFill="1"/>
    <xf numFmtId="172" fontId="6" fillId="0" borderId="0" xfId="0" applyNumberFormat="1" applyFont="1"/>
    <xf numFmtId="0" fontId="6" fillId="11" borderId="0" xfId="0" applyFont="1" applyFill="1"/>
    <xf numFmtId="172" fontId="9" fillId="11" borderId="0" xfId="0" applyNumberFormat="1" applyFont="1" applyFill="1"/>
    <xf numFmtId="172" fontId="9" fillId="2" borderId="0" xfId="0" applyNumberFormat="1" applyFont="1" applyFill="1"/>
    <xf numFmtId="0" fontId="9" fillId="11" borderId="0" xfId="0" applyFont="1" applyFill="1"/>
    <xf numFmtId="0" fontId="6" fillId="8" borderId="65" xfId="0" applyFont="1" applyFill="1" applyBorder="1"/>
    <xf numFmtId="172" fontId="6" fillId="8" borderId="66" xfId="0" applyNumberFormat="1" applyFont="1" applyFill="1" applyBorder="1"/>
    <xf numFmtId="172" fontId="6" fillId="8" borderId="67" xfId="0" applyNumberFormat="1" applyFont="1" applyFill="1" applyBorder="1"/>
    <xf numFmtId="172" fontId="9" fillId="0" borderId="0" xfId="0" applyNumberFormat="1" applyFont="1"/>
    <xf numFmtId="0" fontId="6" fillId="6" borderId="12" xfId="0" applyFont="1" applyFill="1" applyBorder="1"/>
    <xf numFmtId="172" fontId="6" fillId="6" borderId="68" xfId="0" applyNumberFormat="1" applyFont="1" applyFill="1" applyBorder="1"/>
    <xf numFmtId="172" fontId="6" fillId="6" borderId="12" xfId="0" applyNumberFormat="1" applyFont="1" applyFill="1" applyBorder="1"/>
    <xf numFmtId="173" fontId="1" fillId="0" borderId="0" xfId="0" applyNumberFormat="1" applyFont="1"/>
    <xf numFmtId="173" fontId="1" fillId="2" borderId="0" xfId="0" applyNumberFormat="1" applyFont="1" applyFill="1"/>
    <xf numFmtId="0" fontId="3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0" fillId="0" borderId="0" xfId="0" applyFont="1"/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right" vertical="center"/>
    </xf>
    <xf numFmtId="0" fontId="10" fillId="0" borderId="58" xfId="0" applyFont="1" applyBorder="1" applyAlignment="1">
      <alignment vertical="center"/>
    </xf>
    <xf numFmtId="0" fontId="13" fillId="0" borderId="58" xfId="0" applyFont="1" applyBorder="1" applyAlignment="1">
      <alignment vertical="center"/>
    </xf>
    <xf numFmtId="171" fontId="13" fillId="0" borderId="58" xfId="0" applyNumberFormat="1" applyFont="1" applyBorder="1" applyAlignment="1">
      <alignment horizontal="right" vertical="center"/>
    </xf>
    <xf numFmtId="0" fontId="13" fillId="12" borderId="67" xfId="0" applyFont="1" applyFill="1" applyBorder="1" applyAlignment="1">
      <alignment vertical="center"/>
    </xf>
    <xf numFmtId="10" fontId="13" fillId="12" borderId="67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171" fontId="13" fillId="12" borderId="67" xfId="0" applyNumberFormat="1" applyFont="1" applyFill="1" applyBorder="1" applyAlignment="1">
      <alignment horizontal="right" vertical="center"/>
    </xf>
    <xf numFmtId="165" fontId="1" fillId="2" borderId="69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5" fontId="6" fillId="3" borderId="69" xfId="0" applyNumberFormat="1" applyFont="1" applyFill="1" applyBorder="1" applyAlignment="1">
      <alignment horizontal="center" vertical="center"/>
    </xf>
    <xf numFmtId="17" fontId="7" fillId="7" borderId="52" xfId="0" applyNumberFormat="1" applyFont="1" applyFill="1" applyBorder="1" applyAlignment="1">
      <alignment horizontal="center"/>
    </xf>
    <xf numFmtId="49" fontId="6" fillId="2" borderId="70" xfId="0" applyNumberFormat="1" applyFont="1" applyFill="1" applyBorder="1" applyAlignment="1">
      <alignment horizontal="center" vertical="center"/>
    </xf>
    <xf numFmtId="49" fontId="6" fillId="7" borderId="70" xfId="0" applyNumberFormat="1" applyFont="1" applyFill="1" applyBorder="1" applyAlignment="1">
      <alignment horizontal="center" vertical="center"/>
    </xf>
    <xf numFmtId="49" fontId="6" fillId="2" borderId="71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17" fontId="7" fillId="14" borderId="0" xfId="0" applyNumberFormat="1" applyFont="1" applyFill="1" applyAlignment="1">
      <alignment horizontal="center"/>
    </xf>
    <xf numFmtId="17" fontId="7" fillId="14" borderId="69" xfId="0" applyNumberFormat="1" applyFont="1" applyFill="1" applyBorder="1" applyAlignment="1">
      <alignment horizontal="center"/>
    </xf>
    <xf numFmtId="17" fontId="7" fillId="15" borderId="71" xfId="0" applyNumberFormat="1" applyFont="1" applyFill="1" applyBorder="1" applyAlignment="1">
      <alignment horizontal="center"/>
    </xf>
    <xf numFmtId="49" fontId="6" fillId="16" borderId="4" xfId="0" applyNumberFormat="1" applyFont="1" applyFill="1" applyBorder="1" applyAlignment="1">
      <alignment horizontal="center" vertical="center"/>
    </xf>
    <xf numFmtId="17" fontId="7" fillId="9" borderId="4" xfId="0" applyNumberFormat="1" applyFont="1" applyFill="1" applyBorder="1" applyAlignment="1">
      <alignment horizontal="center"/>
    </xf>
    <xf numFmtId="17" fontId="7" fillId="17" borderId="0" xfId="0" applyNumberFormat="1" applyFont="1" applyFill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3" borderId="72" xfId="0" applyNumberFormat="1" applyFont="1" applyFill="1" applyBorder="1" applyAlignment="1">
      <alignment horizontal="center" vertical="center"/>
    </xf>
    <xf numFmtId="0" fontId="8" fillId="5" borderId="73" xfId="0" applyFont="1" applyFill="1" applyBorder="1" applyAlignment="1">
      <alignment horizontal="center" vertical="center"/>
    </xf>
    <xf numFmtId="17" fontId="7" fillId="2" borderId="64" xfId="0" applyNumberFormat="1" applyFont="1" applyFill="1" applyBorder="1" applyAlignment="1">
      <alignment horizontal="center"/>
    </xf>
    <xf numFmtId="17" fontId="7" fillId="2" borderId="74" xfId="0" applyNumberFormat="1" applyFont="1" applyFill="1" applyBorder="1" applyAlignment="1">
      <alignment horizontal="center"/>
    </xf>
    <xf numFmtId="17" fontId="7" fillId="14" borderId="7" xfId="0" applyNumberFormat="1" applyFont="1" applyFill="1" applyBorder="1" applyAlignment="1">
      <alignment horizontal="center"/>
    </xf>
    <xf numFmtId="17" fontId="7" fillId="14" borderId="1" xfId="0" applyNumberFormat="1" applyFont="1" applyFill="1" applyBorder="1" applyAlignment="1">
      <alignment horizontal="center"/>
    </xf>
    <xf numFmtId="17" fontId="7" fillId="14" borderId="72" xfId="0" applyNumberFormat="1" applyFont="1" applyFill="1" applyBorder="1" applyAlignment="1">
      <alignment horizontal="center"/>
    </xf>
    <xf numFmtId="17" fontId="7" fillId="15" borderId="73" xfId="0" applyNumberFormat="1" applyFont="1" applyFill="1" applyBorder="1" applyAlignment="1">
      <alignment horizontal="center"/>
    </xf>
    <xf numFmtId="49" fontId="6" fillId="16" borderId="6" xfId="0" applyNumberFormat="1" applyFont="1" applyFill="1" applyBorder="1" applyAlignment="1">
      <alignment horizontal="center" vertical="center"/>
    </xf>
    <xf numFmtId="17" fontId="7" fillId="9" borderId="6" xfId="0" applyNumberFormat="1" applyFont="1" applyFill="1" applyBorder="1" applyAlignment="1">
      <alignment horizontal="center"/>
    </xf>
    <xf numFmtId="17" fontId="7" fillId="17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vertical="center"/>
    </xf>
    <xf numFmtId="0" fontId="9" fillId="2" borderId="52" xfId="0" applyFont="1" applyFill="1" applyBorder="1" applyAlignment="1">
      <alignment vertical="center"/>
    </xf>
    <xf numFmtId="0" fontId="9" fillId="2" borderId="7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9" fillId="13" borderId="3" xfId="0" applyFont="1" applyFill="1" applyBorder="1" applyAlignment="1">
      <alignment vertical="center"/>
    </xf>
    <xf numFmtId="0" fontId="9" fillId="14" borderId="0" xfId="0" applyFont="1" applyFill="1" applyAlignment="1">
      <alignment vertical="center"/>
    </xf>
    <xf numFmtId="0" fontId="6" fillId="14" borderId="69" xfId="0" applyFont="1" applyFill="1" applyBorder="1" applyAlignment="1">
      <alignment vertical="center"/>
    </xf>
    <xf numFmtId="0" fontId="9" fillId="15" borderId="52" xfId="0" applyFont="1" applyFill="1" applyBorder="1" applyAlignment="1">
      <alignment vertical="center"/>
    </xf>
    <xf numFmtId="0" fontId="9" fillId="16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vertical="center"/>
    </xf>
    <xf numFmtId="0" fontId="9" fillId="17" borderId="0" xfId="0" applyFont="1" applyFill="1" applyAlignment="1">
      <alignment vertical="center"/>
    </xf>
    <xf numFmtId="165" fontId="10" fillId="3" borderId="69" xfId="0" applyNumberFormat="1" applyFont="1" applyFill="1" applyBorder="1" applyAlignment="1">
      <alignment horizontal="center"/>
    </xf>
    <xf numFmtId="37" fontId="8" fillId="3" borderId="52" xfId="0" applyNumberFormat="1" applyFont="1" applyFill="1" applyBorder="1" applyAlignment="1">
      <alignment vertical="center"/>
    </xf>
    <xf numFmtId="37" fontId="8" fillId="3" borderId="3" xfId="0" applyNumberFormat="1" applyFont="1" applyFill="1" applyBorder="1" applyAlignment="1">
      <alignment vertical="center"/>
    </xf>
    <xf numFmtId="37" fontId="8" fillId="3" borderId="70" xfId="0" applyNumberFormat="1" applyFont="1" applyFill="1" applyBorder="1" applyAlignment="1">
      <alignment horizontal="center" vertical="center"/>
    </xf>
    <xf numFmtId="37" fontId="8" fillId="3" borderId="0" xfId="0" applyNumberFormat="1" applyFont="1" applyFill="1" applyAlignment="1">
      <alignment vertical="center"/>
    </xf>
    <xf numFmtId="37" fontId="11" fillId="3" borderId="69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5" fontId="12" fillId="3" borderId="69" xfId="0" applyNumberFormat="1" applyFont="1" applyFill="1" applyBorder="1" applyAlignment="1">
      <alignment horizontal="center"/>
    </xf>
    <xf numFmtId="37" fontId="9" fillId="2" borderId="71" xfId="0" applyNumberFormat="1" applyFont="1" applyFill="1" applyBorder="1" applyAlignment="1">
      <alignment vertical="center"/>
    </xf>
    <xf numFmtId="37" fontId="9" fillId="2" borderId="63" xfId="0" applyNumberFormat="1" applyFont="1" applyFill="1" applyBorder="1" applyAlignment="1">
      <alignment horizontal="center" vertical="center"/>
    </xf>
    <xf numFmtId="37" fontId="9" fillId="5" borderId="4" xfId="0" applyNumberFormat="1" applyFont="1" applyFill="1" applyBorder="1" applyAlignment="1">
      <alignment vertical="center"/>
    </xf>
    <xf numFmtId="37" fontId="9" fillId="13" borderId="4" xfId="0" applyNumberFormat="1" applyFont="1" applyFill="1" applyBorder="1" applyAlignment="1">
      <alignment vertical="center"/>
    </xf>
    <xf numFmtId="37" fontId="9" fillId="14" borderId="0" xfId="0" applyNumberFormat="1" applyFont="1" applyFill="1" applyAlignment="1">
      <alignment vertical="center"/>
    </xf>
    <xf numFmtId="37" fontId="6" fillId="14" borderId="69" xfId="0" applyNumberFormat="1" applyFont="1" applyFill="1" applyBorder="1" applyAlignment="1">
      <alignment vertical="center"/>
    </xf>
    <xf numFmtId="37" fontId="9" fillId="15" borderId="71" xfId="0" applyNumberFormat="1" applyFont="1" applyFill="1" applyBorder="1" applyAlignment="1">
      <alignment vertical="center"/>
    </xf>
    <xf numFmtId="37" fontId="9" fillId="16" borderId="4" xfId="0" applyNumberFormat="1" applyFont="1" applyFill="1" applyBorder="1" applyAlignment="1">
      <alignment vertical="center"/>
    </xf>
    <xf numFmtId="37" fontId="9" fillId="9" borderId="4" xfId="0" applyNumberFormat="1" applyFont="1" applyFill="1" applyBorder="1" applyAlignment="1">
      <alignment vertical="center"/>
    </xf>
    <xf numFmtId="37" fontId="9" fillId="17" borderId="0" xfId="0" applyNumberFormat="1" applyFont="1" applyFill="1" applyAlignment="1">
      <alignment vertical="center"/>
    </xf>
    <xf numFmtId="0" fontId="6" fillId="7" borderId="1" xfId="0" applyFont="1" applyFill="1" applyBorder="1" applyAlignment="1">
      <alignment vertical="center"/>
    </xf>
    <xf numFmtId="165" fontId="6" fillId="7" borderId="72" xfId="0" applyNumberFormat="1" applyFont="1" applyFill="1" applyBorder="1" applyAlignment="1">
      <alignment horizontal="center" vertical="center"/>
    </xf>
    <xf numFmtId="37" fontId="13" fillId="7" borderId="73" xfId="0" applyNumberFormat="1" applyFont="1" applyFill="1" applyBorder="1" applyAlignment="1">
      <alignment vertical="center"/>
    </xf>
    <xf numFmtId="37" fontId="13" fillId="7" borderId="6" xfId="0" applyNumberFormat="1" applyFont="1" applyFill="1" applyBorder="1" applyAlignment="1">
      <alignment vertical="center"/>
    </xf>
    <xf numFmtId="37" fontId="13" fillId="2" borderId="64" xfId="0" applyNumberFormat="1" applyFont="1" applyFill="1" applyBorder="1" applyAlignment="1">
      <alignment horizontal="center" vertical="center"/>
    </xf>
    <xf numFmtId="37" fontId="13" fillId="7" borderId="64" xfId="0" applyNumberFormat="1" applyFont="1" applyFill="1" applyBorder="1" applyAlignment="1">
      <alignment horizontal="center" vertical="center"/>
    </xf>
    <xf numFmtId="37" fontId="13" fillId="2" borderId="73" xfId="0" applyNumberFormat="1" applyFont="1" applyFill="1" applyBorder="1" applyAlignment="1">
      <alignment vertical="center"/>
    </xf>
    <xf numFmtId="37" fontId="13" fillId="5" borderId="6" xfId="0" applyNumberFormat="1" applyFont="1" applyFill="1" applyBorder="1" applyAlignment="1">
      <alignment vertical="center"/>
    </xf>
    <xf numFmtId="37" fontId="13" fillId="13" borderId="6" xfId="0" applyNumberFormat="1" applyFont="1" applyFill="1" applyBorder="1" applyAlignment="1">
      <alignment vertical="center"/>
    </xf>
    <xf numFmtId="37" fontId="13" fillId="14" borderId="74" xfId="0" applyNumberFormat="1" applyFont="1" applyFill="1" applyBorder="1" applyAlignment="1">
      <alignment vertical="center"/>
    </xf>
    <xf numFmtId="37" fontId="13" fillId="14" borderId="64" xfId="0" applyNumberFormat="1" applyFont="1" applyFill="1" applyBorder="1" applyAlignment="1">
      <alignment vertical="center"/>
    </xf>
    <xf numFmtId="37" fontId="13" fillId="15" borderId="73" xfId="0" applyNumberFormat="1" applyFont="1" applyFill="1" applyBorder="1" applyAlignment="1">
      <alignment vertical="center"/>
    </xf>
    <xf numFmtId="37" fontId="13" fillId="16" borderId="6" xfId="0" applyNumberFormat="1" applyFont="1" applyFill="1" applyBorder="1" applyAlignment="1">
      <alignment vertical="center"/>
    </xf>
    <xf numFmtId="37" fontId="13" fillId="9" borderId="6" xfId="0" applyNumberFormat="1" applyFont="1" applyFill="1" applyBorder="1" applyAlignment="1">
      <alignment vertical="center"/>
    </xf>
    <xf numFmtId="37" fontId="6" fillId="17" borderId="1" xfId="0" applyNumberFormat="1" applyFont="1" applyFill="1" applyBorder="1" applyAlignment="1">
      <alignment vertical="center"/>
    </xf>
    <xf numFmtId="165" fontId="9" fillId="3" borderId="69" xfId="0" applyNumberFormat="1" applyFont="1" applyFill="1" applyBorder="1" applyAlignment="1">
      <alignment horizontal="center" vertical="center"/>
    </xf>
    <xf numFmtId="37" fontId="9" fillId="2" borderId="14" xfId="0" applyNumberFormat="1" applyFont="1" applyFill="1" applyBorder="1" applyAlignment="1">
      <alignment vertical="center"/>
    </xf>
    <xf numFmtId="168" fontId="12" fillId="3" borderId="69" xfId="0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vertical="center"/>
    </xf>
    <xf numFmtId="37" fontId="1" fillId="9" borderId="4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center"/>
    </xf>
    <xf numFmtId="37" fontId="1" fillId="2" borderId="71" xfId="0" applyNumberFormat="1" applyFont="1" applyFill="1" applyBorder="1" applyAlignment="1">
      <alignment vertical="center"/>
    </xf>
    <xf numFmtId="37" fontId="9" fillId="14" borderId="75" xfId="0" applyNumberFormat="1" applyFont="1" applyFill="1" applyBorder="1" applyAlignment="1">
      <alignment vertical="center"/>
    </xf>
    <xf numFmtId="37" fontId="6" fillId="14" borderId="63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65" fontId="6" fillId="3" borderId="76" xfId="0" applyNumberFormat="1" applyFont="1" applyFill="1" applyBorder="1" applyAlignment="1">
      <alignment horizontal="center" vertical="center"/>
    </xf>
    <xf numFmtId="37" fontId="13" fillId="2" borderId="77" xfId="0" applyNumberFormat="1" applyFont="1" applyFill="1" applyBorder="1" applyAlignment="1">
      <alignment vertical="center"/>
    </xf>
    <xf numFmtId="37" fontId="13" fillId="2" borderId="17" xfId="0" applyNumberFormat="1" applyFont="1" applyFill="1" applyBorder="1" applyAlignment="1">
      <alignment vertical="center"/>
    </xf>
    <xf numFmtId="37" fontId="13" fillId="2" borderId="78" xfId="0" applyNumberFormat="1" applyFont="1" applyFill="1" applyBorder="1" applyAlignment="1">
      <alignment horizontal="center" vertical="center"/>
    </xf>
    <xf numFmtId="37" fontId="13" fillId="5" borderId="16" xfId="0" applyNumberFormat="1" applyFont="1" applyFill="1" applyBorder="1" applyAlignment="1">
      <alignment vertical="center"/>
    </xf>
    <xf numFmtId="37" fontId="13" fillId="13" borderId="16" xfId="0" applyNumberFormat="1" applyFont="1" applyFill="1" applyBorder="1" applyAlignment="1">
      <alignment vertical="center"/>
    </xf>
    <xf numFmtId="37" fontId="13" fillId="14" borderId="79" xfId="0" applyNumberFormat="1" applyFont="1" applyFill="1" applyBorder="1" applyAlignment="1">
      <alignment vertical="center"/>
    </xf>
    <xf numFmtId="37" fontId="13" fillId="14" borderId="78" xfId="0" applyNumberFormat="1" applyFont="1" applyFill="1" applyBorder="1" applyAlignment="1">
      <alignment vertical="center"/>
    </xf>
    <xf numFmtId="37" fontId="13" fillId="15" borderId="77" xfId="0" applyNumberFormat="1" applyFont="1" applyFill="1" applyBorder="1" applyAlignment="1">
      <alignment vertical="center"/>
    </xf>
    <xf numFmtId="37" fontId="13" fillId="16" borderId="16" xfId="0" applyNumberFormat="1" applyFont="1" applyFill="1" applyBorder="1" applyAlignment="1">
      <alignment vertical="center"/>
    </xf>
    <xf numFmtId="37" fontId="13" fillId="9" borderId="16" xfId="0" applyNumberFormat="1" applyFont="1" applyFill="1" applyBorder="1" applyAlignment="1">
      <alignment vertical="center"/>
    </xf>
    <xf numFmtId="37" fontId="6" fillId="17" borderId="15" xfId="0" applyNumberFormat="1" applyFont="1" applyFill="1" applyBorder="1" applyAlignment="1">
      <alignment vertical="center"/>
    </xf>
    <xf numFmtId="37" fontId="1" fillId="2" borderId="63" xfId="0" applyNumberFormat="1" applyFont="1" applyFill="1" applyBorder="1" applyAlignment="1">
      <alignment horizontal="center" vertical="center"/>
    </xf>
    <xf numFmtId="37" fontId="1" fillId="5" borderId="4" xfId="0" applyNumberFormat="1" applyFont="1" applyFill="1" applyBorder="1" applyAlignment="1">
      <alignment vertical="center"/>
    </xf>
    <xf numFmtId="37" fontId="1" fillId="13" borderId="4" xfId="0" applyNumberFormat="1" applyFont="1" applyFill="1" applyBorder="1" applyAlignment="1">
      <alignment vertical="center"/>
    </xf>
    <xf numFmtId="37" fontId="1" fillId="14" borderId="75" xfId="0" applyNumberFormat="1" applyFont="1" applyFill="1" applyBorder="1" applyAlignment="1">
      <alignment vertical="center"/>
    </xf>
    <xf numFmtId="37" fontId="14" fillId="14" borderId="63" xfId="0" applyNumberFormat="1" applyFont="1" applyFill="1" applyBorder="1" applyAlignment="1">
      <alignment vertical="center"/>
    </xf>
    <xf numFmtId="37" fontId="1" fillId="15" borderId="71" xfId="0" applyNumberFormat="1" applyFont="1" applyFill="1" applyBorder="1" applyAlignment="1">
      <alignment vertical="center"/>
    </xf>
    <xf numFmtId="37" fontId="1" fillId="16" borderId="4" xfId="0" applyNumberFormat="1" applyFont="1" applyFill="1" applyBorder="1" applyAlignment="1">
      <alignment vertical="center"/>
    </xf>
    <xf numFmtId="37" fontId="1" fillId="9" borderId="4" xfId="0" applyNumberFormat="1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165" fontId="6" fillId="7" borderId="76" xfId="0" applyNumberFormat="1" applyFont="1" applyFill="1" applyBorder="1" applyAlignment="1">
      <alignment horizontal="center" vertical="center"/>
    </xf>
    <xf numFmtId="37" fontId="13" fillId="7" borderId="77" xfId="0" applyNumberFormat="1" applyFont="1" applyFill="1" applyBorder="1" applyAlignment="1">
      <alignment vertical="center"/>
    </xf>
    <xf numFmtId="37" fontId="13" fillId="7" borderId="16" xfId="0" applyNumberFormat="1" applyFont="1" applyFill="1" applyBorder="1" applyAlignment="1">
      <alignment vertical="center"/>
    </xf>
    <xf numFmtId="37" fontId="13" fillId="7" borderId="78" xfId="0" applyNumberFormat="1" applyFont="1" applyFill="1" applyBorder="1" applyAlignment="1">
      <alignment horizontal="center" vertical="center"/>
    </xf>
    <xf numFmtId="37" fontId="1" fillId="14" borderId="0" xfId="0" applyNumberFormat="1" applyFont="1" applyFill="1" applyAlignment="1">
      <alignment vertical="center"/>
    </xf>
    <xf numFmtId="37" fontId="14" fillId="14" borderId="69" xfId="0" applyNumberFormat="1" applyFont="1" applyFill="1" applyBorder="1" applyAlignment="1">
      <alignment vertical="center"/>
    </xf>
    <xf numFmtId="0" fontId="13" fillId="7" borderId="15" xfId="0" applyFont="1" applyFill="1" applyBorder="1" applyAlignment="1">
      <alignment vertical="center"/>
    </xf>
    <xf numFmtId="165" fontId="13" fillId="7" borderId="76" xfId="0" applyNumberFormat="1" applyFont="1" applyFill="1" applyBorder="1" applyAlignment="1">
      <alignment horizontal="center" vertical="center"/>
    </xf>
    <xf numFmtId="165" fontId="4" fillId="3" borderId="69" xfId="0" applyNumberFormat="1" applyFont="1" applyFill="1" applyBorder="1" applyAlignment="1">
      <alignment horizontal="center" vertical="center"/>
    </xf>
    <xf numFmtId="37" fontId="8" fillId="2" borderId="71" xfId="0" applyNumberFormat="1" applyFont="1" applyFill="1" applyBorder="1" applyAlignment="1">
      <alignment vertical="center"/>
    </xf>
    <xf numFmtId="37" fontId="8" fillId="2" borderId="63" xfId="0" applyNumberFormat="1" applyFont="1" applyFill="1" applyBorder="1" applyAlignment="1">
      <alignment horizontal="center" vertical="center"/>
    </xf>
    <xf numFmtId="37" fontId="8" fillId="5" borderId="4" xfId="0" applyNumberFormat="1" applyFont="1" applyFill="1" applyBorder="1" applyAlignment="1">
      <alignment vertical="center"/>
    </xf>
    <xf numFmtId="37" fontId="8" fillId="13" borderId="4" xfId="0" applyNumberFormat="1" applyFont="1" applyFill="1" applyBorder="1" applyAlignment="1">
      <alignment vertical="center"/>
    </xf>
    <xf numFmtId="37" fontId="8" fillId="14" borderId="0" xfId="0" applyNumberFormat="1" applyFont="1" applyFill="1" applyAlignment="1">
      <alignment vertical="center"/>
    </xf>
    <xf numFmtId="37" fontId="11" fillId="14" borderId="69" xfId="0" applyNumberFormat="1" applyFont="1" applyFill="1" applyBorder="1" applyAlignment="1">
      <alignment vertical="center"/>
    </xf>
    <xf numFmtId="37" fontId="8" fillId="15" borderId="71" xfId="0" applyNumberFormat="1" applyFont="1" applyFill="1" applyBorder="1" applyAlignment="1">
      <alignment vertical="center"/>
    </xf>
    <xf numFmtId="37" fontId="8" fillId="16" borderId="4" xfId="0" applyNumberFormat="1" applyFont="1" applyFill="1" applyBorder="1" applyAlignment="1">
      <alignment vertical="center"/>
    </xf>
    <xf numFmtId="37" fontId="8" fillId="9" borderId="4" xfId="0" applyNumberFormat="1" applyFont="1" applyFill="1" applyBorder="1" applyAlignment="1">
      <alignment vertical="center"/>
    </xf>
    <xf numFmtId="164" fontId="13" fillId="2" borderId="0" xfId="0" applyNumberFormat="1" applyFont="1" applyFill="1" applyAlignment="1">
      <alignment vertical="center"/>
    </xf>
    <xf numFmtId="165" fontId="13" fillId="3" borderId="69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165" fontId="10" fillId="3" borderId="6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165" fontId="13" fillId="3" borderId="72" xfId="0" applyNumberFormat="1" applyFont="1" applyFill="1" applyBorder="1" applyAlignment="1">
      <alignment horizontal="center" vertical="center"/>
    </xf>
    <xf numFmtId="165" fontId="4" fillId="0" borderId="69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vertical="center"/>
    </xf>
    <xf numFmtId="37" fontId="11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1" fillId="2" borderId="80" xfId="0" applyNumberFormat="1" applyFont="1" applyFill="1" applyBorder="1" applyAlignment="1">
      <alignment horizontal="right" vertical="center"/>
    </xf>
    <xf numFmtId="170" fontId="1" fillId="2" borderId="81" xfId="0" applyNumberFormat="1" applyFont="1" applyFill="1" applyBorder="1" applyAlignment="1">
      <alignment horizontal="center" vertical="center"/>
    </xf>
    <xf numFmtId="164" fontId="32" fillId="7" borderId="0" xfId="0" applyNumberFormat="1" applyFont="1" applyFill="1" applyAlignment="1">
      <alignment horizontal="center" vertical="center"/>
    </xf>
    <xf numFmtId="170" fontId="6" fillId="3" borderId="69" xfId="0" applyNumberFormat="1" applyFont="1" applyFill="1" applyBorder="1" applyAlignment="1">
      <alignment horizontal="center" vertical="center"/>
    </xf>
    <xf numFmtId="17" fontId="7" fillId="7" borderId="8" xfId="0" applyNumberFormat="1" applyFont="1" applyFill="1" applyBorder="1" applyAlignment="1">
      <alignment horizontal="center"/>
    </xf>
    <xf numFmtId="170" fontId="6" fillId="3" borderId="72" xfId="0" applyNumberFormat="1" applyFont="1" applyFill="1" applyBorder="1" applyAlignment="1">
      <alignment horizontal="center" vertical="center"/>
    </xf>
    <xf numFmtId="170" fontId="10" fillId="3" borderId="69" xfId="0" applyNumberFormat="1" applyFont="1" applyFill="1" applyBorder="1" applyAlignment="1">
      <alignment horizontal="center"/>
    </xf>
    <xf numFmtId="37" fontId="8" fillId="3" borderId="82" xfId="0" applyNumberFormat="1" applyFont="1" applyFill="1" applyBorder="1" applyAlignment="1">
      <alignment vertical="center"/>
    </xf>
    <xf numFmtId="37" fontId="8" fillId="3" borderId="83" xfId="0" applyNumberFormat="1" applyFont="1" applyFill="1" applyBorder="1" applyAlignment="1">
      <alignment vertical="center"/>
    </xf>
    <xf numFmtId="37" fontId="8" fillId="3" borderId="84" xfId="0" applyNumberFormat="1" applyFont="1" applyFill="1" applyBorder="1" applyAlignment="1">
      <alignment vertical="center"/>
    </xf>
    <xf numFmtId="37" fontId="8" fillId="3" borderId="69" xfId="0" applyNumberFormat="1" applyFont="1" applyFill="1" applyBorder="1" applyAlignment="1">
      <alignment horizontal="center" vertical="center"/>
    </xf>
    <xf numFmtId="164" fontId="10" fillId="3" borderId="85" xfId="0" applyNumberFormat="1" applyFont="1" applyFill="1" applyBorder="1"/>
    <xf numFmtId="170" fontId="10" fillId="3" borderId="86" xfId="0" applyNumberFormat="1" applyFont="1" applyFill="1" applyBorder="1" applyAlignment="1">
      <alignment horizontal="center"/>
    </xf>
    <xf numFmtId="37" fontId="8" fillId="3" borderId="87" xfId="0" applyNumberFormat="1" applyFont="1" applyFill="1" applyBorder="1" applyAlignment="1">
      <alignment vertical="center"/>
    </xf>
    <xf numFmtId="37" fontId="8" fillId="3" borderId="88" xfId="0" applyNumberFormat="1" applyFont="1" applyFill="1" applyBorder="1" applyAlignment="1">
      <alignment vertical="center"/>
    </xf>
    <xf numFmtId="37" fontId="8" fillId="3" borderId="86" xfId="0" applyNumberFormat="1" applyFont="1" applyFill="1" applyBorder="1" applyAlignment="1">
      <alignment horizontal="center" vertical="center"/>
    </xf>
    <xf numFmtId="37" fontId="8" fillId="3" borderId="85" xfId="0" applyNumberFormat="1" applyFont="1" applyFill="1" applyBorder="1" applyAlignment="1">
      <alignment vertical="center"/>
    </xf>
    <xf numFmtId="37" fontId="11" fillId="3" borderId="86" xfId="0" applyNumberFormat="1" applyFont="1" applyFill="1" applyBorder="1" applyAlignment="1">
      <alignment vertical="center"/>
    </xf>
    <xf numFmtId="170" fontId="12" fillId="3" borderId="69" xfId="0" applyNumberFormat="1" applyFont="1" applyFill="1" applyBorder="1" applyAlignment="1">
      <alignment horizontal="center"/>
    </xf>
    <xf numFmtId="37" fontId="9" fillId="2" borderId="89" xfId="0" applyNumberFormat="1" applyFont="1" applyFill="1" applyBorder="1" applyAlignment="1">
      <alignment vertical="center"/>
    </xf>
    <xf numFmtId="170" fontId="6" fillId="7" borderId="72" xfId="0" applyNumberFormat="1" applyFont="1" applyFill="1" applyBorder="1" applyAlignment="1">
      <alignment horizontal="center" vertical="center"/>
    </xf>
    <xf numFmtId="37" fontId="13" fillId="7" borderId="7" xfId="0" applyNumberFormat="1" applyFont="1" applyFill="1" applyBorder="1" applyAlignment="1">
      <alignment vertical="center"/>
    </xf>
    <xf numFmtId="170" fontId="9" fillId="2" borderId="69" xfId="0" applyNumberFormat="1" applyFont="1" applyFill="1" applyBorder="1" applyAlignment="1">
      <alignment horizontal="center" vertical="center"/>
    </xf>
    <xf numFmtId="37" fontId="6" fillId="2" borderId="69" xfId="0" applyNumberFormat="1" applyFont="1" applyFill="1" applyBorder="1" applyAlignment="1">
      <alignment vertical="center"/>
    </xf>
    <xf numFmtId="170" fontId="9" fillId="3" borderId="69" xfId="0" applyNumberFormat="1" applyFont="1" applyFill="1" applyBorder="1" applyAlignment="1">
      <alignment horizontal="center" vertical="center"/>
    </xf>
    <xf numFmtId="170" fontId="6" fillId="3" borderId="76" xfId="0" applyNumberFormat="1" applyFont="1" applyFill="1" applyBorder="1" applyAlignment="1">
      <alignment horizontal="center" vertical="center"/>
    </xf>
    <xf numFmtId="170" fontId="6" fillId="7" borderId="76" xfId="0" applyNumberFormat="1" applyFont="1" applyFill="1" applyBorder="1" applyAlignment="1">
      <alignment horizontal="center" vertical="center"/>
    </xf>
    <xf numFmtId="174" fontId="12" fillId="3" borderId="69" xfId="0" applyNumberFormat="1" applyFont="1" applyFill="1" applyBorder="1" applyAlignment="1">
      <alignment horizontal="center"/>
    </xf>
    <xf numFmtId="170" fontId="13" fillId="7" borderId="76" xfId="0" applyNumberFormat="1" applyFont="1" applyFill="1" applyBorder="1" applyAlignment="1">
      <alignment horizontal="center" vertical="center"/>
    </xf>
    <xf numFmtId="170" fontId="4" fillId="3" borderId="69" xfId="0" applyNumberFormat="1" applyFont="1" applyFill="1" applyBorder="1" applyAlignment="1">
      <alignment horizontal="center" vertical="center"/>
    </xf>
    <xf numFmtId="170" fontId="13" fillId="3" borderId="69" xfId="0" applyNumberFormat="1" applyFont="1" applyFill="1" applyBorder="1" applyAlignment="1">
      <alignment horizontal="center" vertical="center"/>
    </xf>
    <xf numFmtId="170" fontId="10" fillId="3" borderId="69" xfId="0" applyNumberFormat="1" applyFont="1" applyFill="1" applyBorder="1" applyAlignment="1">
      <alignment horizontal="center" vertical="center"/>
    </xf>
    <xf numFmtId="170" fontId="13" fillId="3" borderId="72" xfId="0" applyNumberFormat="1" applyFont="1" applyFill="1" applyBorder="1" applyAlignment="1">
      <alignment horizontal="center" vertical="center"/>
    </xf>
    <xf numFmtId="170" fontId="4" fillId="0" borderId="69" xfId="0" applyNumberFormat="1" applyFont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65" fontId="15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70" fontId="2" fillId="3" borderId="69" xfId="0" applyNumberFormat="1" applyFont="1" applyFill="1" applyBorder="1" applyAlignment="1">
      <alignment horizontal="center" vertical="center"/>
    </xf>
    <xf numFmtId="37" fontId="2" fillId="3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18" borderId="1" xfId="0" applyFont="1" applyFill="1" applyBorder="1" applyAlignment="1">
      <alignment vertical="center"/>
    </xf>
    <xf numFmtId="165" fontId="6" fillId="18" borderId="72" xfId="0" applyNumberFormat="1" applyFont="1" applyFill="1" applyBorder="1" applyAlignment="1">
      <alignment horizontal="center" vertical="center"/>
    </xf>
    <xf numFmtId="37" fontId="13" fillId="18" borderId="73" xfId="0" applyNumberFormat="1" applyFont="1" applyFill="1" applyBorder="1" applyAlignment="1">
      <alignment vertical="center"/>
    </xf>
    <xf numFmtId="37" fontId="13" fillId="18" borderId="6" xfId="0" applyNumberFormat="1" applyFont="1" applyFill="1" applyBorder="1" applyAlignment="1">
      <alignment vertical="center"/>
    </xf>
    <xf numFmtId="37" fontId="13" fillId="18" borderId="64" xfId="0" applyNumberFormat="1" applyFont="1" applyFill="1" applyBorder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167" fontId="2" fillId="13" borderId="0" xfId="0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12" fillId="0" borderId="0" xfId="0" applyFont="1"/>
    <xf numFmtId="165" fontId="12" fillId="0" borderId="0" xfId="0" applyNumberFormat="1" applyFont="1"/>
    <xf numFmtId="165" fontId="2" fillId="19" borderId="1" xfId="0" applyNumberFormat="1" applyFont="1" applyFill="1" applyBorder="1" applyAlignment="1">
      <alignment vertical="center"/>
    </xf>
    <xf numFmtId="165" fontId="2" fillId="19" borderId="23" xfId="0" applyNumberFormat="1" applyFont="1" applyFill="1" applyBorder="1" applyAlignment="1">
      <alignment vertical="center"/>
    </xf>
    <xf numFmtId="49" fontId="6" fillId="9" borderId="4" xfId="0" applyNumberFormat="1" applyFont="1" applyFill="1" applyBorder="1" applyAlignment="1">
      <alignment vertical="center"/>
    </xf>
    <xf numFmtId="49" fontId="7" fillId="9" borderId="4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6" fillId="8" borderId="0" xfId="0" applyFont="1" applyFill="1"/>
    <xf numFmtId="0" fontId="0" fillId="0" borderId="0" xfId="0" applyAlignment="1">
      <alignment vertical="center"/>
    </xf>
    <xf numFmtId="0" fontId="17" fillId="0" borderId="0" xfId="0" applyFont="1"/>
    <xf numFmtId="164" fontId="14" fillId="3" borderId="0" xfId="0" applyNumberFormat="1" applyFont="1" applyFill="1" applyAlignment="1">
      <alignment vertical="center"/>
    </xf>
    <xf numFmtId="0" fontId="14" fillId="3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BI988"/>
  <sheetViews>
    <sheetView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3984375" defaultRowHeight="15" customHeight="1" outlineLevelRow="1"/>
  <cols>
    <col min="1" max="1" width="37.59765625" customWidth="1"/>
    <col min="2" max="25" width="10.3984375" customWidth="1"/>
    <col min="26" max="55" width="8.796875" customWidth="1"/>
    <col min="56" max="56" width="10.3984375" customWidth="1"/>
    <col min="57" max="57" width="8.796875" customWidth="1"/>
    <col min="58" max="58" width="9.19921875" customWidth="1"/>
    <col min="59" max="61" width="8.796875" customWidth="1"/>
  </cols>
  <sheetData>
    <row r="1" spans="1:61" ht="16.5" customHeight="1">
      <c r="A1" s="1"/>
      <c r="B1" s="497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9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  <c r="BE1" s="2"/>
      <c r="BF1" s="4"/>
      <c r="BG1" s="2"/>
      <c r="BH1" s="2"/>
      <c r="BI1" s="2"/>
    </row>
    <row r="2" spans="1:61" ht="18" customHeight="1">
      <c r="A2" s="5"/>
      <c r="B2" s="6">
        <v>45352</v>
      </c>
      <c r="C2" s="6">
        <v>45383</v>
      </c>
      <c r="D2" s="6">
        <v>45413</v>
      </c>
      <c r="E2" s="6">
        <v>45444</v>
      </c>
      <c r="F2" s="6">
        <v>45474</v>
      </c>
      <c r="G2" s="6">
        <v>45505</v>
      </c>
      <c r="H2" s="6">
        <v>45536</v>
      </c>
      <c r="I2" s="6">
        <v>45566</v>
      </c>
      <c r="J2" s="6">
        <v>45597</v>
      </c>
      <c r="K2" s="6">
        <v>45627</v>
      </c>
      <c r="L2" s="6">
        <v>45658</v>
      </c>
      <c r="M2" s="6">
        <v>45689</v>
      </c>
      <c r="N2" s="6">
        <v>45717</v>
      </c>
      <c r="O2" s="6">
        <v>45748</v>
      </c>
      <c r="P2" s="6">
        <v>45778</v>
      </c>
      <c r="Q2" s="6">
        <v>45809</v>
      </c>
      <c r="R2" s="6">
        <v>45839</v>
      </c>
      <c r="S2" s="6">
        <v>45870</v>
      </c>
      <c r="T2" s="6">
        <v>45901</v>
      </c>
      <c r="U2" s="6">
        <v>45931</v>
      </c>
      <c r="V2" s="6">
        <v>45962</v>
      </c>
      <c r="W2" s="6">
        <v>45992</v>
      </c>
      <c r="X2" s="7"/>
      <c r="Y2" s="7"/>
      <c r="Z2" s="7"/>
      <c r="AA2" s="7"/>
      <c r="AB2" s="8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0"/>
      <c r="BB2" s="10"/>
      <c r="BC2" s="10"/>
      <c r="BD2" s="10"/>
      <c r="BE2" s="10"/>
      <c r="BF2" s="9"/>
      <c r="BG2" s="10"/>
      <c r="BH2" s="10"/>
      <c r="BI2" s="10"/>
    </row>
    <row r="3" spans="1:61" ht="12.75" customHeight="1">
      <c r="A3" s="11"/>
      <c r="B3" s="12" t="s">
        <v>0</v>
      </c>
      <c r="C3" s="12" t="s">
        <v>0</v>
      </c>
      <c r="D3" s="12" t="s">
        <v>0</v>
      </c>
      <c r="E3" s="12" t="s">
        <v>0</v>
      </c>
      <c r="F3" s="12" t="s">
        <v>0</v>
      </c>
      <c r="G3" s="13" t="s">
        <v>1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13" t="s">
        <v>1</v>
      </c>
      <c r="Q3" s="13" t="s">
        <v>1</v>
      </c>
      <c r="R3" s="13" t="s">
        <v>1</v>
      </c>
      <c r="S3" s="13" t="s">
        <v>1</v>
      </c>
      <c r="T3" s="13" t="s">
        <v>1</v>
      </c>
      <c r="U3" s="13" t="s">
        <v>1</v>
      </c>
      <c r="V3" s="13" t="s">
        <v>1</v>
      </c>
      <c r="W3" s="13" t="s">
        <v>1</v>
      </c>
      <c r="X3" s="14"/>
      <c r="Y3" s="14"/>
      <c r="Z3" s="14"/>
      <c r="AA3" s="14"/>
      <c r="AB3" s="14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9"/>
      <c r="BG3" s="10"/>
      <c r="BH3" s="10"/>
      <c r="BI3" s="10"/>
    </row>
    <row r="4" spans="1:61" ht="12.75" customHeight="1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7"/>
      <c r="AB4" s="18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20"/>
      <c r="BE4" s="19"/>
      <c r="BF4" s="19"/>
      <c r="BG4" s="19"/>
      <c r="BH4" s="19"/>
      <c r="BI4" s="19"/>
    </row>
    <row r="5" spans="1:61" ht="15" customHeight="1">
      <c r="A5" s="21" t="s">
        <v>3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f>'Revenue summary'!E60</f>
        <v>4</v>
      </c>
      <c r="J5" s="22">
        <f>'Revenue summary'!F60</f>
        <v>17</v>
      </c>
      <c r="K5" s="22">
        <f>'Revenue summary'!G60</f>
        <v>17</v>
      </c>
      <c r="L5" s="22">
        <f>'Revenue summary'!H60</f>
        <v>17</v>
      </c>
      <c r="M5" s="22">
        <f>'Revenue summary'!I60</f>
        <v>17</v>
      </c>
      <c r="N5" s="22">
        <f>'Revenue summary'!J60</f>
        <v>0</v>
      </c>
      <c r="O5" s="22">
        <f>'Revenue summary'!K60</f>
        <v>18</v>
      </c>
      <c r="P5" s="22">
        <f>'Revenue summary'!L60</f>
        <v>18</v>
      </c>
      <c r="Q5" s="22">
        <f>'Revenue summary'!M60</f>
        <v>37</v>
      </c>
      <c r="R5" s="22">
        <f>'Revenue summary'!N60</f>
        <v>37</v>
      </c>
      <c r="S5" s="22">
        <f>'Revenue summary'!O60</f>
        <v>38</v>
      </c>
      <c r="T5" s="22">
        <f>'Revenue summary'!P60</f>
        <v>19</v>
      </c>
      <c r="U5" s="22">
        <f>'Revenue summary'!Q60</f>
        <v>19</v>
      </c>
      <c r="V5" s="22">
        <f>'Revenue summary'!R60</f>
        <v>0</v>
      </c>
      <c r="W5" s="22">
        <f>'Revenue summary'!S60</f>
        <v>0</v>
      </c>
      <c r="X5" s="23"/>
      <c r="Y5" s="23"/>
      <c r="Z5" s="24"/>
      <c r="AA5" s="24"/>
      <c r="AB5" s="25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7"/>
      <c r="BF5" s="26"/>
      <c r="BG5" s="26"/>
      <c r="BH5" s="26"/>
      <c r="BI5" s="26"/>
    </row>
    <row r="6" spans="1:61" ht="15" customHeight="1">
      <c r="A6" s="21" t="s">
        <v>4</v>
      </c>
      <c r="B6" s="22">
        <v>210</v>
      </c>
      <c r="C6" s="22">
        <v>210</v>
      </c>
      <c r="D6" s="22">
        <v>210</v>
      </c>
      <c r="E6" s="22">
        <v>210</v>
      </c>
      <c r="F6" s="22">
        <f>'4th P&amp;L'!G6+'Eris P&amp;L'!G7</f>
        <v>210</v>
      </c>
      <c r="G6" s="22">
        <f t="shared" ref="G6:W6" si="0">F6+G5</f>
        <v>210</v>
      </c>
      <c r="H6" s="22">
        <f t="shared" si="0"/>
        <v>210</v>
      </c>
      <c r="I6" s="22">
        <f t="shared" si="0"/>
        <v>214</v>
      </c>
      <c r="J6" s="22">
        <f t="shared" si="0"/>
        <v>231</v>
      </c>
      <c r="K6" s="22">
        <f t="shared" si="0"/>
        <v>248</v>
      </c>
      <c r="L6" s="22">
        <f t="shared" si="0"/>
        <v>265</v>
      </c>
      <c r="M6" s="22">
        <f t="shared" si="0"/>
        <v>282</v>
      </c>
      <c r="N6" s="22">
        <f t="shared" si="0"/>
        <v>282</v>
      </c>
      <c r="O6" s="22">
        <f t="shared" si="0"/>
        <v>300</v>
      </c>
      <c r="P6" s="22">
        <f t="shared" si="0"/>
        <v>318</v>
      </c>
      <c r="Q6" s="22">
        <f t="shared" si="0"/>
        <v>355</v>
      </c>
      <c r="R6" s="22">
        <f t="shared" si="0"/>
        <v>392</v>
      </c>
      <c r="S6" s="22">
        <f t="shared" si="0"/>
        <v>430</v>
      </c>
      <c r="T6" s="22">
        <f t="shared" si="0"/>
        <v>449</v>
      </c>
      <c r="U6" s="22">
        <f t="shared" si="0"/>
        <v>468</v>
      </c>
      <c r="V6" s="22">
        <f t="shared" si="0"/>
        <v>468</v>
      </c>
      <c r="W6" s="22">
        <f t="shared" si="0"/>
        <v>468</v>
      </c>
      <c r="X6" s="23"/>
      <c r="Y6" s="23"/>
      <c r="Z6" s="24"/>
      <c r="AA6" s="24"/>
      <c r="AB6" s="25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7"/>
      <c r="BF6" s="26"/>
      <c r="BG6" s="26"/>
      <c r="BH6" s="26"/>
      <c r="BI6" s="26"/>
    </row>
    <row r="7" spans="1:61" ht="15" customHeight="1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30"/>
      <c r="AA7" s="30"/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3"/>
      <c r="BE7" s="32"/>
      <c r="BF7" s="32"/>
      <c r="BG7" s="32"/>
      <c r="BH7" s="32"/>
      <c r="BI7" s="32"/>
    </row>
    <row r="8" spans="1:61" ht="15" customHeight="1">
      <c r="A8" s="28" t="s">
        <v>5</v>
      </c>
      <c r="B8" s="34">
        <v>18475</v>
      </c>
      <c r="C8" s="34">
        <v>18475</v>
      </c>
      <c r="D8" s="34">
        <v>18475</v>
      </c>
      <c r="E8" s="34">
        <v>18475</v>
      </c>
      <c r="F8" s="34">
        <v>2689</v>
      </c>
      <c r="G8" s="34">
        <f>'Revenue summary'!C63</f>
        <v>0</v>
      </c>
      <c r="H8" s="34">
        <f>'Revenue summary'!D63</f>
        <v>32526</v>
      </c>
      <c r="I8" s="34">
        <f>'Revenue summary'!E63</f>
        <v>0</v>
      </c>
      <c r="J8" s="34">
        <f>'Revenue summary'!F63</f>
        <v>43806</v>
      </c>
      <c r="K8" s="34">
        <f>'Revenue summary'!G63</f>
        <v>27950</v>
      </c>
      <c r="L8" s="34">
        <f>'Revenue summary'!H63</f>
        <v>27950</v>
      </c>
      <c r="M8" s="34">
        <f>'Revenue summary'!I63</f>
        <v>27950</v>
      </c>
      <c r="N8" s="34">
        <f>'Revenue summary'!J63</f>
        <v>27950</v>
      </c>
      <c r="O8" s="34">
        <f>'Revenue summary'!K63</f>
        <v>0</v>
      </c>
      <c r="P8" s="34">
        <f>'Revenue summary'!L63</f>
        <v>24300</v>
      </c>
      <c r="Q8" s="34">
        <f>'Revenue summary'!M63</f>
        <v>24300</v>
      </c>
      <c r="R8" s="34">
        <f>'Revenue summary'!N63</f>
        <v>49950</v>
      </c>
      <c r="S8" s="34">
        <f>'Revenue summary'!O63</f>
        <v>49950</v>
      </c>
      <c r="T8" s="34">
        <f>'Revenue summary'!P63</f>
        <v>83826</v>
      </c>
      <c r="U8" s="34">
        <f>'Revenue summary'!Q63</f>
        <v>25650</v>
      </c>
      <c r="V8" s="34">
        <f>'Revenue summary'!R63</f>
        <v>69456</v>
      </c>
      <c r="W8" s="34">
        <f>'Revenue summary'!S63</f>
        <v>27950</v>
      </c>
      <c r="X8" s="34"/>
      <c r="Y8" s="34"/>
      <c r="Z8" s="35"/>
      <c r="AA8" s="35"/>
      <c r="AB8" s="36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3"/>
      <c r="BE8" s="32"/>
      <c r="BF8" s="32"/>
      <c r="BG8" s="32"/>
      <c r="BH8" s="32"/>
      <c r="BI8" s="32"/>
    </row>
    <row r="9" spans="1:61" ht="15" customHeight="1">
      <c r="A9" s="28" t="s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f>'Revenue summary'!C64</f>
        <v>0</v>
      </c>
      <c r="H9" s="34">
        <f>'Revenue summary'!D64</f>
        <v>0</v>
      </c>
      <c r="I9" s="34">
        <f>'Revenue summary'!E64</f>
        <v>0</v>
      </c>
      <c r="J9" s="34">
        <f>'Revenue summary'!F64</f>
        <v>0</v>
      </c>
      <c r="K9" s="34">
        <f>'Revenue summary'!G64</f>
        <v>0</v>
      </c>
      <c r="L9" s="34">
        <f>'Revenue summary'!H64</f>
        <v>1250</v>
      </c>
      <c r="M9" s="34">
        <f>'Revenue summary'!I64</f>
        <v>7183.3333333333339</v>
      </c>
      <c r="N9" s="34">
        <f>'Revenue summary'!J64</f>
        <v>9033.3333333333339</v>
      </c>
      <c r="O9" s="34">
        <f>'Revenue summary'!K64</f>
        <v>9883.3333333333339</v>
      </c>
      <c r="P9" s="34">
        <f>'Revenue summary'!L64</f>
        <v>10733.333333333334</v>
      </c>
      <c r="Q9" s="34">
        <f>'Revenue summary'!M64</f>
        <v>10733.333333333334</v>
      </c>
      <c r="R9" s="34">
        <f>'Revenue summary'!N64</f>
        <v>11633.333333333334</v>
      </c>
      <c r="S9" s="34">
        <f>'Revenue summary'!O64</f>
        <v>12533.333333333334</v>
      </c>
      <c r="T9" s="34">
        <f>'Revenue summary'!P64</f>
        <v>13483.333333333334</v>
      </c>
      <c r="U9" s="34">
        <f>'Revenue summary'!Q64</f>
        <v>14433.333333333334</v>
      </c>
      <c r="V9" s="34">
        <f>'Revenue summary'!R64</f>
        <v>15383.333333333334</v>
      </c>
      <c r="W9" s="34">
        <f>'Revenue summary'!S64</f>
        <v>15383.333333333334</v>
      </c>
      <c r="X9" s="34"/>
      <c r="Y9" s="34"/>
      <c r="Z9" s="35"/>
      <c r="AA9" s="35"/>
      <c r="AB9" s="36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3"/>
      <c r="BE9" s="32"/>
      <c r="BF9" s="32"/>
      <c r="BG9" s="32"/>
      <c r="BH9" s="32"/>
      <c r="BI9" s="32"/>
    </row>
    <row r="10" spans="1:61" ht="15" customHeight="1">
      <c r="A10" s="28" t="s">
        <v>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/>
      <c r="AA10" s="35"/>
      <c r="AB10" s="36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3"/>
      <c r="BE10" s="32"/>
      <c r="BF10" s="32"/>
      <c r="BG10" s="32"/>
      <c r="BH10" s="32"/>
      <c r="BI10" s="32"/>
    </row>
    <row r="11" spans="1:61" ht="9" customHeight="1">
      <c r="A11" s="2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36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3"/>
      <c r="BE11" s="32"/>
      <c r="BF11" s="32"/>
      <c r="BG11" s="32"/>
      <c r="BH11" s="32"/>
      <c r="BI11" s="32"/>
    </row>
    <row r="12" spans="1:61" ht="15" hidden="1" customHeight="1">
      <c r="A12" s="2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6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3"/>
      <c r="BE12" s="32"/>
      <c r="BF12" s="32"/>
      <c r="BG12" s="32"/>
      <c r="BH12" s="32"/>
      <c r="BI12" s="32"/>
    </row>
    <row r="13" spans="1:61" ht="15" hidden="1" customHeight="1">
      <c r="A13" s="28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6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3"/>
      <c r="BE13" s="32"/>
      <c r="BF13" s="32"/>
      <c r="BG13" s="32"/>
      <c r="BH13" s="32"/>
      <c r="BI13" s="32"/>
    </row>
    <row r="14" spans="1:61" ht="15" hidden="1" customHeight="1">
      <c r="A14" s="28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  <c r="AA14" s="35"/>
      <c r="AB14" s="36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3"/>
      <c r="BE14" s="32"/>
      <c r="BF14" s="32"/>
      <c r="BG14" s="32"/>
      <c r="BH14" s="32"/>
      <c r="BI14" s="32"/>
    </row>
    <row r="15" spans="1:61" ht="15" hidden="1" customHeight="1">
      <c r="A15" s="28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  <c r="AA15" s="38"/>
      <c r="AB15" s="39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3"/>
      <c r="BE15" s="32"/>
      <c r="BF15" s="32"/>
      <c r="BG15" s="32"/>
      <c r="BH15" s="32"/>
      <c r="BI15" s="32"/>
    </row>
    <row r="16" spans="1:61" ht="17.25" customHeight="1">
      <c r="A16" s="40" t="s">
        <v>8</v>
      </c>
      <c r="B16" s="41">
        <f t="shared" ref="B16:W16" si="1">SUM(B8:B15)</f>
        <v>18475</v>
      </c>
      <c r="C16" s="41">
        <f t="shared" si="1"/>
        <v>18475</v>
      </c>
      <c r="D16" s="41">
        <f t="shared" si="1"/>
        <v>18475</v>
      </c>
      <c r="E16" s="41">
        <f t="shared" si="1"/>
        <v>18475</v>
      </c>
      <c r="F16" s="41">
        <f t="shared" si="1"/>
        <v>2689</v>
      </c>
      <c r="G16" s="41">
        <f t="shared" si="1"/>
        <v>0</v>
      </c>
      <c r="H16" s="41">
        <f t="shared" si="1"/>
        <v>32526</v>
      </c>
      <c r="I16" s="41">
        <f t="shared" si="1"/>
        <v>0</v>
      </c>
      <c r="J16" s="41">
        <f t="shared" si="1"/>
        <v>43806</v>
      </c>
      <c r="K16" s="41">
        <f t="shared" si="1"/>
        <v>27950</v>
      </c>
      <c r="L16" s="41">
        <f t="shared" si="1"/>
        <v>29200</v>
      </c>
      <c r="M16" s="41">
        <f t="shared" si="1"/>
        <v>35133.333333333336</v>
      </c>
      <c r="N16" s="41">
        <f t="shared" si="1"/>
        <v>36983.333333333336</v>
      </c>
      <c r="O16" s="41">
        <f t="shared" si="1"/>
        <v>9883.3333333333339</v>
      </c>
      <c r="P16" s="41">
        <f t="shared" si="1"/>
        <v>35033.333333333336</v>
      </c>
      <c r="Q16" s="41">
        <f t="shared" si="1"/>
        <v>35033.333333333336</v>
      </c>
      <c r="R16" s="41">
        <f t="shared" si="1"/>
        <v>61583.333333333336</v>
      </c>
      <c r="S16" s="41">
        <f t="shared" si="1"/>
        <v>62483.333333333336</v>
      </c>
      <c r="T16" s="41">
        <f t="shared" si="1"/>
        <v>97309.333333333328</v>
      </c>
      <c r="U16" s="41">
        <f t="shared" si="1"/>
        <v>40083.333333333336</v>
      </c>
      <c r="V16" s="41">
        <f t="shared" si="1"/>
        <v>84839.333333333328</v>
      </c>
      <c r="W16" s="41">
        <f t="shared" si="1"/>
        <v>43333.333333333336</v>
      </c>
      <c r="X16" s="41"/>
      <c r="Y16" s="41"/>
      <c r="Z16" s="42"/>
      <c r="AA16" s="42"/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5"/>
      <c r="BI16" s="45"/>
    </row>
    <row r="17" spans="1:61" ht="12.75" customHeight="1">
      <c r="A17" s="46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30"/>
      <c r="AA17" s="30"/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3"/>
      <c r="BE17" s="32"/>
      <c r="BF17" s="32"/>
      <c r="BG17" s="32"/>
      <c r="BH17" s="32"/>
      <c r="BI17" s="32"/>
    </row>
    <row r="18" spans="1:61" ht="12.75" customHeight="1">
      <c r="A18" s="15" t="s">
        <v>9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6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3"/>
      <c r="BE18" s="32"/>
      <c r="BF18" s="32"/>
      <c r="BG18" s="32"/>
      <c r="BH18" s="32"/>
      <c r="BI18" s="32"/>
    </row>
    <row r="19" spans="1:61" ht="14">
      <c r="A19" s="28" t="s">
        <v>10</v>
      </c>
      <c r="B19" s="34">
        <v>3458.65</v>
      </c>
      <c r="C19" s="34">
        <v>11847</v>
      </c>
      <c r="D19" s="34">
        <v>5696.27</v>
      </c>
      <c r="E19" s="34">
        <v>5484</v>
      </c>
      <c r="F19" s="34">
        <v>2574</v>
      </c>
      <c r="G19" s="34">
        <f>'Non Staff costs'!C13</f>
        <v>2560</v>
      </c>
      <c r="H19" s="34">
        <f>'Non Staff costs'!D13</f>
        <v>2560</v>
      </c>
      <c r="I19" s="34">
        <f>'Non Staff costs'!E13</f>
        <v>2560</v>
      </c>
      <c r="J19" s="34">
        <f>'Non Staff costs'!F13</f>
        <v>2560</v>
      </c>
      <c r="K19" s="34">
        <f>'Non Staff costs'!G13</f>
        <v>75</v>
      </c>
      <c r="L19" s="34">
        <f>'Non Staff costs'!H13</f>
        <v>150</v>
      </c>
      <c r="M19" s="34">
        <f>'Non Staff costs'!I13</f>
        <v>225</v>
      </c>
      <c r="N19" s="34">
        <f>'Non Staff costs'!J13</f>
        <v>300</v>
      </c>
      <c r="O19" s="34">
        <f>'Non Staff costs'!K13</f>
        <v>300</v>
      </c>
      <c r="P19" s="34">
        <f>'Non Staff costs'!L13</f>
        <v>300</v>
      </c>
      <c r="Q19" s="34">
        <f>'Non Staff costs'!M13</f>
        <v>300</v>
      </c>
      <c r="R19" s="34">
        <f>'Non Staff costs'!N13</f>
        <v>300</v>
      </c>
      <c r="S19" s="34">
        <f>'Non Staff costs'!O13</f>
        <v>300</v>
      </c>
      <c r="T19" s="34">
        <f>'Non Staff costs'!P13</f>
        <v>300</v>
      </c>
      <c r="U19" s="34">
        <f>'Non Staff costs'!Q13</f>
        <v>300</v>
      </c>
      <c r="V19" s="34">
        <f>'Non Staff costs'!R13</f>
        <v>300</v>
      </c>
      <c r="W19" s="34">
        <f>'Non Staff costs'!S13</f>
        <v>300</v>
      </c>
      <c r="X19" s="34"/>
      <c r="Y19" s="34"/>
      <c r="Z19" s="35"/>
      <c r="AA19" s="35"/>
      <c r="AB19" s="36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3"/>
      <c r="BE19" s="32"/>
      <c r="BF19" s="32"/>
      <c r="BG19" s="32"/>
      <c r="BH19" s="32"/>
      <c r="BI19" s="32"/>
    </row>
    <row r="20" spans="1:61" ht="14">
      <c r="A20" s="28" t="s">
        <v>11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6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3"/>
      <c r="BE20" s="32"/>
      <c r="BF20" s="32"/>
      <c r="BG20" s="32"/>
      <c r="BH20" s="32"/>
      <c r="BI20" s="32"/>
    </row>
    <row r="21" spans="1:61" ht="14" hidden="1" outlineLevel="1">
      <c r="A21" s="28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34"/>
      <c r="Y21" s="34"/>
      <c r="Z21" s="35"/>
      <c r="AA21" s="35"/>
      <c r="AB21" s="36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3"/>
      <c r="BE21" s="32"/>
      <c r="BF21" s="32"/>
      <c r="BG21" s="32"/>
      <c r="BH21" s="32"/>
      <c r="BI21" s="32"/>
    </row>
    <row r="22" spans="1:61" ht="14" hidden="1" outlineLevel="1">
      <c r="A22" s="28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34"/>
      <c r="Y22" s="34"/>
      <c r="Z22" s="35"/>
      <c r="AA22" s="35"/>
      <c r="AB22" s="36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3"/>
      <c r="BE22" s="32"/>
      <c r="BF22" s="32"/>
      <c r="BG22" s="32"/>
      <c r="BH22" s="32"/>
      <c r="BI22" s="32"/>
    </row>
    <row r="23" spans="1:61" ht="14" hidden="1" outlineLevel="1">
      <c r="A23" s="28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4"/>
      <c r="Y23" s="34"/>
      <c r="Z23" s="35"/>
      <c r="AA23" s="35"/>
      <c r="AB23" s="36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3"/>
      <c r="BE23" s="32"/>
      <c r="BF23" s="32"/>
      <c r="BG23" s="32"/>
      <c r="BH23" s="32"/>
      <c r="BI23" s="32"/>
    </row>
    <row r="24" spans="1:61" ht="14" hidden="1" outlineLevel="1">
      <c r="A24" s="28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34"/>
      <c r="Y24" s="34"/>
      <c r="Z24" s="35"/>
      <c r="AA24" s="35"/>
      <c r="AB24" s="36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3"/>
      <c r="BE24" s="32"/>
      <c r="BF24" s="32"/>
      <c r="BG24" s="32"/>
      <c r="BH24" s="32"/>
      <c r="BI24" s="32"/>
    </row>
    <row r="25" spans="1:61" ht="14" collapsed="1">
      <c r="A25" s="46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35"/>
      <c r="AB25" s="36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3"/>
      <c r="BE25" s="32"/>
      <c r="BF25" s="32"/>
      <c r="BG25" s="32"/>
      <c r="BH25" s="32"/>
      <c r="BI25" s="32"/>
    </row>
    <row r="26" spans="1:61" ht="14">
      <c r="A26" s="15" t="s">
        <v>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  <c r="AA26" s="35"/>
      <c r="AB26" s="36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3"/>
      <c r="BE26" s="32"/>
      <c r="BF26" s="32"/>
      <c r="BG26" s="32"/>
      <c r="BH26" s="32"/>
      <c r="BI26" s="32"/>
    </row>
    <row r="27" spans="1:61" ht="14">
      <c r="A27" s="48" t="s">
        <v>13</v>
      </c>
      <c r="B27" s="34">
        <v>6000</v>
      </c>
      <c r="C27" s="34">
        <v>6000</v>
      </c>
      <c r="D27" s="34">
        <v>6000</v>
      </c>
      <c r="E27" s="34">
        <v>6000</v>
      </c>
      <c r="F27" s="34">
        <v>0</v>
      </c>
      <c r="G27" s="34">
        <f>'Staff costs'!J2</f>
        <v>0</v>
      </c>
      <c r="H27" s="34">
        <f>'Staff costs'!K12</f>
        <v>9333.33</v>
      </c>
      <c r="I27" s="34">
        <f>'Staff costs'!L12</f>
        <v>9333.33</v>
      </c>
      <c r="J27" s="34">
        <f>'Staff costs'!M12</f>
        <v>9333.33</v>
      </c>
      <c r="K27" s="34">
        <f>'Staff costs'!N12</f>
        <v>12333.33</v>
      </c>
      <c r="L27" s="34">
        <f>'Staff costs'!O12</f>
        <v>12333.33</v>
      </c>
      <c r="M27" s="34">
        <f>'Staff costs'!P12</f>
        <v>12333.33</v>
      </c>
      <c r="N27" s="34">
        <f>'Staff costs'!Q12</f>
        <v>12333.33</v>
      </c>
      <c r="O27" s="34">
        <f>'Staff costs'!R12</f>
        <v>12333.33</v>
      </c>
      <c r="P27" s="34">
        <f>'Staff costs'!S12</f>
        <v>12333.33</v>
      </c>
      <c r="Q27" s="34">
        <f>'Staff costs'!T12</f>
        <v>12333.33</v>
      </c>
      <c r="R27" s="34">
        <f>'Staff costs'!U12</f>
        <v>12333.33</v>
      </c>
      <c r="S27" s="34">
        <f>'Staff costs'!V12</f>
        <v>12333.33</v>
      </c>
      <c r="T27" s="34">
        <f>'Staff costs'!W12</f>
        <v>12333.33</v>
      </c>
      <c r="U27" s="34">
        <f>'Staff costs'!X12</f>
        <v>12333.33</v>
      </c>
      <c r="V27" s="34">
        <f>'Staff costs'!Y12</f>
        <v>12333.33</v>
      </c>
      <c r="W27" s="34">
        <f>'Staff costs'!Z12</f>
        <v>12333.33</v>
      </c>
      <c r="X27" s="34"/>
      <c r="Y27" s="34"/>
      <c r="Z27" s="35"/>
      <c r="AA27" s="35"/>
      <c r="AB27" s="36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3"/>
      <c r="BE27" s="32"/>
      <c r="BF27" s="32"/>
      <c r="BG27" s="32"/>
      <c r="BH27" s="32"/>
      <c r="BI27" s="32"/>
    </row>
    <row r="28" spans="1:61" ht="14">
      <c r="A28" s="48" t="s">
        <v>14</v>
      </c>
      <c r="B28" s="34">
        <f>6070.82+181.97</f>
        <v>6252.79</v>
      </c>
      <c r="C28" s="34">
        <f>8012.54+199.13</f>
        <v>8211.67</v>
      </c>
      <c r="D28" s="34">
        <f>8589.74+366.9</f>
        <v>8956.64</v>
      </c>
      <c r="E28" s="34">
        <v>0</v>
      </c>
      <c r="F28" s="34">
        <v>0</v>
      </c>
      <c r="G28" s="34">
        <f>'Staff costs'!J10</f>
        <v>0</v>
      </c>
      <c r="H28" s="34">
        <f>'Staff costs'!K10</f>
        <v>0</v>
      </c>
      <c r="I28" s="34">
        <f>'Staff costs'!L10</f>
        <v>0</v>
      </c>
      <c r="J28" s="34">
        <f>'Staff costs'!M10</f>
        <v>3540</v>
      </c>
      <c r="K28" s="34">
        <f>'Staff costs'!N10</f>
        <v>3540</v>
      </c>
      <c r="L28" s="34">
        <f>'Staff costs'!O10</f>
        <v>3540</v>
      </c>
      <c r="M28" s="34">
        <f>'Staff costs'!P10</f>
        <v>3540</v>
      </c>
      <c r="N28" s="34">
        <f>'Staff costs'!Q10</f>
        <v>3540</v>
      </c>
      <c r="O28" s="34">
        <f>'Staff costs'!R10</f>
        <v>3540</v>
      </c>
      <c r="P28" s="34">
        <f>'Staff costs'!S10</f>
        <v>3540</v>
      </c>
      <c r="Q28" s="34">
        <f>'Staff costs'!T10</f>
        <v>3540</v>
      </c>
      <c r="R28" s="34">
        <f>'Staff costs'!U10</f>
        <v>3540</v>
      </c>
      <c r="S28" s="34">
        <f>'Staff costs'!V10</f>
        <v>3540</v>
      </c>
      <c r="T28" s="34">
        <f>'Staff costs'!W10</f>
        <v>3540</v>
      </c>
      <c r="U28" s="34">
        <f>'Staff costs'!X10</f>
        <v>3540</v>
      </c>
      <c r="V28" s="34">
        <f>'Staff costs'!Y10</f>
        <v>3540</v>
      </c>
      <c r="W28" s="34">
        <f>'Staff costs'!Z10</f>
        <v>3540</v>
      </c>
      <c r="X28" s="34"/>
      <c r="Y28" s="34"/>
      <c r="Z28" s="35"/>
      <c r="AA28" s="35"/>
      <c r="AB28" s="36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3"/>
      <c r="BE28" s="32"/>
      <c r="BF28" s="32"/>
      <c r="BG28" s="49"/>
      <c r="BH28" s="32"/>
      <c r="BI28" s="32"/>
    </row>
    <row r="29" spans="1:61" ht="14">
      <c r="A29" s="48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5"/>
      <c r="AB29" s="36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3"/>
      <c r="BE29" s="32"/>
      <c r="BF29" s="32"/>
      <c r="BG29" s="49"/>
      <c r="BH29" s="32"/>
      <c r="BI29" s="32"/>
    </row>
    <row r="30" spans="1:61" ht="14">
      <c r="A30" s="50" t="s">
        <v>15</v>
      </c>
      <c r="B30" s="51">
        <f t="shared" ref="B30:W30" si="2">SUM(B27:B29)</f>
        <v>12252.79</v>
      </c>
      <c r="C30" s="51">
        <f t="shared" si="2"/>
        <v>14211.67</v>
      </c>
      <c r="D30" s="51">
        <f t="shared" si="2"/>
        <v>14956.64</v>
      </c>
      <c r="E30" s="51">
        <f t="shared" si="2"/>
        <v>6000</v>
      </c>
      <c r="F30" s="51">
        <f t="shared" si="2"/>
        <v>0</v>
      </c>
      <c r="G30" s="51">
        <f t="shared" si="2"/>
        <v>0</v>
      </c>
      <c r="H30" s="51">
        <f t="shared" si="2"/>
        <v>9333.33</v>
      </c>
      <c r="I30" s="51">
        <f t="shared" si="2"/>
        <v>9333.33</v>
      </c>
      <c r="J30" s="51">
        <f t="shared" si="2"/>
        <v>12873.33</v>
      </c>
      <c r="K30" s="51">
        <f t="shared" si="2"/>
        <v>15873.33</v>
      </c>
      <c r="L30" s="51">
        <f t="shared" si="2"/>
        <v>15873.33</v>
      </c>
      <c r="M30" s="51">
        <f t="shared" si="2"/>
        <v>15873.33</v>
      </c>
      <c r="N30" s="51">
        <f t="shared" si="2"/>
        <v>15873.33</v>
      </c>
      <c r="O30" s="51">
        <f t="shared" si="2"/>
        <v>15873.33</v>
      </c>
      <c r="P30" s="51">
        <f t="shared" si="2"/>
        <v>15873.33</v>
      </c>
      <c r="Q30" s="51">
        <f t="shared" si="2"/>
        <v>15873.33</v>
      </c>
      <c r="R30" s="51">
        <f t="shared" si="2"/>
        <v>15873.33</v>
      </c>
      <c r="S30" s="51">
        <f t="shared" si="2"/>
        <v>15873.33</v>
      </c>
      <c r="T30" s="51">
        <f t="shared" si="2"/>
        <v>15873.33</v>
      </c>
      <c r="U30" s="51">
        <f t="shared" si="2"/>
        <v>15873.33</v>
      </c>
      <c r="V30" s="51">
        <f t="shared" si="2"/>
        <v>15873.33</v>
      </c>
      <c r="W30" s="51">
        <f t="shared" si="2"/>
        <v>15873.33</v>
      </c>
      <c r="X30" s="51"/>
      <c r="Y30" s="51"/>
      <c r="Z30" s="52"/>
      <c r="AA30" s="52"/>
      <c r="AB30" s="53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33"/>
      <c r="BI30" s="33"/>
    </row>
    <row r="31" spans="1:61" ht="12.75" customHeight="1">
      <c r="A31" s="46"/>
      <c r="B31" s="55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5"/>
      <c r="AA31" s="35"/>
      <c r="AB31" s="36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3"/>
      <c r="BE31" s="32"/>
      <c r="BF31" s="32"/>
      <c r="BG31" s="32"/>
      <c r="BH31" s="32"/>
      <c r="BI31" s="32"/>
    </row>
    <row r="32" spans="1:61" ht="12.75" customHeight="1">
      <c r="A32" s="56" t="s">
        <v>16</v>
      </c>
      <c r="B32" s="57">
        <f t="shared" ref="B32:W32" si="3">SUM(B19:B24)+B30</f>
        <v>15711.44</v>
      </c>
      <c r="C32" s="57">
        <f t="shared" si="3"/>
        <v>26058.67</v>
      </c>
      <c r="D32" s="57">
        <f t="shared" si="3"/>
        <v>20652.91</v>
      </c>
      <c r="E32" s="57">
        <f t="shared" si="3"/>
        <v>11484</v>
      </c>
      <c r="F32" s="57">
        <f t="shared" si="3"/>
        <v>2574</v>
      </c>
      <c r="G32" s="57">
        <f t="shared" si="3"/>
        <v>2560</v>
      </c>
      <c r="H32" s="57">
        <f t="shared" si="3"/>
        <v>11893.33</v>
      </c>
      <c r="I32" s="57">
        <f t="shared" si="3"/>
        <v>11893.33</v>
      </c>
      <c r="J32" s="57">
        <f t="shared" si="3"/>
        <v>15433.33</v>
      </c>
      <c r="K32" s="57">
        <f t="shared" si="3"/>
        <v>15948.33</v>
      </c>
      <c r="L32" s="57">
        <f t="shared" si="3"/>
        <v>16023.33</v>
      </c>
      <c r="M32" s="58">
        <f t="shared" si="3"/>
        <v>16098.33</v>
      </c>
      <c r="N32" s="58">
        <f t="shared" si="3"/>
        <v>16173.33</v>
      </c>
      <c r="O32" s="58">
        <f t="shared" si="3"/>
        <v>16173.33</v>
      </c>
      <c r="P32" s="58">
        <f t="shared" si="3"/>
        <v>16173.33</v>
      </c>
      <c r="Q32" s="58">
        <f t="shared" si="3"/>
        <v>16173.33</v>
      </c>
      <c r="R32" s="58">
        <f t="shared" si="3"/>
        <v>16173.33</v>
      </c>
      <c r="S32" s="58">
        <f t="shared" si="3"/>
        <v>16173.33</v>
      </c>
      <c r="T32" s="58">
        <f t="shared" si="3"/>
        <v>16173.33</v>
      </c>
      <c r="U32" s="58">
        <f t="shared" si="3"/>
        <v>16173.33</v>
      </c>
      <c r="V32" s="58">
        <f t="shared" si="3"/>
        <v>16173.33</v>
      </c>
      <c r="W32" s="58">
        <f t="shared" si="3"/>
        <v>16173.33</v>
      </c>
      <c r="X32" s="57"/>
      <c r="Y32" s="57"/>
      <c r="Z32" s="59"/>
      <c r="AA32" s="59"/>
      <c r="AB32" s="60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33"/>
      <c r="BI32" s="33"/>
    </row>
    <row r="33" spans="1:61" ht="12.75" customHeight="1">
      <c r="A33" s="46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2"/>
      <c r="AB33" s="63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5"/>
      <c r="BE33" s="64"/>
      <c r="BF33" s="64"/>
      <c r="BG33" s="64"/>
      <c r="BH33" s="32"/>
      <c r="BI33" s="32"/>
    </row>
    <row r="34" spans="1:61" ht="19.5" customHeight="1">
      <c r="A34" s="40" t="s">
        <v>17</v>
      </c>
      <c r="B34" s="41">
        <f t="shared" ref="B34:W34" si="4">(B16)-(B32)</f>
        <v>2763.5599999999995</v>
      </c>
      <c r="C34" s="41">
        <f t="shared" si="4"/>
        <v>-7583.6699999999983</v>
      </c>
      <c r="D34" s="41">
        <f t="shared" si="4"/>
        <v>-2177.91</v>
      </c>
      <c r="E34" s="41">
        <f t="shared" si="4"/>
        <v>6991</v>
      </c>
      <c r="F34" s="41">
        <f t="shared" si="4"/>
        <v>115</v>
      </c>
      <c r="G34" s="41">
        <f t="shared" si="4"/>
        <v>-2560</v>
      </c>
      <c r="H34" s="41">
        <f t="shared" si="4"/>
        <v>20632.669999999998</v>
      </c>
      <c r="I34" s="41">
        <f t="shared" si="4"/>
        <v>-11893.33</v>
      </c>
      <c r="J34" s="41">
        <f t="shared" si="4"/>
        <v>28372.67</v>
      </c>
      <c r="K34" s="41">
        <f t="shared" si="4"/>
        <v>12001.67</v>
      </c>
      <c r="L34" s="41">
        <f t="shared" si="4"/>
        <v>13176.67</v>
      </c>
      <c r="M34" s="41">
        <f t="shared" si="4"/>
        <v>19035.003333333334</v>
      </c>
      <c r="N34" s="41">
        <f t="shared" si="4"/>
        <v>20810.003333333334</v>
      </c>
      <c r="O34" s="41">
        <f t="shared" si="4"/>
        <v>-6289.996666666666</v>
      </c>
      <c r="P34" s="41">
        <f t="shared" si="4"/>
        <v>18860.003333333334</v>
      </c>
      <c r="Q34" s="41">
        <f t="shared" si="4"/>
        <v>18860.003333333334</v>
      </c>
      <c r="R34" s="41">
        <f t="shared" si="4"/>
        <v>45410.003333333334</v>
      </c>
      <c r="S34" s="41">
        <f t="shared" si="4"/>
        <v>46310.003333333334</v>
      </c>
      <c r="T34" s="41">
        <f t="shared" si="4"/>
        <v>81136.003333333327</v>
      </c>
      <c r="U34" s="41">
        <f t="shared" si="4"/>
        <v>23910.003333333334</v>
      </c>
      <c r="V34" s="41">
        <f t="shared" si="4"/>
        <v>68666.003333333327</v>
      </c>
      <c r="W34" s="41">
        <f t="shared" si="4"/>
        <v>27160.003333333334</v>
      </c>
      <c r="X34" s="41"/>
      <c r="Y34" s="41"/>
      <c r="Z34" s="42"/>
      <c r="AA34" s="42"/>
      <c r="AB34" s="43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7"/>
      <c r="BI34" s="67"/>
    </row>
    <row r="35" spans="1:61" ht="12.75" customHeight="1">
      <c r="A35" s="46"/>
      <c r="B35" s="5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  <c r="AA35" s="35"/>
      <c r="AB35" s="36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3"/>
      <c r="BE35" s="32"/>
      <c r="BF35" s="32"/>
      <c r="BG35" s="32"/>
      <c r="BH35" s="32"/>
      <c r="BI35" s="32"/>
    </row>
    <row r="36" spans="1:61" ht="12.75" customHeight="1">
      <c r="A36" s="15" t="s">
        <v>18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5"/>
      <c r="AB36" s="36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3"/>
      <c r="BE36" s="32"/>
      <c r="BF36" s="32"/>
      <c r="BG36" s="32"/>
      <c r="BH36" s="32"/>
      <c r="BI36" s="32"/>
    </row>
    <row r="37" spans="1:61" ht="12.75" customHeight="1">
      <c r="A37" s="48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5"/>
      <c r="AA37" s="35"/>
      <c r="AB37" s="36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3"/>
      <c r="BE37" s="32"/>
      <c r="BF37" s="32"/>
      <c r="BG37" s="32"/>
      <c r="BH37" s="32"/>
      <c r="BI37" s="32"/>
    </row>
    <row r="38" spans="1:61" ht="12.75" customHeight="1">
      <c r="A38" s="28" t="s">
        <v>19</v>
      </c>
      <c r="B38" s="34">
        <v>15550</v>
      </c>
      <c r="C38" s="34">
        <v>11800</v>
      </c>
      <c r="D38" s="34">
        <v>18500</v>
      </c>
      <c r="E38" s="34">
        <v>23319.33</v>
      </c>
      <c r="F38" s="34">
        <v>8666.66</v>
      </c>
      <c r="G38" s="34">
        <f>'Staff costs'!J7+'Staff costs'!J8</f>
        <v>0</v>
      </c>
      <c r="H38" s="34">
        <f>'Staff costs'!K7+'Staff costs'!K8</f>
        <v>0</v>
      </c>
      <c r="I38" s="34">
        <f>'Staff costs'!L7+'Staff costs'!L8</f>
        <v>0</v>
      </c>
      <c r="J38" s="34">
        <f>'Staff costs'!M7+'Staff costs'!M8</f>
        <v>0</v>
      </c>
      <c r="K38" s="34">
        <f>'Staff costs'!N7+'Staff costs'!N8</f>
        <v>0</v>
      </c>
      <c r="L38" s="34">
        <f>'Staff costs'!O7+'Staff costs'!O8</f>
        <v>0</v>
      </c>
      <c r="M38" s="34">
        <f>'Staff costs'!P7+'Staff costs'!P8</f>
        <v>0</v>
      </c>
      <c r="N38" s="34">
        <f>'Staff costs'!Q7+'Staff costs'!Q8</f>
        <v>0</v>
      </c>
      <c r="O38" s="34">
        <f>'Staff costs'!R7+'Staff costs'!R8</f>
        <v>0</v>
      </c>
      <c r="P38" s="34">
        <f>'Staff costs'!S7+'Staff costs'!S8</f>
        <v>0</v>
      </c>
      <c r="Q38" s="34">
        <f>'Staff costs'!T7+'Staff costs'!T8</f>
        <v>0</v>
      </c>
      <c r="R38" s="34">
        <f>'Staff costs'!U7+'Staff costs'!U8</f>
        <v>0</v>
      </c>
      <c r="S38" s="34">
        <f>'Staff costs'!V7+'Staff costs'!V8</f>
        <v>10000</v>
      </c>
      <c r="T38" s="34">
        <f>'Staff costs'!W7+'Staff costs'!W8</f>
        <v>10000</v>
      </c>
      <c r="U38" s="34">
        <f>'Staff costs'!X7+'Staff costs'!X8</f>
        <v>10000</v>
      </c>
      <c r="V38" s="34">
        <f>'Staff costs'!Y7+'Staff costs'!Y8</f>
        <v>10000</v>
      </c>
      <c r="W38" s="34">
        <f>'Staff costs'!Z7+'Staff costs'!Z8</f>
        <v>10000</v>
      </c>
      <c r="X38" s="34"/>
      <c r="Y38" s="34"/>
      <c r="Z38" s="35"/>
      <c r="AA38" s="35"/>
      <c r="AB38" s="36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3"/>
      <c r="BE38" s="32"/>
      <c r="BF38" s="32"/>
      <c r="BG38" s="32"/>
      <c r="BH38" s="32"/>
      <c r="BI38" s="32"/>
    </row>
    <row r="39" spans="1:61" ht="14">
      <c r="A39" s="28" t="s">
        <v>20</v>
      </c>
      <c r="B39" s="34">
        <v>710</v>
      </c>
      <c r="C39" s="34">
        <v>1000</v>
      </c>
      <c r="D39" s="34">
        <v>300</v>
      </c>
      <c r="E39" s="34">
        <v>0</v>
      </c>
      <c r="F39" s="34">
        <v>0</v>
      </c>
      <c r="G39" s="34">
        <f>'Non Staff costs'!C18</f>
        <v>0</v>
      </c>
      <c r="H39" s="34">
        <f>'Non Staff costs'!D18</f>
        <v>0</v>
      </c>
      <c r="I39" s="34">
        <f>'Non Staff costs'!E18</f>
        <v>500</v>
      </c>
      <c r="J39" s="34">
        <f>'Non Staff costs'!F18</f>
        <v>500</v>
      </c>
      <c r="K39" s="34">
        <f>'Non Staff costs'!G18</f>
        <v>500</v>
      </c>
      <c r="L39" s="34">
        <f>'Non Staff costs'!H18</f>
        <v>500</v>
      </c>
      <c r="M39" s="34">
        <f>'Non Staff costs'!I18</f>
        <v>500</v>
      </c>
      <c r="N39" s="34">
        <f>'Non Staff costs'!J18</f>
        <v>500</v>
      </c>
      <c r="O39" s="34">
        <f>'Non Staff costs'!K18</f>
        <v>500</v>
      </c>
      <c r="P39" s="34">
        <f>'Non Staff costs'!L18</f>
        <v>500</v>
      </c>
      <c r="Q39" s="34">
        <f>'Non Staff costs'!M18</f>
        <v>500</v>
      </c>
      <c r="R39" s="34">
        <f>'Non Staff costs'!N18</f>
        <v>500</v>
      </c>
      <c r="S39" s="34">
        <f>'Non Staff costs'!O18</f>
        <v>500</v>
      </c>
      <c r="T39" s="34">
        <f>'Non Staff costs'!P18</f>
        <v>500</v>
      </c>
      <c r="U39" s="34">
        <f>'Non Staff costs'!Q18</f>
        <v>500</v>
      </c>
      <c r="V39" s="34">
        <f>'Non Staff costs'!R18</f>
        <v>500</v>
      </c>
      <c r="W39" s="34">
        <f>'Non Staff costs'!S18</f>
        <v>500</v>
      </c>
      <c r="X39" s="34"/>
      <c r="Y39" s="34"/>
      <c r="Z39" s="35"/>
      <c r="AA39" s="35"/>
      <c r="AB39" s="36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3"/>
      <c r="BE39" s="32"/>
      <c r="BF39" s="32"/>
      <c r="BG39" s="32"/>
      <c r="BH39" s="32"/>
      <c r="BI39" s="32"/>
    </row>
    <row r="40" spans="1:61" ht="14">
      <c r="A40" s="28" t="s">
        <v>21</v>
      </c>
      <c r="B40" s="34">
        <v>148.94999999999999</v>
      </c>
      <c r="C40" s="34">
        <v>148.94999999999999</v>
      </c>
      <c r="D40" s="34">
        <v>6662.5</v>
      </c>
      <c r="E40" s="34">
        <v>148.94999999999999</v>
      </c>
      <c r="F40" s="34">
        <v>4950</v>
      </c>
      <c r="G40" s="34">
        <f>'Non Staff costs'!C19</f>
        <v>0</v>
      </c>
      <c r="H40" s="34">
        <f>'Non Staff costs'!D19</f>
        <v>0</v>
      </c>
      <c r="I40" s="34">
        <f>'Non Staff costs'!E19</f>
        <v>0</v>
      </c>
      <c r="J40" s="34">
        <f>'Non Staff costs'!F19</f>
        <v>0</v>
      </c>
      <c r="K40" s="34">
        <f>'Non Staff costs'!G19</f>
        <v>0</v>
      </c>
      <c r="L40" s="34">
        <f>'Non Staff costs'!H19</f>
        <v>0</v>
      </c>
      <c r="M40" s="34">
        <f>'Non Staff costs'!I19</f>
        <v>0</v>
      </c>
      <c r="N40" s="34">
        <f>'Non Staff costs'!J19</f>
        <v>0</v>
      </c>
      <c r="O40" s="34">
        <f>'Non Staff costs'!K19</f>
        <v>0</v>
      </c>
      <c r="P40" s="34">
        <f>'Non Staff costs'!L19</f>
        <v>0</v>
      </c>
      <c r="Q40" s="34">
        <f>'Non Staff costs'!M19</f>
        <v>0</v>
      </c>
      <c r="R40" s="34">
        <f>'Non Staff costs'!N19</f>
        <v>0</v>
      </c>
      <c r="S40" s="34">
        <f>'Non Staff costs'!O19</f>
        <v>0</v>
      </c>
      <c r="T40" s="34">
        <f>'Non Staff costs'!P19</f>
        <v>0</v>
      </c>
      <c r="U40" s="34">
        <f>'Non Staff costs'!Q19</f>
        <v>0</v>
      </c>
      <c r="V40" s="34">
        <f>'Non Staff costs'!R19</f>
        <v>0</v>
      </c>
      <c r="W40" s="34">
        <f>'Non Staff costs'!S19</f>
        <v>0</v>
      </c>
      <c r="X40" s="34"/>
      <c r="Y40" s="34"/>
      <c r="Z40" s="35"/>
      <c r="AA40" s="35"/>
      <c r="AB40" s="36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3"/>
      <c r="BE40" s="32"/>
      <c r="BF40" s="32"/>
      <c r="BG40" s="32"/>
      <c r="BH40" s="32"/>
      <c r="BI40" s="32"/>
    </row>
    <row r="41" spans="1:61" ht="14">
      <c r="A41" s="28" t="s">
        <v>22</v>
      </c>
      <c r="B41" s="34">
        <v>12675</v>
      </c>
      <c r="C41" s="34">
        <v>900</v>
      </c>
      <c r="D41" s="34">
        <v>450</v>
      </c>
      <c r="E41" s="34">
        <v>450</v>
      </c>
      <c r="F41" s="34">
        <v>0</v>
      </c>
      <c r="G41" s="34">
        <f>'Non Staff costs'!C20</f>
        <v>0</v>
      </c>
      <c r="H41" s="34">
        <f>'Non Staff costs'!D20</f>
        <v>0</v>
      </c>
      <c r="I41" s="34">
        <f>'Non Staff costs'!E20</f>
        <v>0</v>
      </c>
      <c r="J41" s="34">
        <f>'Non Staff costs'!F20</f>
        <v>5000</v>
      </c>
      <c r="K41" s="34">
        <f>'Non Staff costs'!G20</f>
        <v>5000</v>
      </c>
      <c r="L41" s="34">
        <f>'Non Staff costs'!H20</f>
        <v>5000</v>
      </c>
      <c r="M41" s="34">
        <f>'Non Staff costs'!I20</f>
        <v>5000</v>
      </c>
      <c r="N41" s="34">
        <f>'Non Staff costs'!J20</f>
        <v>5000</v>
      </c>
      <c r="O41" s="34">
        <f>'Non Staff costs'!K20</f>
        <v>5000</v>
      </c>
      <c r="P41" s="34">
        <f>'Non Staff costs'!L20</f>
        <v>5000</v>
      </c>
      <c r="Q41" s="34">
        <f>'Non Staff costs'!M20</f>
        <v>5000</v>
      </c>
      <c r="R41" s="34">
        <f>'Non Staff costs'!N20</f>
        <v>5000</v>
      </c>
      <c r="S41" s="34">
        <f>'Non Staff costs'!O20</f>
        <v>5000</v>
      </c>
      <c r="T41" s="34">
        <f>'Non Staff costs'!P20</f>
        <v>5000</v>
      </c>
      <c r="U41" s="34">
        <f>'Non Staff costs'!Q20</f>
        <v>5000</v>
      </c>
      <c r="V41" s="34">
        <f>'Non Staff costs'!R20</f>
        <v>5000</v>
      </c>
      <c r="W41" s="34">
        <f>'Non Staff costs'!S20</f>
        <v>5000</v>
      </c>
      <c r="X41" s="34"/>
      <c r="Y41" s="34"/>
      <c r="Z41" s="35"/>
      <c r="AA41" s="35"/>
      <c r="AB41" s="36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32"/>
      <c r="BF41" s="32"/>
      <c r="BG41" s="32"/>
      <c r="BH41" s="32"/>
      <c r="BI41" s="32"/>
    </row>
    <row r="42" spans="1:61" ht="12.75" customHeight="1">
      <c r="A42" s="28" t="s">
        <v>23</v>
      </c>
      <c r="B42" s="34">
        <v>1000</v>
      </c>
      <c r="C42" s="34">
        <v>500</v>
      </c>
      <c r="D42" s="34">
        <v>500</v>
      </c>
      <c r="E42" s="34">
        <v>500</v>
      </c>
      <c r="F42" s="34">
        <v>0</v>
      </c>
      <c r="G42" s="34">
        <f>'Non Staff costs'!C21</f>
        <v>0</v>
      </c>
      <c r="H42" s="34">
        <f>'Non Staff costs'!D21</f>
        <v>500</v>
      </c>
      <c r="I42" s="34">
        <f>'Non Staff costs'!E21</f>
        <v>500</v>
      </c>
      <c r="J42" s="34">
        <f>'Non Staff costs'!F21</f>
        <v>500</v>
      </c>
      <c r="K42" s="34">
        <f>'Non Staff costs'!G21</f>
        <v>500</v>
      </c>
      <c r="L42" s="34">
        <f>'Non Staff costs'!H21</f>
        <v>500</v>
      </c>
      <c r="M42" s="34">
        <f>'Non Staff costs'!I21</f>
        <v>1000</v>
      </c>
      <c r="N42" s="34">
        <f>'Non Staff costs'!J21</f>
        <v>1000</v>
      </c>
      <c r="O42" s="34">
        <f>'Non Staff costs'!K21</f>
        <v>1000</v>
      </c>
      <c r="P42" s="34">
        <f>'Non Staff costs'!L21</f>
        <v>1000</v>
      </c>
      <c r="Q42" s="34">
        <f>'Non Staff costs'!M21</f>
        <v>1000</v>
      </c>
      <c r="R42" s="34">
        <f>'Non Staff costs'!N21</f>
        <v>1000</v>
      </c>
      <c r="S42" s="34">
        <f>'Non Staff costs'!O21</f>
        <v>1000</v>
      </c>
      <c r="T42" s="34">
        <f>'Non Staff costs'!P21</f>
        <v>1000</v>
      </c>
      <c r="U42" s="34">
        <f>'Non Staff costs'!Q21</f>
        <v>1000</v>
      </c>
      <c r="V42" s="34">
        <f>'Non Staff costs'!R21</f>
        <v>1000</v>
      </c>
      <c r="W42" s="34">
        <f>'Non Staff costs'!S21</f>
        <v>1000</v>
      </c>
      <c r="X42" s="34"/>
      <c r="Y42" s="34"/>
      <c r="Z42" s="35"/>
      <c r="AA42" s="35"/>
      <c r="AB42" s="36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3"/>
      <c r="BE42" s="32"/>
      <c r="BF42" s="32"/>
      <c r="BG42" s="32"/>
      <c r="BH42" s="32"/>
      <c r="BI42" s="32"/>
    </row>
    <row r="43" spans="1:61" ht="12.75" customHeight="1">
      <c r="A43" s="28" t="s">
        <v>24</v>
      </c>
      <c r="B43" s="34">
        <v>3000</v>
      </c>
      <c r="C43" s="34">
        <v>1500</v>
      </c>
      <c r="D43" s="34">
        <v>1500</v>
      </c>
      <c r="E43" s="34">
        <v>1500</v>
      </c>
      <c r="F43" s="34">
        <v>0</v>
      </c>
      <c r="G43" s="34">
        <f>'Non Staff costs'!C22</f>
        <v>1500</v>
      </c>
      <c r="H43" s="34">
        <f>'Non Staff costs'!D22</f>
        <v>1500</v>
      </c>
      <c r="I43" s="34">
        <f>'Non Staff costs'!E22</f>
        <v>1500</v>
      </c>
      <c r="J43" s="34">
        <f>'Non Staff costs'!F22</f>
        <v>1500</v>
      </c>
      <c r="K43" s="34">
        <f>'Non Staff costs'!G22</f>
        <v>1500</v>
      </c>
      <c r="L43" s="34">
        <f>'Non Staff costs'!H22</f>
        <v>1500</v>
      </c>
      <c r="M43" s="34">
        <f>'Non Staff costs'!I22</f>
        <v>1500</v>
      </c>
      <c r="N43" s="34">
        <f>'Non Staff costs'!J22</f>
        <v>1500</v>
      </c>
      <c r="O43" s="34">
        <f>'Non Staff costs'!K22</f>
        <v>1500</v>
      </c>
      <c r="P43" s="34">
        <f>'Non Staff costs'!L22</f>
        <v>1500</v>
      </c>
      <c r="Q43" s="34">
        <f>'Non Staff costs'!M22</f>
        <v>1500</v>
      </c>
      <c r="R43" s="34">
        <f>'Non Staff costs'!N22</f>
        <v>1500</v>
      </c>
      <c r="S43" s="34">
        <f>'Non Staff costs'!O22</f>
        <v>1500</v>
      </c>
      <c r="T43" s="34">
        <f>'Non Staff costs'!P22</f>
        <v>1500</v>
      </c>
      <c r="U43" s="34">
        <f>'Non Staff costs'!Q22</f>
        <v>1500</v>
      </c>
      <c r="V43" s="34">
        <f>'Non Staff costs'!R22</f>
        <v>1500</v>
      </c>
      <c r="W43" s="34">
        <f>'Non Staff costs'!S22</f>
        <v>1500</v>
      </c>
      <c r="X43" s="34"/>
      <c r="Y43" s="34"/>
      <c r="Z43" s="35"/>
      <c r="AA43" s="35"/>
      <c r="AB43" s="36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3"/>
      <c r="BE43" s="32"/>
      <c r="BF43" s="32"/>
      <c r="BG43" s="32"/>
      <c r="BH43" s="32"/>
      <c r="BI43" s="32"/>
    </row>
    <row r="44" spans="1:61" ht="12.75" customHeight="1">
      <c r="A44" s="28" t="s">
        <v>25</v>
      </c>
      <c r="B44" s="34">
        <v>126.67</v>
      </c>
      <c r="C44" s="34">
        <v>126.67</v>
      </c>
      <c r="D44" s="34">
        <v>126.67</v>
      </c>
      <c r="E44" s="34">
        <v>126.67</v>
      </c>
      <c r="F44" s="34">
        <v>5</v>
      </c>
      <c r="G44" s="34">
        <f>'Non Staff costs'!C23</f>
        <v>150</v>
      </c>
      <c r="H44" s="34">
        <f>'Non Staff costs'!D23</f>
        <v>150</v>
      </c>
      <c r="I44" s="34">
        <f>'Non Staff costs'!E23</f>
        <v>150</v>
      </c>
      <c r="J44" s="34">
        <f>'Non Staff costs'!F23</f>
        <v>150</v>
      </c>
      <c r="K44" s="34">
        <f>'Non Staff costs'!G23</f>
        <v>150</v>
      </c>
      <c r="L44" s="34">
        <f>'Non Staff costs'!H23</f>
        <v>150</v>
      </c>
      <c r="M44" s="34">
        <f>'Non Staff costs'!I23</f>
        <v>150</v>
      </c>
      <c r="N44" s="34">
        <f>'Non Staff costs'!J23</f>
        <v>150</v>
      </c>
      <c r="O44" s="34">
        <f>'Non Staff costs'!K23</f>
        <v>150</v>
      </c>
      <c r="P44" s="34">
        <f>'Non Staff costs'!L23</f>
        <v>150</v>
      </c>
      <c r="Q44" s="34">
        <f>'Non Staff costs'!M23</f>
        <v>150</v>
      </c>
      <c r="R44" s="34">
        <f>'Non Staff costs'!N23</f>
        <v>150</v>
      </c>
      <c r="S44" s="34">
        <f>'Non Staff costs'!O23</f>
        <v>150</v>
      </c>
      <c r="T44" s="34">
        <f>'Non Staff costs'!P23</f>
        <v>150</v>
      </c>
      <c r="U44" s="34">
        <f>'Non Staff costs'!Q23</f>
        <v>150</v>
      </c>
      <c r="V44" s="34">
        <f>'Non Staff costs'!R23</f>
        <v>150</v>
      </c>
      <c r="W44" s="34">
        <f>'Non Staff costs'!S23</f>
        <v>150</v>
      </c>
      <c r="X44" s="34"/>
      <c r="Y44" s="34"/>
      <c r="Z44" s="35"/>
      <c r="AA44" s="35"/>
      <c r="AB44" s="36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3"/>
      <c r="BE44" s="32"/>
      <c r="BF44" s="32"/>
      <c r="BG44" s="32"/>
      <c r="BH44" s="32"/>
      <c r="BI44" s="32"/>
    </row>
    <row r="45" spans="1:61" ht="12.75" customHeight="1">
      <c r="A45" s="28" t="s">
        <v>26</v>
      </c>
      <c r="B45" s="34">
        <f>'HO P&amp;L'!C38</f>
        <v>0</v>
      </c>
      <c r="C45" s="34">
        <f>'HO P&amp;L'!D38</f>
        <v>305</v>
      </c>
      <c r="D45" s="34">
        <f>'HO P&amp;L'!E38</f>
        <v>0</v>
      </c>
      <c r="E45" s="34">
        <f>'HO P&amp;L'!F38</f>
        <v>0</v>
      </c>
      <c r="F45" s="34">
        <f>'HO P&amp;L'!G38</f>
        <v>0</v>
      </c>
      <c r="G45" s="34">
        <f>'Non Staff costs'!C24</f>
        <v>0</v>
      </c>
      <c r="H45" s="34">
        <f>'Non Staff costs'!D24</f>
        <v>0</v>
      </c>
      <c r="I45" s="34">
        <f>'Non Staff costs'!E24</f>
        <v>0</v>
      </c>
      <c r="J45" s="34">
        <f>'Non Staff costs'!F24</f>
        <v>0</v>
      </c>
      <c r="K45" s="34">
        <f>'Non Staff costs'!G24</f>
        <v>0</v>
      </c>
      <c r="L45" s="34">
        <f>'Non Staff costs'!H24</f>
        <v>0</v>
      </c>
      <c r="M45" s="34">
        <f>'Non Staff costs'!I24</f>
        <v>0</v>
      </c>
      <c r="N45" s="34">
        <f>'Non Staff costs'!J24</f>
        <v>0</v>
      </c>
      <c r="O45" s="34">
        <f>'Non Staff costs'!K24</f>
        <v>0</v>
      </c>
      <c r="P45" s="34">
        <f>'Non Staff costs'!L24</f>
        <v>0</v>
      </c>
      <c r="Q45" s="34">
        <f>'Non Staff costs'!M24</f>
        <v>0</v>
      </c>
      <c r="R45" s="34">
        <f>'Non Staff costs'!N24</f>
        <v>0</v>
      </c>
      <c r="S45" s="34">
        <f>'Non Staff costs'!O24</f>
        <v>0</v>
      </c>
      <c r="T45" s="34">
        <f>'Non Staff costs'!P24</f>
        <v>0</v>
      </c>
      <c r="U45" s="34">
        <f>'Non Staff costs'!Q24</f>
        <v>0</v>
      </c>
      <c r="V45" s="34">
        <f>'Non Staff costs'!R24</f>
        <v>0</v>
      </c>
      <c r="W45" s="34">
        <f>'Non Staff costs'!S24</f>
        <v>0</v>
      </c>
      <c r="X45" s="34"/>
      <c r="Y45" s="34"/>
      <c r="Z45" s="35"/>
      <c r="AA45" s="35"/>
      <c r="AB45" s="36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3"/>
      <c r="BE45" s="32"/>
      <c r="BF45" s="32"/>
      <c r="BG45" s="32"/>
      <c r="BH45" s="32"/>
      <c r="BI45" s="32"/>
    </row>
    <row r="46" spans="1:61" ht="12.75" customHeight="1">
      <c r="A46" s="28" t="s">
        <v>27</v>
      </c>
      <c r="B46" s="34">
        <v>3099.9</v>
      </c>
      <c r="C46" s="34">
        <v>112.45</v>
      </c>
      <c r="D46" s="34">
        <v>844.22</v>
      </c>
      <c r="E46" s="34">
        <v>237.77</v>
      </c>
      <c r="F46" s="34">
        <v>94.4</v>
      </c>
      <c r="G46" s="34">
        <f>'Non Staff costs'!C25</f>
        <v>0</v>
      </c>
      <c r="H46" s="34">
        <f>'Non Staff costs'!D25</f>
        <v>500</v>
      </c>
      <c r="I46" s="34">
        <f>'Non Staff costs'!E25</f>
        <v>500</v>
      </c>
      <c r="J46" s="34">
        <f>'Non Staff costs'!F25</f>
        <v>500</v>
      </c>
      <c r="K46" s="34">
        <f>'Non Staff costs'!G25</f>
        <v>500</v>
      </c>
      <c r="L46" s="34">
        <f>'Non Staff costs'!H25</f>
        <v>500</v>
      </c>
      <c r="M46" s="34">
        <f>'Non Staff costs'!I25</f>
        <v>500</v>
      </c>
      <c r="N46" s="34">
        <f>'Non Staff costs'!J25</f>
        <v>500</v>
      </c>
      <c r="O46" s="34">
        <f>'Non Staff costs'!K25</f>
        <v>500</v>
      </c>
      <c r="P46" s="34">
        <f>'Non Staff costs'!L25</f>
        <v>500</v>
      </c>
      <c r="Q46" s="34">
        <f>'Non Staff costs'!M25</f>
        <v>500</v>
      </c>
      <c r="R46" s="34">
        <f>'Non Staff costs'!N25</f>
        <v>500</v>
      </c>
      <c r="S46" s="34">
        <f>'Non Staff costs'!O25</f>
        <v>500</v>
      </c>
      <c r="T46" s="34">
        <f>'Non Staff costs'!P25</f>
        <v>500</v>
      </c>
      <c r="U46" s="34">
        <f>'Non Staff costs'!Q25</f>
        <v>500</v>
      </c>
      <c r="V46" s="34">
        <f>'Non Staff costs'!R25</f>
        <v>500</v>
      </c>
      <c r="W46" s="34">
        <f>'Non Staff costs'!S25</f>
        <v>500</v>
      </c>
      <c r="X46" s="34"/>
      <c r="Y46" s="34"/>
      <c r="Z46" s="35"/>
      <c r="AA46" s="35"/>
      <c r="AB46" s="36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3"/>
      <c r="BE46" s="32"/>
      <c r="BF46" s="32"/>
      <c r="BG46" s="32"/>
      <c r="BH46" s="32"/>
      <c r="BI46" s="32"/>
    </row>
    <row r="47" spans="1:61" ht="12.75" customHeight="1">
      <c r="A47" s="28" t="s">
        <v>28</v>
      </c>
      <c r="B47" s="34">
        <v>23.8</v>
      </c>
      <c r="C47" s="34">
        <v>3005.23</v>
      </c>
      <c r="D47" s="34">
        <v>1000</v>
      </c>
      <c r="E47" s="34">
        <v>1000</v>
      </c>
      <c r="F47" s="34">
        <v>0</v>
      </c>
      <c r="G47" s="34">
        <f>'Non Staff costs'!C26</f>
        <v>500</v>
      </c>
      <c r="H47" s="34">
        <f>'Non Staff costs'!D26</f>
        <v>500</v>
      </c>
      <c r="I47" s="34">
        <f>'Non Staff costs'!E26</f>
        <v>500</v>
      </c>
      <c r="J47" s="34">
        <f>'Non Staff costs'!F26</f>
        <v>500</v>
      </c>
      <c r="K47" s="34">
        <f>'Non Staff costs'!G26</f>
        <v>500</v>
      </c>
      <c r="L47" s="34">
        <f>'Non Staff costs'!H26</f>
        <v>500</v>
      </c>
      <c r="M47" s="34">
        <f>'Non Staff costs'!I26</f>
        <v>500</v>
      </c>
      <c r="N47" s="34">
        <f>'Non Staff costs'!J26</f>
        <v>500</v>
      </c>
      <c r="O47" s="34">
        <f>'Non Staff costs'!K26</f>
        <v>500</v>
      </c>
      <c r="P47" s="34">
        <f>'Non Staff costs'!L26</f>
        <v>500</v>
      </c>
      <c r="Q47" s="34">
        <f>'Non Staff costs'!M26</f>
        <v>500</v>
      </c>
      <c r="R47" s="34">
        <f>'Non Staff costs'!N26</f>
        <v>500</v>
      </c>
      <c r="S47" s="34">
        <f>'Non Staff costs'!O26</f>
        <v>500</v>
      </c>
      <c r="T47" s="34">
        <f>'Non Staff costs'!P26</f>
        <v>500</v>
      </c>
      <c r="U47" s="34">
        <f>'Non Staff costs'!Q26</f>
        <v>500</v>
      </c>
      <c r="V47" s="34">
        <f>'Non Staff costs'!R26</f>
        <v>500</v>
      </c>
      <c r="W47" s="34">
        <f>'Non Staff costs'!S26</f>
        <v>500</v>
      </c>
      <c r="X47" s="34"/>
      <c r="Y47" s="34"/>
      <c r="Z47" s="35"/>
      <c r="AA47" s="35"/>
      <c r="AB47" s="36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3"/>
      <c r="BE47" s="32"/>
      <c r="BF47" s="32"/>
      <c r="BG47" s="32"/>
      <c r="BH47" s="32"/>
      <c r="BI47" s="32"/>
    </row>
    <row r="48" spans="1:61" ht="12.75" customHeight="1">
      <c r="A48" s="50" t="s">
        <v>29</v>
      </c>
      <c r="B48" s="51">
        <f t="shared" ref="B48:W48" si="5">SUM(B38:B47)</f>
        <v>36334.32</v>
      </c>
      <c r="C48" s="51">
        <f t="shared" si="5"/>
        <v>19398.3</v>
      </c>
      <c r="D48" s="51">
        <f t="shared" si="5"/>
        <v>29883.39</v>
      </c>
      <c r="E48" s="51">
        <f t="shared" si="5"/>
        <v>27282.720000000001</v>
      </c>
      <c r="F48" s="51">
        <f t="shared" si="5"/>
        <v>13716.06</v>
      </c>
      <c r="G48" s="51">
        <f t="shared" si="5"/>
        <v>2150</v>
      </c>
      <c r="H48" s="51">
        <f t="shared" si="5"/>
        <v>3150</v>
      </c>
      <c r="I48" s="51">
        <f t="shared" si="5"/>
        <v>3650</v>
      </c>
      <c r="J48" s="51">
        <f t="shared" si="5"/>
        <v>8650</v>
      </c>
      <c r="K48" s="51">
        <f t="shared" si="5"/>
        <v>8650</v>
      </c>
      <c r="L48" s="51">
        <f t="shared" si="5"/>
        <v>8650</v>
      </c>
      <c r="M48" s="51">
        <f t="shared" si="5"/>
        <v>9150</v>
      </c>
      <c r="N48" s="51">
        <f t="shared" si="5"/>
        <v>9150</v>
      </c>
      <c r="O48" s="51">
        <f t="shared" si="5"/>
        <v>9150</v>
      </c>
      <c r="P48" s="51">
        <f t="shared" si="5"/>
        <v>9150</v>
      </c>
      <c r="Q48" s="51">
        <f t="shared" si="5"/>
        <v>9150</v>
      </c>
      <c r="R48" s="51">
        <f t="shared" si="5"/>
        <v>9150</v>
      </c>
      <c r="S48" s="51">
        <f t="shared" si="5"/>
        <v>19150</v>
      </c>
      <c r="T48" s="51">
        <f t="shared" si="5"/>
        <v>19150</v>
      </c>
      <c r="U48" s="51">
        <f t="shared" si="5"/>
        <v>19150</v>
      </c>
      <c r="V48" s="51">
        <f t="shared" si="5"/>
        <v>19150</v>
      </c>
      <c r="W48" s="51">
        <f t="shared" si="5"/>
        <v>19150</v>
      </c>
      <c r="X48" s="51"/>
      <c r="Y48" s="51"/>
      <c r="Z48" s="52"/>
      <c r="AA48" s="52"/>
      <c r="AB48" s="53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32"/>
      <c r="BI48" s="32"/>
    </row>
    <row r="49" spans="1:61" ht="12.75" customHeight="1">
      <c r="A49" s="46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68"/>
      <c r="AA49" s="68"/>
      <c r="AB49" s="69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5"/>
      <c r="BE49" s="64"/>
      <c r="BF49" s="64"/>
      <c r="BG49" s="64"/>
      <c r="BH49" s="32"/>
      <c r="BI49" s="32"/>
    </row>
    <row r="50" spans="1:61" ht="18.75" customHeight="1">
      <c r="A50" s="70" t="s">
        <v>30</v>
      </c>
      <c r="B50" s="71">
        <f t="shared" ref="B50:W50" si="6">(B34)+(0)-(B48)+(0)-(0)</f>
        <v>-33570.76</v>
      </c>
      <c r="C50" s="71">
        <f t="shared" si="6"/>
        <v>-26981.969999999998</v>
      </c>
      <c r="D50" s="71">
        <f t="shared" si="6"/>
        <v>-32061.3</v>
      </c>
      <c r="E50" s="71">
        <f t="shared" si="6"/>
        <v>-20291.72</v>
      </c>
      <c r="F50" s="71">
        <f t="shared" si="6"/>
        <v>-13601.06</v>
      </c>
      <c r="G50" s="71">
        <f t="shared" si="6"/>
        <v>-4710</v>
      </c>
      <c r="H50" s="71">
        <f t="shared" si="6"/>
        <v>17482.669999999998</v>
      </c>
      <c r="I50" s="71">
        <f t="shared" si="6"/>
        <v>-15543.33</v>
      </c>
      <c r="J50" s="71">
        <f t="shared" si="6"/>
        <v>19722.669999999998</v>
      </c>
      <c r="K50" s="71">
        <f t="shared" si="6"/>
        <v>3351.67</v>
      </c>
      <c r="L50" s="71">
        <f t="shared" si="6"/>
        <v>4526.67</v>
      </c>
      <c r="M50" s="71">
        <f t="shared" si="6"/>
        <v>9885.003333333334</v>
      </c>
      <c r="N50" s="71">
        <f t="shared" si="6"/>
        <v>11660.003333333334</v>
      </c>
      <c r="O50" s="71">
        <f t="shared" si="6"/>
        <v>-15439.996666666666</v>
      </c>
      <c r="P50" s="71">
        <f t="shared" si="6"/>
        <v>9710.003333333334</v>
      </c>
      <c r="Q50" s="71">
        <f t="shared" si="6"/>
        <v>9710.003333333334</v>
      </c>
      <c r="R50" s="71">
        <f t="shared" si="6"/>
        <v>36260.003333333334</v>
      </c>
      <c r="S50" s="71">
        <f t="shared" si="6"/>
        <v>27160.003333333334</v>
      </c>
      <c r="T50" s="71">
        <f t="shared" si="6"/>
        <v>61986.003333333327</v>
      </c>
      <c r="U50" s="71">
        <f t="shared" si="6"/>
        <v>4760.003333333334</v>
      </c>
      <c r="V50" s="71">
        <f t="shared" si="6"/>
        <v>49516.003333333327</v>
      </c>
      <c r="W50" s="71">
        <f t="shared" si="6"/>
        <v>8010.003333333334</v>
      </c>
      <c r="X50" s="71"/>
      <c r="Y50" s="71"/>
      <c r="Z50" s="72"/>
      <c r="AA50" s="72"/>
      <c r="AB50" s="73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5"/>
      <c r="BI50" s="75"/>
    </row>
    <row r="51" spans="1:61" ht="12.75" customHeight="1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8"/>
      <c r="AA51" s="78"/>
      <c r="AB51" s="79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7"/>
      <c r="BE51" s="26"/>
      <c r="BF51" s="26"/>
      <c r="BG51" s="26"/>
      <c r="BH51" s="32"/>
      <c r="BI51" s="32"/>
    </row>
    <row r="52" spans="1:61" ht="12.75" customHeight="1">
      <c r="A52" s="80" t="s">
        <v>31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8"/>
      <c r="AA52" s="78"/>
      <c r="AB52" s="79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7"/>
      <c r="BE52" s="26"/>
      <c r="BF52" s="26"/>
      <c r="BG52" s="26"/>
      <c r="BH52" s="32"/>
      <c r="BI52" s="32"/>
    </row>
    <row r="53" spans="1:61" ht="12.75" customHeight="1">
      <c r="A53" s="81"/>
      <c r="B53" s="34">
        <v>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/>
      <c r="Y53" s="34"/>
      <c r="Z53" s="35"/>
      <c r="AA53" s="35"/>
      <c r="AB53" s="36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3"/>
      <c r="BE53" s="32"/>
      <c r="BF53" s="32"/>
      <c r="BG53" s="26"/>
      <c r="BH53" s="32"/>
      <c r="BI53" s="32"/>
    </row>
    <row r="54" spans="1:61" ht="12.75" customHeight="1">
      <c r="A54" s="48" t="s">
        <v>32</v>
      </c>
      <c r="B54" s="34">
        <v>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/>
      <c r="Y54" s="34"/>
      <c r="Z54" s="35"/>
      <c r="AA54" s="35"/>
      <c r="AB54" s="36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3"/>
      <c r="BE54" s="32"/>
      <c r="BF54" s="32"/>
      <c r="BG54" s="32"/>
      <c r="BH54" s="32"/>
      <c r="BI54" s="32"/>
    </row>
    <row r="55" spans="1:61" ht="12.75" customHeight="1">
      <c r="A55" s="82" t="s">
        <v>33</v>
      </c>
      <c r="B55" s="51">
        <f t="shared" ref="B55:W55" si="7">SUM(B53:B54)</f>
        <v>0</v>
      </c>
      <c r="C55" s="51">
        <f t="shared" si="7"/>
        <v>0</v>
      </c>
      <c r="D55" s="51">
        <f t="shared" si="7"/>
        <v>0</v>
      </c>
      <c r="E55" s="51">
        <f t="shared" si="7"/>
        <v>0</v>
      </c>
      <c r="F55" s="51">
        <f t="shared" si="7"/>
        <v>0</v>
      </c>
      <c r="G55" s="51">
        <f t="shared" si="7"/>
        <v>0</v>
      </c>
      <c r="H55" s="51">
        <f t="shared" si="7"/>
        <v>0</v>
      </c>
      <c r="I55" s="51">
        <f t="shared" si="7"/>
        <v>0</v>
      </c>
      <c r="J55" s="51">
        <f t="shared" si="7"/>
        <v>0</v>
      </c>
      <c r="K55" s="51">
        <f t="shared" si="7"/>
        <v>0</v>
      </c>
      <c r="L55" s="51">
        <f t="shared" si="7"/>
        <v>0</v>
      </c>
      <c r="M55" s="51">
        <f t="shared" si="7"/>
        <v>0</v>
      </c>
      <c r="N55" s="51">
        <f t="shared" si="7"/>
        <v>0</v>
      </c>
      <c r="O55" s="51">
        <f t="shared" si="7"/>
        <v>0</v>
      </c>
      <c r="P55" s="51">
        <f t="shared" si="7"/>
        <v>0</v>
      </c>
      <c r="Q55" s="51">
        <f t="shared" si="7"/>
        <v>0</v>
      </c>
      <c r="R55" s="51">
        <f t="shared" si="7"/>
        <v>0</v>
      </c>
      <c r="S55" s="51">
        <f t="shared" si="7"/>
        <v>0</v>
      </c>
      <c r="T55" s="51">
        <f t="shared" si="7"/>
        <v>0</v>
      </c>
      <c r="U55" s="51">
        <f t="shared" si="7"/>
        <v>0</v>
      </c>
      <c r="V55" s="51">
        <f t="shared" si="7"/>
        <v>0</v>
      </c>
      <c r="W55" s="51">
        <f t="shared" si="7"/>
        <v>0</v>
      </c>
      <c r="X55" s="51"/>
      <c r="Y55" s="51"/>
      <c r="Z55" s="52"/>
      <c r="AA55" s="52"/>
      <c r="AB55" s="53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32"/>
      <c r="BI55" s="32"/>
    </row>
    <row r="56" spans="1:61" ht="12.75" customHeight="1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8"/>
      <c r="AA56" s="78"/>
      <c r="AB56" s="79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7"/>
      <c r="BE56" s="26"/>
      <c r="BF56" s="26"/>
      <c r="BG56" s="26"/>
      <c r="BH56" s="32"/>
      <c r="BI56" s="32"/>
    </row>
    <row r="57" spans="1:61" ht="16.5" customHeight="1">
      <c r="A57" s="70" t="s">
        <v>34</v>
      </c>
      <c r="B57" s="71">
        <f t="shared" ref="B57:W57" si="8">B50-B55</f>
        <v>-33570.76</v>
      </c>
      <c r="C57" s="71">
        <f t="shared" si="8"/>
        <v>-26981.969999999998</v>
      </c>
      <c r="D57" s="71">
        <f t="shared" si="8"/>
        <v>-32061.3</v>
      </c>
      <c r="E57" s="71">
        <f t="shared" si="8"/>
        <v>-20291.72</v>
      </c>
      <c r="F57" s="71">
        <f t="shared" si="8"/>
        <v>-13601.06</v>
      </c>
      <c r="G57" s="71">
        <f t="shared" si="8"/>
        <v>-4710</v>
      </c>
      <c r="H57" s="71">
        <f t="shared" si="8"/>
        <v>17482.669999999998</v>
      </c>
      <c r="I57" s="71">
        <f t="shared" si="8"/>
        <v>-15543.33</v>
      </c>
      <c r="J57" s="71">
        <f t="shared" si="8"/>
        <v>19722.669999999998</v>
      </c>
      <c r="K57" s="71">
        <f t="shared" si="8"/>
        <v>3351.67</v>
      </c>
      <c r="L57" s="71">
        <f t="shared" si="8"/>
        <v>4526.67</v>
      </c>
      <c r="M57" s="71">
        <f t="shared" si="8"/>
        <v>9885.003333333334</v>
      </c>
      <c r="N57" s="71">
        <f t="shared" si="8"/>
        <v>11660.003333333334</v>
      </c>
      <c r="O57" s="71">
        <f t="shared" si="8"/>
        <v>-15439.996666666666</v>
      </c>
      <c r="P57" s="71">
        <f t="shared" si="8"/>
        <v>9710.003333333334</v>
      </c>
      <c r="Q57" s="71">
        <f t="shared" si="8"/>
        <v>9710.003333333334</v>
      </c>
      <c r="R57" s="71">
        <f t="shared" si="8"/>
        <v>36260.003333333334</v>
      </c>
      <c r="S57" s="71">
        <f t="shared" si="8"/>
        <v>27160.003333333334</v>
      </c>
      <c r="T57" s="71">
        <f t="shared" si="8"/>
        <v>61986.003333333327</v>
      </c>
      <c r="U57" s="71">
        <f t="shared" si="8"/>
        <v>4760.003333333334</v>
      </c>
      <c r="V57" s="71">
        <f t="shared" si="8"/>
        <v>49516.003333333327</v>
      </c>
      <c r="W57" s="71">
        <f t="shared" si="8"/>
        <v>8010.003333333334</v>
      </c>
      <c r="X57" s="71"/>
      <c r="Y57" s="71"/>
      <c r="Z57" s="72"/>
      <c r="AA57" s="72"/>
      <c r="AB57" s="73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5"/>
      <c r="BI57" s="75"/>
    </row>
    <row r="58" spans="1:61" ht="12.75" customHeight="1"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4"/>
      <c r="T58" s="84"/>
      <c r="U58" s="84"/>
      <c r="V58" s="84"/>
      <c r="W58" s="84"/>
      <c r="X58" s="84"/>
      <c r="Y58" s="84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3"/>
      <c r="BE58" s="2"/>
      <c r="BF58" s="26"/>
      <c r="BG58" s="2"/>
      <c r="BH58" s="2"/>
      <c r="BI58" s="2"/>
    </row>
    <row r="59" spans="1:61" ht="12.75" customHeight="1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6"/>
      <c r="T59" s="86"/>
      <c r="U59" s="86"/>
      <c r="V59" s="86"/>
      <c r="W59" s="86"/>
      <c r="X59" s="86"/>
      <c r="Y59" s="8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7"/>
      <c r="BE59" s="26"/>
      <c r="BF59" s="26"/>
      <c r="BG59" s="26"/>
      <c r="BH59" s="26"/>
      <c r="BI59" s="26"/>
    </row>
    <row r="60" spans="1:61" ht="12.75" customHeight="1">
      <c r="B60" s="83"/>
      <c r="C60" s="83"/>
      <c r="D60" s="83"/>
      <c r="E60" s="87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4"/>
      <c r="T60" s="84"/>
      <c r="U60" s="84"/>
      <c r="V60" s="84"/>
      <c r="W60" s="84"/>
      <c r="X60" s="84"/>
      <c r="Y60" s="84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3"/>
      <c r="BE60" s="2"/>
      <c r="BF60" s="88"/>
      <c r="BG60" s="2"/>
      <c r="BH60" s="2"/>
      <c r="BI60" s="2"/>
    </row>
    <row r="61" spans="1:61" ht="12.75" customHeight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4"/>
      <c r="T61" s="84"/>
      <c r="U61" s="84"/>
      <c r="V61" s="84"/>
      <c r="W61" s="84"/>
      <c r="X61" s="84"/>
      <c r="Y61" s="84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3"/>
      <c r="BE61" s="2"/>
      <c r="BF61" s="88"/>
      <c r="BG61" s="2"/>
      <c r="BH61" s="2"/>
      <c r="BI61" s="2"/>
    </row>
    <row r="62" spans="1:61" ht="12.75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4"/>
      <c r="T62" s="84"/>
      <c r="U62" s="84"/>
      <c r="V62" s="84"/>
      <c r="W62" s="84"/>
      <c r="X62" s="84"/>
      <c r="Y62" s="84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3"/>
      <c r="BE62" s="2"/>
      <c r="BF62" s="88"/>
      <c r="BG62" s="2"/>
      <c r="BH62" s="2"/>
      <c r="BI62" s="2"/>
    </row>
    <row r="63" spans="1:61" ht="12.75" customHeight="1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4"/>
      <c r="T63" s="84"/>
      <c r="U63" s="84"/>
      <c r="V63" s="84"/>
      <c r="W63" s="84"/>
      <c r="X63" s="84"/>
      <c r="Y63" s="84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3"/>
      <c r="BE63" s="2"/>
      <c r="BF63" s="88"/>
      <c r="BG63" s="2"/>
      <c r="BH63" s="2"/>
      <c r="BI63" s="2"/>
    </row>
    <row r="64" spans="1:61" ht="12.75" customHeight="1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4"/>
      <c r="T64" s="84"/>
      <c r="U64" s="84"/>
      <c r="V64" s="84"/>
      <c r="W64" s="84"/>
      <c r="X64" s="84"/>
      <c r="Y64" s="84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3"/>
      <c r="BE64" s="2"/>
      <c r="BF64" s="88"/>
      <c r="BG64" s="2"/>
      <c r="BH64" s="2"/>
      <c r="BI64" s="2"/>
    </row>
    <row r="65" spans="2:61" ht="12.75" customHeight="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4"/>
      <c r="T65" s="84"/>
      <c r="U65" s="84"/>
      <c r="V65" s="84"/>
      <c r="W65" s="84"/>
      <c r="X65" s="84"/>
      <c r="Y65" s="84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3"/>
      <c r="BE65" s="2"/>
      <c r="BF65" s="88"/>
      <c r="BG65" s="2"/>
      <c r="BH65" s="2"/>
      <c r="BI65" s="2"/>
    </row>
    <row r="66" spans="2:61" ht="12.75" customHeight="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4"/>
      <c r="T66" s="84"/>
      <c r="U66" s="84"/>
      <c r="V66" s="84"/>
      <c r="W66" s="84"/>
      <c r="X66" s="84"/>
      <c r="Y66" s="84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3"/>
      <c r="BE66" s="2"/>
      <c r="BF66" s="88"/>
      <c r="BG66" s="2"/>
      <c r="BH66" s="2"/>
      <c r="BI66" s="2"/>
    </row>
    <row r="67" spans="2:61" ht="12.75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4"/>
      <c r="T67" s="84"/>
      <c r="U67" s="84"/>
      <c r="V67" s="84"/>
      <c r="W67" s="84"/>
      <c r="X67" s="84"/>
      <c r="Y67" s="84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3"/>
      <c r="BE67" s="2"/>
      <c r="BF67" s="88"/>
      <c r="BG67" s="2"/>
      <c r="BH67" s="2"/>
      <c r="BI67" s="2"/>
    </row>
    <row r="68" spans="2:61" ht="12.75" customHeight="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4"/>
      <c r="T68" s="84"/>
      <c r="U68" s="84"/>
      <c r="V68" s="84"/>
      <c r="W68" s="84"/>
      <c r="X68" s="84"/>
      <c r="Y68" s="84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3"/>
      <c r="BE68" s="2"/>
      <c r="BF68" s="88"/>
      <c r="BG68" s="2"/>
      <c r="BH68" s="2"/>
      <c r="BI68" s="2"/>
    </row>
    <row r="69" spans="2:61" ht="12.75" customHeight="1">
      <c r="S69" s="8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3"/>
      <c r="BE69" s="2"/>
      <c r="BF69" s="88"/>
      <c r="BG69" s="2"/>
      <c r="BH69" s="2"/>
      <c r="BI69" s="2"/>
    </row>
    <row r="70" spans="2:61" ht="12.75" customHeight="1">
      <c r="S70" s="8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3"/>
      <c r="BE70" s="2"/>
      <c r="BF70" s="88"/>
      <c r="BG70" s="2"/>
      <c r="BH70" s="2"/>
      <c r="BI70" s="2"/>
    </row>
    <row r="71" spans="2:61" ht="12.75" customHeight="1">
      <c r="S71" s="8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3"/>
      <c r="BE71" s="2"/>
      <c r="BF71" s="88"/>
      <c r="BG71" s="2"/>
      <c r="BH71" s="2"/>
      <c r="BI71" s="2"/>
    </row>
    <row r="72" spans="2:61" ht="12.75" customHeight="1">
      <c r="S72" s="8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3"/>
      <c r="BE72" s="2"/>
      <c r="BF72" s="88"/>
      <c r="BG72" s="2"/>
      <c r="BH72" s="2"/>
      <c r="BI72" s="2"/>
    </row>
    <row r="73" spans="2:61" ht="12.75" customHeight="1">
      <c r="S73" s="8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3"/>
      <c r="BE73" s="2"/>
      <c r="BF73" s="88"/>
      <c r="BG73" s="2"/>
      <c r="BH73" s="2"/>
      <c r="BI73" s="2"/>
    </row>
    <row r="74" spans="2:61" ht="12.75" customHeight="1">
      <c r="S74" s="8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3"/>
      <c r="BE74" s="2"/>
      <c r="BF74" s="88"/>
      <c r="BG74" s="2"/>
      <c r="BH74" s="2"/>
      <c r="BI74" s="2"/>
    </row>
    <row r="75" spans="2:61" ht="12.75" customHeight="1">
      <c r="S75" s="8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3"/>
      <c r="BE75" s="2"/>
      <c r="BF75" s="88"/>
      <c r="BG75" s="2"/>
      <c r="BH75" s="2"/>
      <c r="BI75" s="2"/>
    </row>
    <row r="76" spans="2:61" ht="12.75" customHeight="1">
      <c r="S76" s="8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3"/>
      <c r="BE76" s="2"/>
      <c r="BF76" s="88"/>
      <c r="BG76" s="2"/>
      <c r="BH76" s="2"/>
      <c r="BI76" s="2"/>
    </row>
    <row r="77" spans="2:61" ht="12.75" customHeight="1">
      <c r="S77" s="8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3"/>
      <c r="BE77" s="2"/>
      <c r="BF77" s="88"/>
      <c r="BG77" s="2"/>
      <c r="BH77" s="2"/>
      <c r="BI77" s="2"/>
    </row>
    <row r="78" spans="2:61" ht="12.75" customHeight="1">
      <c r="S78" s="8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3"/>
      <c r="BE78" s="2"/>
      <c r="BF78" s="88"/>
      <c r="BG78" s="2"/>
      <c r="BH78" s="2"/>
      <c r="BI78" s="2"/>
    </row>
    <row r="79" spans="2:61" ht="12.75" customHeight="1">
      <c r="S79" s="8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3"/>
      <c r="BE79" s="2"/>
      <c r="BF79" s="88"/>
      <c r="BG79" s="2"/>
      <c r="BH79" s="2"/>
      <c r="BI79" s="2"/>
    </row>
    <row r="80" spans="2:61" ht="12.75" customHeight="1">
      <c r="S80" s="8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3"/>
      <c r="BE80" s="2"/>
      <c r="BF80" s="88"/>
      <c r="BG80" s="2"/>
      <c r="BH80" s="2"/>
      <c r="BI80" s="2"/>
    </row>
    <row r="81" spans="19:61" ht="12.75" customHeight="1">
      <c r="S81" s="8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3"/>
      <c r="BE81" s="2"/>
      <c r="BF81" s="88"/>
      <c r="BG81" s="2"/>
      <c r="BH81" s="2"/>
      <c r="BI81" s="2"/>
    </row>
    <row r="82" spans="19:61" ht="12.75" customHeight="1">
      <c r="S82" s="8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3"/>
      <c r="BE82" s="2"/>
      <c r="BF82" s="88"/>
      <c r="BG82" s="2"/>
      <c r="BH82" s="2"/>
      <c r="BI82" s="2"/>
    </row>
    <row r="83" spans="19:61" ht="12.75" customHeight="1">
      <c r="S83" s="8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3"/>
      <c r="BE83" s="2"/>
      <c r="BF83" s="88"/>
      <c r="BG83" s="2"/>
      <c r="BH83" s="2"/>
      <c r="BI83" s="2"/>
    </row>
    <row r="84" spans="19:61" ht="12.75" customHeight="1">
      <c r="S84" s="8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3"/>
      <c r="BE84" s="2"/>
      <c r="BF84" s="88"/>
      <c r="BG84" s="2"/>
      <c r="BH84" s="2"/>
      <c r="BI84" s="2"/>
    </row>
    <row r="85" spans="19:61" ht="12.75" customHeight="1">
      <c r="S85" s="8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3"/>
      <c r="BE85" s="2"/>
      <c r="BF85" s="88"/>
      <c r="BG85" s="2"/>
      <c r="BH85" s="2"/>
      <c r="BI85" s="2"/>
    </row>
    <row r="86" spans="19:61" ht="12.75" customHeight="1">
      <c r="S86" s="8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3"/>
      <c r="BE86" s="2"/>
      <c r="BF86" s="88"/>
      <c r="BG86" s="2"/>
      <c r="BH86" s="2"/>
      <c r="BI86" s="2"/>
    </row>
    <row r="87" spans="19:61" ht="12.75" customHeight="1">
      <c r="S87" s="8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3"/>
      <c r="BE87" s="2"/>
      <c r="BF87" s="88"/>
      <c r="BG87" s="2"/>
      <c r="BH87" s="2"/>
      <c r="BI87" s="2"/>
    </row>
    <row r="88" spans="19:61" ht="12.75" customHeight="1">
      <c r="S88" s="8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3"/>
      <c r="BE88" s="2"/>
      <c r="BF88" s="88"/>
      <c r="BG88" s="2"/>
      <c r="BH88" s="2"/>
      <c r="BI88" s="2"/>
    </row>
    <row r="89" spans="19:61" ht="12.75" customHeight="1">
      <c r="S89" s="8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3"/>
      <c r="BE89" s="2"/>
      <c r="BF89" s="88"/>
      <c r="BG89" s="2"/>
      <c r="BH89" s="2"/>
      <c r="BI89" s="2"/>
    </row>
    <row r="90" spans="19:61" ht="12.75" customHeight="1">
      <c r="S90" s="8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3"/>
      <c r="BE90" s="2"/>
      <c r="BF90" s="88"/>
      <c r="BG90" s="2"/>
      <c r="BH90" s="2"/>
      <c r="BI90" s="2"/>
    </row>
    <row r="91" spans="19:61" ht="12.75" customHeight="1">
      <c r="S91" s="8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3"/>
      <c r="BE91" s="2"/>
      <c r="BF91" s="88"/>
      <c r="BG91" s="2"/>
      <c r="BH91" s="2"/>
      <c r="BI91" s="2"/>
    </row>
    <row r="92" spans="19:61" ht="12.75" customHeight="1">
      <c r="S92" s="8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3"/>
      <c r="BE92" s="2"/>
      <c r="BF92" s="88"/>
      <c r="BG92" s="2"/>
      <c r="BH92" s="2"/>
      <c r="BI92" s="2"/>
    </row>
    <row r="93" spans="19:61" ht="12.75" customHeight="1">
      <c r="S93" s="8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3"/>
      <c r="BE93" s="2"/>
      <c r="BF93" s="88"/>
      <c r="BG93" s="2"/>
      <c r="BH93" s="2"/>
      <c r="BI93" s="2"/>
    </row>
    <row r="94" spans="19:61" ht="12.75" customHeight="1">
      <c r="S94" s="8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3"/>
      <c r="BE94" s="2"/>
      <c r="BF94" s="88"/>
      <c r="BG94" s="2"/>
      <c r="BH94" s="2"/>
      <c r="BI94" s="2"/>
    </row>
    <row r="95" spans="19:61" ht="12.75" customHeight="1">
      <c r="S95" s="8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3"/>
      <c r="BE95" s="2"/>
      <c r="BF95" s="88"/>
      <c r="BG95" s="2"/>
      <c r="BH95" s="2"/>
      <c r="BI95" s="2"/>
    </row>
    <row r="96" spans="19:61" ht="12.75" customHeight="1">
      <c r="S96" s="8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3"/>
      <c r="BE96" s="2"/>
      <c r="BF96" s="88"/>
      <c r="BG96" s="2"/>
      <c r="BH96" s="2"/>
      <c r="BI96" s="2"/>
    </row>
    <row r="97" spans="19:61" ht="12.75" customHeight="1">
      <c r="S97" s="8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3"/>
      <c r="BE97" s="2"/>
      <c r="BF97" s="88"/>
      <c r="BG97" s="2"/>
      <c r="BH97" s="2"/>
      <c r="BI97" s="2"/>
    </row>
    <row r="98" spans="19:61" ht="12.75" customHeight="1">
      <c r="S98" s="8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3"/>
      <c r="BE98" s="2"/>
      <c r="BF98" s="88"/>
      <c r="BG98" s="2"/>
      <c r="BH98" s="2"/>
      <c r="BI98" s="2"/>
    </row>
    <row r="99" spans="19:61" ht="12.75" customHeight="1">
      <c r="S99" s="8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3"/>
      <c r="BE99" s="2"/>
      <c r="BF99" s="88"/>
      <c r="BG99" s="2"/>
      <c r="BH99" s="2"/>
      <c r="BI99" s="2"/>
    </row>
    <row r="100" spans="19:61" ht="12.75" customHeight="1">
      <c r="S100" s="8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3"/>
      <c r="BE100" s="2"/>
      <c r="BF100" s="88"/>
      <c r="BG100" s="2"/>
      <c r="BH100" s="2"/>
      <c r="BI100" s="2"/>
    </row>
    <row r="101" spans="19:61" ht="12.75" customHeight="1">
      <c r="S101" s="8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3"/>
      <c r="BE101" s="2"/>
      <c r="BF101" s="88"/>
      <c r="BG101" s="2"/>
      <c r="BH101" s="2"/>
      <c r="BI101" s="2"/>
    </row>
    <row r="102" spans="19:61" ht="12.75" customHeight="1">
      <c r="S102" s="8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3"/>
      <c r="BE102" s="2"/>
      <c r="BF102" s="88"/>
      <c r="BG102" s="2"/>
      <c r="BH102" s="2"/>
      <c r="BI102" s="2"/>
    </row>
    <row r="103" spans="19:61" ht="12.75" customHeight="1">
      <c r="S103" s="8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3"/>
      <c r="BE103" s="2"/>
      <c r="BF103" s="88"/>
      <c r="BG103" s="2"/>
      <c r="BH103" s="2"/>
      <c r="BI103" s="2"/>
    </row>
    <row r="104" spans="19:61" ht="12.75" customHeight="1">
      <c r="S104" s="8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3"/>
      <c r="BE104" s="2"/>
      <c r="BF104" s="88"/>
      <c r="BG104" s="2"/>
      <c r="BH104" s="2"/>
      <c r="BI104" s="2"/>
    </row>
    <row r="105" spans="19:61" ht="12.75" customHeight="1">
      <c r="S105" s="8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3"/>
      <c r="BE105" s="2"/>
      <c r="BF105" s="88"/>
      <c r="BG105" s="2"/>
      <c r="BH105" s="2"/>
      <c r="BI105" s="2"/>
    </row>
    <row r="106" spans="19:61" ht="12.75" customHeight="1">
      <c r="S106" s="8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3"/>
      <c r="BE106" s="2"/>
      <c r="BF106" s="88"/>
      <c r="BG106" s="2"/>
      <c r="BH106" s="2"/>
      <c r="BI106" s="2"/>
    </row>
    <row r="107" spans="19:61" ht="12.75" customHeight="1">
      <c r="S107" s="8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3"/>
      <c r="BE107" s="2"/>
      <c r="BF107" s="88"/>
      <c r="BG107" s="2"/>
      <c r="BH107" s="2"/>
      <c r="BI107" s="2"/>
    </row>
    <row r="108" spans="19:61" ht="12.75" customHeight="1">
      <c r="S108" s="8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3"/>
      <c r="BE108" s="2"/>
      <c r="BF108" s="88"/>
      <c r="BG108" s="2"/>
      <c r="BH108" s="2"/>
      <c r="BI108" s="2"/>
    </row>
    <row r="109" spans="19:61" ht="12.75" customHeight="1">
      <c r="S109" s="8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3"/>
      <c r="BE109" s="2"/>
      <c r="BF109" s="88"/>
      <c r="BG109" s="2"/>
      <c r="BH109" s="2"/>
      <c r="BI109" s="2"/>
    </row>
    <row r="110" spans="19:61" ht="12.75" customHeight="1">
      <c r="S110" s="8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3"/>
      <c r="BE110" s="2"/>
      <c r="BF110" s="88"/>
      <c r="BG110" s="2"/>
      <c r="BH110" s="2"/>
      <c r="BI110" s="2"/>
    </row>
    <row r="111" spans="19:61" ht="12.75" customHeight="1">
      <c r="S111" s="8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3"/>
      <c r="BE111" s="2"/>
      <c r="BF111" s="88"/>
      <c r="BG111" s="2"/>
      <c r="BH111" s="2"/>
      <c r="BI111" s="2"/>
    </row>
    <row r="112" spans="19:61" ht="12.75" customHeight="1">
      <c r="S112" s="8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3"/>
      <c r="BE112" s="2"/>
      <c r="BF112" s="88"/>
      <c r="BG112" s="2"/>
      <c r="BH112" s="2"/>
      <c r="BI112" s="2"/>
    </row>
    <row r="113" spans="19:61" ht="12.75" customHeight="1">
      <c r="S113" s="8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3"/>
      <c r="BE113" s="2"/>
      <c r="BF113" s="88"/>
      <c r="BG113" s="2"/>
      <c r="BH113" s="2"/>
      <c r="BI113" s="2"/>
    </row>
    <row r="114" spans="19:61" ht="12.75" customHeight="1">
      <c r="S114" s="8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3"/>
      <c r="BE114" s="2"/>
      <c r="BF114" s="88"/>
      <c r="BG114" s="2"/>
      <c r="BH114" s="2"/>
      <c r="BI114" s="2"/>
    </row>
    <row r="115" spans="19:61" ht="12.75" customHeight="1">
      <c r="S115" s="8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3"/>
      <c r="BE115" s="2"/>
      <c r="BF115" s="88"/>
      <c r="BG115" s="2"/>
      <c r="BH115" s="2"/>
      <c r="BI115" s="2"/>
    </row>
    <row r="116" spans="19:61" ht="12.75" customHeight="1">
      <c r="S116" s="8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3"/>
      <c r="BE116" s="2"/>
      <c r="BF116" s="88"/>
      <c r="BG116" s="2"/>
      <c r="BH116" s="2"/>
      <c r="BI116" s="2"/>
    </row>
    <row r="117" spans="19:61" ht="12.75" customHeight="1">
      <c r="S117" s="8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3"/>
      <c r="BE117" s="2"/>
      <c r="BF117" s="88"/>
      <c r="BG117" s="2"/>
      <c r="BH117" s="2"/>
      <c r="BI117" s="2"/>
    </row>
    <row r="118" spans="19:61" ht="12.75" customHeight="1">
      <c r="S118" s="8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3"/>
      <c r="BE118" s="2"/>
      <c r="BF118" s="88"/>
      <c r="BG118" s="2"/>
      <c r="BH118" s="2"/>
      <c r="BI118" s="2"/>
    </row>
    <row r="119" spans="19:61" ht="12.75" customHeight="1">
      <c r="S119" s="8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3"/>
      <c r="BE119" s="2"/>
      <c r="BF119" s="88"/>
      <c r="BG119" s="2"/>
      <c r="BH119" s="2"/>
      <c r="BI119" s="2"/>
    </row>
    <row r="120" spans="19:61" ht="12.75" customHeight="1">
      <c r="S120" s="8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3"/>
      <c r="BE120" s="2"/>
      <c r="BF120" s="88"/>
      <c r="BG120" s="2"/>
      <c r="BH120" s="2"/>
      <c r="BI120" s="2"/>
    </row>
    <row r="121" spans="19:61" ht="12.75" customHeight="1">
      <c r="S121" s="8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3"/>
      <c r="BE121" s="2"/>
      <c r="BF121" s="88"/>
      <c r="BG121" s="2"/>
      <c r="BH121" s="2"/>
      <c r="BI121" s="2"/>
    </row>
    <row r="122" spans="19:61" ht="12.75" customHeight="1">
      <c r="S122" s="8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3"/>
      <c r="BE122" s="2"/>
      <c r="BF122" s="88"/>
      <c r="BG122" s="2"/>
      <c r="BH122" s="2"/>
      <c r="BI122" s="2"/>
    </row>
    <row r="123" spans="19:61" ht="12.75" customHeight="1">
      <c r="S123" s="8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2"/>
      <c r="BF123" s="88"/>
      <c r="BG123" s="2"/>
      <c r="BH123" s="2"/>
      <c r="BI123" s="2"/>
    </row>
    <row r="124" spans="19:61" ht="12.75" customHeight="1">
      <c r="S124" s="8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2"/>
      <c r="BF124" s="88"/>
      <c r="BG124" s="2"/>
      <c r="BH124" s="2"/>
      <c r="BI124" s="2"/>
    </row>
    <row r="125" spans="19:61" ht="12.75" customHeight="1">
      <c r="S125" s="8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2"/>
      <c r="BF125" s="88"/>
      <c r="BG125" s="2"/>
      <c r="BH125" s="2"/>
      <c r="BI125" s="2"/>
    </row>
    <row r="126" spans="19:61" ht="12.75" customHeight="1">
      <c r="S126" s="8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2"/>
      <c r="BF126" s="88"/>
      <c r="BG126" s="2"/>
      <c r="BH126" s="2"/>
      <c r="BI126" s="2"/>
    </row>
    <row r="127" spans="19:61" ht="12.75" customHeight="1">
      <c r="S127" s="8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2"/>
      <c r="BF127" s="88"/>
      <c r="BG127" s="2"/>
      <c r="BH127" s="2"/>
      <c r="BI127" s="2"/>
    </row>
    <row r="128" spans="19:61" ht="12.75" customHeight="1">
      <c r="S128" s="8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2"/>
      <c r="BF128" s="88"/>
      <c r="BG128" s="2"/>
      <c r="BH128" s="2"/>
      <c r="BI128" s="2"/>
    </row>
    <row r="129" spans="19:61" ht="12.75" customHeight="1">
      <c r="S129" s="8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2"/>
      <c r="BF129" s="88"/>
      <c r="BG129" s="2"/>
      <c r="BH129" s="2"/>
      <c r="BI129" s="2"/>
    </row>
    <row r="130" spans="19:61" ht="12.75" customHeight="1">
      <c r="S130" s="8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2"/>
      <c r="BF130" s="88"/>
      <c r="BG130" s="2"/>
      <c r="BH130" s="2"/>
      <c r="BI130" s="2"/>
    </row>
    <row r="131" spans="19:61" ht="12.75" customHeight="1">
      <c r="S131" s="8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2"/>
      <c r="BF131" s="88"/>
      <c r="BG131" s="2"/>
      <c r="BH131" s="2"/>
      <c r="BI131" s="2"/>
    </row>
    <row r="132" spans="19:61" ht="12.75" customHeight="1">
      <c r="S132" s="8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2"/>
      <c r="BF132" s="88"/>
      <c r="BG132" s="2"/>
      <c r="BH132" s="2"/>
      <c r="BI132" s="2"/>
    </row>
    <row r="133" spans="19:61" ht="12.75" customHeight="1">
      <c r="S133" s="8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2"/>
      <c r="BF133" s="88"/>
      <c r="BG133" s="2"/>
      <c r="BH133" s="2"/>
      <c r="BI133" s="2"/>
    </row>
    <row r="134" spans="19:61" ht="12.75" customHeight="1">
      <c r="S134" s="8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2"/>
      <c r="BF134" s="88"/>
      <c r="BG134" s="2"/>
      <c r="BH134" s="2"/>
      <c r="BI134" s="2"/>
    </row>
    <row r="135" spans="19:61" ht="12.75" customHeight="1">
      <c r="S135" s="8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2"/>
      <c r="BF135" s="88"/>
      <c r="BG135" s="2"/>
      <c r="BH135" s="2"/>
      <c r="BI135" s="2"/>
    </row>
    <row r="136" spans="19:61" ht="12.75" customHeight="1">
      <c r="S136" s="8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2"/>
      <c r="BF136" s="88"/>
      <c r="BG136" s="2"/>
      <c r="BH136" s="2"/>
      <c r="BI136" s="2"/>
    </row>
    <row r="137" spans="19:61" ht="12.75" customHeight="1">
      <c r="S137" s="8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2"/>
      <c r="BF137" s="88"/>
      <c r="BG137" s="2"/>
      <c r="BH137" s="2"/>
      <c r="BI137" s="2"/>
    </row>
    <row r="138" spans="19:61" ht="12.75" customHeight="1">
      <c r="S138" s="8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2"/>
      <c r="BF138" s="88"/>
      <c r="BG138" s="2"/>
      <c r="BH138" s="2"/>
      <c r="BI138" s="2"/>
    </row>
    <row r="139" spans="19:61" ht="12.75" customHeight="1">
      <c r="S139" s="8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2"/>
      <c r="BF139" s="88"/>
      <c r="BG139" s="2"/>
      <c r="BH139" s="2"/>
      <c r="BI139" s="2"/>
    </row>
    <row r="140" spans="19:61" ht="12.75" customHeight="1">
      <c r="S140" s="8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2"/>
      <c r="BF140" s="88"/>
      <c r="BG140" s="2"/>
      <c r="BH140" s="2"/>
      <c r="BI140" s="2"/>
    </row>
    <row r="141" spans="19:61" ht="12.75" customHeight="1">
      <c r="S141" s="8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2"/>
      <c r="BF141" s="88"/>
      <c r="BG141" s="2"/>
      <c r="BH141" s="2"/>
      <c r="BI141" s="2"/>
    </row>
    <row r="142" spans="19:61" ht="12.75" customHeight="1">
      <c r="S142" s="8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2"/>
      <c r="BF142" s="88"/>
      <c r="BG142" s="2"/>
      <c r="BH142" s="2"/>
      <c r="BI142" s="2"/>
    </row>
    <row r="143" spans="19:61" ht="12.75" customHeight="1">
      <c r="S143" s="8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2"/>
      <c r="BF143" s="88"/>
      <c r="BG143" s="2"/>
      <c r="BH143" s="2"/>
      <c r="BI143" s="2"/>
    </row>
    <row r="144" spans="19:61" ht="12.75" customHeight="1">
      <c r="S144" s="8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2"/>
      <c r="BF144" s="88"/>
      <c r="BG144" s="2"/>
      <c r="BH144" s="2"/>
      <c r="BI144" s="2"/>
    </row>
    <row r="145" spans="19:61" ht="12.75" customHeight="1">
      <c r="S145" s="8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2"/>
      <c r="BF145" s="88"/>
      <c r="BG145" s="2"/>
      <c r="BH145" s="2"/>
      <c r="BI145" s="2"/>
    </row>
    <row r="146" spans="19:61" ht="12.75" customHeight="1">
      <c r="S146" s="84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2"/>
      <c r="BF146" s="88"/>
      <c r="BG146" s="2"/>
      <c r="BH146" s="2"/>
      <c r="BI146" s="2"/>
    </row>
    <row r="147" spans="19:61" ht="12.75" customHeight="1">
      <c r="S147" s="84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2"/>
      <c r="BF147" s="88"/>
      <c r="BG147" s="2"/>
      <c r="BH147" s="2"/>
      <c r="BI147" s="2"/>
    </row>
    <row r="148" spans="19:61" ht="12.75" customHeight="1">
      <c r="S148" s="84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2"/>
      <c r="BF148" s="88"/>
      <c r="BG148" s="2"/>
      <c r="BH148" s="2"/>
      <c r="BI148" s="2"/>
    </row>
    <row r="149" spans="19:61" ht="12.75" customHeight="1">
      <c r="S149" s="84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2"/>
      <c r="BF149" s="88"/>
      <c r="BG149" s="2"/>
      <c r="BH149" s="2"/>
      <c r="BI149" s="2"/>
    </row>
    <row r="150" spans="19:61" ht="12.75" customHeight="1">
      <c r="S150" s="84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2"/>
      <c r="BF150" s="88"/>
      <c r="BG150" s="2"/>
      <c r="BH150" s="2"/>
      <c r="BI150" s="2"/>
    </row>
    <row r="151" spans="19:61" ht="12.75" customHeight="1">
      <c r="S151" s="84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2"/>
      <c r="BF151" s="88"/>
      <c r="BG151" s="2"/>
      <c r="BH151" s="2"/>
      <c r="BI151" s="2"/>
    </row>
    <row r="152" spans="19:61" ht="12.75" customHeight="1">
      <c r="S152" s="84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2"/>
      <c r="BF152" s="88"/>
      <c r="BG152" s="2"/>
      <c r="BH152" s="2"/>
      <c r="BI152" s="2"/>
    </row>
    <row r="153" spans="19:61" ht="12.75" customHeight="1">
      <c r="S153" s="84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2"/>
      <c r="BF153" s="88"/>
      <c r="BG153" s="2"/>
      <c r="BH153" s="2"/>
      <c r="BI153" s="2"/>
    </row>
    <row r="154" spans="19:61" ht="12.75" customHeight="1">
      <c r="S154" s="84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2"/>
      <c r="BF154" s="88"/>
      <c r="BG154" s="2"/>
      <c r="BH154" s="2"/>
      <c r="BI154" s="2"/>
    </row>
    <row r="155" spans="19:61" ht="12.75" customHeight="1">
      <c r="S155" s="84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2"/>
      <c r="BF155" s="88"/>
      <c r="BG155" s="2"/>
      <c r="BH155" s="2"/>
      <c r="BI155" s="2"/>
    </row>
    <row r="156" spans="19:61" ht="12.75" customHeight="1">
      <c r="S156" s="84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2"/>
      <c r="BF156" s="88"/>
      <c r="BG156" s="2"/>
      <c r="BH156" s="2"/>
      <c r="BI156" s="2"/>
    </row>
    <row r="157" spans="19:61" ht="12.75" customHeight="1">
      <c r="S157" s="84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2"/>
      <c r="BF157" s="88"/>
      <c r="BG157" s="2"/>
      <c r="BH157" s="2"/>
      <c r="BI157" s="2"/>
    </row>
    <row r="158" spans="19:61" ht="12.75" customHeight="1">
      <c r="S158" s="8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2"/>
      <c r="BF158" s="88"/>
      <c r="BG158" s="2"/>
      <c r="BH158" s="2"/>
      <c r="BI158" s="2"/>
    </row>
    <row r="159" spans="19:61" ht="12.75" customHeight="1">
      <c r="S159" s="84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2"/>
      <c r="BF159" s="88"/>
      <c r="BG159" s="2"/>
      <c r="BH159" s="2"/>
      <c r="BI159" s="2"/>
    </row>
    <row r="160" spans="19:61" ht="12.75" customHeight="1">
      <c r="S160" s="84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2"/>
      <c r="BF160" s="88"/>
      <c r="BG160" s="2"/>
      <c r="BH160" s="2"/>
      <c r="BI160" s="2"/>
    </row>
    <row r="161" spans="19:61" ht="12.75" customHeight="1">
      <c r="S161" s="84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2"/>
      <c r="BF161" s="88"/>
      <c r="BG161" s="2"/>
      <c r="BH161" s="2"/>
      <c r="BI161" s="2"/>
    </row>
    <row r="162" spans="19:61" ht="12.75" customHeight="1">
      <c r="S162" s="84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2"/>
      <c r="BF162" s="88"/>
      <c r="BG162" s="2"/>
      <c r="BH162" s="2"/>
      <c r="BI162" s="2"/>
    </row>
    <row r="163" spans="19:61" ht="12.75" customHeight="1">
      <c r="S163" s="84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2"/>
      <c r="BF163" s="88"/>
      <c r="BG163" s="2"/>
      <c r="BH163" s="2"/>
      <c r="BI163" s="2"/>
    </row>
    <row r="164" spans="19:61" ht="12.75" customHeight="1">
      <c r="S164" s="84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2"/>
      <c r="BF164" s="88"/>
      <c r="BG164" s="2"/>
      <c r="BH164" s="2"/>
      <c r="BI164" s="2"/>
    </row>
    <row r="165" spans="19:61" ht="12.75" customHeight="1">
      <c r="S165" s="8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2"/>
      <c r="BF165" s="88"/>
      <c r="BG165" s="2"/>
      <c r="BH165" s="2"/>
      <c r="BI165" s="2"/>
    </row>
    <row r="166" spans="19:61" ht="12.75" customHeight="1">
      <c r="S166" s="84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2"/>
      <c r="BF166" s="88"/>
      <c r="BG166" s="2"/>
      <c r="BH166" s="2"/>
      <c r="BI166" s="2"/>
    </row>
    <row r="167" spans="19:61" ht="12.75" customHeight="1">
      <c r="S167" s="84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2"/>
      <c r="BF167" s="88"/>
      <c r="BG167" s="2"/>
      <c r="BH167" s="2"/>
      <c r="BI167" s="2"/>
    </row>
    <row r="168" spans="19:61" ht="12.75" customHeight="1">
      <c r="S168" s="84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2"/>
      <c r="BF168" s="88"/>
      <c r="BG168" s="2"/>
      <c r="BH168" s="2"/>
      <c r="BI168" s="2"/>
    </row>
    <row r="169" spans="19:61" ht="12.75" customHeight="1">
      <c r="S169" s="84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2"/>
      <c r="BF169" s="88"/>
      <c r="BG169" s="2"/>
      <c r="BH169" s="2"/>
      <c r="BI169" s="2"/>
    </row>
    <row r="170" spans="19:61" ht="12.75" customHeight="1">
      <c r="S170" s="8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2"/>
      <c r="BF170" s="88"/>
      <c r="BG170" s="2"/>
      <c r="BH170" s="2"/>
      <c r="BI170" s="2"/>
    </row>
    <row r="171" spans="19:61" ht="12.75" customHeight="1">
      <c r="S171" s="8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2"/>
      <c r="BF171" s="88"/>
      <c r="BG171" s="2"/>
      <c r="BH171" s="2"/>
      <c r="BI171" s="2"/>
    </row>
    <row r="172" spans="19:61" ht="12.75" customHeight="1">
      <c r="S172" s="8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2"/>
      <c r="BF172" s="88"/>
      <c r="BG172" s="2"/>
      <c r="BH172" s="2"/>
      <c r="BI172" s="2"/>
    </row>
    <row r="173" spans="19:61" ht="12.75" customHeight="1">
      <c r="S173" s="84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2"/>
      <c r="BF173" s="88"/>
      <c r="BG173" s="2"/>
      <c r="BH173" s="2"/>
      <c r="BI173" s="2"/>
    </row>
    <row r="174" spans="19:61" ht="12.75" customHeight="1">
      <c r="S174" s="84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2"/>
      <c r="BF174" s="88"/>
      <c r="BG174" s="2"/>
      <c r="BH174" s="2"/>
      <c r="BI174" s="2"/>
    </row>
    <row r="175" spans="19:61" ht="12.75" customHeight="1">
      <c r="S175" s="84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2"/>
      <c r="BF175" s="88"/>
      <c r="BG175" s="2"/>
      <c r="BH175" s="2"/>
      <c r="BI175" s="2"/>
    </row>
    <row r="176" spans="19:61" ht="12.75" customHeight="1">
      <c r="S176" s="84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2"/>
      <c r="BF176" s="88"/>
      <c r="BG176" s="2"/>
      <c r="BH176" s="2"/>
      <c r="BI176" s="2"/>
    </row>
    <row r="177" spans="19:61" ht="12.75" customHeight="1">
      <c r="S177" s="84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2"/>
      <c r="BF177" s="88"/>
      <c r="BG177" s="2"/>
      <c r="BH177" s="2"/>
      <c r="BI177" s="2"/>
    </row>
    <row r="178" spans="19:61" ht="12.75" customHeight="1">
      <c r="S178" s="84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2"/>
      <c r="BF178" s="88"/>
      <c r="BG178" s="2"/>
      <c r="BH178" s="2"/>
      <c r="BI178" s="2"/>
    </row>
    <row r="179" spans="19:61" ht="12.75" customHeight="1">
      <c r="S179" s="84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2"/>
      <c r="BF179" s="88"/>
      <c r="BG179" s="2"/>
      <c r="BH179" s="2"/>
      <c r="BI179" s="2"/>
    </row>
    <row r="180" spans="19:61" ht="12.75" customHeight="1">
      <c r="S180" s="84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2"/>
      <c r="BF180" s="88"/>
      <c r="BG180" s="2"/>
      <c r="BH180" s="2"/>
      <c r="BI180" s="2"/>
    </row>
    <row r="181" spans="19:61" ht="12.75" customHeight="1">
      <c r="S181" s="84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2"/>
      <c r="BF181" s="88"/>
      <c r="BG181" s="2"/>
      <c r="BH181" s="2"/>
      <c r="BI181" s="2"/>
    </row>
    <row r="182" spans="19:61" ht="12.75" customHeight="1">
      <c r="S182" s="84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2"/>
      <c r="BF182" s="88"/>
      <c r="BG182" s="2"/>
      <c r="BH182" s="2"/>
      <c r="BI182" s="2"/>
    </row>
    <row r="183" spans="19:61" ht="12.75" customHeight="1">
      <c r="S183" s="84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2"/>
      <c r="BF183" s="88"/>
      <c r="BG183" s="2"/>
      <c r="BH183" s="2"/>
      <c r="BI183" s="2"/>
    </row>
    <row r="184" spans="19:61" ht="12.75" customHeight="1">
      <c r="S184" s="84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2"/>
      <c r="BF184" s="88"/>
      <c r="BG184" s="2"/>
      <c r="BH184" s="2"/>
      <c r="BI184" s="2"/>
    </row>
    <row r="185" spans="19:61" ht="12.75" customHeight="1">
      <c r="S185" s="84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2"/>
      <c r="BF185" s="88"/>
      <c r="BG185" s="2"/>
      <c r="BH185" s="2"/>
      <c r="BI185" s="2"/>
    </row>
    <row r="186" spans="19:61" ht="12.75" customHeight="1">
      <c r="S186" s="84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2"/>
      <c r="BF186" s="88"/>
      <c r="BG186" s="2"/>
      <c r="BH186" s="2"/>
      <c r="BI186" s="2"/>
    </row>
    <row r="187" spans="19:61" ht="12.75" customHeight="1">
      <c r="S187" s="84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2"/>
      <c r="BF187" s="88"/>
      <c r="BG187" s="2"/>
      <c r="BH187" s="2"/>
      <c r="BI187" s="2"/>
    </row>
    <row r="188" spans="19:61" ht="12.75" customHeight="1">
      <c r="S188" s="84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2"/>
      <c r="BF188" s="88"/>
      <c r="BG188" s="2"/>
      <c r="BH188" s="2"/>
      <c r="BI188" s="2"/>
    </row>
    <row r="189" spans="19:61" ht="12.75" customHeight="1">
      <c r="S189" s="84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2"/>
      <c r="BF189" s="88"/>
      <c r="BG189" s="2"/>
      <c r="BH189" s="2"/>
      <c r="BI189" s="2"/>
    </row>
    <row r="190" spans="19:61" ht="12.75" customHeight="1">
      <c r="S190" s="84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2"/>
      <c r="BF190" s="88"/>
      <c r="BG190" s="2"/>
      <c r="BH190" s="2"/>
      <c r="BI190" s="2"/>
    </row>
    <row r="191" spans="19:61" ht="12.75" customHeight="1">
      <c r="S191" s="84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2"/>
      <c r="BF191" s="88"/>
      <c r="BG191" s="2"/>
      <c r="BH191" s="2"/>
      <c r="BI191" s="2"/>
    </row>
    <row r="192" spans="19:61" ht="12.75" customHeight="1">
      <c r="S192" s="8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2"/>
      <c r="BF192" s="88"/>
      <c r="BG192" s="2"/>
      <c r="BH192" s="2"/>
      <c r="BI192" s="2"/>
    </row>
    <row r="193" spans="19:61" ht="12.75" customHeight="1">
      <c r="S193" s="8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2"/>
      <c r="BF193" s="88"/>
      <c r="BG193" s="2"/>
      <c r="BH193" s="2"/>
      <c r="BI193" s="2"/>
    </row>
    <row r="194" spans="19:61" ht="12.75" customHeight="1">
      <c r="S194" s="8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2"/>
      <c r="BF194" s="88"/>
      <c r="BG194" s="2"/>
      <c r="BH194" s="2"/>
      <c r="BI194" s="2"/>
    </row>
    <row r="195" spans="19:61" ht="12.75" customHeight="1">
      <c r="S195" s="8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2"/>
      <c r="BF195" s="88"/>
      <c r="BG195" s="2"/>
      <c r="BH195" s="2"/>
      <c r="BI195" s="2"/>
    </row>
    <row r="196" spans="19:61" ht="12.75" customHeight="1">
      <c r="S196" s="8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2"/>
      <c r="BF196" s="88"/>
      <c r="BG196" s="2"/>
      <c r="BH196" s="2"/>
      <c r="BI196" s="2"/>
    </row>
    <row r="197" spans="19:61" ht="12.75" customHeight="1">
      <c r="S197" s="8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2"/>
      <c r="BF197" s="88"/>
      <c r="BG197" s="2"/>
      <c r="BH197" s="2"/>
      <c r="BI197" s="2"/>
    </row>
    <row r="198" spans="19:61" ht="12.75" customHeight="1">
      <c r="S198" s="8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2"/>
      <c r="BF198" s="88"/>
      <c r="BG198" s="2"/>
      <c r="BH198" s="2"/>
      <c r="BI198" s="2"/>
    </row>
    <row r="199" spans="19:61" ht="12.75" customHeight="1">
      <c r="S199" s="8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2"/>
      <c r="BF199" s="88"/>
      <c r="BG199" s="2"/>
      <c r="BH199" s="2"/>
      <c r="BI199" s="2"/>
    </row>
    <row r="200" spans="19:61" ht="12.75" customHeight="1">
      <c r="S200" s="8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2"/>
      <c r="BF200" s="88"/>
      <c r="BG200" s="2"/>
      <c r="BH200" s="2"/>
      <c r="BI200" s="2"/>
    </row>
    <row r="201" spans="19:61" ht="12.75" customHeight="1">
      <c r="S201" s="8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2"/>
      <c r="BF201" s="88"/>
      <c r="BG201" s="2"/>
      <c r="BH201" s="2"/>
      <c r="BI201" s="2"/>
    </row>
    <row r="202" spans="19:61" ht="12.75" customHeight="1">
      <c r="S202" s="8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2"/>
      <c r="BF202" s="88"/>
      <c r="BG202" s="2"/>
      <c r="BH202" s="2"/>
      <c r="BI202" s="2"/>
    </row>
    <row r="203" spans="19:61" ht="12.75" customHeight="1">
      <c r="S203" s="8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2"/>
      <c r="BF203" s="88"/>
      <c r="BG203" s="2"/>
      <c r="BH203" s="2"/>
      <c r="BI203" s="2"/>
    </row>
    <row r="204" spans="19:61" ht="12.75" customHeight="1">
      <c r="S204" s="8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2"/>
      <c r="BF204" s="88"/>
      <c r="BG204" s="2"/>
      <c r="BH204" s="2"/>
      <c r="BI204" s="2"/>
    </row>
    <row r="205" spans="19:61" ht="12.75" customHeight="1">
      <c r="S205" s="8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2"/>
      <c r="BF205" s="88"/>
      <c r="BG205" s="2"/>
      <c r="BH205" s="2"/>
      <c r="BI205" s="2"/>
    </row>
    <row r="206" spans="19:61" ht="12.75" customHeight="1">
      <c r="S206" s="8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2"/>
      <c r="BF206" s="88"/>
      <c r="BG206" s="2"/>
      <c r="BH206" s="2"/>
      <c r="BI206" s="2"/>
    </row>
    <row r="207" spans="19:61" ht="12.75" customHeight="1">
      <c r="S207" s="8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2"/>
      <c r="BF207" s="88"/>
      <c r="BG207" s="2"/>
      <c r="BH207" s="2"/>
      <c r="BI207" s="2"/>
    </row>
    <row r="208" spans="19:61" ht="12.75" customHeight="1">
      <c r="S208" s="8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2"/>
      <c r="BF208" s="88"/>
      <c r="BG208" s="2"/>
      <c r="BH208" s="2"/>
      <c r="BI208" s="2"/>
    </row>
    <row r="209" spans="19:61" ht="12.75" customHeight="1">
      <c r="S209" s="8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2"/>
      <c r="BF209" s="88"/>
      <c r="BG209" s="2"/>
      <c r="BH209" s="2"/>
      <c r="BI209" s="2"/>
    </row>
    <row r="210" spans="19:61" ht="12.75" customHeight="1">
      <c r="S210" s="8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2"/>
      <c r="BF210" s="88"/>
      <c r="BG210" s="2"/>
      <c r="BH210" s="2"/>
      <c r="BI210" s="2"/>
    </row>
    <row r="211" spans="19:61" ht="12.75" customHeight="1">
      <c r="S211" s="8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2"/>
      <c r="BF211" s="88"/>
      <c r="BG211" s="2"/>
      <c r="BH211" s="2"/>
      <c r="BI211" s="2"/>
    </row>
    <row r="212" spans="19:61" ht="12.75" customHeight="1">
      <c r="S212" s="8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2"/>
      <c r="BF212" s="88"/>
      <c r="BG212" s="2"/>
      <c r="BH212" s="2"/>
      <c r="BI212" s="2"/>
    </row>
    <row r="213" spans="19:61" ht="12.75" customHeight="1">
      <c r="S213" s="8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2"/>
      <c r="BF213" s="88"/>
      <c r="BG213" s="2"/>
      <c r="BH213" s="2"/>
      <c r="BI213" s="2"/>
    </row>
    <row r="214" spans="19:61" ht="12.75" customHeight="1">
      <c r="S214" s="8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2"/>
      <c r="BF214" s="88"/>
      <c r="BG214" s="2"/>
      <c r="BH214" s="2"/>
      <c r="BI214" s="2"/>
    </row>
    <row r="215" spans="19:61" ht="12.75" customHeight="1">
      <c r="S215" s="8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2"/>
      <c r="BF215" s="88"/>
      <c r="BG215" s="2"/>
      <c r="BH215" s="2"/>
      <c r="BI215" s="2"/>
    </row>
    <row r="216" spans="19:61" ht="12.75" customHeight="1">
      <c r="S216" s="8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2"/>
      <c r="BF216" s="88"/>
      <c r="BG216" s="2"/>
      <c r="BH216" s="2"/>
      <c r="BI216" s="2"/>
    </row>
    <row r="217" spans="19:61" ht="12.75" customHeight="1">
      <c r="S217" s="8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2"/>
      <c r="BF217" s="88"/>
      <c r="BG217" s="2"/>
      <c r="BH217" s="2"/>
      <c r="BI217" s="2"/>
    </row>
    <row r="218" spans="19:61" ht="12.75" customHeight="1">
      <c r="S218" s="8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2"/>
      <c r="BF218" s="88"/>
      <c r="BG218" s="2"/>
      <c r="BH218" s="2"/>
      <c r="BI218" s="2"/>
    </row>
    <row r="219" spans="19:61" ht="12.75" customHeight="1">
      <c r="S219" s="8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2"/>
      <c r="BF219" s="88"/>
      <c r="BG219" s="2"/>
      <c r="BH219" s="2"/>
      <c r="BI219" s="2"/>
    </row>
    <row r="220" spans="19:61" ht="12.75" customHeight="1">
      <c r="S220" s="8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2"/>
      <c r="BF220" s="88"/>
      <c r="BG220" s="2"/>
      <c r="BH220" s="2"/>
      <c r="BI220" s="2"/>
    </row>
    <row r="221" spans="19:61" ht="12.75" customHeight="1">
      <c r="S221" s="8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2"/>
      <c r="BF221" s="88"/>
      <c r="BG221" s="2"/>
      <c r="BH221" s="2"/>
      <c r="BI221" s="2"/>
    </row>
    <row r="222" spans="19:61" ht="12.75" customHeight="1">
      <c r="S222" s="8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2"/>
      <c r="BF222" s="88"/>
      <c r="BG222" s="2"/>
      <c r="BH222" s="2"/>
      <c r="BI222" s="2"/>
    </row>
    <row r="223" spans="19:61" ht="12.75" customHeight="1">
      <c r="S223" s="8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2"/>
      <c r="BF223" s="88"/>
      <c r="BG223" s="2"/>
      <c r="BH223" s="2"/>
      <c r="BI223" s="2"/>
    </row>
    <row r="224" spans="19:61" ht="12.75" customHeight="1">
      <c r="S224" s="8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2"/>
      <c r="BF224" s="88"/>
      <c r="BG224" s="2"/>
      <c r="BH224" s="2"/>
      <c r="BI224" s="2"/>
    </row>
    <row r="225" spans="19:61" ht="12.75" customHeight="1">
      <c r="S225" s="8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2"/>
      <c r="BF225" s="88"/>
      <c r="BG225" s="2"/>
      <c r="BH225" s="2"/>
      <c r="BI225" s="2"/>
    </row>
    <row r="226" spans="19:61" ht="12.75" customHeight="1">
      <c r="S226" s="8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2"/>
      <c r="BF226" s="88"/>
      <c r="BG226" s="2"/>
      <c r="BH226" s="2"/>
      <c r="BI226" s="2"/>
    </row>
    <row r="227" spans="19:61" ht="12.75" customHeight="1">
      <c r="S227" s="8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2"/>
      <c r="BF227" s="88"/>
      <c r="BG227" s="2"/>
      <c r="BH227" s="2"/>
      <c r="BI227" s="2"/>
    </row>
    <row r="228" spans="19:61" ht="12.75" customHeight="1">
      <c r="S228" s="8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2"/>
      <c r="BF228" s="88"/>
      <c r="BG228" s="2"/>
      <c r="BH228" s="2"/>
      <c r="BI228" s="2"/>
    </row>
    <row r="229" spans="19:61" ht="12.75" customHeight="1">
      <c r="S229" s="8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2"/>
      <c r="BF229" s="88"/>
      <c r="BG229" s="2"/>
      <c r="BH229" s="2"/>
      <c r="BI229" s="2"/>
    </row>
    <row r="230" spans="19:61" ht="12.75" customHeight="1">
      <c r="S230" s="8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2"/>
      <c r="BF230" s="88"/>
      <c r="BG230" s="2"/>
      <c r="BH230" s="2"/>
      <c r="BI230" s="2"/>
    </row>
    <row r="231" spans="19:61" ht="12.75" customHeight="1">
      <c r="S231" s="8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2"/>
      <c r="BF231" s="88"/>
      <c r="BG231" s="2"/>
      <c r="BH231" s="2"/>
      <c r="BI231" s="2"/>
    </row>
    <row r="232" spans="19:61" ht="12.75" customHeight="1">
      <c r="S232" s="8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2"/>
      <c r="BF232" s="88"/>
      <c r="BG232" s="2"/>
      <c r="BH232" s="2"/>
      <c r="BI232" s="2"/>
    </row>
    <row r="233" spans="19:61" ht="12.75" customHeight="1">
      <c r="S233" s="8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2"/>
      <c r="BF233" s="88"/>
      <c r="BG233" s="2"/>
      <c r="BH233" s="2"/>
      <c r="BI233" s="2"/>
    </row>
    <row r="234" spans="19:61" ht="12.75" customHeight="1">
      <c r="S234" s="8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2"/>
      <c r="BF234" s="88"/>
      <c r="BG234" s="2"/>
      <c r="BH234" s="2"/>
      <c r="BI234" s="2"/>
    </row>
    <row r="235" spans="19:61" ht="12.75" customHeight="1">
      <c r="S235" s="8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2"/>
      <c r="BF235" s="88"/>
      <c r="BG235" s="2"/>
      <c r="BH235" s="2"/>
      <c r="BI235" s="2"/>
    </row>
    <row r="236" spans="19:61" ht="12.75" customHeight="1">
      <c r="S236" s="8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2"/>
      <c r="BF236" s="88"/>
      <c r="BG236" s="2"/>
      <c r="BH236" s="2"/>
      <c r="BI236" s="2"/>
    </row>
    <row r="237" spans="19:61" ht="12.75" customHeight="1">
      <c r="S237" s="8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2"/>
      <c r="BF237" s="88"/>
      <c r="BG237" s="2"/>
      <c r="BH237" s="2"/>
      <c r="BI237" s="2"/>
    </row>
    <row r="238" spans="19:61" ht="12.75" customHeight="1">
      <c r="S238" s="8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2"/>
      <c r="BF238" s="88"/>
      <c r="BG238" s="2"/>
      <c r="BH238" s="2"/>
      <c r="BI238" s="2"/>
    </row>
    <row r="239" spans="19:61" ht="12.75" customHeight="1">
      <c r="S239" s="8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2"/>
      <c r="BF239" s="88"/>
      <c r="BG239" s="2"/>
      <c r="BH239" s="2"/>
      <c r="BI239" s="2"/>
    </row>
    <row r="240" spans="19:61" ht="12.75" customHeight="1">
      <c r="S240" s="8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2"/>
      <c r="BF240" s="88"/>
      <c r="BG240" s="2"/>
      <c r="BH240" s="2"/>
      <c r="BI240" s="2"/>
    </row>
    <row r="241" spans="19:61" ht="12.75" customHeight="1">
      <c r="S241" s="8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2"/>
      <c r="BF241" s="88"/>
      <c r="BG241" s="2"/>
      <c r="BH241" s="2"/>
      <c r="BI241" s="2"/>
    </row>
    <row r="242" spans="19:61" ht="12.75" customHeight="1">
      <c r="S242" s="8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2"/>
      <c r="BF242" s="88"/>
      <c r="BG242" s="2"/>
      <c r="BH242" s="2"/>
      <c r="BI242" s="2"/>
    </row>
    <row r="243" spans="19:61" ht="12.75" customHeight="1">
      <c r="S243" s="8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2"/>
      <c r="BF243" s="88"/>
      <c r="BG243" s="2"/>
      <c r="BH243" s="2"/>
      <c r="BI243" s="2"/>
    </row>
    <row r="244" spans="19:61" ht="12.75" customHeight="1">
      <c r="S244" s="8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2"/>
      <c r="BF244" s="88"/>
      <c r="BG244" s="2"/>
      <c r="BH244" s="2"/>
      <c r="BI244" s="2"/>
    </row>
    <row r="245" spans="19:61" ht="12.75" customHeight="1">
      <c r="S245" s="8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2"/>
      <c r="BF245" s="88"/>
      <c r="BG245" s="2"/>
      <c r="BH245" s="2"/>
      <c r="BI245" s="2"/>
    </row>
    <row r="246" spans="19:61" ht="12.75" customHeight="1">
      <c r="S246" s="8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2"/>
      <c r="BF246" s="88"/>
      <c r="BG246" s="2"/>
      <c r="BH246" s="2"/>
      <c r="BI246" s="2"/>
    </row>
    <row r="247" spans="19:61" ht="12.75" customHeight="1">
      <c r="S247" s="8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2"/>
      <c r="BF247" s="88"/>
      <c r="BG247" s="2"/>
      <c r="BH247" s="2"/>
      <c r="BI247" s="2"/>
    </row>
    <row r="248" spans="19:61" ht="12.75" customHeight="1">
      <c r="S248" s="8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2"/>
      <c r="BF248" s="88"/>
      <c r="BG248" s="2"/>
      <c r="BH248" s="2"/>
      <c r="BI248" s="2"/>
    </row>
    <row r="249" spans="19:61" ht="12.75" customHeight="1">
      <c r="S249" s="8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2"/>
      <c r="BF249" s="88"/>
      <c r="BG249" s="2"/>
      <c r="BH249" s="2"/>
      <c r="BI249" s="2"/>
    </row>
    <row r="250" spans="19:61" ht="12.75" customHeight="1">
      <c r="S250" s="8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2"/>
      <c r="BF250" s="88"/>
      <c r="BG250" s="2"/>
      <c r="BH250" s="2"/>
      <c r="BI250" s="2"/>
    </row>
    <row r="251" spans="19:61" ht="12.75" customHeight="1">
      <c r="S251" s="8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2"/>
      <c r="BF251" s="88"/>
      <c r="BG251" s="2"/>
      <c r="BH251" s="2"/>
      <c r="BI251" s="2"/>
    </row>
    <row r="252" spans="19:61" ht="12.75" customHeight="1">
      <c r="S252" s="8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2"/>
      <c r="BF252" s="88"/>
      <c r="BG252" s="2"/>
      <c r="BH252" s="2"/>
      <c r="BI252" s="2"/>
    </row>
    <row r="253" spans="19:61" ht="12.75" customHeight="1">
      <c r="S253" s="84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2"/>
      <c r="BF253" s="88"/>
      <c r="BG253" s="2"/>
      <c r="BH253" s="2"/>
      <c r="BI253" s="2"/>
    </row>
    <row r="254" spans="19:61" ht="12.75" customHeight="1">
      <c r="S254" s="84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2"/>
      <c r="BF254" s="88"/>
      <c r="BG254" s="2"/>
      <c r="BH254" s="2"/>
      <c r="BI254" s="2"/>
    </row>
    <row r="255" spans="19:61" ht="12.75" customHeight="1">
      <c r="S255" s="8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2"/>
      <c r="BF255" s="88"/>
      <c r="BG255" s="2"/>
      <c r="BH255" s="2"/>
      <c r="BI255" s="2"/>
    </row>
    <row r="256" spans="19:61" ht="12.75" customHeight="1">
      <c r="S256" s="8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2"/>
      <c r="BF256" s="88"/>
      <c r="BG256" s="2"/>
      <c r="BH256" s="2"/>
      <c r="BI256" s="2"/>
    </row>
    <row r="257" spans="19:61" ht="12.75" customHeight="1">
      <c r="S257" s="84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2"/>
      <c r="BF257" s="88"/>
      <c r="BG257" s="2"/>
      <c r="BH257" s="2"/>
      <c r="BI257" s="2"/>
    </row>
    <row r="258" spans="19:61" ht="12.75" customHeight="1">
      <c r="S258" s="8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2"/>
      <c r="BF258" s="88"/>
      <c r="BG258" s="2"/>
      <c r="BH258" s="2"/>
      <c r="BI258" s="2"/>
    </row>
    <row r="259" spans="19:61" ht="12.75" customHeight="1">
      <c r="S259" s="84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2"/>
      <c r="BF259" s="88"/>
      <c r="BG259" s="2"/>
      <c r="BH259" s="2"/>
      <c r="BI259" s="2"/>
    </row>
    <row r="260" spans="19:61" ht="12.75" customHeight="1">
      <c r="S260" s="8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2"/>
      <c r="BF260" s="88"/>
      <c r="BG260" s="2"/>
      <c r="BH260" s="2"/>
      <c r="BI260" s="2"/>
    </row>
    <row r="261" spans="19:61" ht="12.75" customHeight="1">
      <c r="S261" s="84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2"/>
      <c r="BF261" s="88"/>
      <c r="BG261" s="2"/>
      <c r="BH261" s="2"/>
      <c r="BI261" s="2"/>
    </row>
    <row r="262" spans="19:61" ht="12.75" customHeight="1">
      <c r="S262" s="84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2"/>
      <c r="BF262" s="88"/>
      <c r="BG262" s="2"/>
      <c r="BH262" s="2"/>
      <c r="BI262" s="2"/>
    </row>
    <row r="263" spans="19:61" ht="12.75" customHeight="1">
      <c r="S263" s="84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2"/>
      <c r="BF263" s="88"/>
      <c r="BG263" s="2"/>
      <c r="BH263" s="2"/>
      <c r="BI263" s="2"/>
    </row>
    <row r="264" spans="19:61" ht="12.75" customHeight="1">
      <c r="S264" s="84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2"/>
      <c r="BF264" s="88"/>
      <c r="BG264" s="2"/>
      <c r="BH264" s="2"/>
      <c r="BI264" s="2"/>
    </row>
    <row r="265" spans="19:61" ht="12.75" customHeight="1">
      <c r="S265" s="84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2"/>
      <c r="BF265" s="88"/>
      <c r="BG265" s="2"/>
      <c r="BH265" s="2"/>
      <c r="BI265" s="2"/>
    </row>
    <row r="266" spans="19:61" ht="12.75" customHeight="1">
      <c r="S266" s="84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2"/>
      <c r="BF266" s="88"/>
      <c r="BG266" s="2"/>
      <c r="BH266" s="2"/>
      <c r="BI266" s="2"/>
    </row>
    <row r="267" spans="19:61" ht="12.75" customHeight="1">
      <c r="S267" s="84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2"/>
      <c r="BF267" s="88"/>
      <c r="BG267" s="2"/>
      <c r="BH267" s="2"/>
      <c r="BI267" s="2"/>
    </row>
    <row r="268" spans="19:61" ht="12.75" customHeight="1">
      <c r="S268" s="84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2"/>
      <c r="BF268" s="88"/>
      <c r="BG268" s="2"/>
      <c r="BH268" s="2"/>
      <c r="BI268" s="2"/>
    </row>
    <row r="269" spans="19:61" ht="12.75" customHeight="1">
      <c r="S269" s="84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2"/>
      <c r="BF269" s="88"/>
      <c r="BG269" s="2"/>
      <c r="BH269" s="2"/>
      <c r="BI269" s="2"/>
    </row>
    <row r="270" spans="19:61" ht="12.75" customHeight="1">
      <c r="S270" s="84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2"/>
      <c r="BF270" s="88"/>
      <c r="BG270" s="2"/>
      <c r="BH270" s="2"/>
      <c r="BI270" s="2"/>
    </row>
    <row r="271" spans="19:61" ht="12.75" customHeight="1">
      <c r="S271" s="84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2"/>
      <c r="BF271" s="88"/>
      <c r="BG271" s="2"/>
      <c r="BH271" s="2"/>
      <c r="BI271" s="2"/>
    </row>
    <row r="272" spans="19:61" ht="12.75" customHeight="1">
      <c r="S272" s="84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2"/>
      <c r="BF272" s="88"/>
      <c r="BG272" s="2"/>
      <c r="BH272" s="2"/>
      <c r="BI272" s="2"/>
    </row>
    <row r="273" spans="19:61" ht="12.75" customHeight="1">
      <c r="S273" s="84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2"/>
      <c r="BF273" s="88"/>
      <c r="BG273" s="2"/>
      <c r="BH273" s="2"/>
      <c r="BI273" s="2"/>
    </row>
    <row r="274" spans="19:61" ht="12.75" customHeight="1">
      <c r="S274" s="84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2"/>
      <c r="BF274" s="88"/>
      <c r="BG274" s="2"/>
      <c r="BH274" s="2"/>
      <c r="BI274" s="2"/>
    </row>
    <row r="275" spans="19:61" ht="12.75" customHeight="1">
      <c r="S275" s="84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2"/>
      <c r="BF275" s="88"/>
      <c r="BG275" s="2"/>
      <c r="BH275" s="2"/>
      <c r="BI275" s="2"/>
    </row>
    <row r="276" spans="19:61" ht="12.75" customHeight="1">
      <c r="S276" s="84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2"/>
      <c r="BF276" s="88"/>
      <c r="BG276" s="2"/>
      <c r="BH276" s="2"/>
      <c r="BI276" s="2"/>
    </row>
    <row r="277" spans="19:61" ht="12.75" customHeight="1">
      <c r="S277" s="84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2"/>
      <c r="BF277" s="88"/>
      <c r="BG277" s="2"/>
      <c r="BH277" s="2"/>
      <c r="BI277" s="2"/>
    </row>
    <row r="278" spans="19:61" ht="12.75" customHeight="1">
      <c r="S278" s="84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2"/>
      <c r="BF278" s="88"/>
      <c r="BG278" s="2"/>
      <c r="BH278" s="2"/>
      <c r="BI278" s="2"/>
    </row>
    <row r="279" spans="19:61" ht="12.75" customHeight="1">
      <c r="S279" s="84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2"/>
      <c r="BF279" s="88"/>
      <c r="BG279" s="2"/>
      <c r="BH279" s="2"/>
      <c r="BI279" s="2"/>
    </row>
    <row r="280" spans="19:61" ht="12.75" customHeight="1">
      <c r="S280" s="84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2"/>
      <c r="BF280" s="88"/>
      <c r="BG280" s="2"/>
      <c r="BH280" s="2"/>
      <c r="BI280" s="2"/>
    </row>
    <row r="281" spans="19:61" ht="12.75" customHeight="1">
      <c r="S281" s="84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2"/>
      <c r="BF281" s="88"/>
      <c r="BG281" s="2"/>
      <c r="BH281" s="2"/>
      <c r="BI281" s="2"/>
    </row>
    <row r="282" spans="19:61" ht="12.75" customHeight="1">
      <c r="S282" s="84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2"/>
      <c r="BF282" s="88"/>
      <c r="BG282" s="2"/>
      <c r="BH282" s="2"/>
      <c r="BI282" s="2"/>
    </row>
    <row r="283" spans="19:61" ht="12.75" customHeight="1">
      <c r="S283" s="84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2"/>
      <c r="BF283" s="88"/>
      <c r="BG283" s="2"/>
      <c r="BH283" s="2"/>
      <c r="BI283" s="2"/>
    </row>
    <row r="284" spans="19:61" ht="12.75" customHeight="1">
      <c r="S284" s="84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2"/>
      <c r="BF284" s="88"/>
      <c r="BG284" s="2"/>
      <c r="BH284" s="2"/>
      <c r="BI284" s="2"/>
    </row>
    <row r="285" spans="19:61" ht="12.75" customHeight="1">
      <c r="S285" s="84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2"/>
      <c r="BF285" s="88"/>
      <c r="BG285" s="2"/>
      <c r="BH285" s="2"/>
      <c r="BI285" s="2"/>
    </row>
    <row r="286" spans="19:61" ht="12.75" customHeight="1">
      <c r="S286" s="84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2"/>
      <c r="BF286" s="88"/>
      <c r="BG286" s="2"/>
      <c r="BH286" s="2"/>
      <c r="BI286" s="2"/>
    </row>
    <row r="287" spans="19:61" ht="12.75" customHeight="1">
      <c r="S287" s="84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2"/>
      <c r="BF287" s="88"/>
      <c r="BG287" s="2"/>
      <c r="BH287" s="2"/>
      <c r="BI287" s="2"/>
    </row>
    <row r="288" spans="19:61" ht="12.75" customHeight="1">
      <c r="S288" s="84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2"/>
      <c r="BF288" s="88"/>
      <c r="BG288" s="2"/>
      <c r="BH288" s="2"/>
      <c r="BI288" s="2"/>
    </row>
    <row r="289" spans="19:61" ht="12.75" customHeight="1">
      <c r="S289" s="84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2"/>
      <c r="BF289" s="88"/>
      <c r="BG289" s="2"/>
      <c r="BH289" s="2"/>
      <c r="BI289" s="2"/>
    </row>
    <row r="290" spans="19:61" ht="12.75" customHeight="1">
      <c r="S290" s="8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2"/>
      <c r="BF290" s="88"/>
      <c r="BG290" s="2"/>
      <c r="BH290" s="2"/>
      <c r="BI290" s="2"/>
    </row>
    <row r="291" spans="19:61" ht="12.75" customHeight="1">
      <c r="S291" s="84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2"/>
      <c r="BF291" s="88"/>
      <c r="BG291" s="2"/>
      <c r="BH291" s="2"/>
      <c r="BI291" s="2"/>
    </row>
    <row r="292" spans="19:61" ht="12.75" customHeight="1">
      <c r="S292" s="84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2"/>
      <c r="BF292" s="88"/>
      <c r="BG292" s="2"/>
      <c r="BH292" s="2"/>
      <c r="BI292" s="2"/>
    </row>
    <row r="293" spans="19:61" ht="12.75" customHeight="1">
      <c r="S293" s="84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2"/>
      <c r="BF293" s="88"/>
      <c r="BG293" s="2"/>
      <c r="BH293" s="2"/>
      <c r="BI293" s="2"/>
    </row>
    <row r="294" spans="19:61" ht="12.75" customHeight="1">
      <c r="S294" s="84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2"/>
      <c r="BF294" s="88"/>
      <c r="BG294" s="2"/>
      <c r="BH294" s="2"/>
      <c r="BI294" s="2"/>
    </row>
    <row r="295" spans="19:61" ht="12.75" customHeight="1">
      <c r="S295" s="84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2"/>
      <c r="BF295" s="88"/>
      <c r="BG295" s="2"/>
      <c r="BH295" s="2"/>
      <c r="BI295" s="2"/>
    </row>
    <row r="296" spans="19:61" ht="12.75" customHeight="1">
      <c r="S296" s="84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2"/>
      <c r="BF296" s="88"/>
      <c r="BG296" s="2"/>
      <c r="BH296" s="2"/>
      <c r="BI296" s="2"/>
    </row>
    <row r="297" spans="19:61" ht="12.75" customHeight="1">
      <c r="S297" s="84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2"/>
      <c r="BF297" s="88"/>
      <c r="BG297" s="2"/>
      <c r="BH297" s="2"/>
      <c r="BI297" s="2"/>
    </row>
    <row r="298" spans="19:61" ht="12.75" customHeight="1">
      <c r="S298" s="84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2"/>
      <c r="BF298" s="88"/>
      <c r="BG298" s="2"/>
      <c r="BH298" s="2"/>
      <c r="BI298" s="2"/>
    </row>
    <row r="299" spans="19:61" ht="12.75" customHeight="1">
      <c r="S299" s="84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2"/>
      <c r="BF299" s="88"/>
      <c r="BG299" s="2"/>
      <c r="BH299" s="2"/>
      <c r="BI299" s="2"/>
    </row>
    <row r="300" spans="19:61" ht="12.75" customHeight="1">
      <c r="S300" s="84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2"/>
      <c r="BF300" s="88"/>
      <c r="BG300" s="2"/>
      <c r="BH300" s="2"/>
      <c r="BI300" s="2"/>
    </row>
    <row r="301" spans="19:61" ht="12.75" customHeight="1">
      <c r="S301" s="84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2"/>
      <c r="BF301" s="88"/>
      <c r="BG301" s="2"/>
      <c r="BH301" s="2"/>
      <c r="BI301" s="2"/>
    </row>
    <row r="302" spans="19:61" ht="12.75" customHeight="1">
      <c r="S302" s="84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2"/>
      <c r="BF302" s="88"/>
      <c r="BG302" s="2"/>
      <c r="BH302" s="2"/>
      <c r="BI302" s="2"/>
    </row>
    <row r="303" spans="19:61" ht="12.75" customHeight="1">
      <c r="S303" s="84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2"/>
      <c r="BF303" s="88"/>
      <c r="BG303" s="2"/>
      <c r="BH303" s="2"/>
      <c r="BI303" s="2"/>
    </row>
    <row r="304" spans="19:61" ht="12.75" customHeight="1">
      <c r="S304" s="84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2"/>
      <c r="BF304" s="88"/>
      <c r="BG304" s="2"/>
      <c r="BH304" s="2"/>
      <c r="BI304" s="2"/>
    </row>
    <row r="305" spans="19:61" ht="12.75" customHeight="1">
      <c r="S305" s="84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2"/>
      <c r="BF305" s="88"/>
      <c r="BG305" s="2"/>
      <c r="BH305" s="2"/>
      <c r="BI305" s="2"/>
    </row>
    <row r="306" spans="19:61" ht="12.75" customHeight="1">
      <c r="S306" s="84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2"/>
      <c r="BF306" s="88"/>
      <c r="BG306" s="2"/>
      <c r="BH306" s="2"/>
      <c r="BI306" s="2"/>
    </row>
    <row r="307" spans="19:61" ht="12.75" customHeight="1">
      <c r="S307" s="84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2"/>
      <c r="BF307" s="88"/>
      <c r="BG307" s="2"/>
      <c r="BH307" s="2"/>
      <c r="BI307" s="2"/>
    </row>
    <row r="308" spans="19:61" ht="12.75" customHeight="1">
      <c r="S308" s="84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2"/>
      <c r="BF308" s="88"/>
      <c r="BG308" s="2"/>
      <c r="BH308" s="2"/>
      <c r="BI308" s="2"/>
    </row>
    <row r="309" spans="19:61" ht="12.75" customHeight="1">
      <c r="S309" s="8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2"/>
      <c r="BF309" s="88"/>
      <c r="BG309" s="2"/>
      <c r="BH309" s="2"/>
      <c r="BI309" s="2"/>
    </row>
    <row r="310" spans="19:61" ht="12.75" customHeight="1">
      <c r="S310" s="8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2"/>
      <c r="BF310" s="88"/>
      <c r="BG310" s="2"/>
      <c r="BH310" s="2"/>
      <c r="BI310" s="2"/>
    </row>
    <row r="311" spans="19:61" ht="12.75" customHeight="1">
      <c r="S311" s="8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2"/>
      <c r="BF311" s="88"/>
      <c r="BG311" s="2"/>
      <c r="BH311" s="2"/>
      <c r="BI311" s="2"/>
    </row>
    <row r="312" spans="19:61" ht="12.75" customHeight="1">
      <c r="S312" s="8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2"/>
      <c r="BF312" s="88"/>
      <c r="BG312" s="2"/>
      <c r="BH312" s="2"/>
      <c r="BI312" s="2"/>
    </row>
    <row r="313" spans="19:61" ht="12.75" customHeight="1">
      <c r="S313" s="8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2"/>
      <c r="BF313" s="88"/>
      <c r="BG313" s="2"/>
      <c r="BH313" s="2"/>
      <c r="BI313" s="2"/>
    </row>
    <row r="314" spans="19:61" ht="12.75" customHeight="1">
      <c r="S314" s="84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2"/>
      <c r="BF314" s="88"/>
      <c r="BG314" s="2"/>
      <c r="BH314" s="2"/>
      <c r="BI314" s="2"/>
    </row>
    <row r="315" spans="19:61" ht="12.75" customHeight="1">
      <c r="S315" s="84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2"/>
      <c r="BF315" s="88"/>
      <c r="BG315" s="2"/>
      <c r="BH315" s="2"/>
      <c r="BI315" s="2"/>
    </row>
    <row r="316" spans="19:61" ht="12.75" customHeight="1">
      <c r="S316" s="84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2"/>
      <c r="BF316" s="88"/>
      <c r="BG316" s="2"/>
      <c r="BH316" s="2"/>
      <c r="BI316" s="2"/>
    </row>
    <row r="317" spans="19:61" ht="12.75" customHeight="1">
      <c r="S317" s="84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2"/>
      <c r="BF317" s="88"/>
      <c r="BG317" s="2"/>
      <c r="BH317" s="2"/>
      <c r="BI317" s="2"/>
    </row>
    <row r="318" spans="19:61" ht="12.75" customHeight="1">
      <c r="S318" s="84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2"/>
      <c r="BF318" s="88"/>
      <c r="BG318" s="2"/>
      <c r="BH318" s="2"/>
      <c r="BI318" s="2"/>
    </row>
    <row r="319" spans="19:61" ht="12.75" customHeight="1">
      <c r="S319" s="84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2"/>
      <c r="BF319" s="88"/>
      <c r="BG319" s="2"/>
      <c r="BH319" s="2"/>
      <c r="BI319" s="2"/>
    </row>
    <row r="320" spans="19:61" ht="12.75" customHeight="1">
      <c r="S320" s="84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2"/>
      <c r="BF320" s="88"/>
      <c r="BG320" s="2"/>
      <c r="BH320" s="2"/>
      <c r="BI320" s="2"/>
    </row>
    <row r="321" spans="19:61" ht="12.75" customHeight="1">
      <c r="S321" s="84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2"/>
      <c r="BF321" s="88"/>
      <c r="BG321" s="2"/>
      <c r="BH321" s="2"/>
      <c r="BI321" s="2"/>
    </row>
    <row r="322" spans="19:61" ht="12.75" customHeight="1">
      <c r="S322" s="84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2"/>
      <c r="BF322" s="88"/>
      <c r="BG322" s="2"/>
      <c r="BH322" s="2"/>
      <c r="BI322" s="2"/>
    </row>
    <row r="323" spans="19:61" ht="12.75" customHeight="1">
      <c r="S323" s="84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2"/>
      <c r="BF323" s="88"/>
      <c r="BG323" s="2"/>
      <c r="BH323" s="2"/>
      <c r="BI323" s="2"/>
    </row>
    <row r="324" spans="19:61" ht="12.75" customHeight="1">
      <c r="S324" s="84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2"/>
      <c r="BF324" s="88"/>
      <c r="BG324" s="2"/>
      <c r="BH324" s="2"/>
      <c r="BI324" s="2"/>
    </row>
    <row r="325" spans="19:61" ht="12.75" customHeight="1">
      <c r="S325" s="84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2"/>
      <c r="BF325" s="88"/>
      <c r="BG325" s="2"/>
      <c r="BH325" s="2"/>
      <c r="BI325" s="2"/>
    </row>
    <row r="326" spans="19:61" ht="12.75" customHeight="1">
      <c r="S326" s="84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2"/>
      <c r="BF326" s="88"/>
      <c r="BG326" s="2"/>
      <c r="BH326" s="2"/>
      <c r="BI326" s="2"/>
    </row>
    <row r="327" spans="19:61" ht="12.75" customHeight="1">
      <c r="S327" s="84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2"/>
      <c r="BF327" s="88"/>
      <c r="BG327" s="2"/>
      <c r="BH327" s="2"/>
      <c r="BI327" s="2"/>
    </row>
    <row r="328" spans="19:61" ht="12.75" customHeight="1">
      <c r="S328" s="84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2"/>
      <c r="BF328" s="88"/>
      <c r="BG328" s="2"/>
      <c r="BH328" s="2"/>
      <c r="BI328" s="2"/>
    </row>
    <row r="329" spans="19:61" ht="12.75" customHeight="1">
      <c r="S329" s="84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2"/>
      <c r="BF329" s="88"/>
      <c r="BG329" s="2"/>
      <c r="BH329" s="2"/>
      <c r="BI329" s="2"/>
    </row>
    <row r="330" spans="19:61" ht="12.75" customHeight="1">
      <c r="S330" s="84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2"/>
      <c r="BF330" s="88"/>
      <c r="BG330" s="2"/>
      <c r="BH330" s="2"/>
      <c r="BI330" s="2"/>
    </row>
    <row r="331" spans="19:61" ht="12.75" customHeight="1">
      <c r="S331" s="84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2"/>
      <c r="BF331" s="88"/>
      <c r="BG331" s="2"/>
      <c r="BH331" s="2"/>
      <c r="BI331" s="2"/>
    </row>
    <row r="332" spans="19:61" ht="12.75" customHeight="1">
      <c r="S332" s="84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2"/>
      <c r="BF332" s="88"/>
      <c r="BG332" s="2"/>
      <c r="BH332" s="2"/>
      <c r="BI332" s="2"/>
    </row>
    <row r="333" spans="19:61" ht="12.75" customHeight="1">
      <c r="S333" s="84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2"/>
      <c r="BF333" s="88"/>
      <c r="BG333" s="2"/>
      <c r="BH333" s="2"/>
      <c r="BI333" s="2"/>
    </row>
    <row r="334" spans="19:61" ht="12.75" customHeight="1">
      <c r="S334" s="84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2"/>
      <c r="BF334" s="88"/>
      <c r="BG334" s="2"/>
      <c r="BH334" s="2"/>
      <c r="BI334" s="2"/>
    </row>
    <row r="335" spans="19:61" ht="12.75" customHeight="1">
      <c r="S335" s="84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2"/>
      <c r="BF335" s="88"/>
      <c r="BG335" s="2"/>
      <c r="BH335" s="2"/>
      <c r="BI335" s="2"/>
    </row>
    <row r="336" spans="19:61" ht="12.75" customHeight="1">
      <c r="S336" s="84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2"/>
      <c r="BF336" s="88"/>
      <c r="BG336" s="2"/>
      <c r="BH336" s="2"/>
      <c r="BI336" s="2"/>
    </row>
    <row r="337" spans="19:61" ht="12.75" customHeight="1">
      <c r="S337" s="84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2"/>
      <c r="BF337" s="88"/>
      <c r="BG337" s="2"/>
      <c r="BH337" s="2"/>
      <c r="BI337" s="2"/>
    </row>
    <row r="338" spans="19:61" ht="12.75" customHeight="1">
      <c r="S338" s="84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2"/>
      <c r="BF338" s="88"/>
      <c r="BG338" s="2"/>
      <c r="BH338" s="2"/>
      <c r="BI338" s="2"/>
    </row>
    <row r="339" spans="19:61" ht="12.75" customHeight="1">
      <c r="S339" s="84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2"/>
      <c r="BF339" s="88"/>
      <c r="BG339" s="2"/>
      <c r="BH339" s="2"/>
      <c r="BI339" s="2"/>
    </row>
    <row r="340" spans="19:61" ht="12.75" customHeight="1">
      <c r="S340" s="84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2"/>
      <c r="BF340" s="88"/>
      <c r="BG340" s="2"/>
      <c r="BH340" s="2"/>
      <c r="BI340" s="2"/>
    </row>
    <row r="341" spans="19:61" ht="12.75" customHeight="1">
      <c r="S341" s="84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2"/>
      <c r="BF341" s="88"/>
      <c r="BG341" s="2"/>
      <c r="BH341" s="2"/>
      <c r="BI341" s="2"/>
    </row>
    <row r="342" spans="19:61" ht="12.75" customHeight="1">
      <c r="S342" s="84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2"/>
      <c r="BF342" s="88"/>
      <c r="BG342" s="2"/>
      <c r="BH342" s="2"/>
      <c r="BI342" s="2"/>
    </row>
    <row r="343" spans="19:61" ht="12.75" customHeight="1">
      <c r="S343" s="84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2"/>
      <c r="BF343" s="88"/>
      <c r="BG343" s="2"/>
      <c r="BH343" s="2"/>
      <c r="BI343" s="2"/>
    </row>
    <row r="344" spans="19:61" ht="12.75" customHeight="1">
      <c r="S344" s="84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2"/>
      <c r="BF344" s="88"/>
      <c r="BG344" s="2"/>
      <c r="BH344" s="2"/>
      <c r="BI344" s="2"/>
    </row>
    <row r="345" spans="19:61" ht="12.75" customHeight="1">
      <c r="S345" s="84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2"/>
      <c r="BF345" s="88"/>
      <c r="BG345" s="2"/>
      <c r="BH345" s="2"/>
      <c r="BI345" s="2"/>
    </row>
    <row r="346" spans="19:61" ht="12.75" customHeight="1">
      <c r="S346" s="84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2"/>
      <c r="BF346" s="88"/>
      <c r="BG346" s="2"/>
      <c r="BH346" s="2"/>
      <c r="BI346" s="2"/>
    </row>
    <row r="347" spans="19:61" ht="12.75" customHeight="1">
      <c r="S347" s="84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2"/>
      <c r="BF347" s="88"/>
      <c r="BG347" s="2"/>
      <c r="BH347" s="2"/>
      <c r="BI347" s="2"/>
    </row>
    <row r="348" spans="19:61" ht="12.75" customHeight="1">
      <c r="S348" s="84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2"/>
      <c r="BF348" s="88"/>
      <c r="BG348" s="2"/>
      <c r="BH348" s="2"/>
      <c r="BI348" s="2"/>
    </row>
    <row r="349" spans="19:61" ht="12.75" customHeight="1">
      <c r="S349" s="84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2"/>
      <c r="BF349" s="88"/>
      <c r="BG349" s="2"/>
      <c r="BH349" s="2"/>
      <c r="BI349" s="2"/>
    </row>
    <row r="350" spans="19:61" ht="12.75" customHeight="1">
      <c r="S350" s="84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2"/>
      <c r="BF350" s="88"/>
      <c r="BG350" s="2"/>
      <c r="BH350" s="2"/>
      <c r="BI350" s="2"/>
    </row>
    <row r="351" spans="19:61" ht="12.75" customHeight="1">
      <c r="S351" s="84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2"/>
      <c r="BF351" s="88"/>
      <c r="BG351" s="2"/>
      <c r="BH351" s="2"/>
      <c r="BI351" s="2"/>
    </row>
    <row r="352" spans="19:61" ht="12.75" customHeight="1">
      <c r="S352" s="84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2"/>
      <c r="BF352" s="88"/>
      <c r="BG352" s="2"/>
      <c r="BH352" s="2"/>
      <c r="BI352" s="2"/>
    </row>
    <row r="353" spans="19:61" ht="12.75" customHeight="1">
      <c r="S353" s="8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2"/>
      <c r="BF353" s="88"/>
      <c r="BG353" s="2"/>
      <c r="BH353" s="2"/>
      <c r="BI353" s="2"/>
    </row>
    <row r="354" spans="19:61" ht="12.75" customHeight="1">
      <c r="S354" s="84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2"/>
      <c r="BF354" s="88"/>
      <c r="BG354" s="2"/>
      <c r="BH354" s="2"/>
      <c r="BI354" s="2"/>
    </row>
    <row r="355" spans="19:61" ht="12.75" customHeight="1">
      <c r="S355" s="84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2"/>
      <c r="BF355" s="88"/>
      <c r="BG355" s="2"/>
      <c r="BH355" s="2"/>
      <c r="BI355" s="2"/>
    </row>
    <row r="356" spans="19:61" ht="12.75" customHeight="1">
      <c r="S356" s="84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2"/>
      <c r="BF356" s="88"/>
      <c r="BG356" s="2"/>
      <c r="BH356" s="2"/>
      <c r="BI356" s="2"/>
    </row>
    <row r="357" spans="19:61" ht="12.75" customHeight="1">
      <c r="S357" s="84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2"/>
      <c r="BF357" s="88"/>
      <c r="BG357" s="2"/>
      <c r="BH357" s="2"/>
      <c r="BI357" s="2"/>
    </row>
    <row r="358" spans="19:61" ht="12.75" customHeight="1">
      <c r="S358" s="84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2"/>
      <c r="BF358" s="88"/>
      <c r="BG358" s="2"/>
      <c r="BH358" s="2"/>
      <c r="BI358" s="2"/>
    </row>
    <row r="359" spans="19:61" ht="12.75" customHeight="1">
      <c r="S359" s="84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2"/>
      <c r="BF359" s="88"/>
      <c r="BG359" s="2"/>
      <c r="BH359" s="2"/>
      <c r="BI359" s="2"/>
    </row>
    <row r="360" spans="19:61" ht="12.75" customHeight="1">
      <c r="S360" s="84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2"/>
      <c r="BF360" s="88"/>
      <c r="BG360" s="2"/>
      <c r="BH360" s="2"/>
      <c r="BI360" s="2"/>
    </row>
    <row r="361" spans="19:61" ht="12.75" customHeight="1">
      <c r="S361" s="84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2"/>
      <c r="BF361" s="88"/>
      <c r="BG361" s="2"/>
      <c r="BH361" s="2"/>
      <c r="BI361" s="2"/>
    </row>
    <row r="362" spans="19:61" ht="12.75" customHeight="1">
      <c r="S362" s="84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2"/>
      <c r="BF362" s="88"/>
      <c r="BG362" s="2"/>
      <c r="BH362" s="2"/>
      <c r="BI362" s="2"/>
    </row>
    <row r="363" spans="19:61" ht="12.75" customHeight="1">
      <c r="S363" s="84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2"/>
      <c r="BF363" s="88"/>
      <c r="BG363" s="2"/>
      <c r="BH363" s="2"/>
      <c r="BI363" s="2"/>
    </row>
    <row r="364" spans="19:61" ht="12.75" customHeight="1">
      <c r="S364" s="84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2"/>
      <c r="BF364" s="88"/>
      <c r="BG364" s="2"/>
      <c r="BH364" s="2"/>
      <c r="BI364" s="2"/>
    </row>
    <row r="365" spans="19:61" ht="12.75" customHeight="1">
      <c r="S365" s="84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2"/>
      <c r="BF365" s="88"/>
      <c r="BG365" s="2"/>
      <c r="BH365" s="2"/>
      <c r="BI365" s="2"/>
    </row>
    <row r="366" spans="19:61" ht="12.75" customHeight="1">
      <c r="S366" s="84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2"/>
      <c r="BF366" s="88"/>
      <c r="BG366" s="2"/>
      <c r="BH366" s="2"/>
      <c r="BI366" s="2"/>
    </row>
    <row r="367" spans="19:61" ht="12.75" customHeight="1">
      <c r="S367" s="84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2"/>
      <c r="BF367" s="88"/>
      <c r="BG367" s="2"/>
      <c r="BH367" s="2"/>
      <c r="BI367" s="2"/>
    </row>
    <row r="368" spans="19:61" ht="12.75" customHeight="1">
      <c r="S368" s="84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2"/>
      <c r="BF368" s="88"/>
      <c r="BG368" s="2"/>
      <c r="BH368" s="2"/>
      <c r="BI368" s="2"/>
    </row>
    <row r="369" spans="19:61" ht="12.75" customHeight="1">
      <c r="S369" s="84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2"/>
      <c r="BF369" s="88"/>
      <c r="BG369" s="2"/>
      <c r="BH369" s="2"/>
      <c r="BI369" s="2"/>
    </row>
    <row r="370" spans="19:61" ht="12.75" customHeight="1">
      <c r="S370" s="84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2"/>
      <c r="BF370" s="88"/>
      <c r="BG370" s="2"/>
      <c r="BH370" s="2"/>
      <c r="BI370" s="2"/>
    </row>
    <row r="371" spans="19:61" ht="12.75" customHeight="1">
      <c r="S371" s="84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2"/>
      <c r="BF371" s="88"/>
      <c r="BG371" s="2"/>
      <c r="BH371" s="2"/>
      <c r="BI371" s="2"/>
    </row>
    <row r="372" spans="19:61" ht="12.75" customHeight="1">
      <c r="S372" s="84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2"/>
      <c r="BF372" s="88"/>
      <c r="BG372" s="2"/>
      <c r="BH372" s="2"/>
      <c r="BI372" s="2"/>
    </row>
    <row r="373" spans="19:61" ht="12.75" customHeight="1">
      <c r="S373" s="8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2"/>
      <c r="BF373" s="88"/>
      <c r="BG373" s="2"/>
      <c r="BH373" s="2"/>
      <c r="BI373" s="2"/>
    </row>
    <row r="374" spans="19:61" ht="12.75" customHeight="1">
      <c r="S374" s="84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2"/>
      <c r="BF374" s="88"/>
      <c r="BG374" s="2"/>
      <c r="BH374" s="2"/>
      <c r="BI374" s="2"/>
    </row>
    <row r="375" spans="19:61" ht="12.75" customHeight="1">
      <c r="S375" s="84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2"/>
      <c r="BF375" s="88"/>
      <c r="BG375" s="2"/>
      <c r="BH375" s="2"/>
      <c r="BI375" s="2"/>
    </row>
    <row r="376" spans="19:61" ht="12.75" customHeight="1">
      <c r="S376" s="84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2"/>
      <c r="BF376" s="88"/>
      <c r="BG376" s="2"/>
      <c r="BH376" s="2"/>
      <c r="BI376" s="2"/>
    </row>
    <row r="377" spans="19:61" ht="12.75" customHeight="1">
      <c r="S377" s="84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2"/>
      <c r="BF377" s="88"/>
      <c r="BG377" s="2"/>
      <c r="BH377" s="2"/>
      <c r="BI377" s="2"/>
    </row>
    <row r="378" spans="19:61" ht="12.75" customHeight="1">
      <c r="S378" s="84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2"/>
      <c r="BF378" s="88"/>
      <c r="BG378" s="2"/>
      <c r="BH378" s="2"/>
      <c r="BI378" s="2"/>
    </row>
    <row r="379" spans="19:61" ht="12.75" customHeight="1">
      <c r="S379" s="84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2"/>
      <c r="BF379" s="88"/>
      <c r="BG379" s="2"/>
      <c r="BH379" s="2"/>
      <c r="BI379" s="2"/>
    </row>
    <row r="380" spans="19:61" ht="12.75" customHeight="1">
      <c r="S380" s="84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2"/>
      <c r="BF380" s="88"/>
      <c r="BG380" s="2"/>
      <c r="BH380" s="2"/>
      <c r="BI380" s="2"/>
    </row>
    <row r="381" spans="19:61" ht="12.75" customHeight="1">
      <c r="S381" s="84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2"/>
      <c r="BF381" s="88"/>
      <c r="BG381" s="2"/>
      <c r="BH381" s="2"/>
      <c r="BI381" s="2"/>
    </row>
    <row r="382" spans="19:61" ht="12.75" customHeight="1">
      <c r="S382" s="84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2"/>
      <c r="BF382" s="88"/>
      <c r="BG382" s="2"/>
      <c r="BH382" s="2"/>
      <c r="BI382" s="2"/>
    </row>
    <row r="383" spans="19:61" ht="12.75" customHeight="1">
      <c r="S383" s="84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2"/>
      <c r="BF383" s="88"/>
      <c r="BG383" s="2"/>
      <c r="BH383" s="2"/>
      <c r="BI383" s="2"/>
    </row>
    <row r="384" spans="19:61" ht="12.75" customHeight="1">
      <c r="S384" s="84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2"/>
      <c r="BF384" s="88"/>
      <c r="BG384" s="2"/>
      <c r="BH384" s="2"/>
      <c r="BI384" s="2"/>
    </row>
    <row r="385" spans="19:61" ht="12.75" customHeight="1">
      <c r="S385" s="84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2"/>
      <c r="BF385" s="88"/>
      <c r="BG385" s="2"/>
      <c r="BH385" s="2"/>
      <c r="BI385" s="2"/>
    </row>
    <row r="386" spans="19:61" ht="12.75" customHeight="1">
      <c r="S386" s="84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2"/>
      <c r="BF386" s="88"/>
      <c r="BG386" s="2"/>
      <c r="BH386" s="2"/>
      <c r="BI386" s="2"/>
    </row>
    <row r="387" spans="19:61" ht="12.75" customHeight="1">
      <c r="S387" s="84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2"/>
      <c r="BF387" s="88"/>
      <c r="BG387" s="2"/>
      <c r="BH387" s="2"/>
      <c r="BI387" s="2"/>
    </row>
    <row r="388" spans="19:61" ht="12.75" customHeight="1">
      <c r="S388" s="84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2"/>
      <c r="BF388" s="88"/>
      <c r="BG388" s="2"/>
      <c r="BH388" s="2"/>
      <c r="BI388" s="2"/>
    </row>
    <row r="389" spans="19:61" ht="12.75" customHeight="1">
      <c r="S389" s="84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2"/>
      <c r="BF389" s="88"/>
      <c r="BG389" s="2"/>
      <c r="BH389" s="2"/>
      <c r="BI389" s="2"/>
    </row>
    <row r="390" spans="19:61" ht="12.75" customHeight="1">
      <c r="S390" s="84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2"/>
      <c r="BF390" s="88"/>
      <c r="BG390" s="2"/>
      <c r="BH390" s="2"/>
      <c r="BI390" s="2"/>
    </row>
    <row r="391" spans="19:61" ht="12.75" customHeight="1">
      <c r="S391" s="84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2"/>
      <c r="BF391" s="88"/>
      <c r="BG391" s="2"/>
      <c r="BH391" s="2"/>
      <c r="BI391" s="2"/>
    </row>
    <row r="392" spans="19:61" ht="12.75" customHeight="1">
      <c r="S392" s="84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2"/>
      <c r="BF392" s="88"/>
      <c r="BG392" s="2"/>
      <c r="BH392" s="2"/>
      <c r="BI392" s="2"/>
    </row>
    <row r="393" spans="19:61" ht="12.75" customHeight="1">
      <c r="S393" s="84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2"/>
      <c r="BF393" s="88"/>
      <c r="BG393" s="2"/>
      <c r="BH393" s="2"/>
      <c r="BI393" s="2"/>
    </row>
    <row r="394" spans="19:61" ht="12.75" customHeight="1">
      <c r="S394" s="84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2"/>
      <c r="BF394" s="88"/>
      <c r="BG394" s="2"/>
      <c r="BH394" s="2"/>
      <c r="BI394" s="2"/>
    </row>
    <row r="395" spans="19:61" ht="12.75" customHeight="1">
      <c r="S395" s="84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2"/>
      <c r="BF395" s="88"/>
      <c r="BG395" s="2"/>
      <c r="BH395" s="2"/>
      <c r="BI395" s="2"/>
    </row>
    <row r="396" spans="19:61" ht="12.75" customHeight="1">
      <c r="S396" s="84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2"/>
      <c r="BF396" s="88"/>
      <c r="BG396" s="2"/>
      <c r="BH396" s="2"/>
      <c r="BI396" s="2"/>
    </row>
    <row r="397" spans="19:61" ht="12.75" customHeight="1">
      <c r="S397" s="84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2"/>
      <c r="BF397" s="88"/>
      <c r="BG397" s="2"/>
      <c r="BH397" s="2"/>
      <c r="BI397" s="2"/>
    </row>
    <row r="398" spans="19:61" ht="12.75" customHeight="1">
      <c r="S398" s="84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2"/>
      <c r="BF398" s="88"/>
      <c r="BG398" s="2"/>
      <c r="BH398" s="2"/>
      <c r="BI398" s="2"/>
    </row>
    <row r="399" spans="19:61" ht="12.75" customHeight="1">
      <c r="S399" s="84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2"/>
      <c r="BF399" s="88"/>
      <c r="BG399" s="2"/>
      <c r="BH399" s="2"/>
      <c r="BI399" s="2"/>
    </row>
    <row r="400" spans="19:61" ht="12.75" customHeight="1">
      <c r="S400" s="84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2"/>
      <c r="BF400" s="88"/>
      <c r="BG400" s="2"/>
      <c r="BH400" s="2"/>
      <c r="BI400" s="2"/>
    </row>
    <row r="401" spans="19:61" ht="12.75" customHeight="1">
      <c r="S401" s="84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2"/>
      <c r="BF401" s="88"/>
      <c r="BG401" s="2"/>
      <c r="BH401" s="2"/>
      <c r="BI401" s="2"/>
    </row>
    <row r="402" spans="19:61" ht="12.75" customHeight="1">
      <c r="S402" s="84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2"/>
      <c r="BF402" s="88"/>
      <c r="BG402" s="2"/>
      <c r="BH402" s="2"/>
      <c r="BI402" s="2"/>
    </row>
    <row r="403" spans="19:61" ht="12.75" customHeight="1">
      <c r="S403" s="84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2"/>
      <c r="BF403" s="88"/>
      <c r="BG403" s="2"/>
      <c r="BH403" s="2"/>
      <c r="BI403" s="2"/>
    </row>
    <row r="404" spans="19:61" ht="12.75" customHeight="1">
      <c r="S404" s="84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2"/>
      <c r="BF404" s="88"/>
      <c r="BG404" s="2"/>
      <c r="BH404" s="2"/>
      <c r="BI404" s="2"/>
    </row>
    <row r="405" spans="19:61" ht="12.75" customHeight="1">
      <c r="S405" s="84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2"/>
      <c r="BF405" s="88"/>
      <c r="BG405" s="2"/>
      <c r="BH405" s="2"/>
      <c r="BI405" s="2"/>
    </row>
    <row r="406" spans="19:61" ht="12.75" customHeight="1">
      <c r="S406" s="84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2"/>
      <c r="BF406" s="88"/>
      <c r="BG406" s="2"/>
      <c r="BH406" s="2"/>
      <c r="BI406" s="2"/>
    </row>
    <row r="407" spans="19:61" ht="12.75" customHeight="1">
      <c r="S407" s="84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2"/>
      <c r="BF407" s="88"/>
      <c r="BG407" s="2"/>
      <c r="BH407" s="2"/>
      <c r="BI407" s="2"/>
    </row>
    <row r="408" spans="19:61" ht="12.75" customHeight="1">
      <c r="S408" s="84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2"/>
      <c r="BF408" s="88"/>
      <c r="BG408" s="2"/>
      <c r="BH408" s="2"/>
      <c r="BI408" s="2"/>
    </row>
    <row r="409" spans="19:61" ht="12.75" customHeight="1">
      <c r="S409" s="84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2"/>
      <c r="BF409" s="88"/>
      <c r="BG409" s="2"/>
      <c r="BH409" s="2"/>
      <c r="BI409" s="2"/>
    </row>
    <row r="410" spans="19:61" ht="12.75" customHeight="1">
      <c r="S410" s="84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2"/>
      <c r="BF410" s="88"/>
      <c r="BG410" s="2"/>
      <c r="BH410" s="2"/>
      <c r="BI410" s="2"/>
    </row>
    <row r="411" spans="19:61" ht="12.75" customHeight="1">
      <c r="S411" s="84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2"/>
      <c r="BF411" s="88"/>
      <c r="BG411" s="2"/>
      <c r="BH411" s="2"/>
      <c r="BI411" s="2"/>
    </row>
    <row r="412" spans="19:61" ht="12.75" customHeight="1">
      <c r="S412" s="84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2"/>
      <c r="BF412" s="88"/>
      <c r="BG412" s="2"/>
      <c r="BH412" s="2"/>
      <c r="BI412" s="2"/>
    </row>
    <row r="413" spans="19:61" ht="12.75" customHeight="1">
      <c r="S413" s="84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2"/>
      <c r="BF413" s="88"/>
      <c r="BG413" s="2"/>
      <c r="BH413" s="2"/>
      <c r="BI413" s="2"/>
    </row>
    <row r="414" spans="19:61" ht="12.75" customHeight="1">
      <c r="S414" s="84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2"/>
      <c r="BF414" s="88"/>
      <c r="BG414" s="2"/>
      <c r="BH414" s="2"/>
      <c r="BI414" s="2"/>
    </row>
    <row r="415" spans="19:61" ht="12.75" customHeight="1">
      <c r="S415" s="84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2"/>
      <c r="BF415" s="88"/>
      <c r="BG415" s="2"/>
      <c r="BH415" s="2"/>
      <c r="BI415" s="2"/>
    </row>
    <row r="416" spans="19:61" ht="12.75" customHeight="1">
      <c r="S416" s="84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2"/>
      <c r="BF416" s="88"/>
      <c r="BG416" s="2"/>
      <c r="BH416" s="2"/>
      <c r="BI416" s="2"/>
    </row>
    <row r="417" spans="19:61" ht="12.75" customHeight="1">
      <c r="S417" s="84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2"/>
      <c r="BF417" s="88"/>
      <c r="BG417" s="2"/>
      <c r="BH417" s="2"/>
      <c r="BI417" s="2"/>
    </row>
    <row r="418" spans="19:61" ht="12.75" customHeight="1">
      <c r="S418" s="84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2"/>
      <c r="BF418" s="88"/>
      <c r="BG418" s="2"/>
      <c r="BH418" s="2"/>
      <c r="BI418" s="2"/>
    </row>
    <row r="419" spans="19:61" ht="12.75" customHeight="1">
      <c r="S419" s="84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2"/>
      <c r="BF419" s="88"/>
      <c r="BG419" s="2"/>
      <c r="BH419" s="2"/>
      <c r="BI419" s="2"/>
    </row>
    <row r="420" spans="19:61" ht="12.75" customHeight="1">
      <c r="S420" s="84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2"/>
      <c r="BF420" s="88"/>
      <c r="BG420" s="2"/>
      <c r="BH420" s="2"/>
      <c r="BI420" s="2"/>
    </row>
    <row r="421" spans="19:61" ht="12.75" customHeight="1">
      <c r="S421" s="84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2"/>
      <c r="BF421" s="88"/>
      <c r="BG421" s="2"/>
      <c r="BH421" s="2"/>
      <c r="BI421" s="2"/>
    </row>
    <row r="422" spans="19:61" ht="12.75" customHeight="1">
      <c r="S422" s="84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2"/>
      <c r="BF422" s="88"/>
      <c r="BG422" s="2"/>
      <c r="BH422" s="2"/>
      <c r="BI422" s="2"/>
    </row>
    <row r="423" spans="19:61" ht="12.75" customHeight="1">
      <c r="S423" s="84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2"/>
      <c r="BF423" s="88"/>
      <c r="BG423" s="2"/>
      <c r="BH423" s="2"/>
      <c r="BI423" s="2"/>
    </row>
    <row r="424" spans="19:61" ht="12.75" customHeight="1">
      <c r="S424" s="84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2"/>
      <c r="BF424" s="88"/>
      <c r="BG424" s="2"/>
      <c r="BH424" s="2"/>
      <c r="BI424" s="2"/>
    </row>
    <row r="425" spans="19:61" ht="12.75" customHeight="1">
      <c r="S425" s="84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2"/>
      <c r="BF425" s="88"/>
      <c r="BG425" s="2"/>
      <c r="BH425" s="2"/>
      <c r="BI425" s="2"/>
    </row>
    <row r="426" spans="19:61" ht="12.75" customHeight="1">
      <c r="S426" s="84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2"/>
      <c r="BF426" s="88"/>
      <c r="BG426" s="2"/>
      <c r="BH426" s="2"/>
      <c r="BI426" s="2"/>
    </row>
    <row r="427" spans="19:61" ht="12.75" customHeight="1">
      <c r="S427" s="84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2"/>
      <c r="BF427" s="88"/>
      <c r="BG427" s="2"/>
      <c r="BH427" s="2"/>
      <c r="BI427" s="2"/>
    </row>
    <row r="428" spans="19:61" ht="12.75" customHeight="1">
      <c r="S428" s="84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2"/>
      <c r="BF428" s="88"/>
      <c r="BG428" s="2"/>
      <c r="BH428" s="2"/>
      <c r="BI428" s="2"/>
    </row>
    <row r="429" spans="19:61" ht="12.75" customHeight="1">
      <c r="S429" s="84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2"/>
      <c r="BF429" s="88"/>
      <c r="BG429" s="2"/>
      <c r="BH429" s="2"/>
      <c r="BI429" s="2"/>
    </row>
    <row r="430" spans="19:61" ht="12.75" customHeight="1">
      <c r="S430" s="84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2"/>
      <c r="BF430" s="88"/>
      <c r="BG430" s="2"/>
      <c r="BH430" s="2"/>
      <c r="BI430" s="2"/>
    </row>
    <row r="431" spans="19:61" ht="12.75" customHeight="1">
      <c r="S431" s="84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2"/>
      <c r="BF431" s="88"/>
      <c r="BG431" s="2"/>
      <c r="BH431" s="2"/>
      <c r="BI431" s="2"/>
    </row>
    <row r="432" spans="19:61" ht="12.75" customHeight="1">
      <c r="S432" s="84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2"/>
      <c r="BF432" s="88"/>
      <c r="BG432" s="2"/>
      <c r="BH432" s="2"/>
      <c r="BI432" s="2"/>
    </row>
    <row r="433" spans="19:61" ht="12.75" customHeight="1">
      <c r="S433" s="84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2"/>
      <c r="BF433" s="88"/>
      <c r="BG433" s="2"/>
      <c r="BH433" s="2"/>
      <c r="BI433" s="2"/>
    </row>
    <row r="434" spans="19:61" ht="12.75" customHeight="1">
      <c r="S434" s="84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2"/>
      <c r="BF434" s="88"/>
      <c r="BG434" s="2"/>
      <c r="BH434" s="2"/>
      <c r="BI434" s="2"/>
    </row>
    <row r="435" spans="19:61" ht="12.75" customHeight="1">
      <c r="S435" s="84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2"/>
      <c r="BF435" s="88"/>
      <c r="BG435" s="2"/>
      <c r="BH435" s="2"/>
      <c r="BI435" s="2"/>
    </row>
    <row r="436" spans="19:61" ht="12.75" customHeight="1">
      <c r="S436" s="84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2"/>
      <c r="BF436" s="88"/>
      <c r="BG436" s="2"/>
      <c r="BH436" s="2"/>
      <c r="BI436" s="2"/>
    </row>
    <row r="437" spans="19:61" ht="12.75" customHeight="1">
      <c r="S437" s="84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2"/>
      <c r="BF437" s="88"/>
      <c r="BG437" s="2"/>
      <c r="BH437" s="2"/>
      <c r="BI437" s="2"/>
    </row>
    <row r="438" spans="19:61" ht="12.75" customHeight="1">
      <c r="S438" s="84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2"/>
      <c r="BF438" s="88"/>
      <c r="BG438" s="2"/>
      <c r="BH438" s="2"/>
      <c r="BI438" s="2"/>
    </row>
    <row r="439" spans="19:61" ht="12.75" customHeight="1">
      <c r="S439" s="84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2"/>
      <c r="BF439" s="88"/>
      <c r="BG439" s="2"/>
      <c r="BH439" s="2"/>
      <c r="BI439" s="2"/>
    </row>
    <row r="440" spans="19:61" ht="12.75" customHeight="1">
      <c r="S440" s="84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2"/>
      <c r="BF440" s="88"/>
      <c r="BG440" s="2"/>
      <c r="BH440" s="2"/>
      <c r="BI440" s="2"/>
    </row>
    <row r="441" spans="19:61" ht="12.75" customHeight="1">
      <c r="S441" s="8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2"/>
      <c r="BF441" s="88"/>
      <c r="BG441" s="2"/>
      <c r="BH441" s="2"/>
      <c r="BI441" s="2"/>
    </row>
    <row r="442" spans="19:61" ht="12.75" customHeight="1">
      <c r="S442" s="8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2"/>
      <c r="BF442" s="88"/>
      <c r="BG442" s="2"/>
      <c r="BH442" s="2"/>
      <c r="BI442" s="2"/>
    </row>
    <row r="443" spans="19:61" ht="12.75" customHeight="1">
      <c r="S443" s="84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2"/>
      <c r="BF443" s="88"/>
      <c r="BG443" s="2"/>
      <c r="BH443" s="2"/>
      <c r="BI443" s="2"/>
    </row>
    <row r="444" spans="19:61" ht="12.75" customHeight="1">
      <c r="S444" s="84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2"/>
      <c r="BF444" s="88"/>
      <c r="BG444" s="2"/>
      <c r="BH444" s="2"/>
      <c r="BI444" s="2"/>
    </row>
    <row r="445" spans="19:61" ht="12.75" customHeight="1">
      <c r="S445" s="84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2"/>
      <c r="BF445" s="88"/>
      <c r="BG445" s="2"/>
      <c r="BH445" s="2"/>
      <c r="BI445" s="2"/>
    </row>
    <row r="446" spans="19:61" ht="12.75" customHeight="1">
      <c r="S446" s="84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2"/>
      <c r="BF446" s="88"/>
      <c r="BG446" s="2"/>
      <c r="BH446" s="2"/>
      <c r="BI446" s="2"/>
    </row>
    <row r="447" spans="19:61" ht="12.75" customHeight="1">
      <c r="S447" s="84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2"/>
      <c r="BF447" s="88"/>
      <c r="BG447" s="2"/>
      <c r="BH447" s="2"/>
      <c r="BI447" s="2"/>
    </row>
    <row r="448" spans="19:61" ht="12.75" customHeight="1">
      <c r="S448" s="84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2"/>
      <c r="BF448" s="88"/>
      <c r="BG448" s="2"/>
      <c r="BH448" s="2"/>
      <c r="BI448" s="2"/>
    </row>
    <row r="449" spans="19:61" ht="12.75" customHeight="1">
      <c r="S449" s="84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2"/>
      <c r="BF449" s="88"/>
      <c r="BG449" s="2"/>
      <c r="BH449" s="2"/>
      <c r="BI449" s="2"/>
    </row>
    <row r="450" spans="19:61" ht="12.75" customHeight="1">
      <c r="S450" s="84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2"/>
      <c r="BF450" s="88"/>
      <c r="BG450" s="2"/>
      <c r="BH450" s="2"/>
      <c r="BI450" s="2"/>
    </row>
    <row r="451" spans="19:61" ht="12.75" customHeight="1">
      <c r="S451" s="84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2"/>
      <c r="BF451" s="88"/>
      <c r="BG451" s="2"/>
      <c r="BH451" s="2"/>
      <c r="BI451" s="2"/>
    </row>
    <row r="452" spans="19:61" ht="12.75" customHeight="1">
      <c r="S452" s="84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2"/>
      <c r="BF452" s="88"/>
      <c r="BG452" s="2"/>
      <c r="BH452" s="2"/>
      <c r="BI452" s="2"/>
    </row>
    <row r="453" spans="19:61" ht="12.75" customHeight="1">
      <c r="S453" s="84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2"/>
      <c r="BF453" s="88"/>
      <c r="BG453" s="2"/>
      <c r="BH453" s="2"/>
      <c r="BI453" s="2"/>
    </row>
    <row r="454" spans="19:61" ht="12.75" customHeight="1">
      <c r="S454" s="84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2"/>
      <c r="BF454" s="88"/>
      <c r="BG454" s="2"/>
      <c r="BH454" s="2"/>
      <c r="BI454" s="2"/>
    </row>
    <row r="455" spans="19:61" ht="12.75" customHeight="1">
      <c r="S455" s="84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2"/>
      <c r="BF455" s="88"/>
      <c r="BG455" s="2"/>
      <c r="BH455" s="2"/>
      <c r="BI455" s="2"/>
    </row>
    <row r="456" spans="19:61" ht="12.75" customHeight="1">
      <c r="S456" s="84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2"/>
      <c r="BF456" s="88"/>
      <c r="BG456" s="2"/>
      <c r="BH456" s="2"/>
      <c r="BI456" s="2"/>
    </row>
    <row r="457" spans="19:61" ht="12.75" customHeight="1">
      <c r="S457" s="84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2"/>
      <c r="BF457" s="88"/>
      <c r="BG457" s="2"/>
      <c r="BH457" s="2"/>
      <c r="BI457" s="2"/>
    </row>
    <row r="458" spans="19:61" ht="12.75" customHeight="1">
      <c r="S458" s="84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2"/>
      <c r="BF458" s="88"/>
      <c r="BG458" s="2"/>
      <c r="BH458" s="2"/>
      <c r="BI458" s="2"/>
    </row>
    <row r="459" spans="19:61" ht="12.75" customHeight="1">
      <c r="S459" s="84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2"/>
      <c r="BF459" s="88"/>
      <c r="BG459" s="2"/>
      <c r="BH459" s="2"/>
      <c r="BI459" s="2"/>
    </row>
    <row r="460" spans="19:61" ht="12.75" customHeight="1">
      <c r="S460" s="84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2"/>
      <c r="BF460" s="88"/>
      <c r="BG460" s="2"/>
      <c r="BH460" s="2"/>
      <c r="BI460" s="2"/>
    </row>
    <row r="461" spans="19:61" ht="12.75" customHeight="1">
      <c r="S461" s="84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2"/>
      <c r="BF461" s="88"/>
      <c r="BG461" s="2"/>
      <c r="BH461" s="2"/>
      <c r="BI461" s="2"/>
    </row>
    <row r="462" spans="19:61" ht="12.75" customHeight="1">
      <c r="S462" s="84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2"/>
      <c r="BF462" s="88"/>
      <c r="BG462" s="2"/>
      <c r="BH462" s="2"/>
      <c r="BI462" s="2"/>
    </row>
    <row r="463" spans="19:61" ht="12.75" customHeight="1">
      <c r="S463" s="84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2"/>
      <c r="BF463" s="88"/>
      <c r="BG463" s="2"/>
      <c r="BH463" s="2"/>
      <c r="BI463" s="2"/>
    </row>
    <row r="464" spans="19:61" ht="12.75" customHeight="1">
      <c r="S464" s="84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2"/>
      <c r="BF464" s="88"/>
      <c r="BG464" s="2"/>
      <c r="BH464" s="2"/>
      <c r="BI464" s="2"/>
    </row>
    <row r="465" spans="19:61" ht="12.75" customHeight="1">
      <c r="S465" s="84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2"/>
      <c r="BF465" s="88"/>
      <c r="BG465" s="2"/>
      <c r="BH465" s="2"/>
      <c r="BI465" s="2"/>
    </row>
    <row r="466" spans="19:61" ht="12.75" customHeight="1">
      <c r="S466" s="8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2"/>
      <c r="BF466" s="88"/>
      <c r="BG466" s="2"/>
      <c r="BH466" s="2"/>
      <c r="BI466" s="2"/>
    </row>
    <row r="467" spans="19:61" ht="12.75" customHeight="1">
      <c r="S467" s="8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2"/>
      <c r="BF467" s="88"/>
      <c r="BG467" s="2"/>
      <c r="BH467" s="2"/>
      <c r="BI467" s="2"/>
    </row>
    <row r="468" spans="19:61" ht="12.75" customHeight="1">
      <c r="S468" s="84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2"/>
      <c r="BF468" s="88"/>
      <c r="BG468" s="2"/>
      <c r="BH468" s="2"/>
      <c r="BI468" s="2"/>
    </row>
    <row r="469" spans="19:61" ht="12.75" customHeight="1">
      <c r="S469" s="84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2"/>
      <c r="BF469" s="88"/>
      <c r="BG469" s="2"/>
      <c r="BH469" s="2"/>
      <c r="BI469" s="2"/>
    </row>
    <row r="470" spans="19:61" ht="12.75" customHeight="1">
      <c r="S470" s="84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2"/>
      <c r="BF470" s="88"/>
      <c r="BG470" s="2"/>
      <c r="BH470" s="2"/>
      <c r="BI470" s="2"/>
    </row>
    <row r="471" spans="19:61" ht="12.75" customHeight="1">
      <c r="S471" s="84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2"/>
      <c r="BF471" s="88"/>
      <c r="BG471" s="2"/>
      <c r="BH471" s="2"/>
      <c r="BI471" s="2"/>
    </row>
    <row r="472" spans="19:61" ht="12.75" customHeight="1">
      <c r="S472" s="84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2"/>
      <c r="BF472" s="88"/>
      <c r="BG472" s="2"/>
      <c r="BH472" s="2"/>
      <c r="BI472" s="2"/>
    </row>
    <row r="473" spans="19:61" ht="12.75" customHeight="1">
      <c r="S473" s="84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2"/>
      <c r="BF473" s="88"/>
      <c r="BG473" s="2"/>
      <c r="BH473" s="2"/>
      <c r="BI473" s="2"/>
    </row>
    <row r="474" spans="19:61" ht="12.75" customHeight="1">
      <c r="S474" s="84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2"/>
      <c r="BF474" s="88"/>
      <c r="BG474" s="2"/>
      <c r="BH474" s="2"/>
      <c r="BI474" s="2"/>
    </row>
    <row r="475" spans="19:61" ht="12.75" customHeight="1">
      <c r="S475" s="84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2"/>
      <c r="BF475" s="88"/>
      <c r="BG475" s="2"/>
      <c r="BH475" s="2"/>
      <c r="BI475" s="2"/>
    </row>
    <row r="476" spans="19:61" ht="12.75" customHeight="1">
      <c r="S476" s="84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2"/>
      <c r="BF476" s="88"/>
      <c r="BG476" s="2"/>
      <c r="BH476" s="2"/>
      <c r="BI476" s="2"/>
    </row>
    <row r="477" spans="19:61" ht="12.75" customHeight="1">
      <c r="S477" s="84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2"/>
      <c r="BF477" s="88"/>
      <c r="BG477" s="2"/>
      <c r="BH477" s="2"/>
      <c r="BI477" s="2"/>
    </row>
    <row r="478" spans="19:61" ht="12.75" customHeight="1">
      <c r="S478" s="84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2"/>
      <c r="BF478" s="88"/>
      <c r="BG478" s="2"/>
      <c r="BH478" s="2"/>
      <c r="BI478" s="2"/>
    </row>
    <row r="479" spans="19:61" ht="12.75" customHeight="1">
      <c r="S479" s="84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2"/>
      <c r="BF479" s="88"/>
      <c r="BG479" s="2"/>
      <c r="BH479" s="2"/>
      <c r="BI479" s="2"/>
    </row>
    <row r="480" spans="19:61" ht="12.75" customHeight="1">
      <c r="S480" s="84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2"/>
      <c r="BF480" s="88"/>
      <c r="BG480" s="2"/>
      <c r="BH480" s="2"/>
      <c r="BI480" s="2"/>
    </row>
    <row r="481" spans="19:61" ht="12.75" customHeight="1">
      <c r="S481" s="84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2"/>
      <c r="BF481" s="88"/>
      <c r="BG481" s="2"/>
      <c r="BH481" s="2"/>
      <c r="BI481" s="2"/>
    </row>
    <row r="482" spans="19:61" ht="12.75" customHeight="1">
      <c r="S482" s="84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2"/>
      <c r="BF482" s="88"/>
      <c r="BG482" s="2"/>
      <c r="BH482" s="2"/>
      <c r="BI482" s="2"/>
    </row>
    <row r="483" spans="19:61" ht="12.75" customHeight="1">
      <c r="S483" s="84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2"/>
      <c r="BF483" s="88"/>
      <c r="BG483" s="2"/>
      <c r="BH483" s="2"/>
      <c r="BI483" s="2"/>
    </row>
    <row r="484" spans="19:61" ht="12.75" customHeight="1">
      <c r="S484" s="84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2"/>
      <c r="BF484" s="88"/>
      <c r="BG484" s="2"/>
      <c r="BH484" s="2"/>
      <c r="BI484" s="2"/>
    </row>
    <row r="485" spans="19:61" ht="12.75" customHeight="1">
      <c r="S485" s="84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2"/>
      <c r="BF485" s="88"/>
      <c r="BG485" s="2"/>
      <c r="BH485" s="2"/>
      <c r="BI485" s="2"/>
    </row>
    <row r="486" spans="19:61" ht="12.75" customHeight="1">
      <c r="S486" s="84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2"/>
      <c r="BF486" s="88"/>
      <c r="BG486" s="2"/>
      <c r="BH486" s="2"/>
      <c r="BI486" s="2"/>
    </row>
    <row r="487" spans="19:61" ht="12.75" customHeight="1">
      <c r="S487" s="84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2"/>
      <c r="BF487" s="88"/>
      <c r="BG487" s="2"/>
      <c r="BH487" s="2"/>
      <c r="BI487" s="2"/>
    </row>
    <row r="488" spans="19:61" ht="12.75" customHeight="1">
      <c r="S488" s="84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2"/>
      <c r="BF488" s="88"/>
      <c r="BG488" s="2"/>
      <c r="BH488" s="2"/>
      <c r="BI488" s="2"/>
    </row>
    <row r="489" spans="19:61" ht="12.75" customHeight="1">
      <c r="S489" s="84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2"/>
      <c r="BF489" s="88"/>
      <c r="BG489" s="2"/>
      <c r="BH489" s="2"/>
      <c r="BI489" s="2"/>
    </row>
    <row r="490" spans="19:61" ht="12.75" customHeight="1">
      <c r="S490" s="84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2"/>
      <c r="BF490" s="88"/>
      <c r="BG490" s="2"/>
      <c r="BH490" s="2"/>
      <c r="BI490" s="2"/>
    </row>
    <row r="491" spans="19:61" ht="12.75" customHeight="1">
      <c r="S491" s="84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2"/>
      <c r="BF491" s="88"/>
      <c r="BG491" s="2"/>
      <c r="BH491" s="2"/>
      <c r="BI491" s="2"/>
    </row>
    <row r="492" spans="19:61" ht="12.75" customHeight="1">
      <c r="S492" s="84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2"/>
      <c r="BF492" s="88"/>
      <c r="BG492" s="2"/>
      <c r="BH492" s="2"/>
      <c r="BI492" s="2"/>
    </row>
    <row r="493" spans="19:61" ht="12.75" customHeight="1">
      <c r="S493" s="84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2"/>
      <c r="BF493" s="88"/>
      <c r="BG493" s="2"/>
      <c r="BH493" s="2"/>
      <c r="BI493" s="2"/>
    </row>
    <row r="494" spans="19:61" ht="12.75" customHeight="1">
      <c r="S494" s="84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2"/>
      <c r="BF494" s="88"/>
      <c r="BG494" s="2"/>
      <c r="BH494" s="2"/>
      <c r="BI494" s="2"/>
    </row>
    <row r="495" spans="19:61" ht="12.75" customHeight="1">
      <c r="S495" s="84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2"/>
      <c r="BF495" s="88"/>
      <c r="BG495" s="2"/>
      <c r="BH495" s="2"/>
      <c r="BI495" s="2"/>
    </row>
    <row r="496" spans="19:61" ht="12.75" customHeight="1">
      <c r="S496" s="84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2"/>
      <c r="BF496" s="88"/>
      <c r="BG496" s="2"/>
      <c r="BH496" s="2"/>
      <c r="BI496" s="2"/>
    </row>
    <row r="497" spans="19:61" ht="12.75" customHeight="1">
      <c r="S497" s="84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2"/>
      <c r="BF497" s="88"/>
      <c r="BG497" s="2"/>
      <c r="BH497" s="2"/>
      <c r="BI497" s="2"/>
    </row>
    <row r="498" spans="19:61" ht="12.75" customHeight="1">
      <c r="S498" s="84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2"/>
      <c r="BF498" s="88"/>
      <c r="BG498" s="2"/>
      <c r="BH498" s="2"/>
      <c r="BI498" s="2"/>
    </row>
    <row r="499" spans="19:61" ht="12.75" customHeight="1">
      <c r="S499" s="84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2"/>
      <c r="BF499" s="88"/>
      <c r="BG499" s="2"/>
      <c r="BH499" s="2"/>
      <c r="BI499" s="2"/>
    </row>
    <row r="500" spans="19:61" ht="12.75" customHeight="1">
      <c r="S500" s="84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2"/>
      <c r="BF500" s="88"/>
      <c r="BG500" s="2"/>
      <c r="BH500" s="2"/>
      <c r="BI500" s="2"/>
    </row>
    <row r="501" spans="19:61" ht="12.75" customHeight="1">
      <c r="S501" s="84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2"/>
      <c r="BF501" s="88"/>
      <c r="BG501" s="2"/>
      <c r="BH501" s="2"/>
      <c r="BI501" s="2"/>
    </row>
    <row r="502" spans="19:61" ht="12.75" customHeight="1">
      <c r="S502" s="84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2"/>
      <c r="BF502" s="88"/>
      <c r="BG502" s="2"/>
      <c r="BH502" s="2"/>
      <c r="BI502" s="2"/>
    </row>
    <row r="503" spans="19:61" ht="12.75" customHeight="1">
      <c r="S503" s="84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2"/>
      <c r="BF503" s="88"/>
      <c r="BG503" s="2"/>
      <c r="BH503" s="2"/>
      <c r="BI503" s="2"/>
    </row>
    <row r="504" spans="19:61" ht="12.75" customHeight="1">
      <c r="S504" s="84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2"/>
      <c r="BF504" s="88"/>
      <c r="BG504" s="2"/>
      <c r="BH504" s="2"/>
      <c r="BI504" s="2"/>
    </row>
    <row r="505" spans="19:61" ht="12.75" customHeight="1">
      <c r="S505" s="84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2"/>
      <c r="BF505" s="88"/>
      <c r="BG505" s="2"/>
      <c r="BH505" s="2"/>
      <c r="BI505" s="2"/>
    </row>
    <row r="506" spans="19:61" ht="12.75" customHeight="1">
      <c r="S506" s="84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2"/>
      <c r="BF506" s="88"/>
      <c r="BG506" s="2"/>
      <c r="BH506" s="2"/>
      <c r="BI506" s="2"/>
    </row>
    <row r="507" spans="19:61" ht="12.75" customHeight="1">
      <c r="S507" s="84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2"/>
      <c r="BF507" s="88"/>
      <c r="BG507" s="2"/>
      <c r="BH507" s="2"/>
      <c r="BI507" s="2"/>
    </row>
    <row r="508" spans="19:61" ht="12.75" customHeight="1">
      <c r="S508" s="84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2"/>
      <c r="BF508" s="88"/>
      <c r="BG508" s="2"/>
      <c r="BH508" s="2"/>
      <c r="BI508" s="2"/>
    </row>
    <row r="509" spans="19:61" ht="12.75" customHeight="1">
      <c r="S509" s="84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2"/>
      <c r="BF509" s="88"/>
      <c r="BG509" s="2"/>
      <c r="BH509" s="2"/>
      <c r="BI509" s="2"/>
    </row>
    <row r="510" spans="19:61" ht="12.75" customHeight="1">
      <c r="S510" s="84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2"/>
      <c r="BF510" s="88"/>
      <c r="BG510" s="2"/>
      <c r="BH510" s="2"/>
      <c r="BI510" s="2"/>
    </row>
    <row r="511" spans="19:61" ht="12.75" customHeight="1">
      <c r="S511" s="84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2"/>
      <c r="BF511" s="88"/>
      <c r="BG511" s="2"/>
      <c r="BH511" s="2"/>
      <c r="BI511" s="2"/>
    </row>
    <row r="512" spans="19:61" ht="12.75" customHeight="1">
      <c r="S512" s="84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2"/>
      <c r="BF512" s="88"/>
      <c r="BG512" s="2"/>
      <c r="BH512" s="2"/>
      <c r="BI512" s="2"/>
    </row>
    <row r="513" spans="19:61" ht="12.75" customHeight="1">
      <c r="S513" s="84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2"/>
      <c r="BF513" s="88"/>
      <c r="BG513" s="2"/>
      <c r="BH513" s="2"/>
      <c r="BI513" s="2"/>
    </row>
    <row r="514" spans="19:61" ht="12.75" customHeight="1">
      <c r="S514" s="84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2"/>
      <c r="BF514" s="88"/>
      <c r="BG514" s="2"/>
      <c r="BH514" s="2"/>
      <c r="BI514" s="2"/>
    </row>
    <row r="515" spans="19:61" ht="12.75" customHeight="1">
      <c r="S515" s="84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2"/>
      <c r="BF515" s="88"/>
      <c r="BG515" s="2"/>
      <c r="BH515" s="2"/>
      <c r="BI515" s="2"/>
    </row>
    <row r="516" spans="19:61" ht="12.75" customHeight="1">
      <c r="S516" s="84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2"/>
      <c r="BF516" s="88"/>
      <c r="BG516" s="2"/>
      <c r="BH516" s="2"/>
      <c r="BI516" s="2"/>
    </row>
    <row r="517" spans="19:61" ht="12.75" customHeight="1">
      <c r="S517" s="84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2"/>
      <c r="BF517" s="88"/>
      <c r="BG517" s="2"/>
      <c r="BH517" s="2"/>
      <c r="BI517" s="2"/>
    </row>
    <row r="518" spans="19:61" ht="12.75" customHeight="1">
      <c r="S518" s="84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2"/>
      <c r="BF518" s="88"/>
      <c r="BG518" s="2"/>
      <c r="BH518" s="2"/>
      <c r="BI518" s="2"/>
    </row>
    <row r="519" spans="19:61" ht="12.75" customHeight="1">
      <c r="S519" s="84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2"/>
      <c r="BF519" s="88"/>
      <c r="BG519" s="2"/>
      <c r="BH519" s="2"/>
      <c r="BI519" s="2"/>
    </row>
    <row r="520" spans="19:61" ht="12.75" customHeight="1">
      <c r="S520" s="84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2"/>
      <c r="BF520" s="88"/>
      <c r="BG520" s="2"/>
      <c r="BH520" s="2"/>
      <c r="BI520" s="2"/>
    </row>
    <row r="521" spans="19:61" ht="12.75" customHeight="1">
      <c r="S521" s="84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2"/>
      <c r="BF521" s="88"/>
      <c r="BG521" s="2"/>
      <c r="BH521" s="2"/>
      <c r="BI521" s="2"/>
    </row>
    <row r="522" spans="19:61" ht="12.75" customHeight="1">
      <c r="S522" s="84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2"/>
      <c r="BF522" s="88"/>
      <c r="BG522" s="2"/>
      <c r="BH522" s="2"/>
      <c r="BI522" s="2"/>
    </row>
    <row r="523" spans="19:61" ht="12.75" customHeight="1">
      <c r="S523" s="84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2"/>
      <c r="BF523" s="88"/>
      <c r="BG523" s="2"/>
      <c r="BH523" s="2"/>
      <c r="BI523" s="2"/>
    </row>
    <row r="524" spans="19:61" ht="12.75" customHeight="1">
      <c r="S524" s="84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2"/>
      <c r="BF524" s="88"/>
      <c r="BG524" s="2"/>
      <c r="BH524" s="2"/>
      <c r="BI524" s="2"/>
    </row>
    <row r="525" spans="19:61" ht="12.75" customHeight="1">
      <c r="S525" s="84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2"/>
      <c r="BF525" s="88"/>
      <c r="BG525" s="2"/>
      <c r="BH525" s="2"/>
      <c r="BI525" s="2"/>
    </row>
    <row r="526" spans="19:61" ht="12.75" customHeight="1">
      <c r="S526" s="84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2"/>
      <c r="BF526" s="88"/>
      <c r="BG526" s="2"/>
      <c r="BH526" s="2"/>
      <c r="BI526" s="2"/>
    </row>
    <row r="527" spans="19:61" ht="12.75" customHeight="1">
      <c r="S527" s="84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2"/>
      <c r="BF527" s="88"/>
      <c r="BG527" s="2"/>
      <c r="BH527" s="2"/>
      <c r="BI527" s="2"/>
    </row>
    <row r="528" spans="19:61" ht="12.75" customHeight="1">
      <c r="S528" s="84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2"/>
      <c r="BF528" s="88"/>
      <c r="BG528" s="2"/>
      <c r="BH528" s="2"/>
      <c r="BI528" s="2"/>
    </row>
    <row r="529" spans="19:61" ht="12.75" customHeight="1">
      <c r="S529" s="84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2"/>
      <c r="BF529" s="88"/>
      <c r="BG529" s="2"/>
      <c r="BH529" s="2"/>
      <c r="BI529" s="2"/>
    </row>
    <row r="530" spans="19:61" ht="12.75" customHeight="1">
      <c r="S530" s="84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2"/>
      <c r="BF530" s="88"/>
      <c r="BG530" s="2"/>
      <c r="BH530" s="2"/>
      <c r="BI530" s="2"/>
    </row>
    <row r="531" spans="19:61" ht="12.75" customHeight="1">
      <c r="S531" s="84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2"/>
      <c r="BF531" s="88"/>
      <c r="BG531" s="2"/>
      <c r="BH531" s="2"/>
      <c r="BI531" s="2"/>
    </row>
    <row r="532" spans="19:61" ht="12.75" customHeight="1">
      <c r="S532" s="84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2"/>
      <c r="BF532" s="88"/>
      <c r="BG532" s="2"/>
      <c r="BH532" s="2"/>
      <c r="BI532" s="2"/>
    </row>
    <row r="533" spans="19:61" ht="12.75" customHeight="1">
      <c r="S533" s="84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2"/>
      <c r="BF533" s="88"/>
      <c r="BG533" s="2"/>
      <c r="BH533" s="2"/>
      <c r="BI533" s="2"/>
    </row>
    <row r="534" spans="19:61" ht="12.75" customHeight="1">
      <c r="S534" s="84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2"/>
      <c r="BF534" s="88"/>
      <c r="BG534" s="2"/>
      <c r="BH534" s="2"/>
      <c r="BI534" s="2"/>
    </row>
    <row r="535" spans="19:61" ht="12.75" customHeight="1">
      <c r="S535" s="8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2"/>
      <c r="BF535" s="88"/>
      <c r="BG535" s="2"/>
      <c r="BH535" s="2"/>
      <c r="BI535" s="2"/>
    </row>
    <row r="536" spans="19:61" ht="12.75" customHeight="1">
      <c r="S536" s="8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2"/>
      <c r="BF536" s="88"/>
      <c r="BG536" s="2"/>
      <c r="BH536" s="2"/>
      <c r="BI536" s="2"/>
    </row>
    <row r="537" spans="19:61" ht="12.75" customHeight="1">
      <c r="S537" s="84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2"/>
      <c r="BF537" s="88"/>
      <c r="BG537" s="2"/>
      <c r="BH537" s="2"/>
      <c r="BI537" s="2"/>
    </row>
    <row r="538" spans="19:61" ht="12.75" customHeight="1">
      <c r="S538" s="84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2"/>
      <c r="BF538" s="88"/>
      <c r="BG538" s="2"/>
      <c r="BH538" s="2"/>
      <c r="BI538" s="2"/>
    </row>
    <row r="539" spans="19:61" ht="12.75" customHeight="1">
      <c r="S539" s="84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2"/>
      <c r="BF539" s="88"/>
      <c r="BG539" s="2"/>
      <c r="BH539" s="2"/>
      <c r="BI539" s="2"/>
    </row>
    <row r="540" spans="19:61" ht="12.75" customHeight="1">
      <c r="S540" s="84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2"/>
      <c r="BF540" s="88"/>
      <c r="BG540" s="2"/>
      <c r="BH540" s="2"/>
      <c r="BI540" s="2"/>
    </row>
    <row r="541" spans="19:61" ht="12.75" customHeight="1">
      <c r="S541" s="84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2"/>
      <c r="BF541" s="88"/>
      <c r="BG541" s="2"/>
      <c r="BH541" s="2"/>
      <c r="BI541" s="2"/>
    </row>
    <row r="542" spans="19:61" ht="12.75" customHeight="1">
      <c r="S542" s="84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2"/>
      <c r="BF542" s="88"/>
      <c r="BG542" s="2"/>
      <c r="BH542" s="2"/>
      <c r="BI542" s="2"/>
    </row>
    <row r="543" spans="19:61" ht="12.75" customHeight="1">
      <c r="S543" s="84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2"/>
      <c r="BF543" s="88"/>
      <c r="BG543" s="2"/>
      <c r="BH543" s="2"/>
      <c r="BI543" s="2"/>
    </row>
    <row r="544" spans="19:61" ht="12.75" customHeight="1">
      <c r="S544" s="84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2"/>
      <c r="BF544" s="88"/>
      <c r="BG544" s="2"/>
      <c r="BH544" s="2"/>
      <c r="BI544" s="2"/>
    </row>
    <row r="545" spans="19:61" ht="12.75" customHeight="1">
      <c r="S545" s="84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2"/>
      <c r="BF545" s="88"/>
      <c r="BG545" s="2"/>
      <c r="BH545" s="2"/>
      <c r="BI545" s="2"/>
    </row>
    <row r="546" spans="19:61" ht="12.75" customHeight="1">
      <c r="S546" s="84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2"/>
      <c r="BF546" s="88"/>
      <c r="BG546" s="2"/>
      <c r="BH546" s="2"/>
      <c r="BI546" s="2"/>
    </row>
    <row r="547" spans="19:61" ht="12.75" customHeight="1">
      <c r="S547" s="84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2"/>
      <c r="BF547" s="88"/>
      <c r="BG547" s="2"/>
      <c r="BH547" s="2"/>
      <c r="BI547" s="2"/>
    </row>
    <row r="548" spans="19:61" ht="12.75" customHeight="1">
      <c r="S548" s="84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2"/>
      <c r="BF548" s="88"/>
      <c r="BG548" s="2"/>
      <c r="BH548" s="2"/>
      <c r="BI548" s="2"/>
    </row>
    <row r="549" spans="19:61" ht="12.75" customHeight="1">
      <c r="S549" s="84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2"/>
      <c r="BF549" s="88"/>
      <c r="BG549" s="2"/>
      <c r="BH549" s="2"/>
      <c r="BI549" s="2"/>
    </row>
    <row r="550" spans="19:61" ht="12.75" customHeight="1">
      <c r="S550" s="84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2"/>
      <c r="BF550" s="88"/>
      <c r="BG550" s="2"/>
      <c r="BH550" s="2"/>
      <c r="BI550" s="2"/>
    </row>
    <row r="551" spans="19:61" ht="12.75" customHeight="1">
      <c r="S551" s="84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2"/>
      <c r="BF551" s="88"/>
      <c r="BG551" s="2"/>
      <c r="BH551" s="2"/>
      <c r="BI551" s="2"/>
    </row>
    <row r="552" spans="19:61" ht="12.75" customHeight="1">
      <c r="S552" s="84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2"/>
      <c r="BF552" s="88"/>
      <c r="BG552" s="2"/>
      <c r="BH552" s="2"/>
      <c r="BI552" s="2"/>
    </row>
    <row r="553" spans="19:61" ht="12.75" customHeight="1">
      <c r="S553" s="84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2"/>
      <c r="BF553" s="88"/>
      <c r="BG553" s="2"/>
      <c r="BH553" s="2"/>
      <c r="BI553" s="2"/>
    </row>
    <row r="554" spans="19:61" ht="12.75" customHeight="1">
      <c r="S554" s="84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2"/>
      <c r="BF554" s="88"/>
      <c r="BG554" s="2"/>
      <c r="BH554" s="2"/>
      <c r="BI554" s="2"/>
    </row>
    <row r="555" spans="19:61" ht="12.75" customHeight="1">
      <c r="S555" s="84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2"/>
      <c r="BF555" s="88"/>
      <c r="BG555" s="2"/>
      <c r="BH555" s="2"/>
      <c r="BI555" s="2"/>
    </row>
    <row r="556" spans="19:61" ht="12.75" customHeight="1">
      <c r="S556" s="84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2"/>
      <c r="BF556" s="88"/>
      <c r="BG556" s="2"/>
      <c r="BH556" s="2"/>
      <c r="BI556" s="2"/>
    </row>
    <row r="557" spans="19:61" ht="12.75" customHeight="1">
      <c r="S557" s="84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2"/>
      <c r="BF557" s="88"/>
      <c r="BG557" s="2"/>
      <c r="BH557" s="2"/>
      <c r="BI557" s="2"/>
    </row>
    <row r="558" spans="19:61" ht="12.75" customHeight="1">
      <c r="S558" s="84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2"/>
      <c r="BF558" s="88"/>
      <c r="BG558" s="2"/>
      <c r="BH558" s="2"/>
      <c r="BI558" s="2"/>
    </row>
    <row r="559" spans="19:61" ht="12.75" customHeight="1">
      <c r="S559" s="84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2"/>
      <c r="BF559" s="88"/>
      <c r="BG559" s="2"/>
      <c r="BH559" s="2"/>
      <c r="BI559" s="2"/>
    </row>
    <row r="560" spans="19:61" ht="12.75" customHeight="1">
      <c r="S560" s="84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2"/>
      <c r="BF560" s="88"/>
      <c r="BG560" s="2"/>
      <c r="BH560" s="2"/>
      <c r="BI560" s="2"/>
    </row>
    <row r="561" spans="19:61" ht="12.75" customHeight="1">
      <c r="S561" s="84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2"/>
      <c r="BF561" s="88"/>
      <c r="BG561" s="2"/>
      <c r="BH561" s="2"/>
      <c r="BI561" s="2"/>
    </row>
    <row r="562" spans="19:61" ht="12.75" customHeight="1">
      <c r="S562" s="84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2"/>
      <c r="BF562" s="88"/>
      <c r="BG562" s="2"/>
      <c r="BH562" s="2"/>
      <c r="BI562" s="2"/>
    </row>
    <row r="563" spans="19:61" ht="12.75" customHeight="1">
      <c r="S563" s="84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2"/>
      <c r="BF563" s="88"/>
      <c r="BG563" s="2"/>
      <c r="BH563" s="2"/>
      <c r="BI563" s="2"/>
    </row>
    <row r="564" spans="19:61" ht="12.75" customHeight="1">
      <c r="S564" s="84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2"/>
      <c r="BF564" s="88"/>
      <c r="BG564" s="2"/>
      <c r="BH564" s="2"/>
      <c r="BI564" s="2"/>
    </row>
    <row r="565" spans="19:61" ht="12.75" customHeight="1">
      <c r="S565" s="8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2"/>
      <c r="BF565" s="88"/>
      <c r="BG565" s="2"/>
      <c r="BH565" s="2"/>
      <c r="BI565" s="2"/>
    </row>
    <row r="566" spans="19:61" ht="12.75" customHeight="1">
      <c r="S566" s="8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2"/>
      <c r="BF566" s="88"/>
      <c r="BG566" s="2"/>
      <c r="BH566" s="2"/>
      <c r="BI566" s="2"/>
    </row>
    <row r="567" spans="19:61" ht="12.75" customHeight="1">
      <c r="S567" s="84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2"/>
      <c r="BF567" s="88"/>
      <c r="BG567" s="2"/>
      <c r="BH567" s="2"/>
      <c r="BI567" s="2"/>
    </row>
    <row r="568" spans="19:61" ht="12.75" customHeight="1">
      <c r="S568" s="84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2"/>
      <c r="BF568" s="88"/>
      <c r="BG568" s="2"/>
      <c r="BH568" s="2"/>
      <c r="BI568" s="2"/>
    </row>
    <row r="569" spans="19:61" ht="12.75" customHeight="1">
      <c r="S569" s="84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2"/>
      <c r="BF569" s="88"/>
      <c r="BG569" s="2"/>
      <c r="BH569" s="2"/>
      <c r="BI569" s="2"/>
    </row>
    <row r="570" spans="19:61" ht="12.75" customHeight="1">
      <c r="S570" s="84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2"/>
      <c r="BF570" s="88"/>
      <c r="BG570" s="2"/>
      <c r="BH570" s="2"/>
      <c r="BI570" s="2"/>
    </row>
    <row r="571" spans="19:61" ht="12.75" customHeight="1">
      <c r="S571" s="84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2"/>
      <c r="BF571" s="88"/>
      <c r="BG571" s="2"/>
      <c r="BH571" s="2"/>
      <c r="BI571" s="2"/>
    </row>
    <row r="572" spans="19:61" ht="12.75" customHeight="1">
      <c r="S572" s="84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2"/>
      <c r="BF572" s="88"/>
      <c r="BG572" s="2"/>
      <c r="BH572" s="2"/>
      <c r="BI572" s="2"/>
    </row>
    <row r="573" spans="19:61" ht="12.75" customHeight="1">
      <c r="S573" s="84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2"/>
      <c r="BF573" s="88"/>
      <c r="BG573" s="2"/>
      <c r="BH573" s="2"/>
      <c r="BI573" s="2"/>
    </row>
    <row r="574" spans="19:61" ht="12.75" customHeight="1">
      <c r="S574" s="84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2"/>
      <c r="BF574" s="88"/>
      <c r="BG574" s="2"/>
      <c r="BH574" s="2"/>
      <c r="BI574" s="2"/>
    </row>
    <row r="575" spans="19:61" ht="12.75" customHeight="1">
      <c r="S575" s="84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2"/>
      <c r="BF575" s="88"/>
      <c r="BG575" s="2"/>
      <c r="BH575" s="2"/>
      <c r="BI575" s="2"/>
    </row>
    <row r="576" spans="19:61" ht="12.75" customHeight="1">
      <c r="S576" s="84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2"/>
      <c r="BF576" s="88"/>
      <c r="BG576" s="2"/>
      <c r="BH576" s="2"/>
      <c r="BI576" s="2"/>
    </row>
    <row r="577" spans="19:61" ht="12.75" customHeight="1">
      <c r="S577" s="84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2"/>
      <c r="BF577" s="88"/>
      <c r="BG577" s="2"/>
      <c r="BH577" s="2"/>
      <c r="BI577" s="2"/>
    </row>
    <row r="578" spans="19:61" ht="12.75" customHeight="1">
      <c r="S578" s="84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2"/>
      <c r="BF578" s="88"/>
      <c r="BG578" s="2"/>
      <c r="BH578" s="2"/>
      <c r="BI578" s="2"/>
    </row>
    <row r="579" spans="19:61" ht="12.75" customHeight="1">
      <c r="S579" s="84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2"/>
      <c r="BF579" s="88"/>
      <c r="BG579" s="2"/>
      <c r="BH579" s="2"/>
      <c r="BI579" s="2"/>
    </row>
    <row r="580" spans="19:61" ht="12.75" customHeight="1">
      <c r="S580" s="8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2"/>
      <c r="BF580" s="88"/>
      <c r="BG580" s="2"/>
      <c r="BH580" s="2"/>
      <c r="BI580" s="2"/>
    </row>
    <row r="581" spans="19:61" ht="12.75" customHeight="1">
      <c r="S581" s="84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2"/>
      <c r="BF581" s="88"/>
      <c r="BG581" s="2"/>
      <c r="BH581" s="2"/>
      <c r="BI581" s="2"/>
    </row>
    <row r="582" spans="19:61" ht="12.75" customHeight="1">
      <c r="S582" s="84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2"/>
      <c r="BF582" s="88"/>
      <c r="BG582" s="2"/>
      <c r="BH582" s="2"/>
      <c r="BI582" s="2"/>
    </row>
    <row r="583" spans="19:61" ht="12.75" customHeight="1">
      <c r="S583" s="84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2"/>
      <c r="BF583" s="88"/>
      <c r="BG583" s="2"/>
      <c r="BH583" s="2"/>
      <c r="BI583" s="2"/>
    </row>
    <row r="584" spans="19:61" ht="12.75" customHeight="1">
      <c r="S584" s="84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2"/>
      <c r="BF584" s="88"/>
      <c r="BG584" s="2"/>
      <c r="BH584" s="2"/>
      <c r="BI584" s="2"/>
    </row>
    <row r="585" spans="19:61" ht="12.75" customHeight="1">
      <c r="S585" s="84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2"/>
      <c r="BF585" s="88"/>
      <c r="BG585" s="2"/>
      <c r="BH585" s="2"/>
      <c r="BI585" s="2"/>
    </row>
    <row r="586" spans="19:61" ht="12.75" customHeight="1">
      <c r="S586" s="84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2"/>
      <c r="BF586" s="88"/>
      <c r="BG586" s="2"/>
      <c r="BH586" s="2"/>
      <c r="BI586" s="2"/>
    </row>
    <row r="587" spans="19:61" ht="12.75" customHeight="1">
      <c r="S587" s="84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2"/>
      <c r="BF587" s="88"/>
      <c r="BG587" s="2"/>
      <c r="BH587" s="2"/>
      <c r="BI587" s="2"/>
    </row>
    <row r="588" spans="19:61" ht="12.75" customHeight="1">
      <c r="S588" s="84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2"/>
      <c r="BF588" s="88"/>
      <c r="BG588" s="2"/>
      <c r="BH588" s="2"/>
      <c r="BI588" s="2"/>
    </row>
    <row r="589" spans="19:61" ht="12.75" customHeight="1">
      <c r="S589" s="84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2"/>
      <c r="BF589" s="88"/>
      <c r="BG589" s="2"/>
      <c r="BH589" s="2"/>
      <c r="BI589" s="2"/>
    </row>
    <row r="590" spans="19:61" ht="12.75" customHeight="1">
      <c r="S590" s="84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2"/>
      <c r="BF590" s="88"/>
      <c r="BG590" s="2"/>
      <c r="BH590" s="2"/>
      <c r="BI590" s="2"/>
    </row>
    <row r="591" spans="19:61" ht="12.75" customHeight="1">
      <c r="S591" s="84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2"/>
      <c r="BF591" s="88"/>
      <c r="BG591" s="2"/>
      <c r="BH591" s="2"/>
      <c r="BI591" s="2"/>
    </row>
    <row r="592" spans="19:61" ht="12.75" customHeight="1">
      <c r="S592" s="84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2"/>
      <c r="BF592" s="88"/>
      <c r="BG592" s="2"/>
      <c r="BH592" s="2"/>
      <c r="BI592" s="2"/>
    </row>
    <row r="593" spans="19:61" ht="12.75" customHeight="1">
      <c r="S593" s="84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2"/>
      <c r="BF593" s="88"/>
      <c r="BG593" s="2"/>
      <c r="BH593" s="2"/>
      <c r="BI593" s="2"/>
    </row>
    <row r="594" spans="19:61" ht="12.75" customHeight="1">
      <c r="S594" s="84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2"/>
      <c r="BF594" s="88"/>
      <c r="BG594" s="2"/>
      <c r="BH594" s="2"/>
      <c r="BI594" s="2"/>
    </row>
    <row r="595" spans="19:61" ht="12.75" customHeight="1">
      <c r="S595" s="8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2"/>
      <c r="BF595" s="88"/>
      <c r="BG595" s="2"/>
      <c r="BH595" s="2"/>
      <c r="BI595" s="2"/>
    </row>
    <row r="596" spans="19:61" ht="12.75" customHeight="1">
      <c r="S596" s="84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2"/>
      <c r="BF596" s="88"/>
      <c r="BG596" s="2"/>
      <c r="BH596" s="2"/>
      <c r="BI596" s="2"/>
    </row>
    <row r="597" spans="19:61" ht="12.75" customHeight="1">
      <c r="S597" s="84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2"/>
      <c r="BF597" s="88"/>
      <c r="BG597" s="2"/>
      <c r="BH597" s="2"/>
      <c r="BI597" s="2"/>
    </row>
    <row r="598" spans="19:61" ht="12.75" customHeight="1">
      <c r="S598" s="84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2"/>
      <c r="BF598" s="88"/>
      <c r="BG598" s="2"/>
      <c r="BH598" s="2"/>
      <c r="BI598" s="2"/>
    </row>
    <row r="599" spans="19:61" ht="12.75" customHeight="1">
      <c r="S599" s="84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2"/>
      <c r="BF599" s="88"/>
      <c r="BG599" s="2"/>
      <c r="BH599" s="2"/>
      <c r="BI599" s="2"/>
    </row>
    <row r="600" spans="19:61" ht="12.75" customHeight="1">
      <c r="S600" s="84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2"/>
      <c r="BF600" s="88"/>
      <c r="BG600" s="2"/>
      <c r="BH600" s="2"/>
      <c r="BI600" s="2"/>
    </row>
    <row r="601" spans="19:61" ht="12.75" customHeight="1">
      <c r="S601" s="84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2"/>
      <c r="BF601" s="88"/>
      <c r="BG601" s="2"/>
      <c r="BH601" s="2"/>
      <c r="BI601" s="2"/>
    </row>
    <row r="602" spans="19:61" ht="12.75" customHeight="1">
      <c r="S602" s="84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2"/>
      <c r="BF602" s="88"/>
      <c r="BG602" s="2"/>
      <c r="BH602" s="2"/>
      <c r="BI602" s="2"/>
    </row>
    <row r="603" spans="19:61" ht="12.75" customHeight="1">
      <c r="S603" s="84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2"/>
      <c r="BF603" s="88"/>
      <c r="BG603" s="2"/>
      <c r="BH603" s="2"/>
      <c r="BI603" s="2"/>
    </row>
    <row r="604" spans="19:61" ht="12.75" customHeight="1">
      <c r="S604" s="84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2"/>
      <c r="BF604" s="88"/>
      <c r="BG604" s="2"/>
      <c r="BH604" s="2"/>
      <c r="BI604" s="2"/>
    </row>
    <row r="605" spans="19:61" ht="12.75" customHeight="1">
      <c r="S605" s="84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2"/>
      <c r="BF605" s="88"/>
      <c r="BG605" s="2"/>
      <c r="BH605" s="2"/>
      <c r="BI605" s="2"/>
    </row>
    <row r="606" spans="19:61" ht="12.75" customHeight="1">
      <c r="S606" s="84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2"/>
      <c r="BF606" s="88"/>
      <c r="BG606" s="2"/>
      <c r="BH606" s="2"/>
      <c r="BI606" s="2"/>
    </row>
    <row r="607" spans="19:61" ht="12.75" customHeight="1">
      <c r="S607" s="84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2"/>
      <c r="BF607" s="88"/>
      <c r="BG607" s="2"/>
      <c r="BH607" s="2"/>
      <c r="BI607" s="2"/>
    </row>
    <row r="608" spans="19:61" ht="12.75" customHeight="1">
      <c r="S608" s="84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2"/>
      <c r="BF608" s="88"/>
      <c r="BG608" s="2"/>
      <c r="BH608" s="2"/>
      <c r="BI608" s="2"/>
    </row>
    <row r="609" spans="19:61" ht="12.75" customHeight="1">
      <c r="S609" s="84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2"/>
      <c r="BF609" s="88"/>
      <c r="BG609" s="2"/>
      <c r="BH609" s="2"/>
      <c r="BI609" s="2"/>
    </row>
    <row r="610" spans="19:61" ht="12.75" customHeight="1">
      <c r="S610" s="84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2"/>
      <c r="BF610" s="88"/>
      <c r="BG610" s="2"/>
      <c r="BH610" s="2"/>
      <c r="BI610" s="2"/>
    </row>
    <row r="611" spans="19:61" ht="12.75" customHeight="1">
      <c r="S611" s="84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2"/>
      <c r="BF611" s="88"/>
      <c r="BG611" s="2"/>
      <c r="BH611" s="2"/>
      <c r="BI611" s="2"/>
    </row>
    <row r="612" spans="19:61" ht="12.75" customHeight="1">
      <c r="S612" s="84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2"/>
      <c r="BF612" s="88"/>
      <c r="BG612" s="2"/>
      <c r="BH612" s="2"/>
      <c r="BI612" s="2"/>
    </row>
    <row r="613" spans="19:61" ht="12.75" customHeight="1">
      <c r="S613" s="84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2"/>
      <c r="BF613" s="88"/>
      <c r="BG613" s="2"/>
      <c r="BH613" s="2"/>
      <c r="BI613" s="2"/>
    </row>
    <row r="614" spans="19:61" ht="12.75" customHeight="1">
      <c r="S614" s="84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2"/>
      <c r="BF614" s="88"/>
      <c r="BG614" s="2"/>
      <c r="BH614" s="2"/>
      <c r="BI614" s="2"/>
    </row>
    <row r="615" spans="19:61" ht="12.75" customHeight="1">
      <c r="S615" s="84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2"/>
      <c r="BF615" s="88"/>
      <c r="BG615" s="2"/>
      <c r="BH615" s="2"/>
      <c r="BI615" s="2"/>
    </row>
    <row r="616" spans="19:61" ht="12.75" customHeight="1">
      <c r="S616" s="84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2"/>
      <c r="BF616" s="88"/>
      <c r="BG616" s="2"/>
      <c r="BH616" s="2"/>
      <c r="BI616" s="2"/>
    </row>
    <row r="617" spans="19:61" ht="12.75" customHeight="1">
      <c r="S617" s="84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2"/>
      <c r="BF617" s="88"/>
      <c r="BG617" s="2"/>
      <c r="BH617" s="2"/>
      <c r="BI617" s="2"/>
    </row>
    <row r="618" spans="19:61" ht="12.75" customHeight="1">
      <c r="S618" s="84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2"/>
      <c r="BF618" s="88"/>
      <c r="BG618" s="2"/>
      <c r="BH618" s="2"/>
      <c r="BI618" s="2"/>
    </row>
    <row r="619" spans="19:61" ht="12.75" customHeight="1">
      <c r="S619" s="84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2"/>
      <c r="BF619" s="88"/>
      <c r="BG619" s="2"/>
      <c r="BH619" s="2"/>
      <c r="BI619" s="2"/>
    </row>
    <row r="620" spans="19:61" ht="12.75" customHeight="1">
      <c r="S620" s="84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2"/>
      <c r="BF620" s="88"/>
      <c r="BG620" s="2"/>
      <c r="BH620" s="2"/>
      <c r="BI620" s="2"/>
    </row>
    <row r="621" spans="19:61" ht="12.75" customHeight="1">
      <c r="S621" s="84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2"/>
      <c r="BF621" s="88"/>
      <c r="BG621" s="2"/>
      <c r="BH621" s="2"/>
      <c r="BI621" s="2"/>
    </row>
    <row r="622" spans="19:61" ht="12.75" customHeight="1">
      <c r="S622" s="84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2"/>
      <c r="BF622" s="88"/>
      <c r="BG622" s="2"/>
      <c r="BH622" s="2"/>
      <c r="BI622" s="2"/>
    </row>
    <row r="623" spans="19:61" ht="12.75" customHeight="1">
      <c r="S623" s="84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2"/>
      <c r="BF623" s="88"/>
      <c r="BG623" s="2"/>
      <c r="BH623" s="2"/>
      <c r="BI623" s="2"/>
    </row>
    <row r="624" spans="19:61" ht="12.75" customHeight="1">
      <c r="S624" s="84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2"/>
      <c r="BF624" s="88"/>
      <c r="BG624" s="2"/>
      <c r="BH624" s="2"/>
      <c r="BI624" s="2"/>
    </row>
    <row r="625" spans="19:61" ht="12.75" customHeight="1">
      <c r="S625" s="84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2"/>
      <c r="BF625" s="88"/>
      <c r="BG625" s="2"/>
      <c r="BH625" s="2"/>
      <c r="BI625" s="2"/>
    </row>
    <row r="626" spans="19:61" ht="12.75" customHeight="1">
      <c r="S626" s="84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2"/>
      <c r="BF626" s="88"/>
      <c r="BG626" s="2"/>
      <c r="BH626" s="2"/>
      <c r="BI626" s="2"/>
    </row>
    <row r="627" spans="19:61" ht="12.75" customHeight="1">
      <c r="S627" s="84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2"/>
      <c r="BF627" s="88"/>
      <c r="BG627" s="2"/>
      <c r="BH627" s="2"/>
      <c r="BI627" s="2"/>
    </row>
    <row r="628" spans="19:61" ht="12.75" customHeight="1">
      <c r="S628" s="84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2"/>
      <c r="BF628" s="88"/>
      <c r="BG628" s="2"/>
      <c r="BH628" s="2"/>
      <c r="BI628" s="2"/>
    </row>
    <row r="629" spans="19:61" ht="12.75" customHeight="1">
      <c r="S629" s="84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2"/>
      <c r="BF629" s="88"/>
      <c r="BG629" s="2"/>
      <c r="BH629" s="2"/>
      <c r="BI629" s="2"/>
    </row>
    <row r="630" spans="19:61" ht="12.75" customHeight="1">
      <c r="S630" s="84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2"/>
      <c r="BF630" s="88"/>
      <c r="BG630" s="2"/>
      <c r="BH630" s="2"/>
      <c r="BI630" s="2"/>
    </row>
    <row r="631" spans="19:61" ht="12.75" customHeight="1">
      <c r="S631" s="84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2"/>
      <c r="BF631" s="88"/>
      <c r="BG631" s="2"/>
      <c r="BH631" s="2"/>
      <c r="BI631" s="2"/>
    </row>
    <row r="632" spans="19:61" ht="12.75" customHeight="1">
      <c r="S632" s="84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2"/>
      <c r="BF632" s="88"/>
      <c r="BG632" s="2"/>
      <c r="BH632" s="2"/>
      <c r="BI632" s="2"/>
    </row>
    <row r="633" spans="19:61" ht="12.75" customHeight="1">
      <c r="S633" s="84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2"/>
      <c r="BF633" s="88"/>
      <c r="BG633" s="2"/>
      <c r="BH633" s="2"/>
      <c r="BI633" s="2"/>
    </row>
    <row r="634" spans="19:61" ht="12.75" customHeight="1">
      <c r="S634" s="84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2"/>
      <c r="BF634" s="88"/>
      <c r="BG634" s="2"/>
      <c r="BH634" s="2"/>
      <c r="BI634" s="2"/>
    </row>
    <row r="635" spans="19:61" ht="12.75" customHeight="1">
      <c r="S635" s="84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2"/>
      <c r="BF635" s="88"/>
      <c r="BG635" s="2"/>
      <c r="BH635" s="2"/>
      <c r="BI635" s="2"/>
    </row>
    <row r="636" spans="19:61" ht="12.75" customHeight="1">
      <c r="S636" s="84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2"/>
      <c r="BF636" s="88"/>
      <c r="BG636" s="2"/>
      <c r="BH636" s="2"/>
      <c r="BI636" s="2"/>
    </row>
    <row r="637" spans="19:61" ht="12.75" customHeight="1">
      <c r="S637" s="84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2"/>
      <c r="BF637" s="88"/>
      <c r="BG637" s="2"/>
      <c r="BH637" s="2"/>
      <c r="BI637" s="2"/>
    </row>
    <row r="638" spans="19:61" ht="12.75" customHeight="1">
      <c r="S638" s="84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2"/>
      <c r="BF638" s="88"/>
      <c r="BG638" s="2"/>
      <c r="BH638" s="2"/>
      <c r="BI638" s="2"/>
    </row>
    <row r="639" spans="19:61" ht="12.75" customHeight="1">
      <c r="S639" s="84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2"/>
      <c r="BF639" s="88"/>
      <c r="BG639" s="2"/>
      <c r="BH639" s="2"/>
      <c r="BI639" s="2"/>
    </row>
    <row r="640" spans="19:61" ht="12.75" customHeight="1">
      <c r="S640" s="84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2"/>
      <c r="BF640" s="88"/>
      <c r="BG640" s="2"/>
      <c r="BH640" s="2"/>
      <c r="BI640" s="2"/>
    </row>
    <row r="641" spans="19:61" ht="12.75" customHeight="1">
      <c r="S641" s="84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2"/>
      <c r="BF641" s="88"/>
      <c r="BG641" s="2"/>
      <c r="BH641" s="2"/>
      <c r="BI641" s="2"/>
    </row>
    <row r="642" spans="19:61" ht="12.75" customHeight="1">
      <c r="S642" s="84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2"/>
      <c r="BF642" s="88"/>
      <c r="BG642" s="2"/>
      <c r="BH642" s="2"/>
      <c r="BI642" s="2"/>
    </row>
    <row r="643" spans="19:61" ht="12.75" customHeight="1">
      <c r="S643" s="84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2"/>
      <c r="BF643" s="88"/>
      <c r="BG643" s="2"/>
      <c r="BH643" s="2"/>
      <c r="BI643" s="2"/>
    </row>
    <row r="644" spans="19:61" ht="12.75" customHeight="1">
      <c r="S644" s="84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2"/>
      <c r="BF644" s="88"/>
      <c r="BG644" s="2"/>
      <c r="BH644" s="2"/>
      <c r="BI644" s="2"/>
    </row>
    <row r="645" spans="19:61" ht="12.75" customHeight="1">
      <c r="S645" s="84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2"/>
      <c r="BF645" s="88"/>
      <c r="BG645" s="2"/>
      <c r="BH645" s="2"/>
      <c r="BI645" s="2"/>
    </row>
    <row r="646" spans="19:61" ht="12.75" customHeight="1">
      <c r="S646" s="84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2"/>
      <c r="BF646" s="88"/>
      <c r="BG646" s="2"/>
      <c r="BH646" s="2"/>
      <c r="BI646" s="2"/>
    </row>
    <row r="647" spans="19:61" ht="12.75" customHeight="1">
      <c r="S647" s="84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2"/>
      <c r="BF647" s="88"/>
      <c r="BG647" s="2"/>
      <c r="BH647" s="2"/>
      <c r="BI647" s="2"/>
    </row>
    <row r="648" spans="19:61" ht="12.75" customHeight="1">
      <c r="S648" s="84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2"/>
      <c r="BF648" s="88"/>
      <c r="BG648" s="2"/>
      <c r="BH648" s="2"/>
      <c r="BI648" s="2"/>
    </row>
    <row r="649" spans="19:61" ht="12.75" customHeight="1">
      <c r="S649" s="84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2"/>
      <c r="BF649" s="88"/>
      <c r="BG649" s="2"/>
      <c r="BH649" s="2"/>
      <c r="BI649" s="2"/>
    </row>
    <row r="650" spans="19:61" ht="12.75" customHeight="1">
      <c r="S650" s="84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2"/>
      <c r="BF650" s="88"/>
      <c r="BG650" s="2"/>
      <c r="BH650" s="2"/>
      <c r="BI650" s="2"/>
    </row>
    <row r="651" spans="19:61" ht="12.75" customHeight="1">
      <c r="S651" s="84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2"/>
      <c r="BF651" s="88"/>
      <c r="BG651" s="2"/>
      <c r="BH651" s="2"/>
      <c r="BI651" s="2"/>
    </row>
    <row r="652" spans="19:61" ht="12.75" customHeight="1">
      <c r="S652" s="84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2"/>
      <c r="BF652" s="88"/>
      <c r="BG652" s="2"/>
      <c r="BH652" s="2"/>
      <c r="BI652" s="2"/>
    </row>
    <row r="653" spans="19:61" ht="12.75" customHeight="1">
      <c r="S653" s="84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2"/>
      <c r="BF653" s="88"/>
      <c r="BG653" s="2"/>
      <c r="BH653" s="2"/>
      <c r="BI653" s="2"/>
    </row>
    <row r="654" spans="19:61" ht="12.75" customHeight="1">
      <c r="S654" s="84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2"/>
      <c r="BF654" s="88"/>
      <c r="BG654" s="2"/>
      <c r="BH654" s="2"/>
      <c r="BI654" s="2"/>
    </row>
    <row r="655" spans="19:61" ht="12.75" customHeight="1">
      <c r="S655" s="84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2"/>
      <c r="BF655" s="88"/>
      <c r="BG655" s="2"/>
      <c r="BH655" s="2"/>
      <c r="BI655" s="2"/>
    </row>
    <row r="656" spans="19:61" ht="12.75" customHeight="1">
      <c r="S656" s="84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2"/>
      <c r="BF656" s="88"/>
      <c r="BG656" s="2"/>
      <c r="BH656" s="2"/>
      <c r="BI656" s="2"/>
    </row>
    <row r="657" spans="19:61" ht="12.75" customHeight="1">
      <c r="S657" s="84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2"/>
      <c r="BF657" s="88"/>
      <c r="BG657" s="2"/>
      <c r="BH657" s="2"/>
      <c r="BI657" s="2"/>
    </row>
    <row r="658" spans="19:61" ht="12.75" customHeight="1">
      <c r="S658" s="84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2"/>
      <c r="BF658" s="88"/>
      <c r="BG658" s="2"/>
      <c r="BH658" s="2"/>
      <c r="BI658" s="2"/>
    </row>
    <row r="659" spans="19:61" ht="12.75" customHeight="1">
      <c r="S659" s="84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2"/>
      <c r="BF659" s="88"/>
      <c r="BG659" s="2"/>
      <c r="BH659" s="2"/>
      <c r="BI659" s="2"/>
    </row>
    <row r="660" spans="19:61" ht="12.75" customHeight="1">
      <c r="S660" s="84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2"/>
      <c r="BF660" s="88"/>
      <c r="BG660" s="2"/>
      <c r="BH660" s="2"/>
      <c r="BI660" s="2"/>
    </row>
    <row r="661" spans="19:61" ht="12.75" customHeight="1">
      <c r="S661" s="84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2"/>
      <c r="BF661" s="88"/>
      <c r="BG661" s="2"/>
      <c r="BH661" s="2"/>
      <c r="BI661" s="2"/>
    </row>
    <row r="662" spans="19:61" ht="12.75" customHeight="1">
      <c r="S662" s="84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2"/>
      <c r="BF662" s="88"/>
      <c r="BG662" s="2"/>
      <c r="BH662" s="2"/>
      <c r="BI662" s="2"/>
    </row>
    <row r="663" spans="19:61" ht="12.75" customHeight="1">
      <c r="S663" s="84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2"/>
      <c r="BF663" s="88"/>
      <c r="BG663" s="2"/>
      <c r="BH663" s="2"/>
      <c r="BI663" s="2"/>
    </row>
    <row r="664" spans="19:61" ht="12.75" customHeight="1">
      <c r="S664" s="84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2"/>
      <c r="BF664" s="88"/>
      <c r="BG664" s="2"/>
      <c r="BH664" s="2"/>
      <c r="BI664" s="2"/>
    </row>
    <row r="665" spans="19:61" ht="12.75" customHeight="1">
      <c r="S665" s="84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2"/>
      <c r="BF665" s="88"/>
      <c r="BG665" s="2"/>
      <c r="BH665" s="2"/>
      <c r="BI665" s="2"/>
    </row>
    <row r="666" spans="19:61" ht="12.75" customHeight="1">
      <c r="S666" s="84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2"/>
      <c r="BF666" s="88"/>
      <c r="BG666" s="2"/>
      <c r="BH666" s="2"/>
      <c r="BI666" s="2"/>
    </row>
    <row r="667" spans="19:61" ht="12.75" customHeight="1">
      <c r="S667" s="84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2"/>
      <c r="BF667" s="88"/>
      <c r="BG667" s="2"/>
      <c r="BH667" s="2"/>
      <c r="BI667" s="2"/>
    </row>
    <row r="668" spans="19:61" ht="12.75" customHeight="1">
      <c r="S668" s="84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2"/>
      <c r="BF668" s="88"/>
      <c r="BG668" s="2"/>
      <c r="BH668" s="2"/>
      <c r="BI668" s="2"/>
    </row>
    <row r="669" spans="19:61" ht="12.75" customHeight="1">
      <c r="S669" s="84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2"/>
      <c r="BF669" s="88"/>
      <c r="BG669" s="2"/>
      <c r="BH669" s="2"/>
      <c r="BI669" s="2"/>
    </row>
    <row r="670" spans="19:61" ht="12.75" customHeight="1">
      <c r="S670" s="84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2"/>
      <c r="BF670" s="88"/>
      <c r="BG670" s="2"/>
      <c r="BH670" s="2"/>
      <c r="BI670" s="2"/>
    </row>
    <row r="671" spans="19:61" ht="12.75" customHeight="1">
      <c r="S671" s="84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2"/>
      <c r="BF671" s="88"/>
      <c r="BG671" s="2"/>
      <c r="BH671" s="2"/>
      <c r="BI671" s="2"/>
    </row>
    <row r="672" spans="19:61" ht="12.75" customHeight="1">
      <c r="S672" s="84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2"/>
      <c r="BF672" s="88"/>
      <c r="BG672" s="2"/>
      <c r="BH672" s="2"/>
      <c r="BI672" s="2"/>
    </row>
    <row r="673" spans="19:61" ht="12.75" customHeight="1">
      <c r="S673" s="84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2"/>
      <c r="BF673" s="88"/>
      <c r="BG673" s="2"/>
      <c r="BH673" s="2"/>
      <c r="BI673" s="2"/>
    </row>
    <row r="674" spans="19:61" ht="12.75" customHeight="1">
      <c r="S674" s="84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2"/>
      <c r="BF674" s="88"/>
      <c r="BG674" s="2"/>
      <c r="BH674" s="2"/>
      <c r="BI674" s="2"/>
    </row>
    <row r="675" spans="19:61" ht="12.75" customHeight="1">
      <c r="S675" s="84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2"/>
      <c r="BF675" s="88"/>
      <c r="BG675" s="2"/>
      <c r="BH675" s="2"/>
      <c r="BI675" s="2"/>
    </row>
    <row r="676" spans="19:61" ht="12.75" customHeight="1">
      <c r="S676" s="84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2"/>
      <c r="BF676" s="88"/>
      <c r="BG676" s="2"/>
      <c r="BH676" s="2"/>
      <c r="BI676" s="2"/>
    </row>
    <row r="677" spans="19:61" ht="12.75" customHeight="1">
      <c r="S677" s="84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2"/>
      <c r="BF677" s="88"/>
      <c r="BG677" s="2"/>
      <c r="BH677" s="2"/>
      <c r="BI677" s="2"/>
    </row>
    <row r="678" spans="19:61" ht="12.75" customHeight="1">
      <c r="S678" s="84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2"/>
      <c r="BF678" s="88"/>
      <c r="BG678" s="2"/>
      <c r="BH678" s="2"/>
      <c r="BI678" s="2"/>
    </row>
    <row r="679" spans="19:61" ht="12.75" customHeight="1">
      <c r="S679" s="84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2"/>
      <c r="BF679" s="88"/>
      <c r="BG679" s="2"/>
      <c r="BH679" s="2"/>
      <c r="BI679" s="2"/>
    </row>
    <row r="680" spans="19:61" ht="12.75" customHeight="1">
      <c r="S680" s="84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2"/>
      <c r="BF680" s="88"/>
      <c r="BG680" s="2"/>
      <c r="BH680" s="2"/>
      <c r="BI680" s="2"/>
    </row>
    <row r="681" spans="19:61" ht="12.75" customHeight="1">
      <c r="S681" s="84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2"/>
      <c r="BF681" s="88"/>
      <c r="BG681" s="2"/>
      <c r="BH681" s="2"/>
      <c r="BI681" s="2"/>
    </row>
    <row r="682" spans="19:61" ht="12.75" customHeight="1">
      <c r="S682" s="84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2"/>
      <c r="BF682" s="88"/>
      <c r="BG682" s="2"/>
      <c r="BH682" s="2"/>
      <c r="BI682" s="2"/>
    </row>
    <row r="683" spans="19:61" ht="12.75" customHeight="1">
      <c r="S683" s="84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2"/>
      <c r="BF683" s="88"/>
      <c r="BG683" s="2"/>
      <c r="BH683" s="2"/>
      <c r="BI683" s="2"/>
    </row>
    <row r="684" spans="19:61" ht="12.75" customHeight="1">
      <c r="S684" s="84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2"/>
      <c r="BF684" s="88"/>
      <c r="BG684" s="2"/>
      <c r="BH684" s="2"/>
      <c r="BI684" s="2"/>
    </row>
    <row r="685" spans="19:61" ht="12.75" customHeight="1">
      <c r="S685" s="84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2"/>
      <c r="BF685" s="88"/>
      <c r="BG685" s="2"/>
      <c r="BH685" s="2"/>
      <c r="BI685" s="2"/>
    </row>
    <row r="686" spans="19:61" ht="12.75" customHeight="1">
      <c r="S686" s="84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2"/>
      <c r="BF686" s="88"/>
      <c r="BG686" s="2"/>
      <c r="BH686" s="2"/>
      <c r="BI686" s="2"/>
    </row>
    <row r="687" spans="19:61" ht="12.75" customHeight="1">
      <c r="S687" s="84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2"/>
      <c r="BF687" s="88"/>
      <c r="BG687" s="2"/>
      <c r="BH687" s="2"/>
      <c r="BI687" s="2"/>
    </row>
    <row r="688" spans="19:61" ht="12.75" customHeight="1">
      <c r="S688" s="84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2"/>
      <c r="BF688" s="88"/>
      <c r="BG688" s="2"/>
      <c r="BH688" s="2"/>
      <c r="BI688" s="2"/>
    </row>
    <row r="689" spans="19:61" ht="12.75" customHeight="1">
      <c r="S689" s="84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2"/>
      <c r="BF689" s="88"/>
      <c r="BG689" s="2"/>
      <c r="BH689" s="2"/>
      <c r="BI689" s="2"/>
    </row>
    <row r="690" spans="19:61" ht="12.75" customHeight="1">
      <c r="S690" s="84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2"/>
      <c r="BF690" s="88"/>
      <c r="BG690" s="2"/>
      <c r="BH690" s="2"/>
      <c r="BI690" s="2"/>
    </row>
    <row r="691" spans="19:61" ht="12.75" customHeight="1">
      <c r="S691" s="84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2"/>
      <c r="BF691" s="88"/>
      <c r="BG691" s="2"/>
      <c r="BH691" s="2"/>
      <c r="BI691" s="2"/>
    </row>
    <row r="692" spans="19:61" ht="12.75" customHeight="1">
      <c r="S692" s="84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2"/>
      <c r="BF692" s="88"/>
      <c r="BG692" s="2"/>
      <c r="BH692" s="2"/>
      <c r="BI692" s="2"/>
    </row>
    <row r="693" spans="19:61" ht="12.75" customHeight="1">
      <c r="S693" s="84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2"/>
      <c r="BF693" s="88"/>
      <c r="BG693" s="2"/>
      <c r="BH693" s="2"/>
      <c r="BI693" s="2"/>
    </row>
    <row r="694" spans="19:61" ht="12.75" customHeight="1">
      <c r="S694" s="84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2"/>
      <c r="BF694" s="88"/>
      <c r="BG694" s="2"/>
      <c r="BH694" s="2"/>
      <c r="BI694" s="2"/>
    </row>
    <row r="695" spans="19:61" ht="12.75" customHeight="1">
      <c r="S695" s="84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2"/>
      <c r="BF695" s="88"/>
      <c r="BG695" s="2"/>
      <c r="BH695" s="2"/>
      <c r="BI695" s="2"/>
    </row>
    <row r="696" spans="19:61" ht="12.75" customHeight="1">
      <c r="S696" s="84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2"/>
      <c r="BF696" s="88"/>
      <c r="BG696" s="2"/>
      <c r="BH696" s="2"/>
      <c r="BI696" s="2"/>
    </row>
    <row r="697" spans="19:61" ht="12.75" customHeight="1">
      <c r="S697" s="84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2"/>
      <c r="BF697" s="88"/>
      <c r="BG697" s="2"/>
      <c r="BH697" s="2"/>
      <c r="BI697" s="2"/>
    </row>
    <row r="698" spans="19:61" ht="12.75" customHeight="1">
      <c r="S698" s="84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2"/>
      <c r="BF698" s="88"/>
      <c r="BG698" s="2"/>
      <c r="BH698" s="2"/>
      <c r="BI698" s="2"/>
    </row>
    <row r="699" spans="19:61" ht="12.75" customHeight="1">
      <c r="S699" s="84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2"/>
      <c r="BF699" s="88"/>
      <c r="BG699" s="2"/>
      <c r="BH699" s="2"/>
      <c r="BI699" s="2"/>
    </row>
    <row r="700" spans="19:61" ht="12.75" customHeight="1">
      <c r="S700" s="84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2"/>
      <c r="BF700" s="88"/>
      <c r="BG700" s="2"/>
      <c r="BH700" s="2"/>
      <c r="BI700" s="2"/>
    </row>
    <row r="701" spans="19:61" ht="12.75" customHeight="1">
      <c r="S701" s="84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2"/>
      <c r="BF701" s="88"/>
      <c r="BG701" s="2"/>
      <c r="BH701" s="2"/>
      <c r="BI701" s="2"/>
    </row>
    <row r="702" spans="19:61" ht="12.75" customHeight="1">
      <c r="S702" s="84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2"/>
      <c r="BF702" s="88"/>
      <c r="BG702" s="2"/>
      <c r="BH702" s="2"/>
      <c r="BI702" s="2"/>
    </row>
    <row r="703" spans="19:61" ht="12.75" customHeight="1">
      <c r="S703" s="84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2"/>
      <c r="BF703" s="88"/>
      <c r="BG703" s="2"/>
      <c r="BH703" s="2"/>
      <c r="BI703" s="2"/>
    </row>
    <row r="704" spans="19:61" ht="12.75" customHeight="1">
      <c r="S704" s="84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2"/>
      <c r="BF704" s="88"/>
      <c r="BG704" s="2"/>
      <c r="BH704" s="2"/>
      <c r="BI704" s="2"/>
    </row>
    <row r="705" spans="19:61" ht="12.75" customHeight="1">
      <c r="S705" s="84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2"/>
      <c r="BF705" s="88"/>
      <c r="BG705" s="2"/>
      <c r="BH705" s="2"/>
      <c r="BI705" s="2"/>
    </row>
    <row r="706" spans="19:61" ht="12.75" customHeight="1">
      <c r="S706" s="84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2"/>
      <c r="BF706" s="88"/>
      <c r="BG706" s="2"/>
      <c r="BH706" s="2"/>
      <c r="BI706" s="2"/>
    </row>
    <row r="707" spans="19:61" ht="12.75" customHeight="1">
      <c r="S707" s="84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2"/>
      <c r="BF707" s="88"/>
      <c r="BG707" s="2"/>
      <c r="BH707" s="2"/>
      <c r="BI707" s="2"/>
    </row>
    <row r="708" spans="19:61" ht="12.75" customHeight="1">
      <c r="S708" s="84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2"/>
      <c r="BF708" s="88"/>
      <c r="BG708" s="2"/>
      <c r="BH708" s="2"/>
      <c r="BI708" s="2"/>
    </row>
    <row r="709" spans="19:61" ht="12.75" customHeight="1">
      <c r="S709" s="84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2"/>
      <c r="BF709" s="88"/>
      <c r="BG709" s="2"/>
      <c r="BH709" s="2"/>
      <c r="BI709" s="2"/>
    </row>
    <row r="710" spans="19:61" ht="12.75" customHeight="1">
      <c r="S710" s="84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2"/>
      <c r="BF710" s="88"/>
      <c r="BG710" s="2"/>
      <c r="BH710" s="2"/>
      <c r="BI710" s="2"/>
    </row>
    <row r="711" spans="19:61" ht="12.75" customHeight="1">
      <c r="S711" s="84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2"/>
      <c r="BF711" s="88"/>
      <c r="BG711" s="2"/>
      <c r="BH711" s="2"/>
      <c r="BI711" s="2"/>
    </row>
    <row r="712" spans="19:61" ht="12.75" customHeight="1">
      <c r="S712" s="84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2"/>
      <c r="BF712" s="88"/>
      <c r="BG712" s="2"/>
      <c r="BH712" s="2"/>
      <c r="BI712" s="2"/>
    </row>
    <row r="713" spans="19:61" ht="12.75" customHeight="1">
      <c r="S713" s="84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2"/>
      <c r="BF713" s="88"/>
      <c r="BG713" s="2"/>
      <c r="BH713" s="2"/>
      <c r="BI713" s="2"/>
    </row>
    <row r="714" spans="19:61" ht="12.75" customHeight="1">
      <c r="S714" s="84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2"/>
      <c r="BF714" s="88"/>
      <c r="BG714" s="2"/>
      <c r="BH714" s="2"/>
      <c r="BI714" s="2"/>
    </row>
    <row r="715" spans="19:61" ht="12.75" customHeight="1">
      <c r="S715" s="84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2"/>
      <c r="BF715" s="88"/>
      <c r="BG715" s="2"/>
      <c r="BH715" s="2"/>
      <c r="BI715" s="2"/>
    </row>
    <row r="716" spans="19:61" ht="12.75" customHeight="1">
      <c r="S716" s="84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2"/>
      <c r="BF716" s="88"/>
      <c r="BG716" s="2"/>
      <c r="BH716" s="2"/>
      <c r="BI716" s="2"/>
    </row>
    <row r="717" spans="19:61" ht="12.75" customHeight="1">
      <c r="S717" s="84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2"/>
      <c r="BF717" s="88"/>
      <c r="BG717" s="2"/>
      <c r="BH717" s="2"/>
      <c r="BI717" s="2"/>
    </row>
    <row r="718" spans="19:61" ht="12.75" customHeight="1">
      <c r="S718" s="84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2"/>
      <c r="BF718" s="88"/>
      <c r="BG718" s="2"/>
      <c r="BH718" s="2"/>
      <c r="BI718" s="2"/>
    </row>
    <row r="719" spans="19:61" ht="12.75" customHeight="1">
      <c r="S719" s="84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2"/>
      <c r="BF719" s="88"/>
      <c r="BG719" s="2"/>
      <c r="BH719" s="2"/>
      <c r="BI719" s="2"/>
    </row>
    <row r="720" spans="19:61" ht="12.75" customHeight="1">
      <c r="S720" s="84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2"/>
      <c r="BF720" s="88"/>
      <c r="BG720" s="2"/>
      <c r="BH720" s="2"/>
      <c r="BI720" s="2"/>
    </row>
    <row r="721" spans="19:61" ht="12.75" customHeight="1">
      <c r="S721" s="84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2"/>
      <c r="BF721" s="88"/>
      <c r="BG721" s="2"/>
      <c r="BH721" s="2"/>
      <c r="BI721" s="2"/>
    </row>
    <row r="722" spans="19:61" ht="12.75" customHeight="1">
      <c r="S722" s="84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2"/>
      <c r="BF722" s="88"/>
      <c r="BG722" s="2"/>
      <c r="BH722" s="2"/>
      <c r="BI722" s="2"/>
    </row>
    <row r="723" spans="19:61" ht="12.75" customHeight="1">
      <c r="S723" s="84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2"/>
      <c r="BF723" s="88"/>
      <c r="BG723" s="2"/>
      <c r="BH723" s="2"/>
      <c r="BI723" s="2"/>
    </row>
    <row r="724" spans="19:61" ht="12.75" customHeight="1">
      <c r="S724" s="84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2"/>
      <c r="BF724" s="88"/>
      <c r="BG724" s="2"/>
      <c r="BH724" s="2"/>
      <c r="BI724" s="2"/>
    </row>
    <row r="725" spans="19:61" ht="12.75" customHeight="1">
      <c r="S725" s="84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2"/>
      <c r="BF725" s="88"/>
      <c r="BG725" s="2"/>
      <c r="BH725" s="2"/>
      <c r="BI725" s="2"/>
    </row>
    <row r="726" spans="19:61" ht="12.75" customHeight="1">
      <c r="S726" s="84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2"/>
      <c r="BF726" s="88"/>
      <c r="BG726" s="2"/>
      <c r="BH726" s="2"/>
      <c r="BI726" s="2"/>
    </row>
    <row r="727" spans="19:61" ht="12.75" customHeight="1">
      <c r="S727" s="84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2"/>
      <c r="BF727" s="88"/>
      <c r="BG727" s="2"/>
      <c r="BH727" s="2"/>
      <c r="BI727" s="2"/>
    </row>
    <row r="728" spans="19:61" ht="12.75" customHeight="1">
      <c r="S728" s="84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2"/>
      <c r="BF728" s="88"/>
      <c r="BG728" s="2"/>
      <c r="BH728" s="2"/>
      <c r="BI728" s="2"/>
    </row>
    <row r="729" spans="19:61" ht="12.75" customHeight="1">
      <c r="S729" s="84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2"/>
      <c r="BF729" s="88"/>
      <c r="BG729" s="2"/>
      <c r="BH729" s="2"/>
      <c r="BI729" s="2"/>
    </row>
    <row r="730" spans="19:61" ht="12.75" customHeight="1">
      <c r="S730" s="84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2"/>
      <c r="BF730" s="88"/>
      <c r="BG730" s="2"/>
      <c r="BH730" s="2"/>
      <c r="BI730" s="2"/>
    </row>
    <row r="731" spans="19:61" ht="12.75" customHeight="1">
      <c r="S731" s="84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2"/>
      <c r="BF731" s="88"/>
      <c r="BG731" s="2"/>
      <c r="BH731" s="2"/>
      <c r="BI731" s="2"/>
    </row>
    <row r="732" spans="19:61" ht="12.75" customHeight="1">
      <c r="S732" s="84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2"/>
      <c r="BF732" s="88"/>
      <c r="BG732" s="2"/>
      <c r="BH732" s="2"/>
      <c r="BI732" s="2"/>
    </row>
    <row r="733" spans="19:61" ht="12.75" customHeight="1">
      <c r="S733" s="84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2"/>
      <c r="BF733" s="88"/>
      <c r="BG733" s="2"/>
      <c r="BH733" s="2"/>
      <c r="BI733" s="2"/>
    </row>
    <row r="734" spans="19:61" ht="12.75" customHeight="1">
      <c r="S734" s="84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2"/>
      <c r="BF734" s="88"/>
      <c r="BG734" s="2"/>
      <c r="BH734" s="2"/>
      <c r="BI734" s="2"/>
    </row>
    <row r="735" spans="19:61" ht="12.75" customHeight="1">
      <c r="S735" s="84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2"/>
      <c r="BF735" s="88"/>
      <c r="BG735" s="2"/>
      <c r="BH735" s="2"/>
      <c r="BI735" s="2"/>
    </row>
    <row r="736" spans="19:61" ht="12.75" customHeight="1">
      <c r="S736" s="84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2"/>
      <c r="BF736" s="88"/>
      <c r="BG736" s="2"/>
      <c r="BH736" s="2"/>
      <c r="BI736" s="2"/>
    </row>
    <row r="737" spans="19:61" ht="12.75" customHeight="1">
      <c r="S737" s="84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2"/>
      <c r="BF737" s="88"/>
      <c r="BG737" s="2"/>
      <c r="BH737" s="2"/>
      <c r="BI737" s="2"/>
    </row>
    <row r="738" spans="19:61" ht="12.75" customHeight="1">
      <c r="S738" s="84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2"/>
      <c r="BF738" s="88"/>
      <c r="BG738" s="2"/>
      <c r="BH738" s="2"/>
      <c r="BI738" s="2"/>
    </row>
    <row r="739" spans="19:61" ht="12.75" customHeight="1">
      <c r="S739" s="84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2"/>
      <c r="BF739" s="88"/>
      <c r="BG739" s="2"/>
      <c r="BH739" s="2"/>
      <c r="BI739" s="2"/>
    </row>
    <row r="740" spans="19:61" ht="12.75" customHeight="1">
      <c r="S740" s="84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2"/>
      <c r="BF740" s="88"/>
      <c r="BG740" s="2"/>
      <c r="BH740" s="2"/>
      <c r="BI740" s="2"/>
    </row>
    <row r="741" spans="19:61" ht="12.75" customHeight="1">
      <c r="S741" s="84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2"/>
      <c r="BF741" s="88"/>
      <c r="BG741" s="2"/>
      <c r="BH741" s="2"/>
      <c r="BI741" s="2"/>
    </row>
    <row r="742" spans="19:61" ht="12.75" customHeight="1">
      <c r="S742" s="84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2"/>
      <c r="BF742" s="88"/>
      <c r="BG742" s="2"/>
      <c r="BH742" s="2"/>
      <c r="BI742" s="2"/>
    </row>
    <row r="743" spans="19:61" ht="12.75" customHeight="1">
      <c r="S743" s="84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2"/>
      <c r="BF743" s="88"/>
      <c r="BG743" s="2"/>
      <c r="BH743" s="2"/>
      <c r="BI743" s="2"/>
    </row>
    <row r="744" spans="19:61" ht="12.75" customHeight="1">
      <c r="S744" s="84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2"/>
      <c r="BF744" s="88"/>
      <c r="BG744" s="2"/>
      <c r="BH744" s="2"/>
      <c r="BI744" s="2"/>
    </row>
    <row r="745" spans="19:61" ht="12.75" customHeight="1">
      <c r="S745" s="84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2"/>
      <c r="BF745" s="88"/>
      <c r="BG745" s="2"/>
      <c r="BH745" s="2"/>
      <c r="BI745" s="2"/>
    </row>
    <row r="746" spans="19:61" ht="12.75" customHeight="1">
      <c r="S746" s="84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2"/>
      <c r="BF746" s="88"/>
      <c r="BG746" s="2"/>
      <c r="BH746" s="2"/>
      <c r="BI746" s="2"/>
    </row>
    <row r="747" spans="19:61" ht="12.75" customHeight="1">
      <c r="S747" s="84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2"/>
      <c r="BF747" s="88"/>
      <c r="BG747" s="2"/>
      <c r="BH747" s="2"/>
      <c r="BI747" s="2"/>
    </row>
    <row r="748" spans="19:61" ht="12.75" customHeight="1">
      <c r="S748" s="84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2"/>
      <c r="BF748" s="88"/>
      <c r="BG748" s="2"/>
      <c r="BH748" s="2"/>
      <c r="BI748" s="2"/>
    </row>
    <row r="749" spans="19:61" ht="12.75" customHeight="1">
      <c r="S749" s="84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2"/>
      <c r="BF749" s="88"/>
      <c r="BG749" s="2"/>
      <c r="BH749" s="2"/>
      <c r="BI749" s="2"/>
    </row>
    <row r="750" spans="19:61" ht="12.75" customHeight="1">
      <c r="S750" s="84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2"/>
      <c r="BF750" s="88"/>
      <c r="BG750" s="2"/>
      <c r="BH750" s="2"/>
      <c r="BI750" s="2"/>
    </row>
    <row r="751" spans="19:61" ht="12.75" customHeight="1">
      <c r="S751" s="84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2"/>
      <c r="BF751" s="88"/>
      <c r="BG751" s="2"/>
      <c r="BH751" s="2"/>
      <c r="BI751" s="2"/>
    </row>
    <row r="752" spans="19:61" ht="12.75" customHeight="1">
      <c r="S752" s="84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2"/>
      <c r="BF752" s="88"/>
      <c r="BG752" s="2"/>
      <c r="BH752" s="2"/>
      <c r="BI752" s="2"/>
    </row>
    <row r="753" spans="19:61" ht="12.75" customHeight="1">
      <c r="S753" s="84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2"/>
      <c r="BF753" s="88"/>
      <c r="BG753" s="2"/>
      <c r="BH753" s="2"/>
      <c r="BI753" s="2"/>
    </row>
    <row r="754" spans="19:61" ht="12.75" customHeight="1">
      <c r="S754" s="84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2"/>
      <c r="BF754" s="88"/>
      <c r="BG754" s="2"/>
      <c r="BH754" s="2"/>
      <c r="BI754" s="2"/>
    </row>
    <row r="755" spans="19:61" ht="12.75" customHeight="1">
      <c r="S755" s="84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2"/>
      <c r="BF755" s="88"/>
      <c r="BG755" s="2"/>
      <c r="BH755" s="2"/>
      <c r="BI755" s="2"/>
    </row>
    <row r="756" spans="19:61" ht="12.75" customHeight="1">
      <c r="S756" s="84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2"/>
      <c r="BF756" s="88"/>
      <c r="BG756" s="2"/>
      <c r="BH756" s="2"/>
      <c r="BI756" s="2"/>
    </row>
    <row r="757" spans="19:61" ht="12.75" customHeight="1">
      <c r="S757" s="84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2"/>
      <c r="BF757" s="88"/>
      <c r="BG757" s="2"/>
      <c r="BH757" s="2"/>
      <c r="BI757" s="2"/>
    </row>
    <row r="758" spans="19:61" ht="12.75" customHeight="1">
      <c r="S758" s="84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2"/>
      <c r="BF758" s="88"/>
      <c r="BG758" s="2"/>
      <c r="BH758" s="2"/>
      <c r="BI758" s="2"/>
    </row>
    <row r="759" spans="19:61" ht="12.75" customHeight="1">
      <c r="S759" s="84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2"/>
      <c r="BF759" s="88"/>
      <c r="BG759" s="2"/>
      <c r="BH759" s="2"/>
      <c r="BI759" s="2"/>
    </row>
    <row r="760" spans="19:61" ht="12.75" customHeight="1">
      <c r="S760" s="84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2"/>
      <c r="BF760" s="88"/>
      <c r="BG760" s="2"/>
      <c r="BH760" s="2"/>
      <c r="BI760" s="2"/>
    </row>
    <row r="761" spans="19:61" ht="12.75" customHeight="1">
      <c r="S761" s="84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2"/>
      <c r="BF761" s="88"/>
      <c r="BG761" s="2"/>
      <c r="BH761" s="2"/>
      <c r="BI761" s="2"/>
    </row>
    <row r="762" spans="19:61" ht="12.75" customHeight="1">
      <c r="S762" s="84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2"/>
      <c r="BF762" s="88"/>
      <c r="BG762" s="2"/>
      <c r="BH762" s="2"/>
      <c r="BI762" s="2"/>
    </row>
    <row r="763" spans="19:61" ht="12.75" customHeight="1">
      <c r="S763" s="84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2"/>
      <c r="BF763" s="88"/>
      <c r="BG763" s="2"/>
      <c r="BH763" s="2"/>
      <c r="BI763" s="2"/>
    </row>
    <row r="764" spans="19:61" ht="12.75" customHeight="1">
      <c r="S764" s="84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2"/>
      <c r="BF764" s="88"/>
      <c r="BG764" s="2"/>
      <c r="BH764" s="2"/>
      <c r="BI764" s="2"/>
    </row>
    <row r="765" spans="19:61" ht="12.75" customHeight="1">
      <c r="S765" s="84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2"/>
      <c r="BF765" s="88"/>
      <c r="BG765" s="2"/>
      <c r="BH765" s="2"/>
      <c r="BI765" s="2"/>
    </row>
    <row r="766" spans="19:61" ht="12.75" customHeight="1">
      <c r="S766" s="84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2"/>
      <c r="BF766" s="88"/>
      <c r="BG766" s="2"/>
      <c r="BH766" s="2"/>
      <c r="BI766" s="2"/>
    </row>
    <row r="767" spans="19:61" ht="12.75" customHeight="1">
      <c r="S767" s="84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2"/>
      <c r="BF767" s="88"/>
      <c r="BG767" s="2"/>
      <c r="BH767" s="2"/>
      <c r="BI767" s="2"/>
    </row>
    <row r="768" spans="19:61" ht="12.75" customHeight="1">
      <c r="S768" s="84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2"/>
      <c r="BF768" s="88"/>
      <c r="BG768" s="2"/>
      <c r="BH768" s="2"/>
      <c r="BI768" s="2"/>
    </row>
    <row r="769" spans="19:61" ht="12.75" customHeight="1">
      <c r="S769" s="84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2"/>
      <c r="BF769" s="88"/>
      <c r="BG769" s="2"/>
      <c r="BH769" s="2"/>
      <c r="BI769" s="2"/>
    </row>
    <row r="770" spans="19:61" ht="12.75" customHeight="1">
      <c r="S770" s="84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2"/>
      <c r="BF770" s="88"/>
      <c r="BG770" s="2"/>
      <c r="BH770" s="2"/>
      <c r="BI770" s="2"/>
    </row>
    <row r="771" spans="19:61" ht="12.75" customHeight="1">
      <c r="S771" s="84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2"/>
      <c r="BF771" s="88"/>
      <c r="BG771" s="2"/>
      <c r="BH771" s="2"/>
      <c r="BI771" s="2"/>
    </row>
    <row r="772" spans="19:61" ht="12.75" customHeight="1">
      <c r="S772" s="84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2"/>
      <c r="BF772" s="88"/>
      <c r="BG772" s="2"/>
      <c r="BH772" s="2"/>
      <c r="BI772" s="2"/>
    </row>
    <row r="773" spans="19:61" ht="12.75" customHeight="1">
      <c r="S773" s="84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2"/>
      <c r="BF773" s="88"/>
      <c r="BG773" s="2"/>
      <c r="BH773" s="2"/>
      <c r="BI773" s="2"/>
    </row>
    <row r="774" spans="19:61" ht="12.75" customHeight="1">
      <c r="S774" s="84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2"/>
      <c r="BF774" s="88"/>
      <c r="BG774" s="2"/>
      <c r="BH774" s="2"/>
      <c r="BI774" s="2"/>
    </row>
    <row r="775" spans="19:61" ht="12.75" customHeight="1">
      <c r="S775" s="84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2"/>
      <c r="BF775" s="88"/>
      <c r="BG775" s="2"/>
      <c r="BH775" s="2"/>
      <c r="BI775" s="2"/>
    </row>
    <row r="776" spans="19:61" ht="12.75" customHeight="1">
      <c r="S776" s="84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2"/>
      <c r="BF776" s="88"/>
      <c r="BG776" s="2"/>
      <c r="BH776" s="2"/>
      <c r="BI776" s="2"/>
    </row>
    <row r="777" spans="19:61" ht="12.75" customHeight="1">
      <c r="S777" s="84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2"/>
      <c r="BF777" s="88"/>
      <c r="BG777" s="2"/>
      <c r="BH777" s="2"/>
      <c r="BI777" s="2"/>
    </row>
    <row r="778" spans="19:61" ht="12.75" customHeight="1">
      <c r="S778" s="84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2"/>
      <c r="BF778" s="88"/>
      <c r="BG778" s="2"/>
      <c r="BH778" s="2"/>
      <c r="BI778" s="2"/>
    </row>
    <row r="779" spans="19:61" ht="12.75" customHeight="1">
      <c r="S779" s="84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2"/>
      <c r="BF779" s="88"/>
      <c r="BG779" s="2"/>
      <c r="BH779" s="2"/>
      <c r="BI779" s="2"/>
    </row>
    <row r="780" spans="19:61" ht="12.75" customHeight="1">
      <c r="S780" s="84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2"/>
      <c r="BF780" s="88"/>
      <c r="BG780" s="2"/>
      <c r="BH780" s="2"/>
      <c r="BI780" s="2"/>
    </row>
    <row r="781" spans="19:61" ht="12.75" customHeight="1">
      <c r="S781" s="84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2"/>
      <c r="BF781" s="88"/>
      <c r="BG781" s="2"/>
      <c r="BH781" s="2"/>
      <c r="BI781" s="2"/>
    </row>
    <row r="782" spans="19:61" ht="12.75" customHeight="1">
      <c r="S782" s="84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2"/>
      <c r="BF782" s="88"/>
      <c r="BG782" s="2"/>
      <c r="BH782" s="2"/>
      <c r="BI782" s="2"/>
    </row>
    <row r="783" spans="19:61" ht="12.75" customHeight="1">
      <c r="S783" s="84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2"/>
      <c r="BF783" s="88"/>
      <c r="BG783" s="2"/>
      <c r="BH783" s="2"/>
      <c r="BI783" s="2"/>
    </row>
    <row r="784" spans="19:61" ht="12.75" customHeight="1">
      <c r="S784" s="84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2"/>
      <c r="BF784" s="88"/>
      <c r="BG784" s="2"/>
      <c r="BH784" s="2"/>
      <c r="BI784" s="2"/>
    </row>
    <row r="785" spans="19:61" ht="12.75" customHeight="1">
      <c r="S785" s="84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2"/>
      <c r="BF785" s="88"/>
      <c r="BG785" s="2"/>
      <c r="BH785" s="2"/>
      <c r="BI785" s="2"/>
    </row>
    <row r="786" spans="19:61" ht="12.75" customHeight="1">
      <c r="S786" s="84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2"/>
      <c r="BF786" s="88"/>
      <c r="BG786" s="2"/>
      <c r="BH786" s="2"/>
      <c r="BI786" s="2"/>
    </row>
    <row r="787" spans="19:61" ht="12.75" customHeight="1">
      <c r="S787" s="84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2"/>
      <c r="BF787" s="88"/>
      <c r="BG787" s="2"/>
      <c r="BH787" s="2"/>
      <c r="BI787" s="2"/>
    </row>
    <row r="788" spans="19:61" ht="12.75" customHeight="1">
      <c r="S788" s="84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2"/>
      <c r="BF788" s="88"/>
      <c r="BG788" s="2"/>
      <c r="BH788" s="2"/>
      <c r="BI788" s="2"/>
    </row>
    <row r="789" spans="19:61" ht="12.75" customHeight="1">
      <c r="S789" s="84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2"/>
      <c r="BF789" s="88"/>
      <c r="BG789" s="2"/>
      <c r="BH789" s="2"/>
      <c r="BI789" s="2"/>
    </row>
    <row r="790" spans="19:61" ht="12.75" customHeight="1">
      <c r="S790" s="84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2"/>
      <c r="BF790" s="88"/>
      <c r="BG790" s="2"/>
      <c r="BH790" s="2"/>
      <c r="BI790" s="2"/>
    </row>
    <row r="791" spans="19:61" ht="12.75" customHeight="1">
      <c r="S791" s="84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2"/>
      <c r="BF791" s="88"/>
      <c r="BG791" s="2"/>
      <c r="BH791" s="2"/>
      <c r="BI791" s="2"/>
    </row>
    <row r="792" spans="19:61" ht="12.75" customHeight="1">
      <c r="S792" s="84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2"/>
      <c r="BF792" s="88"/>
      <c r="BG792" s="2"/>
      <c r="BH792" s="2"/>
      <c r="BI792" s="2"/>
    </row>
    <row r="793" spans="19:61" ht="12.75" customHeight="1">
      <c r="S793" s="84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2"/>
      <c r="BF793" s="88"/>
      <c r="BG793" s="2"/>
      <c r="BH793" s="2"/>
      <c r="BI793" s="2"/>
    </row>
    <row r="794" spans="19:61" ht="12.75" customHeight="1">
      <c r="S794" s="84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2"/>
      <c r="BF794" s="88"/>
      <c r="BG794" s="2"/>
      <c r="BH794" s="2"/>
      <c r="BI794" s="2"/>
    </row>
    <row r="795" spans="19:61" ht="12.75" customHeight="1">
      <c r="S795" s="84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2"/>
      <c r="BF795" s="88"/>
      <c r="BG795" s="2"/>
      <c r="BH795" s="2"/>
      <c r="BI795" s="2"/>
    </row>
    <row r="796" spans="19:61" ht="12.75" customHeight="1">
      <c r="S796" s="84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2"/>
      <c r="BF796" s="88"/>
      <c r="BG796" s="2"/>
      <c r="BH796" s="2"/>
      <c r="BI796" s="2"/>
    </row>
    <row r="797" spans="19:61" ht="12.75" customHeight="1">
      <c r="S797" s="84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2"/>
      <c r="BF797" s="88"/>
      <c r="BG797" s="2"/>
      <c r="BH797" s="2"/>
      <c r="BI797" s="2"/>
    </row>
    <row r="798" spans="19:61" ht="12.75" customHeight="1">
      <c r="S798" s="84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2"/>
      <c r="BF798" s="88"/>
      <c r="BG798" s="2"/>
      <c r="BH798" s="2"/>
      <c r="BI798" s="2"/>
    </row>
    <row r="799" spans="19:61" ht="12.75" customHeight="1">
      <c r="S799" s="84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2"/>
      <c r="BF799" s="88"/>
      <c r="BG799" s="2"/>
      <c r="BH799" s="2"/>
      <c r="BI799" s="2"/>
    </row>
    <row r="800" spans="19:61" ht="12.75" customHeight="1">
      <c r="S800" s="84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2"/>
      <c r="BF800" s="88"/>
      <c r="BG800" s="2"/>
      <c r="BH800" s="2"/>
      <c r="BI800" s="2"/>
    </row>
    <row r="801" spans="19:61" ht="12.75" customHeight="1">
      <c r="S801" s="84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2"/>
      <c r="BF801" s="88"/>
      <c r="BG801" s="2"/>
      <c r="BH801" s="2"/>
      <c r="BI801" s="2"/>
    </row>
    <row r="802" spans="19:61" ht="12.75" customHeight="1">
      <c r="S802" s="84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2"/>
      <c r="BF802" s="88"/>
      <c r="BG802" s="2"/>
      <c r="BH802" s="2"/>
      <c r="BI802" s="2"/>
    </row>
    <row r="803" spans="19:61" ht="12.75" customHeight="1">
      <c r="S803" s="84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2"/>
      <c r="BF803" s="88"/>
      <c r="BG803" s="2"/>
      <c r="BH803" s="2"/>
      <c r="BI803" s="2"/>
    </row>
    <row r="804" spans="19:61" ht="12.75" customHeight="1">
      <c r="S804" s="84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2"/>
      <c r="BF804" s="88"/>
      <c r="BG804" s="2"/>
      <c r="BH804" s="2"/>
      <c r="BI804" s="2"/>
    </row>
    <row r="805" spans="19:61" ht="12.75" customHeight="1">
      <c r="S805" s="84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2"/>
      <c r="BF805" s="88"/>
      <c r="BG805" s="2"/>
      <c r="BH805" s="2"/>
      <c r="BI805" s="2"/>
    </row>
    <row r="806" spans="19:61" ht="12.75" customHeight="1">
      <c r="S806" s="84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2"/>
      <c r="BF806" s="88"/>
      <c r="BG806" s="2"/>
      <c r="BH806" s="2"/>
      <c r="BI806" s="2"/>
    </row>
    <row r="807" spans="19:61" ht="12.75" customHeight="1">
      <c r="S807" s="84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2"/>
      <c r="BF807" s="88"/>
      <c r="BG807" s="2"/>
      <c r="BH807" s="2"/>
      <c r="BI807" s="2"/>
    </row>
    <row r="808" spans="19:61" ht="12.75" customHeight="1">
      <c r="S808" s="84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2"/>
      <c r="BF808" s="88"/>
      <c r="BG808" s="2"/>
      <c r="BH808" s="2"/>
      <c r="BI808" s="2"/>
    </row>
    <row r="809" spans="19:61" ht="12.75" customHeight="1">
      <c r="S809" s="84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2"/>
      <c r="BF809" s="88"/>
      <c r="BG809" s="2"/>
      <c r="BH809" s="2"/>
      <c r="BI809" s="2"/>
    </row>
    <row r="810" spans="19:61" ht="12.75" customHeight="1">
      <c r="S810" s="84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2"/>
      <c r="BF810" s="88"/>
      <c r="BG810" s="2"/>
      <c r="BH810" s="2"/>
      <c r="BI810" s="2"/>
    </row>
    <row r="811" spans="19:61" ht="12.75" customHeight="1">
      <c r="S811" s="84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2"/>
      <c r="BF811" s="88"/>
      <c r="BG811" s="2"/>
      <c r="BH811" s="2"/>
      <c r="BI811" s="2"/>
    </row>
    <row r="812" spans="19:61" ht="12.75" customHeight="1">
      <c r="S812" s="84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2"/>
      <c r="BF812" s="88"/>
      <c r="BG812" s="2"/>
      <c r="BH812" s="2"/>
      <c r="BI812" s="2"/>
    </row>
    <row r="813" spans="19:61" ht="12.75" customHeight="1">
      <c r="S813" s="84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2"/>
      <c r="BF813" s="88"/>
      <c r="BG813" s="2"/>
      <c r="BH813" s="2"/>
      <c r="BI813" s="2"/>
    </row>
    <row r="814" spans="19:61" ht="12.75" customHeight="1">
      <c r="S814" s="84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2"/>
      <c r="BF814" s="88"/>
      <c r="BG814" s="2"/>
      <c r="BH814" s="2"/>
      <c r="BI814" s="2"/>
    </row>
    <row r="815" spans="19:61" ht="12.75" customHeight="1">
      <c r="S815" s="84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2"/>
      <c r="BF815" s="88"/>
      <c r="BG815" s="2"/>
      <c r="BH815" s="2"/>
      <c r="BI815" s="2"/>
    </row>
    <row r="816" spans="19:61" ht="12.75" customHeight="1">
      <c r="S816" s="8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2"/>
      <c r="BF816" s="88"/>
      <c r="BG816" s="2"/>
      <c r="BH816" s="2"/>
      <c r="BI816" s="2"/>
    </row>
    <row r="817" spans="19:61" ht="12.75" customHeight="1">
      <c r="S817" s="8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2"/>
      <c r="BF817" s="88"/>
      <c r="BG817" s="2"/>
      <c r="BH817" s="2"/>
      <c r="BI817" s="2"/>
    </row>
    <row r="818" spans="19:61" ht="12.75" customHeight="1">
      <c r="S818" s="84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2"/>
      <c r="BF818" s="88"/>
      <c r="BG818" s="2"/>
      <c r="BH818" s="2"/>
      <c r="BI818" s="2"/>
    </row>
    <row r="819" spans="19:61" ht="12.75" customHeight="1">
      <c r="S819" s="8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2"/>
      <c r="BF819" s="88"/>
      <c r="BG819" s="2"/>
      <c r="BH819" s="2"/>
      <c r="BI819" s="2"/>
    </row>
    <row r="820" spans="19:61" ht="12.75" customHeight="1">
      <c r="S820" s="8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2"/>
      <c r="BF820" s="88"/>
      <c r="BG820" s="2"/>
      <c r="BH820" s="2"/>
      <c r="BI820" s="2"/>
    </row>
    <row r="821" spans="19:61" ht="12.75" customHeight="1">
      <c r="S821" s="8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2"/>
      <c r="BF821" s="88"/>
      <c r="BG821" s="2"/>
      <c r="BH821" s="2"/>
      <c r="BI821" s="2"/>
    </row>
    <row r="822" spans="19:61" ht="12.75" customHeight="1">
      <c r="S822" s="8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2"/>
      <c r="BF822" s="88"/>
      <c r="BG822" s="2"/>
      <c r="BH822" s="2"/>
      <c r="BI822" s="2"/>
    </row>
    <row r="823" spans="19:61" ht="12.75" customHeight="1">
      <c r="S823" s="8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2"/>
      <c r="BF823" s="88"/>
      <c r="BG823" s="2"/>
      <c r="BH823" s="2"/>
      <c r="BI823" s="2"/>
    </row>
    <row r="824" spans="19:61" ht="12.75" customHeight="1">
      <c r="S824" s="8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2"/>
      <c r="BF824" s="88"/>
      <c r="BG824" s="2"/>
      <c r="BH824" s="2"/>
      <c r="BI824" s="2"/>
    </row>
    <row r="825" spans="19:61" ht="12.75" customHeight="1">
      <c r="S825" s="8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2"/>
      <c r="BF825" s="88"/>
      <c r="BG825" s="2"/>
      <c r="BH825" s="2"/>
      <c r="BI825" s="2"/>
    </row>
    <row r="826" spans="19:61" ht="12.75" customHeight="1">
      <c r="S826" s="8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2"/>
      <c r="BF826" s="88"/>
      <c r="BG826" s="2"/>
      <c r="BH826" s="2"/>
      <c r="BI826" s="2"/>
    </row>
    <row r="827" spans="19:61" ht="12.75" customHeight="1">
      <c r="S827" s="8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2"/>
      <c r="BF827" s="88"/>
      <c r="BG827" s="2"/>
      <c r="BH827" s="2"/>
      <c r="BI827" s="2"/>
    </row>
    <row r="828" spans="19:61" ht="12.75" customHeight="1">
      <c r="S828" s="8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2"/>
      <c r="BF828" s="88"/>
      <c r="BG828" s="2"/>
      <c r="BH828" s="2"/>
      <c r="BI828" s="2"/>
    </row>
    <row r="829" spans="19:61" ht="12.75" customHeight="1">
      <c r="S829" s="8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2"/>
      <c r="BF829" s="88"/>
      <c r="BG829" s="2"/>
      <c r="BH829" s="2"/>
      <c r="BI829" s="2"/>
    </row>
    <row r="830" spans="19:61" ht="12.75" customHeight="1">
      <c r="S830" s="8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2"/>
      <c r="BF830" s="88"/>
      <c r="BG830" s="2"/>
      <c r="BH830" s="2"/>
      <c r="BI830" s="2"/>
    </row>
    <row r="831" spans="19:61" ht="12.75" customHeight="1">
      <c r="S831" s="84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2"/>
      <c r="BF831" s="88"/>
      <c r="BG831" s="2"/>
      <c r="BH831" s="2"/>
      <c r="BI831" s="2"/>
    </row>
    <row r="832" spans="19:61" ht="12.75" customHeight="1">
      <c r="S832" s="84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2"/>
      <c r="BF832" s="88"/>
      <c r="BG832" s="2"/>
      <c r="BH832" s="2"/>
      <c r="BI832" s="2"/>
    </row>
    <row r="833" spans="19:61" ht="12.75" customHeight="1">
      <c r="S833" s="84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2"/>
      <c r="BF833" s="88"/>
      <c r="BG833" s="2"/>
      <c r="BH833" s="2"/>
      <c r="BI833" s="2"/>
    </row>
    <row r="834" spans="19:61" ht="12.75" customHeight="1">
      <c r="S834" s="84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2"/>
      <c r="BF834" s="88"/>
      <c r="BG834" s="2"/>
      <c r="BH834" s="2"/>
      <c r="BI834" s="2"/>
    </row>
    <row r="835" spans="19:61" ht="12.75" customHeight="1">
      <c r="S835" s="84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2"/>
      <c r="BF835" s="88"/>
      <c r="BG835" s="2"/>
      <c r="BH835" s="2"/>
      <c r="BI835" s="2"/>
    </row>
    <row r="836" spans="19:61" ht="12.75" customHeight="1">
      <c r="S836" s="84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2"/>
      <c r="BF836" s="88"/>
      <c r="BG836" s="2"/>
      <c r="BH836" s="2"/>
      <c r="BI836" s="2"/>
    </row>
    <row r="837" spans="19:61" ht="12.75" customHeight="1">
      <c r="S837" s="84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2"/>
      <c r="BF837" s="88"/>
      <c r="BG837" s="2"/>
      <c r="BH837" s="2"/>
      <c r="BI837" s="2"/>
    </row>
    <row r="838" spans="19:61" ht="12.75" customHeight="1">
      <c r="S838" s="84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2"/>
      <c r="BF838" s="88"/>
      <c r="BG838" s="2"/>
      <c r="BH838" s="2"/>
      <c r="BI838" s="2"/>
    </row>
    <row r="839" spans="19:61" ht="12.75" customHeight="1">
      <c r="S839" s="84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2"/>
      <c r="BF839" s="88"/>
      <c r="BG839" s="2"/>
      <c r="BH839" s="2"/>
      <c r="BI839" s="2"/>
    </row>
    <row r="840" spans="19:61" ht="12.75" customHeight="1">
      <c r="S840" s="84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2"/>
      <c r="BF840" s="88"/>
      <c r="BG840" s="2"/>
      <c r="BH840" s="2"/>
      <c r="BI840" s="2"/>
    </row>
    <row r="841" spans="19:61" ht="12.75" customHeight="1">
      <c r="S841" s="84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2"/>
      <c r="BF841" s="88"/>
      <c r="BG841" s="2"/>
      <c r="BH841" s="2"/>
      <c r="BI841" s="2"/>
    </row>
    <row r="842" spans="19:61" ht="12.75" customHeight="1">
      <c r="S842" s="84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2"/>
      <c r="BF842" s="88"/>
      <c r="BG842" s="2"/>
      <c r="BH842" s="2"/>
      <c r="BI842" s="2"/>
    </row>
    <row r="843" spans="19:61" ht="12.75" customHeight="1">
      <c r="S843" s="84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2"/>
      <c r="BF843" s="88"/>
      <c r="BG843" s="2"/>
      <c r="BH843" s="2"/>
      <c r="BI843" s="2"/>
    </row>
    <row r="844" spans="19:61" ht="12.75" customHeight="1">
      <c r="S844" s="84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2"/>
      <c r="BF844" s="88"/>
      <c r="BG844" s="2"/>
      <c r="BH844" s="2"/>
      <c r="BI844" s="2"/>
    </row>
    <row r="845" spans="19:61" ht="12.75" customHeight="1">
      <c r="S845" s="84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2"/>
      <c r="BF845" s="88"/>
      <c r="BG845" s="2"/>
      <c r="BH845" s="2"/>
      <c r="BI845" s="2"/>
    </row>
    <row r="846" spans="19:61" ht="12.75" customHeight="1">
      <c r="S846" s="84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2"/>
      <c r="BF846" s="88"/>
      <c r="BG846" s="2"/>
      <c r="BH846" s="2"/>
      <c r="BI846" s="2"/>
    </row>
    <row r="847" spans="19:61" ht="12.75" customHeight="1">
      <c r="S847" s="84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2"/>
      <c r="BF847" s="88"/>
      <c r="BG847" s="2"/>
      <c r="BH847" s="2"/>
      <c r="BI847" s="2"/>
    </row>
    <row r="848" spans="19:61" ht="12.75" customHeight="1">
      <c r="S848" s="84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2"/>
      <c r="BF848" s="88"/>
      <c r="BG848" s="2"/>
      <c r="BH848" s="2"/>
      <c r="BI848" s="2"/>
    </row>
    <row r="849" spans="19:61" ht="12.75" customHeight="1">
      <c r="S849" s="84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2"/>
      <c r="BF849" s="88"/>
      <c r="BG849" s="2"/>
      <c r="BH849" s="2"/>
      <c r="BI849" s="2"/>
    </row>
    <row r="850" spans="19:61" ht="12.75" customHeight="1">
      <c r="S850" s="84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2"/>
      <c r="BF850" s="88"/>
      <c r="BG850" s="2"/>
      <c r="BH850" s="2"/>
      <c r="BI850" s="2"/>
    </row>
    <row r="851" spans="19:61" ht="12.75" customHeight="1">
      <c r="S851" s="84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2"/>
      <c r="BF851" s="88"/>
      <c r="BG851" s="2"/>
      <c r="BH851" s="2"/>
      <c r="BI851" s="2"/>
    </row>
    <row r="852" spans="19:61" ht="12.75" customHeight="1">
      <c r="S852" s="84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2"/>
      <c r="BF852" s="88"/>
      <c r="BG852" s="2"/>
      <c r="BH852" s="2"/>
      <c r="BI852" s="2"/>
    </row>
    <row r="853" spans="19:61" ht="12.75" customHeight="1">
      <c r="S853" s="84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2"/>
      <c r="BF853" s="88"/>
      <c r="BG853" s="2"/>
      <c r="BH853" s="2"/>
      <c r="BI853" s="2"/>
    </row>
    <row r="854" spans="19:61" ht="12.75" customHeight="1">
      <c r="S854" s="84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2"/>
      <c r="BF854" s="88"/>
      <c r="BG854" s="2"/>
      <c r="BH854" s="2"/>
      <c r="BI854" s="2"/>
    </row>
    <row r="855" spans="19:61" ht="12.75" customHeight="1">
      <c r="S855" s="84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2"/>
      <c r="BF855" s="88"/>
      <c r="BG855" s="2"/>
      <c r="BH855" s="2"/>
      <c r="BI855" s="2"/>
    </row>
    <row r="856" spans="19:61" ht="12.75" customHeight="1">
      <c r="S856" s="84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2"/>
      <c r="BF856" s="88"/>
      <c r="BG856" s="2"/>
      <c r="BH856" s="2"/>
      <c r="BI856" s="2"/>
    </row>
    <row r="857" spans="19:61" ht="12.75" customHeight="1">
      <c r="S857" s="84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2"/>
      <c r="BF857" s="88"/>
      <c r="BG857" s="2"/>
      <c r="BH857" s="2"/>
      <c r="BI857" s="2"/>
    </row>
    <row r="858" spans="19:61" ht="12.75" customHeight="1">
      <c r="S858" s="84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2"/>
      <c r="BF858" s="88"/>
      <c r="BG858" s="2"/>
      <c r="BH858" s="2"/>
      <c r="BI858" s="2"/>
    </row>
    <row r="859" spans="19:61" ht="12.75" customHeight="1">
      <c r="S859" s="84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2"/>
      <c r="BF859" s="88"/>
      <c r="BG859" s="2"/>
      <c r="BH859" s="2"/>
      <c r="BI859" s="2"/>
    </row>
    <row r="860" spans="19:61" ht="12.75" customHeight="1">
      <c r="S860" s="84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2"/>
      <c r="BF860" s="88"/>
      <c r="BG860" s="2"/>
      <c r="BH860" s="2"/>
      <c r="BI860" s="2"/>
    </row>
    <row r="861" spans="19:61" ht="12.75" customHeight="1">
      <c r="S861" s="84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2"/>
      <c r="BF861" s="88"/>
      <c r="BG861" s="2"/>
      <c r="BH861" s="2"/>
      <c r="BI861" s="2"/>
    </row>
    <row r="862" spans="19:61" ht="12.75" customHeight="1">
      <c r="S862" s="84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2"/>
      <c r="BF862" s="88"/>
      <c r="BG862" s="2"/>
      <c r="BH862" s="2"/>
      <c r="BI862" s="2"/>
    </row>
    <row r="863" spans="19:61" ht="12.75" customHeight="1">
      <c r="S863" s="84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2"/>
      <c r="BF863" s="88"/>
      <c r="BG863" s="2"/>
      <c r="BH863" s="2"/>
      <c r="BI863" s="2"/>
    </row>
    <row r="864" spans="19:61" ht="12.75" customHeight="1">
      <c r="S864" s="84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2"/>
      <c r="BF864" s="88"/>
      <c r="BG864" s="2"/>
      <c r="BH864" s="2"/>
      <c r="BI864" s="2"/>
    </row>
    <row r="865" spans="19:61" ht="12.75" customHeight="1">
      <c r="S865" s="84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2"/>
      <c r="BF865" s="88"/>
      <c r="BG865" s="2"/>
      <c r="BH865" s="2"/>
      <c r="BI865" s="2"/>
    </row>
    <row r="866" spans="19:61" ht="12.75" customHeight="1">
      <c r="S866" s="84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2"/>
      <c r="BF866" s="88"/>
      <c r="BG866" s="2"/>
      <c r="BH866" s="2"/>
      <c r="BI866" s="2"/>
    </row>
    <row r="867" spans="19:61" ht="12.75" customHeight="1">
      <c r="S867" s="84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2"/>
      <c r="BF867" s="88"/>
      <c r="BG867" s="2"/>
      <c r="BH867" s="2"/>
      <c r="BI867" s="2"/>
    </row>
    <row r="868" spans="19:61" ht="12.75" customHeight="1">
      <c r="S868" s="84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2"/>
      <c r="BF868" s="88"/>
      <c r="BG868" s="2"/>
      <c r="BH868" s="2"/>
      <c r="BI868" s="2"/>
    </row>
    <row r="869" spans="19:61" ht="12.75" customHeight="1">
      <c r="S869" s="84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2"/>
      <c r="BF869" s="88"/>
      <c r="BG869" s="2"/>
      <c r="BH869" s="2"/>
      <c r="BI869" s="2"/>
    </row>
    <row r="870" spans="19:61" ht="12.75" customHeight="1">
      <c r="S870" s="84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2"/>
      <c r="BF870" s="88"/>
      <c r="BG870" s="2"/>
      <c r="BH870" s="2"/>
      <c r="BI870" s="2"/>
    </row>
    <row r="871" spans="19:61" ht="12.75" customHeight="1">
      <c r="S871" s="84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2"/>
      <c r="BF871" s="88"/>
      <c r="BG871" s="2"/>
      <c r="BH871" s="2"/>
      <c r="BI871" s="2"/>
    </row>
    <row r="872" spans="19:61" ht="12.75" customHeight="1">
      <c r="S872" s="84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2"/>
      <c r="BF872" s="88"/>
      <c r="BG872" s="2"/>
      <c r="BH872" s="2"/>
      <c r="BI872" s="2"/>
    </row>
    <row r="873" spans="19:61" ht="12.75" customHeight="1">
      <c r="S873" s="84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2"/>
      <c r="BF873" s="88"/>
      <c r="BG873" s="2"/>
      <c r="BH873" s="2"/>
      <c r="BI873" s="2"/>
    </row>
    <row r="874" spans="19:61" ht="12.75" customHeight="1">
      <c r="S874" s="84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2"/>
      <c r="BF874" s="88"/>
      <c r="BG874" s="2"/>
      <c r="BH874" s="2"/>
      <c r="BI874" s="2"/>
    </row>
    <row r="875" spans="19:61" ht="12.75" customHeight="1">
      <c r="S875" s="84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2"/>
      <c r="BF875" s="88"/>
      <c r="BG875" s="2"/>
      <c r="BH875" s="2"/>
      <c r="BI875" s="2"/>
    </row>
    <row r="876" spans="19:61" ht="12.75" customHeight="1">
      <c r="S876" s="84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2"/>
      <c r="BF876" s="88"/>
      <c r="BG876" s="2"/>
      <c r="BH876" s="2"/>
      <c r="BI876" s="2"/>
    </row>
    <row r="877" spans="19:61" ht="12.75" customHeight="1">
      <c r="S877" s="84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2"/>
      <c r="BF877" s="88"/>
      <c r="BG877" s="2"/>
      <c r="BH877" s="2"/>
      <c r="BI877" s="2"/>
    </row>
    <row r="878" spans="19:61" ht="12.75" customHeight="1">
      <c r="S878" s="84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2"/>
      <c r="BF878" s="88"/>
      <c r="BG878" s="2"/>
      <c r="BH878" s="2"/>
      <c r="BI878" s="2"/>
    </row>
    <row r="879" spans="19:61" ht="12.75" customHeight="1">
      <c r="S879" s="84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2"/>
      <c r="BF879" s="88"/>
      <c r="BG879" s="2"/>
      <c r="BH879" s="2"/>
      <c r="BI879" s="2"/>
    </row>
    <row r="880" spans="19:61" ht="12.75" customHeight="1">
      <c r="S880" s="84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2"/>
      <c r="BF880" s="88"/>
      <c r="BG880" s="2"/>
      <c r="BH880" s="2"/>
      <c r="BI880" s="2"/>
    </row>
    <row r="881" spans="19:61" ht="12.75" customHeight="1">
      <c r="S881" s="84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2"/>
      <c r="BF881" s="88"/>
      <c r="BG881" s="2"/>
      <c r="BH881" s="2"/>
      <c r="BI881" s="2"/>
    </row>
    <row r="882" spans="19:61" ht="12.75" customHeight="1">
      <c r="S882" s="84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2"/>
      <c r="BF882" s="88"/>
      <c r="BG882" s="2"/>
      <c r="BH882" s="2"/>
      <c r="BI882" s="2"/>
    </row>
    <row r="883" spans="19:61" ht="12.75" customHeight="1">
      <c r="S883" s="84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2"/>
      <c r="BF883" s="88"/>
      <c r="BG883" s="2"/>
      <c r="BH883" s="2"/>
      <c r="BI883" s="2"/>
    </row>
    <row r="884" spans="19:61" ht="12.75" customHeight="1">
      <c r="S884" s="84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2"/>
      <c r="BF884" s="88"/>
      <c r="BG884" s="2"/>
      <c r="BH884" s="2"/>
      <c r="BI884" s="2"/>
    </row>
    <row r="885" spans="19:61" ht="12.75" customHeight="1">
      <c r="S885" s="84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2"/>
      <c r="BF885" s="88"/>
      <c r="BG885" s="2"/>
      <c r="BH885" s="2"/>
      <c r="BI885" s="2"/>
    </row>
    <row r="886" spans="19:61" ht="12.75" customHeight="1">
      <c r="S886" s="84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2"/>
      <c r="BF886" s="88"/>
      <c r="BG886" s="2"/>
      <c r="BH886" s="2"/>
      <c r="BI886" s="2"/>
    </row>
    <row r="887" spans="19:61" ht="12.75" customHeight="1">
      <c r="S887" s="84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2"/>
      <c r="BF887" s="88"/>
      <c r="BG887" s="2"/>
      <c r="BH887" s="2"/>
      <c r="BI887" s="2"/>
    </row>
    <row r="888" spans="19:61" ht="12.75" customHeight="1">
      <c r="S888" s="84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2"/>
      <c r="BF888" s="88"/>
      <c r="BG888" s="2"/>
      <c r="BH888" s="2"/>
      <c r="BI888" s="2"/>
    </row>
    <row r="889" spans="19:61" ht="12.75" customHeight="1">
      <c r="S889" s="84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2"/>
      <c r="BF889" s="88"/>
      <c r="BG889" s="2"/>
      <c r="BH889" s="2"/>
      <c r="BI889" s="2"/>
    </row>
    <row r="890" spans="19:61" ht="12.75" customHeight="1">
      <c r="S890" s="84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2"/>
      <c r="BF890" s="88"/>
      <c r="BG890" s="2"/>
      <c r="BH890" s="2"/>
      <c r="BI890" s="2"/>
    </row>
    <row r="891" spans="19:61" ht="12.75" customHeight="1">
      <c r="S891" s="84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2"/>
      <c r="BF891" s="88"/>
      <c r="BG891" s="2"/>
      <c r="BH891" s="2"/>
      <c r="BI891" s="2"/>
    </row>
    <row r="892" spans="19:61" ht="12.75" customHeight="1">
      <c r="S892" s="84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2"/>
      <c r="BF892" s="88"/>
      <c r="BG892" s="2"/>
      <c r="BH892" s="2"/>
      <c r="BI892" s="2"/>
    </row>
    <row r="893" spans="19:61" ht="12.75" customHeight="1">
      <c r="S893" s="84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2"/>
      <c r="BF893" s="88"/>
      <c r="BG893" s="2"/>
      <c r="BH893" s="2"/>
      <c r="BI893" s="2"/>
    </row>
    <row r="894" spans="19:61" ht="12.75" customHeight="1">
      <c r="S894" s="84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2"/>
      <c r="BF894" s="88"/>
      <c r="BG894" s="2"/>
      <c r="BH894" s="2"/>
      <c r="BI894" s="2"/>
    </row>
    <row r="895" spans="19:61" ht="12.75" customHeight="1">
      <c r="S895" s="84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2"/>
      <c r="BF895" s="88"/>
      <c r="BG895" s="2"/>
      <c r="BH895" s="2"/>
      <c r="BI895" s="2"/>
    </row>
    <row r="896" spans="19:61" ht="12.75" customHeight="1">
      <c r="S896" s="84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2"/>
      <c r="BF896" s="88"/>
      <c r="BG896" s="2"/>
      <c r="BH896" s="2"/>
      <c r="BI896" s="2"/>
    </row>
    <row r="897" spans="19:61" ht="12.75" customHeight="1">
      <c r="S897" s="84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2"/>
      <c r="BF897" s="88"/>
      <c r="BG897" s="2"/>
      <c r="BH897" s="2"/>
      <c r="BI897" s="2"/>
    </row>
    <row r="898" spans="19:61" ht="12.75" customHeight="1">
      <c r="S898" s="84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2"/>
      <c r="BF898" s="88"/>
      <c r="BG898" s="2"/>
      <c r="BH898" s="2"/>
      <c r="BI898" s="2"/>
    </row>
    <row r="899" spans="19:61" ht="12.75" customHeight="1">
      <c r="S899" s="84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2"/>
      <c r="BF899" s="88"/>
      <c r="BG899" s="2"/>
      <c r="BH899" s="2"/>
      <c r="BI899" s="2"/>
    </row>
    <row r="900" spans="19:61" ht="12.75" customHeight="1">
      <c r="S900" s="84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2"/>
      <c r="BF900" s="88"/>
      <c r="BG900" s="2"/>
      <c r="BH900" s="2"/>
      <c r="BI900" s="2"/>
    </row>
    <row r="901" spans="19:61" ht="12.75" customHeight="1">
      <c r="S901" s="84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2"/>
      <c r="BF901" s="88"/>
      <c r="BG901" s="2"/>
      <c r="BH901" s="2"/>
      <c r="BI901" s="2"/>
    </row>
    <row r="902" spans="19:61" ht="12.75" customHeight="1">
      <c r="S902" s="84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2"/>
      <c r="BF902" s="88"/>
      <c r="BG902" s="2"/>
      <c r="BH902" s="2"/>
      <c r="BI902" s="2"/>
    </row>
    <row r="903" spans="19:61" ht="12.75" customHeight="1">
      <c r="S903" s="84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2"/>
      <c r="BF903" s="88"/>
      <c r="BG903" s="2"/>
      <c r="BH903" s="2"/>
      <c r="BI903" s="2"/>
    </row>
    <row r="904" spans="19:61" ht="12.75" customHeight="1">
      <c r="S904" s="84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2"/>
      <c r="BF904" s="88"/>
      <c r="BG904" s="2"/>
      <c r="BH904" s="2"/>
      <c r="BI904" s="2"/>
    </row>
    <row r="905" spans="19:61" ht="12.75" customHeight="1">
      <c r="S905" s="84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2"/>
      <c r="BF905" s="88"/>
      <c r="BG905" s="2"/>
      <c r="BH905" s="2"/>
      <c r="BI905" s="2"/>
    </row>
    <row r="906" spans="19:61" ht="12.75" customHeight="1">
      <c r="S906" s="84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2"/>
      <c r="BF906" s="88"/>
      <c r="BG906" s="2"/>
      <c r="BH906" s="2"/>
      <c r="BI906" s="2"/>
    </row>
    <row r="907" spans="19:61" ht="12.75" customHeight="1">
      <c r="S907" s="84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2"/>
      <c r="BF907" s="88"/>
      <c r="BG907" s="2"/>
      <c r="BH907" s="2"/>
      <c r="BI907" s="2"/>
    </row>
    <row r="908" spans="19:61" ht="12.75" customHeight="1">
      <c r="S908" s="84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2"/>
      <c r="BF908" s="88"/>
      <c r="BG908" s="2"/>
      <c r="BH908" s="2"/>
      <c r="BI908" s="2"/>
    </row>
    <row r="909" spans="19:61" ht="12.75" customHeight="1">
      <c r="S909" s="84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2"/>
      <c r="BF909" s="88"/>
      <c r="BG909" s="2"/>
      <c r="BH909" s="2"/>
      <c r="BI909" s="2"/>
    </row>
    <row r="910" spans="19:61" ht="12.75" customHeight="1">
      <c r="S910" s="84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2"/>
      <c r="BF910" s="88"/>
      <c r="BG910" s="2"/>
      <c r="BH910" s="2"/>
      <c r="BI910" s="2"/>
    </row>
    <row r="911" spans="19:61" ht="12.75" customHeight="1">
      <c r="S911" s="84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2"/>
      <c r="BF911" s="88"/>
      <c r="BG911" s="2"/>
      <c r="BH911" s="2"/>
      <c r="BI911" s="2"/>
    </row>
    <row r="912" spans="19:61" ht="12.75" customHeight="1">
      <c r="S912" s="84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2"/>
      <c r="BF912" s="88"/>
      <c r="BG912" s="2"/>
      <c r="BH912" s="2"/>
      <c r="BI912" s="2"/>
    </row>
    <row r="913" spans="19:61" ht="12.75" customHeight="1">
      <c r="S913" s="84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2"/>
      <c r="BF913" s="88"/>
      <c r="BG913" s="2"/>
      <c r="BH913" s="2"/>
      <c r="BI913" s="2"/>
    </row>
    <row r="914" spans="19:61" ht="12.75" customHeight="1">
      <c r="S914" s="84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2"/>
      <c r="BF914" s="88"/>
      <c r="BG914" s="2"/>
      <c r="BH914" s="2"/>
      <c r="BI914" s="2"/>
    </row>
    <row r="915" spans="19:61" ht="12.75" customHeight="1">
      <c r="S915" s="84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2"/>
      <c r="BF915" s="88"/>
      <c r="BG915" s="2"/>
      <c r="BH915" s="2"/>
      <c r="BI915" s="2"/>
    </row>
    <row r="916" spans="19:61" ht="12.75" customHeight="1">
      <c r="S916" s="84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2"/>
      <c r="BF916" s="88"/>
      <c r="BG916" s="2"/>
      <c r="BH916" s="2"/>
      <c r="BI916" s="2"/>
    </row>
    <row r="917" spans="19:61" ht="12.75" customHeight="1">
      <c r="S917" s="84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2"/>
      <c r="BF917" s="88"/>
      <c r="BG917" s="2"/>
      <c r="BH917" s="2"/>
      <c r="BI917" s="2"/>
    </row>
    <row r="918" spans="19:61" ht="12.75" customHeight="1">
      <c r="S918" s="84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2"/>
      <c r="BF918" s="88"/>
      <c r="BG918" s="2"/>
      <c r="BH918" s="2"/>
      <c r="BI918" s="2"/>
    </row>
    <row r="919" spans="19:61" ht="12.75" customHeight="1">
      <c r="S919" s="84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2"/>
      <c r="BF919" s="88"/>
      <c r="BG919" s="2"/>
      <c r="BH919" s="2"/>
      <c r="BI919" s="2"/>
    </row>
    <row r="920" spans="19:61" ht="12.75" customHeight="1">
      <c r="S920" s="84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2"/>
      <c r="BF920" s="88"/>
      <c r="BG920" s="2"/>
      <c r="BH920" s="2"/>
      <c r="BI920" s="2"/>
    </row>
    <row r="921" spans="19:61" ht="12.75" customHeight="1">
      <c r="S921" s="8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2"/>
      <c r="BF921" s="88"/>
      <c r="BG921" s="2"/>
      <c r="BH921" s="2"/>
      <c r="BI921" s="2"/>
    </row>
    <row r="922" spans="19:61" ht="12.75" customHeight="1">
      <c r="S922" s="84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2"/>
      <c r="BF922" s="88"/>
      <c r="BG922" s="2"/>
      <c r="BH922" s="2"/>
      <c r="BI922" s="2"/>
    </row>
    <row r="923" spans="19:61" ht="12.75" customHeight="1">
      <c r="S923" s="84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2"/>
      <c r="BF923" s="88"/>
      <c r="BG923" s="2"/>
      <c r="BH923" s="2"/>
      <c r="BI923" s="2"/>
    </row>
    <row r="924" spans="19:61" ht="12.75" customHeight="1">
      <c r="S924" s="84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2"/>
      <c r="BF924" s="88"/>
      <c r="BG924" s="2"/>
      <c r="BH924" s="2"/>
      <c r="BI924" s="2"/>
    </row>
    <row r="925" spans="19:61" ht="12.75" customHeight="1">
      <c r="S925" s="84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2"/>
      <c r="BF925" s="88"/>
      <c r="BG925" s="2"/>
      <c r="BH925" s="2"/>
      <c r="BI925" s="2"/>
    </row>
    <row r="926" spans="19:61" ht="12.75" customHeight="1">
      <c r="S926" s="84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2"/>
      <c r="BF926" s="88"/>
      <c r="BG926" s="2"/>
      <c r="BH926" s="2"/>
      <c r="BI926" s="2"/>
    </row>
    <row r="927" spans="19:61" ht="12.75" customHeight="1">
      <c r="S927" s="84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2"/>
      <c r="BF927" s="88"/>
      <c r="BG927" s="2"/>
      <c r="BH927" s="2"/>
      <c r="BI927" s="2"/>
    </row>
    <row r="928" spans="19:61" ht="12.75" customHeight="1">
      <c r="S928" s="84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2"/>
      <c r="BF928" s="88"/>
      <c r="BG928" s="2"/>
      <c r="BH928" s="2"/>
      <c r="BI928" s="2"/>
    </row>
    <row r="929" spans="19:61" ht="12.75" customHeight="1">
      <c r="S929" s="84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2"/>
      <c r="BF929" s="88"/>
      <c r="BG929" s="2"/>
      <c r="BH929" s="2"/>
      <c r="BI929" s="2"/>
    </row>
    <row r="930" spans="19:61" ht="12.75" customHeight="1">
      <c r="S930" s="84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2"/>
      <c r="BF930" s="88"/>
      <c r="BG930" s="2"/>
      <c r="BH930" s="2"/>
      <c r="BI930" s="2"/>
    </row>
    <row r="931" spans="19:61" ht="12.75" customHeight="1">
      <c r="S931" s="84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2"/>
      <c r="BF931" s="88"/>
      <c r="BG931" s="2"/>
      <c r="BH931" s="2"/>
      <c r="BI931" s="2"/>
    </row>
    <row r="932" spans="19:61" ht="12.75" customHeight="1">
      <c r="S932" s="84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2"/>
      <c r="BF932" s="88"/>
      <c r="BG932" s="2"/>
      <c r="BH932" s="2"/>
      <c r="BI932" s="2"/>
    </row>
    <row r="933" spans="19:61" ht="12.75" customHeight="1">
      <c r="S933" s="84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2"/>
      <c r="BF933" s="88"/>
      <c r="BG933" s="2"/>
      <c r="BH933" s="2"/>
      <c r="BI933" s="2"/>
    </row>
    <row r="934" spans="19:61" ht="12.75" customHeight="1">
      <c r="S934" s="84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2"/>
      <c r="BF934" s="88"/>
      <c r="BG934" s="2"/>
      <c r="BH934" s="2"/>
      <c r="BI934" s="2"/>
    </row>
    <row r="935" spans="19:61" ht="12.75" customHeight="1">
      <c r="S935" s="84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2"/>
      <c r="BF935" s="88"/>
      <c r="BG935" s="2"/>
      <c r="BH935" s="2"/>
      <c r="BI935" s="2"/>
    </row>
    <row r="936" spans="19:61" ht="12.75" customHeight="1">
      <c r="S936" s="84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2"/>
      <c r="BF936" s="88"/>
      <c r="BG936" s="2"/>
      <c r="BH936" s="2"/>
      <c r="BI936" s="2"/>
    </row>
    <row r="937" spans="19:61" ht="12.75" customHeight="1">
      <c r="S937" s="84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2"/>
      <c r="BF937" s="88"/>
      <c r="BG937" s="2"/>
      <c r="BH937" s="2"/>
      <c r="BI937" s="2"/>
    </row>
    <row r="938" spans="19:61" ht="12.75" customHeight="1">
      <c r="S938" s="84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2"/>
      <c r="BF938" s="88"/>
      <c r="BG938" s="2"/>
      <c r="BH938" s="2"/>
      <c r="BI938" s="2"/>
    </row>
    <row r="939" spans="19:61" ht="12.75" customHeight="1">
      <c r="S939" s="84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2"/>
      <c r="BF939" s="88"/>
      <c r="BG939" s="2"/>
      <c r="BH939" s="2"/>
      <c r="BI939" s="2"/>
    </row>
    <row r="940" spans="19:61" ht="12.75" customHeight="1">
      <c r="S940" s="84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2"/>
      <c r="BF940" s="88"/>
      <c r="BG940" s="2"/>
      <c r="BH940" s="2"/>
      <c r="BI940" s="2"/>
    </row>
    <row r="941" spans="19:61" ht="12.75" customHeight="1">
      <c r="S941" s="84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2"/>
      <c r="BF941" s="88"/>
      <c r="BG941" s="2"/>
      <c r="BH941" s="2"/>
      <c r="BI941" s="2"/>
    </row>
    <row r="942" spans="19:61" ht="12.75" customHeight="1">
      <c r="S942" s="84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2"/>
      <c r="BF942" s="88"/>
      <c r="BG942" s="2"/>
      <c r="BH942" s="2"/>
      <c r="BI942" s="2"/>
    </row>
    <row r="943" spans="19:61" ht="12.75" customHeight="1">
      <c r="S943" s="84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2"/>
      <c r="BF943" s="88"/>
      <c r="BG943" s="2"/>
      <c r="BH943" s="2"/>
      <c r="BI943" s="2"/>
    </row>
    <row r="944" spans="19:61" ht="12.75" customHeight="1">
      <c r="S944" s="84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2"/>
      <c r="BF944" s="88"/>
      <c r="BG944" s="2"/>
      <c r="BH944" s="2"/>
      <c r="BI944" s="2"/>
    </row>
    <row r="945" spans="19:61" ht="12.75" customHeight="1">
      <c r="S945" s="84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2"/>
      <c r="BF945" s="88"/>
      <c r="BG945" s="2"/>
      <c r="BH945" s="2"/>
      <c r="BI945" s="2"/>
    </row>
    <row r="946" spans="19:61" ht="12.75" customHeight="1">
      <c r="S946" s="84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2"/>
      <c r="BF946" s="88"/>
      <c r="BG946" s="2"/>
      <c r="BH946" s="2"/>
      <c r="BI946" s="2"/>
    </row>
    <row r="947" spans="19:61" ht="12.75" customHeight="1">
      <c r="S947" s="84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2"/>
      <c r="BF947" s="88"/>
      <c r="BG947" s="2"/>
      <c r="BH947" s="2"/>
      <c r="BI947" s="2"/>
    </row>
    <row r="948" spans="19:61" ht="12.75" customHeight="1">
      <c r="S948" s="84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2"/>
      <c r="BF948" s="88"/>
      <c r="BG948" s="2"/>
      <c r="BH948" s="2"/>
      <c r="BI948" s="2"/>
    </row>
    <row r="949" spans="19:61" ht="12.75" customHeight="1">
      <c r="S949" s="84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2"/>
      <c r="BF949" s="88"/>
      <c r="BG949" s="2"/>
      <c r="BH949" s="2"/>
      <c r="BI949" s="2"/>
    </row>
    <row r="950" spans="19:61" ht="12.75" customHeight="1">
      <c r="S950" s="84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2"/>
      <c r="BF950" s="88"/>
      <c r="BG950" s="2"/>
      <c r="BH950" s="2"/>
      <c r="BI950" s="2"/>
    </row>
    <row r="951" spans="19:61" ht="12.75" customHeight="1">
      <c r="S951" s="84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2"/>
      <c r="BF951" s="88"/>
      <c r="BG951" s="2"/>
      <c r="BH951" s="2"/>
      <c r="BI951" s="2"/>
    </row>
    <row r="952" spans="19:61" ht="12.75" customHeight="1">
      <c r="S952" s="84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2"/>
      <c r="BF952" s="88"/>
      <c r="BG952" s="2"/>
      <c r="BH952" s="2"/>
      <c r="BI952" s="2"/>
    </row>
    <row r="953" spans="19:61" ht="12.75" customHeight="1">
      <c r="S953" s="84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2"/>
      <c r="BF953" s="88"/>
      <c r="BG953" s="2"/>
      <c r="BH953" s="2"/>
      <c r="BI953" s="2"/>
    </row>
    <row r="954" spans="19:61" ht="12.75" customHeight="1">
      <c r="S954" s="84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2"/>
      <c r="BF954" s="88"/>
      <c r="BG954" s="2"/>
      <c r="BH954" s="2"/>
      <c r="BI954" s="2"/>
    </row>
    <row r="955" spans="19:61" ht="12.75" customHeight="1">
      <c r="S955" s="84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2"/>
      <c r="BF955" s="88"/>
      <c r="BG955" s="2"/>
      <c r="BH955" s="2"/>
      <c r="BI955" s="2"/>
    </row>
    <row r="956" spans="19:61" ht="12.75" customHeight="1">
      <c r="S956" s="84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2"/>
      <c r="BF956" s="88"/>
      <c r="BG956" s="2"/>
      <c r="BH956" s="2"/>
      <c r="BI956" s="2"/>
    </row>
    <row r="957" spans="19:61" ht="12.75" customHeight="1">
      <c r="S957" s="84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2"/>
      <c r="BF957" s="88"/>
      <c r="BG957" s="2"/>
      <c r="BH957" s="2"/>
      <c r="BI957" s="2"/>
    </row>
    <row r="958" spans="19:61" ht="12.75" customHeight="1">
      <c r="S958" s="84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2"/>
      <c r="BF958" s="88"/>
      <c r="BG958" s="2"/>
      <c r="BH958" s="2"/>
      <c r="BI958" s="2"/>
    </row>
    <row r="959" spans="19:61" ht="12.75" customHeight="1">
      <c r="S959" s="84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2"/>
      <c r="BF959" s="88"/>
      <c r="BG959" s="2"/>
      <c r="BH959" s="2"/>
      <c r="BI959" s="2"/>
    </row>
    <row r="960" spans="19:61" ht="12.75" customHeight="1">
      <c r="S960" s="84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2"/>
      <c r="BF960" s="88"/>
      <c r="BG960" s="2"/>
      <c r="BH960" s="2"/>
      <c r="BI960" s="2"/>
    </row>
    <row r="961" spans="19:61" ht="12.75" customHeight="1">
      <c r="S961" s="84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2"/>
      <c r="BF961" s="88"/>
      <c r="BG961" s="2"/>
      <c r="BH961" s="2"/>
      <c r="BI961" s="2"/>
    </row>
    <row r="962" spans="19:61" ht="12.75" customHeight="1">
      <c r="S962" s="84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2"/>
      <c r="BF962" s="88"/>
      <c r="BG962" s="2"/>
      <c r="BH962" s="2"/>
      <c r="BI962" s="2"/>
    </row>
    <row r="963" spans="19:61" ht="12.75" customHeight="1">
      <c r="S963" s="84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2"/>
      <c r="BF963" s="88"/>
      <c r="BG963" s="2"/>
      <c r="BH963" s="2"/>
      <c r="BI963" s="2"/>
    </row>
    <row r="964" spans="19:61" ht="12.75" customHeight="1">
      <c r="S964" s="84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2"/>
      <c r="BF964" s="88"/>
      <c r="BG964" s="2"/>
      <c r="BH964" s="2"/>
      <c r="BI964" s="2"/>
    </row>
    <row r="965" spans="19:61" ht="12.75" customHeight="1">
      <c r="S965" s="84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2"/>
      <c r="BF965" s="88"/>
      <c r="BG965" s="2"/>
      <c r="BH965" s="2"/>
      <c r="BI965" s="2"/>
    </row>
    <row r="966" spans="19:61" ht="12.75" customHeight="1">
      <c r="S966" s="84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2"/>
      <c r="BF966" s="88"/>
      <c r="BG966" s="2"/>
      <c r="BH966" s="2"/>
      <c r="BI966" s="2"/>
    </row>
    <row r="967" spans="19:61" ht="12.75" customHeight="1">
      <c r="S967" s="84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2"/>
      <c r="BF967" s="88"/>
      <c r="BG967" s="2"/>
      <c r="BH967" s="2"/>
      <c r="BI967" s="2"/>
    </row>
    <row r="968" spans="19:61" ht="12.75" customHeight="1">
      <c r="S968" s="84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2"/>
      <c r="BF968" s="88"/>
      <c r="BG968" s="2"/>
      <c r="BH968" s="2"/>
      <c r="BI968" s="2"/>
    </row>
    <row r="969" spans="19:61" ht="12.75" customHeight="1">
      <c r="S969" s="84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2"/>
      <c r="BF969" s="88"/>
      <c r="BG969" s="2"/>
      <c r="BH969" s="2"/>
      <c r="BI969" s="2"/>
    </row>
    <row r="970" spans="19:61" ht="12.75" customHeight="1">
      <c r="S970" s="84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2"/>
      <c r="BF970" s="88"/>
      <c r="BG970" s="2"/>
      <c r="BH970" s="2"/>
      <c r="BI970" s="2"/>
    </row>
    <row r="971" spans="19:61" ht="12.75" customHeight="1">
      <c r="S971" s="84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2"/>
      <c r="BF971" s="88"/>
      <c r="BG971" s="2"/>
      <c r="BH971" s="2"/>
      <c r="BI971" s="2"/>
    </row>
    <row r="972" spans="19:61" ht="12.75" customHeight="1">
      <c r="S972" s="84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2"/>
      <c r="BF972" s="88"/>
      <c r="BG972" s="2"/>
      <c r="BH972" s="2"/>
      <c r="BI972" s="2"/>
    </row>
    <row r="973" spans="19:61" ht="12.75" customHeight="1">
      <c r="S973" s="84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2"/>
      <c r="BF973" s="88"/>
      <c r="BG973" s="2"/>
      <c r="BH973" s="2"/>
      <c r="BI973" s="2"/>
    </row>
    <row r="974" spans="19:61" ht="12.75" customHeight="1">
      <c r="S974" s="84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2"/>
      <c r="BF974" s="88"/>
      <c r="BG974" s="2"/>
      <c r="BH974" s="2"/>
      <c r="BI974" s="2"/>
    </row>
    <row r="975" spans="19:61" ht="12.75" customHeight="1">
      <c r="S975" s="84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2"/>
      <c r="BF975" s="88"/>
      <c r="BG975" s="2"/>
      <c r="BH975" s="2"/>
      <c r="BI975" s="2"/>
    </row>
    <row r="976" spans="19:61" ht="12.75" customHeight="1">
      <c r="S976" s="84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2"/>
      <c r="BF976" s="88"/>
      <c r="BG976" s="2"/>
      <c r="BH976" s="2"/>
      <c r="BI976" s="2"/>
    </row>
    <row r="977" spans="19:61" ht="12.75" customHeight="1">
      <c r="S977" s="84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2"/>
      <c r="BF977" s="88"/>
      <c r="BG977" s="2"/>
      <c r="BH977" s="2"/>
      <c r="BI977" s="2"/>
    </row>
    <row r="978" spans="19:61" ht="12.75" customHeight="1">
      <c r="S978" s="84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2"/>
      <c r="BF978" s="88"/>
      <c r="BG978" s="2"/>
      <c r="BH978" s="2"/>
      <c r="BI978" s="2"/>
    </row>
    <row r="979" spans="19:61" ht="12.75" customHeight="1">
      <c r="S979" s="84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2"/>
      <c r="BF979" s="88"/>
      <c r="BG979" s="2"/>
      <c r="BH979" s="2"/>
      <c r="BI979" s="2"/>
    </row>
    <row r="980" spans="19:61" ht="12.75" customHeight="1">
      <c r="S980" s="84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2"/>
      <c r="BF980" s="88"/>
      <c r="BG980" s="2"/>
      <c r="BH980" s="2"/>
      <c r="BI980" s="2"/>
    </row>
    <row r="981" spans="19:61" ht="12.75" customHeight="1">
      <c r="S981" s="84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2"/>
      <c r="BF981" s="88"/>
      <c r="BG981" s="2"/>
      <c r="BH981" s="2"/>
      <c r="BI981" s="2"/>
    </row>
    <row r="982" spans="19:61" ht="12.75" customHeight="1">
      <c r="S982" s="84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2"/>
      <c r="BF982" s="88"/>
      <c r="BG982" s="2"/>
      <c r="BH982" s="2"/>
      <c r="BI982" s="2"/>
    </row>
    <row r="983" spans="19:61" ht="12.75" customHeight="1">
      <c r="S983" s="84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2"/>
      <c r="BF983" s="88"/>
      <c r="BG983" s="2"/>
      <c r="BH983" s="2"/>
      <c r="BI983" s="2"/>
    </row>
    <row r="984" spans="19:61" ht="12.75" customHeight="1">
      <c r="S984" s="84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2"/>
      <c r="BF984" s="88"/>
      <c r="BG984" s="2"/>
      <c r="BH984" s="2"/>
      <c r="BI984" s="2"/>
    </row>
    <row r="985" spans="19:61" ht="12.75" customHeight="1">
      <c r="S985" s="84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2"/>
      <c r="BF985" s="88"/>
      <c r="BG985" s="2"/>
      <c r="BH985" s="2"/>
      <c r="BI985" s="2"/>
    </row>
    <row r="986" spans="19:61" ht="12.75" customHeight="1">
      <c r="S986" s="84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2"/>
      <c r="BF986" s="88"/>
      <c r="BG986" s="2"/>
      <c r="BH986" s="2"/>
      <c r="BI986" s="2"/>
    </row>
    <row r="987" spans="19:61" ht="12.75" customHeight="1">
      <c r="S987" s="84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2"/>
      <c r="BF987" s="88"/>
      <c r="BG987" s="2"/>
      <c r="BH987" s="2"/>
      <c r="BI987" s="2"/>
    </row>
    <row r="988" spans="19:61" ht="12.75" customHeight="1">
      <c r="S988" s="84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2"/>
      <c r="BF988" s="88"/>
      <c r="BG988" s="2"/>
      <c r="BH988" s="2"/>
      <c r="BI988" s="2"/>
    </row>
  </sheetData>
  <mergeCells count="1">
    <mergeCell ref="B1:W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2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3984375" defaultRowHeight="15" customHeight="1"/>
  <cols>
    <col min="1" max="1" width="26" customWidth="1"/>
    <col min="2" max="2" width="16.59765625" customWidth="1"/>
    <col min="3" max="21" width="12.796875" customWidth="1"/>
  </cols>
  <sheetData>
    <row r="2" spans="1:26">
      <c r="A2" s="89"/>
      <c r="B2" s="89"/>
      <c r="C2" s="6">
        <v>45505</v>
      </c>
      <c r="D2" s="6">
        <v>45536</v>
      </c>
      <c r="E2" s="6">
        <v>45566</v>
      </c>
      <c r="F2" s="6">
        <v>45597</v>
      </c>
      <c r="G2" s="6">
        <v>45627</v>
      </c>
      <c r="H2" s="6">
        <v>45658</v>
      </c>
      <c r="I2" s="6">
        <v>45689</v>
      </c>
      <c r="J2" s="90">
        <v>45717</v>
      </c>
      <c r="K2" s="6">
        <v>45748</v>
      </c>
      <c r="L2" s="90">
        <v>45778</v>
      </c>
      <c r="M2" s="6">
        <v>45809</v>
      </c>
      <c r="N2" s="90">
        <v>45839</v>
      </c>
      <c r="O2" s="6">
        <v>45870</v>
      </c>
      <c r="P2" s="90">
        <v>45901</v>
      </c>
      <c r="Q2" s="6">
        <v>45931</v>
      </c>
      <c r="R2" s="90">
        <v>45962</v>
      </c>
      <c r="S2" s="6">
        <v>45992</v>
      </c>
      <c r="T2" s="91"/>
      <c r="U2" s="91"/>
      <c r="V2" s="91"/>
      <c r="W2" s="91"/>
      <c r="X2" s="91"/>
      <c r="Y2" s="91"/>
      <c r="Z2" s="91"/>
    </row>
    <row r="3" spans="1:26" ht="14"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4" spans="1:26" ht="15.75" customHeight="1">
      <c r="A4" s="500" t="s">
        <v>35</v>
      </c>
      <c r="B4" s="501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</row>
    <row r="5" spans="1:26" ht="14">
      <c r="A5" s="502" t="s">
        <v>36</v>
      </c>
      <c r="B5" s="50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</row>
    <row r="6" spans="1:26" ht="14">
      <c r="A6" s="94" t="s">
        <v>37</v>
      </c>
      <c r="B6" s="94"/>
      <c r="C6" s="95">
        <v>0</v>
      </c>
      <c r="D6" s="96">
        <f>5202+27324</f>
        <v>32526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96">
        <f>D6</f>
        <v>32526</v>
      </c>
      <c r="Q6" s="95">
        <v>0</v>
      </c>
      <c r="R6" s="95">
        <v>0</v>
      </c>
      <c r="S6" s="95">
        <v>0</v>
      </c>
    </row>
    <row r="7" spans="1:26" ht="14">
      <c r="A7" s="94" t="s">
        <v>38</v>
      </c>
      <c r="B7" s="94"/>
      <c r="C7" s="95">
        <v>0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6">
        <f t="shared" ref="I7:S7" si="0">46000/12</f>
        <v>3833.3333333333335</v>
      </c>
      <c r="J7" s="96">
        <f t="shared" si="0"/>
        <v>3833.3333333333335</v>
      </c>
      <c r="K7" s="96">
        <f t="shared" si="0"/>
        <v>3833.3333333333335</v>
      </c>
      <c r="L7" s="96">
        <f t="shared" si="0"/>
        <v>3833.3333333333335</v>
      </c>
      <c r="M7" s="96">
        <f t="shared" si="0"/>
        <v>3833.3333333333335</v>
      </c>
      <c r="N7" s="96">
        <f t="shared" si="0"/>
        <v>3833.3333333333335</v>
      </c>
      <c r="O7" s="96">
        <f t="shared" si="0"/>
        <v>3833.3333333333335</v>
      </c>
      <c r="P7" s="96">
        <f t="shared" si="0"/>
        <v>3833.3333333333335</v>
      </c>
      <c r="Q7" s="96">
        <f t="shared" si="0"/>
        <v>3833.3333333333335</v>
      </c>
      <c r="R7" s="96">
        <f t="shared" si="0"/>
        <v>3833.3333333333335</v>
      </c>
      <c r="S7" s="96">
        <f t="shared" si="0"/>
        <v>3833.3333333333335</v>
      </c>
    </row>
    <row r="8" spans="1:26" ht="14"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</row>
    <row r="9" spans="1:26" ht="5.25" customHeight="1">
      <c r="A9" s="76"/>
      <c r="B9" s="76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76"/>
      <c r="U9" s="76"/>
      <c r="V9" s="76"/>
      <c r="W9" s="76"/>
      <c r="X9" s="76"/>
      <c r="Y9" s="76"/>
      <c r="Z9" s="76"/>
    </row>
    <row r="10" spans="1:26" ht="14"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 spans="1:26" ht="14">
      <c r="A11" s="93" t="s">
        <v>39</v>
      </c>
      <c r="B11" s="93" t="s">
        <v>40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 spans="1:26" ht="14">
      <c r="A12" s="98" t="s">
        <v>41</v>
      </c>
      <c r="B12" s="98" t="s">
        <v>42</v>
      </c>
      <c r="C12" s="95"/>
      <c r="D12" s="95"/>
      <c r="E12" s="95" t="s">
        <v>43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</row>
    <row r="13" spans="1:26" ht="14">
      <c r="A13" s="99" t="s">
        <v>3</v>
      </c>
      <c r="B13" s="100"/>
      <c r="C13" s="101">
        <v>0</v>
      </c>
      <c r="D13" s="101">
        <v>0</v>
      </c>
      <c r="E13" s="101">
        <v>25</v>
      </c>
      <c r="F13" s="101">
        <v>17</v>
      </c>
      <c r="G13" s="101">
        <v>17</v>
      </c>
      <c r="H13" s="101">
        <v>17</v>
      </c>
      <c r="I13" s="101">
        <v>17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0"/>
      <c r="U13" s="100"/>
      <c r="V13" s="102"/>
      <c r="W13" s="102"/>
      <c r="X13" s="102"/>
      <c r="Y13" s="100"/>
      <c r="Z13" s="100"/>
    </row>
    <row r="14" spans="1:26" ht="14">
      <c r="A14" s="103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V14" s="104"/>
      <c r="W14" s="105"/>
      <c r="X14" s="105"/>
    </row>
    <row r="15" spans="1:26" ht="14">
      <c r="A15" s="94" t="s">
        <v>37</v>
      </c>
      <c r="B15" s="83">
        <f>75*1.5*12</f>
        <v>1350</v>
      </c>
      <c r="C15" s="95">
        <v>0</v>
      </c>
      <c r="D15" s="95">
        <v>0</v>
      </c>
      <c r="E15" s="95">
        <v>0</v>
      </c>
      <c r="F15" s="96">
        <f t="shared" ref="F15:J15" si="1">E13*$B$15</f>
        <v>33750</v>
      </c>
      <c r="G15" s="96">
        <f t="shared" si="1"/>
        <v>22950</v>
      </c>
      <c r="H15" s="96">
        <f t="shared" si="1"/>
        <v>22950</v>
      </c>
      <c r="I15" s="96">
        <f t="shared" si="1"/>
        <v>22950</v>
      </c>
      <c r="J15" s="96">
        <f t="shared" si="1"/>
        <v>22950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6">
        <f t="shared" ref="R15:S15" si="2">F15</f>
        <v>33750</v>
      </c>
      <c r="S15" s="96">
        <f t="shared" si="2"/>
        <v>22950</v>
      </c>
      <c r="V15" s="104"/>
      <c r="W15" s="105"/>
      <c r="X15" s="105"/>
    </row>
    <row r="16" spans="1:26" ht="14">
      <c r="A16" s="94" t="s">
        <v>38</v>
      </c>
      <c r="B16" s="106" t="s">
        <v>44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8">
        <f>E13*50</f>
        <v>1250</v>
      </c>
      <c r="I16" s="108">
        <f>SUM(E13:F13)*50</f>
        <v>2100</v>
      </c>
      <c r="J16" s="108">
        <f t="shared" ref="J16:L16" si="3">I16+G13*50</f>
        <v>2950</v>
      </c>
      <c r="K16" s="108">
        <f t="shared" si="3"/>
        <v>3800</v>
      </c>
      <c r="L16" s="108">
        <f t="shared" si="3"/>
        <v>4650</v>
      </c>
      <c r="M16" s="108">
        <f t="shared" ref="M16:S16" si="4">L16</f>
        <v>4650</v>
      </c>
      <c r="N16" s="108">
        <f t="shared" si="4"/>
        <v>4650</v>
      </c>
      <c r="O16" s="108">
        <f t="shared" si="4"/>
        <v>4650</v>
      </c>
      <c r="P16" s="108">
        <f t="shared" si="4"/>
        <v>4650</v>
      </c>
      <c r="Q16" s="108">
        <f t="shared" si="4"/>
        <v>4650</v>
      </c>
      <c r="R16" s="108">
        <f t="shared" si="4"/>
        <v>4650</v>
      </c>
      <c r="S16" s="108">
        <f t="shared" si="4"/>
        <v>4650</v>
      </c>
      <c r="V16" s="104"/>
      <c r="W16" s="105"/>
      <c r="X16" s="105"/>
    </row>
    <row r="17" spans="1:26" ht="14"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</row>
    <row r="18" spans="1:26" ht="7.5" customHeight="1">
      <c r="A18" s="76"/>
      <c r="B18" s="7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76"/>
      <c r="U18" s="76"/>
      <c r="V18" s="76"/>
      <c r="W18" s="76"/>
      <c r="X18" s="76"/>
      <c r="Y18" s="76"/>
      <c r="Z18" s="76"/>
    </row>
    <row r="19" spans="1:26" ht="14"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</row>
    <row r="20" spans="1:26" ht="14">
      <c r="A20" s="93" t="s">
        <v>45</v>
      </c>
      <c r="B20" s="93" t="s">
        <v>40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</row>
    <row r="21" spans="1:26" ht="14">
      <c r="A21" s="98" t="s">
        <v>41</v>
      </c>
      <c r="B21" s="98" t="s">
        <v>42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</row>
    <row r="22" spans="1:26" ht="14">
      <c r="A22" s="99" t="s">
        <v>3</v>
      </c>
      <c r="B22" s="100"/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18</v>
      </c>
      <c r="L22" s="101">
        <v>18</v>
      </c>
      <c r="M22" s="101">
        <v>19</v>
      </c>
      <c r="N22" s="101">
        <v>19</v>
      </c>
      <c r="O22" s="101">
        <v>19</v>
      </c>
      <c r="P22" s="101">
        <v>0</v>
      </c>
      <c r="Q22" s="101">
        <v>0</v>
      </c>
      <c r="R22" s="101">
        <v>0</v>
      </c>
      <c r="S22" s="101">
        <v>0</v>
      </c>
      <c r="T22" s="100"/>
      <c r="U22" s="100"/>
      <c r="V22" s="100"/>
      <c r="W22" s="100"/>
      <c r="X22" s="100"/>
      <c r="Y22" s="100"/>
      <c r="Z22" s="100"/>
    </row>
    <row r="23" spans="1:26" ht="14">
      <c r="A23" s="103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</row>
    <row r="24" spans="1:26" ht="14">
      <c r="A24" s="94" t="s">
        <v>37</v>
      </c>
      <c r="B24" s="83">
        <f>75*1.5*12</f>
        <v>1350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6">
        <f t="shared" ref="L24:P24" si="5">K22*$B$24</f>
        <v>24300</v>
      </c>
      <c r="M24" s="96">
        <f t="shared" si="5"/>
        <v>24300</v>
      </c>
      <c r="N24" s="96">
        <f t="shared" si="5"/>
        <v>25650</v>
      </c>
      <c r="O24" s="96">
        <f t="shared" si="5"/>
        <v>25650</v>
      </c>
      <c r="P24" s="96">
        <f t="shared" si="5"/>
        <v>25650</v>
      </c>
      <c r="Q24" s="95">
        <v>0</v>
      </c>
      <c r="R24" s="95">
        <v>0</v>
      </c>
      <c r="S24" s="95">
        <v>0</v>
      </c>
    </row>
    <row r="25" spans="1:26" ht="14">
      <c r="A25" s="94" t="s">
        <v>38</v>
      </c>
      <c r="B25" s="106" t="s">
        <v>44</v>
      </c>
      <c r="C25" s="107">
        <v>0</v>
      </c>
      <c r="D25" s="107">
        <v>0</v>
      </c>
      <c r="E25" s="107">
        <v>0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8">
        <f>K22*50</f>
        <v>900</v>
      </c>
      <c r="O25" s="108">
        <f t="shared" ref="O25:R25" si="6">N25+L22*50</f>
        <v>1800</v>
      </c>
      <c r="P25" s="108">
        <f t="shared" si="6"/>
        <v>2750</v>
      </c>
      <c r="Q25" s="108">
        <f t="shared" si="6"/>
        <v>3700</v>
      </c>
      <c r="R25" s="108">
        <f t="shared" si="6"/>
        <v>4650</v>
      </c>
      <c r="S25" s="108">
        <f>R25</f>
        <v>4650</v>
      </c>
    </row>
    <row r="26" spans="1:26" ht="14"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</row>
    <row r="27" spans="1:26" ht="7.5" customHeight="1">
      <c r="A27" s="76"/>
      <c r="B27" s="7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76"/>
      <c r="U27" s="76"/>
      <c r="V27" s="76"/>
      <c r="W27" s="76"/>
      <c r="X27" s="76"/>
      <c r="Y27" s="76"/>
      <c r="Z27" s="76"/>
    </row>
    <row r="28" spans="1:26" ht="14">
      <c r="A28" s="109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</row>
    <row r="29" spans="1:26" ht="14">
      <c r="A29" s="93" t="s">
        <v>46</v>
      </c>
      <c r="B29" s="93" t="s">
        <v>40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</row>
    <row r="30" spans="1:26" ht="14">
      <c r="A30" s="98" t="s">
        <v>41</v>
      </c>
      <c r="B30" s="98" t="s">
        <v>42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</row>
    <row r="31" spans="1:26" ht="14">
      <c r="A31" s="99" t="s">
        <v>3</v>
      </c>
      <c r="B31" s="100"/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18</v>
      </c>
      <c r="N31" s="101">
        <v>18</v>
      </c>
      <c r="O31" s="101">
        <v>19</v>
      </c>
      <c r="P31" s="101">
        <v>19</v>
      </c>
      <c r="Q31" s="101">
        <v>19</v>
      </c>
      <c r="R31" s="101">
        <v>0</v>
      </c>
      <c r="S31" s="101">
        <v>0</v>
      </c>
      <c r="T31" s="100"/>
      <c r="U31" s="100"/>
      <c r="V31" s="100"/>
      <c r="W31" s="100"/>
      <c r="X31" s="100"/>
      <c r="Y31" s="100"/>
      <c r="Z31" s="100"/>
    </row>
    <row r="32" spans="1:26" ht="14">
      <c r="A32" s="103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</row>
    <row r="33" spans="1:26" ht="14">
      <c r="A33" s="94" t="s">
        <v>37</v>
      </c>
      <c r="B33" s="83">
        <f>75*1.5*12</f>
        <v>1350</v>
      </c>
      <c r="C33" s="95">
        <v>0</v>
      </c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v>0</v>
      </c>
      <c r="N33" s="96">
        <f t="shared" ref="N33:R33" si="7">M31*$B$33</f>
        <v>24300</v>
      </c>
      <c r="O33" s="96">
        <f t="shared" si="7"/>
        <v>24300</v>
      </c>
      <c r="P33" s="96">
        <f t="shared" si="7"/>
        <v>25650</v>
      </c>
      <c r="Q33" s="96">
        <f t="shared" si="7"/>
        <v>25650</v>
      </c>
      <c r="R33" s="96">
        <f t="shared" si="7"/>
        <v>25650</v>
      </c>
      <c r="S33" s="95">
        <v>0</v>
      </c>
    </row>
    <row r="34" spans="1:26" ht="14">
      <c r="A34" s="94" t="s">
        <v>38</v>
      </c>
      <c r="B34" s="106" t="s">
        <v>44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7">
        <v>0</v>
      </c>
      <c r="S34" s="107">
        <v>0</v>
      </c>
    </row>
    <row r="35" spans="1:26" ht="14"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</row>
    <row r="36" spans="1:26" ht="4.5" customHeight="1">
      <c r="A36" s="76"/>
      <c r="B36" s="7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76"/>
      <c r="U36" s="76"/>
      <c r="V36" s="76"/>
      <c r="W36" s="76"/>
      <c r="X36" s="76"/>
      <c r="Y36" s="76"/>
      <c r="Z36" s="76"/>
    </row>
    <row r="37" spans="1:26" ht="14">
      <c r="A37" s="109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</row>
    <row r="38" spans="1:26" ht="14">
      <c r="A38" s="93" t="s">
        <v>47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</row>
    <row r="39" spans="1:26" ht="14">
      <c r="A39" s="99" t="s">
        <v>3</v>
      </c>
      <c r="B39" s="100"/>
      <c r="C39" s="101">
        <v>0</v>
      </c>
      <c r="D39" s="101">
        <v>0</v>
      </c>
      <c r="E39" s="101">
        <v>4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  <c r="N39" s="101">
        <v>0</v>
      </c>
      <c r="O39" s="101">
        <v>0</v>
      </c>
      <c r="P39" s="101">
        <v>0</v>
      </c>
      <c r="Q39" s="101">
        <v>0</v>
      </c>
      <c r="R39" s="101">
        <v>0</v>
      </c>
      <c r="S39" s="101">
        <v>0</v>
      </c>
      <c r="T39" s="100"/>
      <c r="U39" s="100"/>
      <c r="V39" s="100"/>
      <c r="W39" s="100"/>
      <c r="X39" s="100"/>
      <c r="Y39" s="100"/>
      <c r="Z39" s="100"/>
    </row>
    <row r="40" spans="1:26" ht="14">
      <c r="A40" s="103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</row>
    <row r="41" spans="1:26" ht="14">
      <c r="A41" s="94" t="s">
        <v>37</v>
      </c>
      <c r="C41" s="95">
        <v>0</v>
      </c>
      <c r="D41" s="95">
        <v>0</v>
      </c>
      <c r="E41" s="95">
        <v>0</v>
      </c>
      <c r="F41" s="96">
        <v>10056</v>
      </c>
      <c r="G41" s="95">
        <v>0</v>
      </c>
      <c r="H41" s="95">
        <v>0</v>
      </c>
      <c r="I41" s="95">
        <v>0</v>
      </c>
      <c r="J41" s="95">
        <v>0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0</v>
      </c>
      <c r="Q41" s="95">
        <v>0</v>
      </c>
      <c r="R41" s="96">
        <f>F41</f>
        <v>10056</v>
      </c>
      <c r="S41" s="95">
        <v>0</v>
      </c>
    </row>
    <row r="42" spans="1:26" ht="14">
      <c r="A42" s="94" t="s">
        <v>38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96">
        <f>15000/12</f>
        <v>1250</v>
      </c>
      <c r="J42" s="96">
        <f t="shared" ref="J42:S42" si="8">I42</f>
        <v>1250</v>
      </c>
      <c r="K42" s="96">
        <f t="shared" si="8"/>
        <v>1250</v>
      </c>
      <c r="L42" s="96">
        <f t="shared" si="8"/>
        <v>1250</v>
      </c>
      <c r="M42" s="96">
        <f t="shared" si="8"/>
        <v>1250</v>
      </c>
      <c r="N42" s="96">
        <f t="shared" si="8"/>
        <v>1250</v>
      </c>
      <c r="O42" s="96">
        <f t="shared" si="8"/>
        <v>1250</v>
      </c>
      <c r="P42" s="96">
        <f t="shared" si="8"/>
        <v>1250</v>
      </c>
      <c r="Q42" s="96">
        <f t="shared" si="8"/>
        <v>1250</v>
      </c>
      <c r="R42" s="96">
        <f t="shared" si="8"/>
        <v>1250</v>
      </c>
      <c r="S42" s="96">
        <f t="shared" si="8"/>
        <v>1250</v>
      </c>
    </row>
    <row r="43" spans="1:26" ht="14"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</row>
    <row r="44" spans="1:26" ht="6.75" customHeight="1">
      <c r="A44" s="76"/>
      <c r="B44" s="76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76"/>
      <c r="U44" s="76"/>
      <c r="V44" s="76"/>
      <c r="W44" s="76"/>
      <c r="X44" s="76"/>
      <c r="Y44" s="76"/>
      <c r="Z44" s="76"/>
    </row>
    <row r="45" spans="1:26" ht="14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</row>
    <row r="46" spans="1:26" ht="14">
      <c r="A46" s="103" t="s">
        <v>48</v>
      </c>
      <c r="B46" s="106" t="s">
        <v>49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</row>
    <row r="47" spans="1:26" ht="14">
      <c r="A47" s="103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</row>
    <row r="48" spans="1:26" ht="14">
      <c r="A48" s="94" t="s">
        <v>37</v>
      </c>
      <c r="B48" s="110">
        <v>1000</v>
      </c>
      <c r="C48" s="95">
        <v>0</v>
      </c>
      <c r="D48" s="95">
        <v>0</v>
      </c>
      <c r="E48" s="95">
        <v>0</v>
      </c>
      <c r="F48" s="95">
        <v>0</v>
      </c>
      <c r="G48" s="96">
        <f>B48*5</f>
        <v>5000</v>
      </c>
      <c r="H48" s="96">
        <f t="shared" ref="H48:J48" si="9">G48</f>
        <v>5000</v>
      </c>
      <c r="I48" s="96">
        <f t="shared" si="9"/>
        <v>5000</v>
      </c>
      <c r="J48" s="96">
        <f t="shared" si="9"/>
        <v>5000</v>
      </c>
      <c r="K48" s="95">
        <v>0</v>
      </c>
      <c r="L48" s="95">
        <v>0</v>
      </c>
      <c r="M48" s="95">
        <v>0</v>
      </c>
      <c r="N48" s="95">
        <v>0</v>
      </c>
      <c r="O48" s="95">
        <v>0</v>
      </c>
      <c r="P48" s="95">
        <v>0</v>
      </c>
      <c r="Q48" s="95">
        <v>0</v>
      </c>
      <c r="R48" s="95">
        <v>0</v>
      </c>
      <c r="S48" s="96">
        <f>G48</f>
        <v>5000</v>
      </c>
    </row>
    <row r="49" spans="1:26" ht="14">
      <c r="A49" s="94" t="s">
        <v>38</v>
      </c>
      <c r="B49" s="110">
        <v>50</v>
      </c>
      <c r="C49" s="95">
        <v>0</v>
      </c>
      <c r="D49" s="95">
        <v>0</v>
      </c>
      <c r="E49" s="95">
        <v>0</v>
      </c>
      <c r="F49" s="95">
        <v>0</v>
      </c>
      <c r="G49" s="95">
        <v>0</v>
      </c>
      <c r="H49" s="95">
        <v>0</v>
      </c>
      <c r="I49" s="95">
        <v>0</v>
      </c>
      <c r="J49" s="96">
        <f>B49*20</f>
        <v>1000</v>
      </c>
      <c r="K49" s="96">
        <f t="shared" ref="K49:S49" si="10">J49</f>
        <v>1000</v>
      </c>
      <c r="L49" s="96">
        <f t="shared" si="10"/>
        <v>1000</v>
      </c>
      <c r="M49" s="96">
        <f t="shared" si="10"/>
        <v>1000</v>
      </c>
      <c r="N49" s="96">
        <f t="shared" si="10"/>
        <v>1000</v>
      </c>
      <c r="O49" s="96">
        <f t="shared" si="10"/>
        <v>1000</v>
      </c>
      <c r="P49" s="96">
        <f t="shared" si="10"/>
        <v>1000</v>
      </c>
      <c r="Q49" s="96">
        <f t="shared" si="10"/>
        <v>1000</v>
      </c>
      <c r="R49" s="96">
        <f t="shared" si="10"/>
        <v>1000</v>
      </c>
      <c r="S49" s="96">
        <f t="shared" si="10"/>
        <v>1000</v>
      </c>
    </row>
    <row r="50" spans="1:26" ht="14">
      <c r="A50" s="103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</row>
    <row r="51" spans="1:26" ht="5.25" customHeight="1">
      <c r="A51" s="111"/>
      <c r="B51" s="76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76"/>
      <c r="U51" s="76"/>
      <c r="V51" s="76"/>
      <c r="W51" s="76"/>
      <c r="X51" s="76"/>
      <c r="Y51" s="76"/>
      <c r="Z51" s="76"/>
    </row>
    <row r="52" spans="1:26" ht="14">
      <c r="A52" s="103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</row>
    <row r="53" spans="1:26" ht="14">
      <c r="A53" s="103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</row>
    <row r="54" spans="1:26" ht="14">
      <c r="A54" s="103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</row>
    <row r="55" spans="1:26" ht="14">
      <c r="A55" s="111" t="s">
        <v>50</v>
      </c>
      <c r="B55" s="76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</row>
    <row r="56" spans="1:26" ht="14">
      <c r="A56" s="111"/>
      <c r="B56" s="76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</row>
    <row r="57" spans="1:26" ht="14">
      <c r="A57" s="113" t="s">
        <v>51</v>
      </c>
      <c r="B57" s="76"/>
      <c r="C57" s="114">
        <v>600</v>
      </c>
      <c r="D57" s="114">
        <v>600</v>
      </c>
      <c r="E57" s="114">
        <v>600</v>
      </c>
      <c r="F57" s="114">
        <v>600</v>
      </c>
      <c r="G57" s="114">
        <v>600</v>
      </c>
      <c r="H57" s="114">
        <v>600</v>
      </c>
      <c r="I57" s="114">
        <v>600</v>
      </c>
      <c r="J57" s="114">
        <v>600</v>
      </c>
      <c r="K57" s="114">
        <v>600</v>
      </c>
      <c r="L57" s="114">
        <v>600</v>
      </c>
      <c r="M57" s="114">
        <v>600</v>
      </c>
      <c r="N57" s="114">
        <v>600</v>
      </c>
      <c r="O57" s="114">
        <v>600</v>
      </c>
      <c r="P57" s="114">
        <v>600</v>
      </c>
      <c r="Q57" s="114">
        <v>600</v>
      </c>
      <c r="R57" s="114">
        <v>600</v>
      </c>
      <c r="S57" s="114">
        <v>600</v>
      </c>
    </row>
    <row r="58" spans="1:26" ht="14">
      <c r="A58" s="113" t="s">
        <v>52</v>
      </c>
      <c r="B58" s="76"/>
      <c r="C58" s="114">
        <v>500</v>
      </c>
      <c r="D58" s="114">
        <v>500</v>
      </c>
      <c r="E58" s="114">
        <v>500</v>
      </c>
      <c r="F58" s="114">
        <v>500</v>
      </c>
      <c r="G58" s="114">
        <v>500</v>
      </c>
      <c r="H58" s="114">
        <v>500</v>
      </c>
      <c r="I58" s="114">
        <v>500</v>
      </c>
      <c r="J58" s="114">
        <v>500</v>
      </c>
      <c r="K58" s="114">
        <v>500</v>
      </c>
      <c r="L58" s="114">
        <v>500</v>
      </c>
      <c r="M58" s="114">
        <v>500</v>
      </c>
      <c r="N58" s="114">
        <v>500</v>
      </c>
      <c r="O58" s="114">
        <v>500</v>
      </c>
      <c r="P58" s="114">
        <v>500</v>
      </c>
      <c r="Q58" s="114">
        <v>500</v>
      </c>
      <c r="R58" s="114">
        <v>500</v>
      </c>
      <c r="S58" s="114">
        <v>500</v>
      </c>
    </row>
    <row r="59" spans="1:26" ht="14">
      <c r="A59" s="76"/>
      <c r="B59" s="76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</row>
    <row r="60" spans="1:26" ht="14">
      <c r="A60" s="115" t="s">
        <v>3</v>
      </c>
      <c r="B60" s="115"/>
      <c r="C60" s="116">
        <f t="shared" ref="C60:D60" si="11">C13+C22+C31+C39</f>
        <v>0</v>
      </c>
      <c r="D60" s="116">
        <f t="shared" si="11"/>
        <v>0</v>
      </c>
      <c r="E60" s="116">
        <f>E22+E31+E39</f>
        <v>4</v>
      </c>
      <c r="F60" s="116">
        <f t="shared" ref="F60:S60" si="12">F13+F22+F31+F39</f>
        <v>17</v>
      </c>
      <c r="G60" s="116">
        <f t="shared" si="12"/>
        <v>17</v>
      </c>
      <c r="H60" s="116">
        <f t="shared" si="12"/>
        <v>17</v>
      </c>
      <c r="I60" s="116">
        <f t="shared" si="12"/>
        <v>17</v>
      </c>
      <c r="J60" s="116">
        <f t="shared" si="12"/>
        <v>0</v>
      </c>
      <c r="K60" s="116">
        <f t="shared" si="12"/>
        <v>18</v>
      </c>
      <c r="L60" s="116">
        <f t="shared" si="12"/>
        <v>18</v>
      </c>
      <c r="M60" s="116">
        <f t="shared" si="12"/>
        <v>37</v>
      </c>
      <c r="N60" s="116">
        <f t="shared" si="12"/>
        <v>37</v>
      </c>
      <c r="O60" s="116">
        <f t="shared" si="12"/>
        <v>38</v>
      </c>
      <c r="P60" s="116">
        <f t="shared" si="12"/>
        <v>19</v>
      </c>
      <c r="Q60" s="116">
        <f t="shared" si="12"/>
        <v>19</v>
      </c>
      <c r="R60" s="116">
        <f t="shared" si="12"/>
        <v>0</v>
      </c>
      <c r="S60" s="116">
        <f t="shared" si="12"/>
        <v>0</v>
      </c>
      <c r="T60" s="117"/>
      <c r="U60" s="117"/>
      <c r="V60" s="117"/>
      <c r="W60" s="117"/>
      <c r="X60" s="117"/>
      <c r="Y60" s="117"/>
      <c r="Z60" s="117"/>
    </row>
    <row r="61" spans="1:26" ht="14"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</row>
    <row r="62" spans="1:26" ht="14"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</row>
    <row r="63" spans="1:26" ht="14" hidden="1">
      <c r="A63" s="118"/>
      <c r="B63" s="118"/>
      <c r="C63" s="119">
        <f>C6+C15+C41</f>
        <v>0</v>
      </c>
      <c r="D63" s="119">
        <f t="shared" ref="D63:S63" si="13">D6+D15+D41+D24+D33+D48</f>
        <v>32526</v>
      </c>
      <c r="E63" s="119">
        <f t="shared" si="13"/>
        <v>0</v>
      </c>
      <c r="F63" s="119">
        <f t="shared" si="13"/>
        <v>43806</v>
      </c>
      <c r="G63" s="119">
        <f t="shared" si="13"/>
        <v>27950</v>
      </c>
      <c r="H63" s="119">
        <f t="shared" si="13"/>
        <v>27950</v>
      </c>
      <c r="I63" s="119">
        <f t="shared" si="13"/>
        <v>27950</v>
      </c>
      <c r="J63" s="119">
        <f t="shared" si="13"/>
        <v>27950</v>
      </c>
      <c r="K63" s="119">
        <f t="shared" si="13"/>
        <v>0</v>
      </c>
      <c r="L63" s="119">
        <f t="shared" si="13"/>
        <v>24300</v>
      </c>
      <c r="M63" s="119">
        <f t="shared" si="13"/>
        <v>24300</v>
      </c>
      <c r="N63" s="119">
        <f t="shared" si="13"/>
        <v>49950</v>
      </c>
      <c r="O63" s="119">
        <f t="shared" si="13"/>
        <v>49950</v>
      </c>
      <c r="P63" s="119">
        <f t="shared" si="13"/>
        <v>83826</v>
      </c>
      <c r="Q63" s="119">
        <f t="shared" si="13"/>
        <v>25650</v>
      </c>
      <c r="R63" s="119">
        <f t="shared" si="13"/>
        <v>69456</v>
      </c>
      <c r="S63" s="119">
        <f t="shared" si="13"/>
        <v>27950</v>
      </c>
      <c r="T63" s="118"/>
      <c r="U63" s="118"/>
      <c r="V63" s="118"/>
      <c r="W63" s="118"/>
      <c r="X63" s="118"/>
      <c r="Y63" s="118"/>
      <c r="Z63" s="118"/>
    </row>
    <row r="64" spans="1:26" ht="14" hidden="1">
      <c r="A64" s="118"/>
      <c r="B64" s="118"/>
      <c r="C64" s="119">
        <f t="shared" ref="C64:S64" si="14">C7+C16+C42+C25+C34+C49</f>
        <v>0</v>
      </c>
      <c r="D64" s="119">
        <f t="shared" si="14"/>
        <v>0</v>
      </c>
      <c r="E64" s="119">
        <f t="shared" si="14"/>
        <v>0</v>
      </c>
      <c r="F64" s="119">
        <f t="shared" si="14"/>
        <v>0</v>
      </c>
      <c r="G64" s="119">
        <f t="shared" si="14"/>
        <v>0</v>
      </c>
      <c r="H64" s="119">
        <f t="shared" si="14"/>
        <v>1250</v>
      </c>
      <c r="I64" s="119">
        <f t="shared" si="14"/>
        <v>7183.3333333333339</v>
      </c>
      <c r="J64" s="119">
        <f t="shared" si="14"/>
        <v>9033.3333333333339</v>
      </c>
      <c r="K64" s="119">
        <f t="shared" si="14"/>
        <v>9883.3333333333339</v>
      </c>
      <c r="L64" s="119">
        <f t="shared" si="14"/>
        <v>10733.333333333334</v>
      </c>
      <c r="M64" s="119">
        <f t="shared" si="14"/>
        <v>10733.333333333334</v>
      </c>
      <c r="N64" s="119">
        <f t="shared" si="14"/>
        <v>11633.333333333334</v>
      </c>
      <c r="O64" s="119">
        <f t="shared" si="14"/>
        <v>12533.333333333334</v>
      </c>
      <c r="P64" s="119">
        <f t="shared" si="14"/>
        <v>13483.333333333334</v>
      </c>
      <c r="Q64" s="119">
        <f t="shared" si="14"/>
        <v>14433.333333333334</v>
      </c>
      <c r="R64" s="119">
        <f t="shared" si="14"/>
        <v>15383.333333333334</v>
      </c>
      <c r="S64" s="119">
        <f t="shared" si="14"/>
        <v>15383.333333333334</v>
      </c>
      <c r="T64" s="118"/>
      <c r="U64" s="118"/>
      <c r="V64" s="118"/>
      <c r="W64" s="118"/>
      <c r="X64" s="118"/>
      <c r="Y64" s="118"/>
      <c r="Z64" s="118"/>
    </row>
    <row r="65" spans="3:17" ht="14"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5"/>
      <c r="Q65" s="105"/>
    </row>
    <row r="66" spans="3:17" ht="14"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5"/>
      <c r="Q66" s="105"/>
    </row>
    <row r="67" spans="3:17" ht="14"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5"/>
      <c r="Q67" s="105"/>
    </row>
    <row r="68" spans="3:17" ht="14"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5"/>
      <c r="Q68" s="105"/>
    </row>
    <row r="69" spans="3:17" ht="14"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05"/>
    </row>
    <row r="70" spans="3:17" ht="14"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5"/>
      <c r="Q70" s="105"/>
    </row>
    <row r="71" spans="3:17" ht="14"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05"/>
    </row>
    <row r="72" spans="3:17" ht="14"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5"/>
      <c r="Q72" s="105"/>
    </row>
    <row r="73" spans="3:17" ht="14"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05"/>
    </row>
    <row r="74" spans="3:17" ht="14"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5"/>
      <c r="Q74" s="105"/>
    </row>
    <row r="75" spans="3:17" ht="14"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05"/>
    </row>
    <row r="76" spans="3:17" ht="14"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5"/>
      <c r="Q76" s="105"/>
    </row>
    <row r="77" spans="3:17" ht="14"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05"/>
    </row>
    <row r="78" spans="3:17" ht="14"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5"/>
      <c r="Q78" s="105"/>
    </row>
    <row r="79" spans="3:17" ht="14"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5"/>
      <c r="Q79" s="105"/>
    </row>
    <row r="80" spans="3:17" ht="14"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</row>
    <row r="81" spans="3:15" ht="14"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</row>
    <row r="82" spans="3:15" ht="14"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</row>
    <row r="83" spans="3:15" ht="14"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</row>
    <row r="84" spans="3:15" ht="14"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</row>
    <row r="85" spans="3:15" ht="14"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</row>
    <row r="86" spans="3:15" ht="14"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</row>
    <row r="87" spans="3:15" ht="14"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</row>
    <row r="88" spans="3:15" ht="14"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</row>
    <row r="89" spans="3:15" ht="14"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</row>
    <row r="90" spans="3:15" ht="14"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</row>
    <row r="91" spans="3:15" ht="14"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</row>
    <row r="92" spans="3:15" ht="14"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</row>
    <row r="93" spans="3:15" ht="14"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</row>
    <row r="94" spans="3:15" ht="14"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</row>
    <row r="95" spans="3:15" ht="14"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</row>
    <row r="96" spans="3:15" ht="14"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</row>
    <row r="97" spans="3:15" ht="14"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</row>
    <row r="98" spans="3:15" ht="14"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</row>
    <row r="99" spans="3:15" ht="14"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</row>
    <row r="100" spans="3:15" ht="14"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</row>
    <row r="101" spans="3:15" ht="14"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</row>
    <row r="102" spans="3:15" ht="14"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</row>
    <row r="103" spans="3:15" ht="14"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</row>
    <row r="104" spans="3:15" ht="14"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</row>
    <row r="105" spans="3:15" ht="14"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</row>
    <row r="106" spans="3:15" ht="14"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</row>
    <row r="107" spans="3:15" ht="14"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</row>
    <row r="108" spans="3:15" ht="14"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</row>
    <row r="109" spans="3:15" ht="14"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</row>
    <row r="110" spans="3:15" ht="14"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</row>
    <row r="111" spans="3:15" ht="14"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</row>
    <row r="112" spans="3:15" ht="14"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</row>
    <row r="113" spans="3:15" ht="14"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</row>
    <row r="114" spans="3:15" ht="14"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</row>
    <row r="115" spans="3:15" ht="14"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</row>
    <row r="116" spans="3:15" ht="14"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</row>
    <row r="117" spans="3:15" ht="14"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</row>
    <row r="118" spans="3:15" ht="14"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</row>
    <row r="119" spans="3:15" ht="14"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</row>
    <row r="120" spans="3:15" ht="14"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</row>
    <row r="121" spans="3:15" ht="14"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</row>
    <row r="122" spans="3:15" ht="14"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</row>
    <row r="123" spans="3:15" ht="14"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</row>
    <row r="124" spans="3:15" ht="14"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</row>
    <row r="125" spans="3:15" ht="14"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</row>
    <row r="126" spans="3:15" ht="14"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</row>
    <row r="127" spans="3:15" ht="14"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</row>
    <row r="128" spans="3:15" ht="14"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</row>
    <row r="129" spans="3:15" ht="14"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</row>
    <row r="130" spans="3:15" ht="14"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</row>
    <row r="131" spans="3:15" ht="14"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</row>
    <row r="132" spans="3:15" ht="14"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</row>
    <row r="133" spans="3:15" ht="14"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</row>
    <row r="134" spans="3:15" ht="14"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</row>
    <row r="135" spans="3:15" ht="14"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</row>
    <row r="136" spans="3:15" ht="14"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</row>
    <row r="137" spans="3:15" ht="14"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</row>
    <row r="138" spans="3:15" ht="14"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</row>
    <row r="139" spans="3:15" ht="14"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</row>
    <row r="140" spans="3:15" ht="14"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</row>
    <row r="141" spans="3:15" ht="14"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</row>
    <row r="142" spans="3:15" ht="14"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</row>
    <row r="143" spans="3:15" ht="14"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</row>
    <row r="144" spans="3:15" ht="14"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</row>
    <row r="145" spans="3:15" ht="14"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</row>
    <row r="146" spans="3:15" ht="14"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</row>
    <row r="147" spans="3:15" ht="14"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</row>
    <row r="148" spans="3:15" ht="14"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</row>
    <row r="149" spans="3:15" ht="14"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</row>
    <row r="150" spans="3:15" ht="14"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</row>
    <row r="151" spans="3:15" ht="14"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</row>
    <row r="152" spans="3:15" ht="14"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</row>
    <row r="153" spans="3:15" ht="14"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</row>
    <row r="154" spans="3:15" ht="14"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</row>
    <row r="155" spans="3:15" ht="14"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</row>
    <row r="156" spans="3:15" ht="14"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</row>
    <row r="157" spans="3:15" ht="14"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</row>
    <row r="158" spans="3:15" ht="14"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</row>
    <row r="159" spans="3:15" ht="14"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</row>
    <row r="160" spans="3:15" ht="14"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</row>
    <row r="161" spans="3:15" ht="14"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</row>
    <row r="162" spans="3:15" ht="14"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</row>
    <row r="163" spans="3:15" ht="14"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</row>
    <row r="164" spans="3:15" ht="14"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</row>
    <row r="165" spans="3:15" ht="14"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</row>
    <row r="166" spans="3:15" ht="14"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</row>
    <row r="167" spans="3:15" ht="14"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</row>
    <row r="168" spans="3:15" ht="14"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</row>
    <row r="169" spans="3:15" ht="14"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</row>
    <row r="170" spans="3:15" ht="14"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</row>
    <row r="171" spans="3:15" ht="14"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</row>
    <row r="172" spans="3:15" ht="14"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</row>
    <row r="173" spans="3:15" ht="14"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</row>
    <row r="174" spans="3:15" ht="14"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</row>
    <row r="175" spans="3:15" ht="14"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</row>
    <row r="176" spans="3:15" ht="14"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</row>
    <row r="177" spans="3:15" ht="14"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</row>
    <row r="178" spans="3:15" ht="14"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</row>
    <row r="179" spans="3:15" ht="14"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</row>
    <row r="180" spans="3:15" ht="14"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</row>
    <row r="181" spans="3:15" ht="14"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</row>
    <row r="182" spans="3:15" ht="14"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</row>
    <row r="183" spans="3:15" ht="14"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</row>
    <row r="184" spans="3:15" ht="14"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</row>
    <row r="185" spans="3:15" ht="14"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</row>
    <row r="186" spans="3:15" ht="14"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</row>
    <row r="187" spans="3:15" ht="14"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</row>
    <row r="188" spans="3:15" ht="14"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</row>
    <row r="189" spans="3:15" ht="14"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</row>
    <row r="190" spans="3:15" ht="14"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</row>
    <row r="191" spans="3:15" ht="14"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</row>
    <row r="192" spans="3:15" ht="14"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</row>
    <row r="193" spans="3:15" ht="14"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</row>
    <row r="194" spans="3:15" ht="14"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</row>
    <row r="195" spans="3:15" ht="14"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</row>
    <row r="196" spans="3:15" ht="14"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</row>
    <row r="197" spans="3:15" ht="14"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</row>
    <row r="198" spans="3:15" ht="14"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</row>
    <row r="199" spans="3:15" ht="14"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</row>
    <row r="200" spans="3:15" ht="14"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</row>
    <row r="201" spans="3:15" ht="14"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</row>
    <row r="202" spans="3:15" ht="14"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</row>
    <row r="203" spans="3:15" ht="14"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</row>
    <row r="204" spans="3:15" ht="14"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</row>
    <row r="205" spans="3:15" ht="14"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</row>
    <row r="206" spans="3:15" ht="14"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</row>
    <row r="207" spans="3:15" ht="14"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</row>
    <row r="208" spans="3:15" ht="14"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</row>
    <row r="209" spans="3:15" ht="14"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</row>
    <row r="210" spans="3:15" ht="14"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</row>
    <row r="211" spans="3:15" ht="14"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</row>
    <row r="212" spans="3:15" ht="14"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</row>
    <row r="213" spans="3:15" ht="14"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</row>
    <row r="214" spans="3:15" ht="14"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</row>
    <row r="215" spans="3:15" ht="14"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</row>
    <row r="216" spans="3:15" ht="14"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</row>
    <row r="217" spans="3:15" ht="14"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</row>
    <row r="218" spans="3:15" ht="14"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</row>
    <row r="219" spans="3:15" ht="14"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</row>
    <row r="220" spans="3:15" ht="14"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</row>
    <row r="221" spans="3:15" ht="14"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</row>
    <row r="222" spans="3:15" ht="14"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</row>
    <row r="223" spans="3:15" ht="14"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</row>
    <row r="224" spans="3:15" ht="14"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</row>
    <row r="225" spans="3:15" ht="14"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</row>
    <row r="226" spans="3:15" ht="14"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</row>
    <row r="227" spans="3:15" ht="14"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</row>
    <row r="228" spans="3:15" ht="14"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</row>
    <row r="229" spans="3:15" ht="14"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</row>
    <row r="230" spans="3:15" ht="14"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</row>
    <row r="231" spans="3:15" ht="14"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</row>
    <row r="232" spans="3:15" ht="14"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</row>
    <row r="233" spans="3:15" ht="14"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</row>
    <row r="234" spans="3:15" ht="14"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</row>
    <row r="235" spans="3:15" ht="14"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</row>
    <row r="236" spans="3:15" ht="14"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</row>
    <row r="237" spans="3:15" ht="14"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</row>
    <row r="238" spans="3:15" ht="14"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</row>
  </sheetData>
  <mergeCells count="2"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3984375" defaultRowHeight="15" customHeight="1"/>
  <cols>
    <col min="1" max="1" width="34" customWidth="1"/>
    <col min="2" max="2" width="13.19921875" customWidth="1"/>
    <col min="5" max="5" width="11.59765625" customWidth="1"/>
    <col min="6" max="6" width="11.796875" customWidth="1"/>
  </cols>
  <sheetData>
    <row r="1" spans="1:26" ht="20.25" customHeight="1">
      <c r="A1" s="121"/>
      <c r="B1" s="122" t="s">
        <v>53</v>
      </c>
      <c r="C1" s="6">
        <v>45505</v>
      </c>
      <c r="D1" s="6">
        <v>45536</v>
      </c>
      <c r="E1" s="6">
        <v>45566</v>
      </c>
      <c r="F1" s="6">
        <v>45597</v>
      </c>
      <c r="G1" s="6">
        <v>45627</v>
      </c>
      <c r="H1" s="6">
        <v>45658</v>
      </c>
      <c r="I1" s="6">
        <v>45689</v>
      </c>
      <c r="J1" s="90">
        <v>45717</v>
      </c>
      <c r="K1" s="6">
        <v>45748</v>
      </c>
      <c r="L1" s="90">
        <v>45778</v>
      </c>
      <c r="M1" s="6">
        <v>45809</v>
      </c>
      <c r="N1" s="90">
        <v>45839</v>
      </c>
      <c r="O1" s="6">
        <v>45870</v>
      </c>
      <c r="P1" s="90">
        <v>45901</v>
      </c>
      <c r="Q1" s="6">
        <v>45931</v>
      </c>
      <c r="R1" s="90">
        <v>45962</v>
      </c>
      <c r="S1" s="6">
        <v>45992</v>
      </c>
      <c r="T1" s="90"/>
      <c r="U1" s="123"/>
      <c r="V1" s="124"/>
      <c r="W1" s="125"/>
      <c r="X1" s="125"/>
      <c r="Y1" s="125"/>
      <c r="Z1" s="125"/>
    </row>
    <row r="2" spans="1:26" ht="14">
      <c r="A2" s="76"/>
      <c r="B2" s="126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6" ht="14">
      <c r="A3" s="127" t="s">
        <v>54</v>
      </c>
      <c r="B3" s="128"/>
      <c r="C3" s="129">
        <f>'Consolidated P&amp;L'!G5</f>
        <v>0</v>
      </c>
      <c r="D3" s="129">
        <f>'Consolidated P&amp;L'!H5</f>
        <v>0</v>
      </c>
      <c r="E3" s="129">
        <f>'Consolidated P&amp;L'!I5</f>
        <v>4</v>
      </c>
      <c r="F3" s="129">
        <f>'Consolidated P&amp;L'!J5</f>
        <v>17</v>
      </c>
      <c r="G3" s="129">
        <f>'Consolidated P&amp;L'!K5</f>
        <v>17</v>
      </c>
      <c r="H3" s="129">
        <f>'Consolidated P&amp;L'!L5</f>
        <v>17</v>
      </c>
      <c r="I3" s="129">
        <f>'Consolidated P&amp;L'!M5</f>
        <v>17</v>
      </c>
      <c r="J3" s="129">
        <f>'Consolidated P&amp;L'!N5</f>
        <v>0</v>
      </c>
      <c r="K3" s="129">
        <f>'Consolidated P&amp;L'!O5</f>
        <v>18</v>
      </c>
      <c r="L3" s="129">
        <f>'Consolidated P&amp;L'!P5</f>
        <v>18</v>
      </c>
      <c r="M3" s="129">
        <f>'Consolidated P&amp;L'!Q5</f>
        <v>37</v>
      </c>
      <c r="N3" s="129">
        <f>'Consolidated P&amp;L'!R5</f>
        <v>37</v>
      </c>
      <c r="O3" s="129">
        <f>'Consolidated P&amp;L'!S5</f>
        <v>38</v>
      </c>
      <c r="P3" s="129">
        <f>'Consolidated P&amp;L'!T5</f>
        <v>19</v>
      </c>
      <c r="Q3" s="129">
        <f>'Consolidated P&amp;L'!U5</f>
        <v>19</v>
      </c>
      <c r="R3" s="129">
        <f>'Consolidated P&amp;L'!V5</f>
        <v>0</v>
      </c>
      <c r="S3" s="129">
        <f>'Consolidated P&amp;L'!W5</f>
        <v>0</v>
      </c>
      <c r="T3" s="129"/>
      <c r="U3" s="129"/>
      <c r="V3" s="130"/>
      <c r="W3" s="131"/>
      <c r="X3" s="131"/>
      <c r="Y3" s="131"/>
      <c r="Z3" s="131"/>
    </row>
    <row r="4" spans="1:26" ht="14">
      <c r="A4" s="132" t="s">
        <v>55</v>
      </c>
      <c r="B4" s="133"/>
      <c r="C4" s="134">
        <f>'Consolidated P&amp;L'!G6</f>
        <v>210</v>
      </c>
      <c r="D4" s="134">
        <f>'Consolidated P&amp;L'!H6</f>
        <v>210</v>
      </c>
      <c r="E4" s="134">
        <f>'Consolidated P&amp;L'!I6</f>
        <v>214</v>
      </c>
      <c r="F4" s="134">
        <f>'Consolidated P&amp;L'!J6</f>
        <v>231</v>
      </c>
      <c r="G4" s="134">
        <f>'Consolidated P&amp;L'!K6</f>
        <v>248</v>
      </c>
      <c r="H4" s="134">
        <f>'Consolidated P&amp;L'!L6</f>
        <v>265</v>
      </c>
      <c r="I4" s="134">
        <f>'Consolidated P&amp;L'!M6</f>
        <v>282</v>
      </c>
      <c r="J4" s="134">
        <f>'Consolidated P&amp;L'!N6</f>
        <v>282</v>
      </c>
      <c r="K4" s="134">
        <f>'Consolidated P&amp;L'!O6</f>
        <v>300</v>
      </c>
      <c r="L4" s="134">
        <f>'Consolidated P&amp;L'!P6</f>
        <v>318</v>
      </c>
      <c r="M4" s="134">
        <f>'Consolidated P&amp;L'!Q6</f>
        <v>355</v>
      </c>
      <c r="N4" s="134">
        <f>'Consolidated P&amp;L'!R6</f>
        <v>392</v>
      </c>
      <c r="O4" s="134">
        <f>'Consolidated P&amp;L'!S6</f>
        <v>430</v>
      </c>
      <c r="P4" s="134">
        <f>'Consolidated P&amp;L'!T6</f>
        <v>449</v>
      </c>
      <c r="Q4" s="134">
        <f>'Consolidated P&amp;L'!U6</f>
        <v>468</v>
      </c>
      <c r="R4" s="134">
        <f>'Consolidated P&amp;L'!V6</f>
        <v>468</v>
      </c>
      <c r="S4" s="134">
        <f>'Consolidated P&amp;L'!W6</f>
        <v>468</v>
      </c>
      <c r="T4" s="134"/>
      <c r="U4" s="134"/>
      <c r="V4" s="135"/>
      <c r="W4" s="136"/>
      <c r="X4" s="136"/>
      <c r="Y4" s="136"/>
      <c r="Z4" s="136"/>
    </row>
    <row r="5" spans="1:26" ht="14">
      <c r="A5" s="127"/>
      <c r="B5" s="128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7"/>
      <c r="S5" s="137"/>
      <c r="T5" s="137"/>
      <c r="U5" s="137"/>
      <c r="V5" s="131"/>
      <c r="W5" s="131"/>
      <c r="X5" s="131"/>
      <c r="Y5" s="131"/>
      <c r="Z5" s="131"/>
    </row>
    <row r="6" spans="1:26" ht="14">
      <c r="A6" s="127" t="s">
        <v>56</v>
      </c>
      <c r="B6" s="138">
        <v>0</v>
      </c>
      <c r="C6" s="110">
        <v>2560</v>
      </c>
      <c r="D6" s="110">
        <v>2560</v>
      </c>
      <c r="E6" s="110">
        <v>2560</v>
      </c>
      <c r="F6" s="110">
        <v>2560</v>
      </c>
      <c r="G6" s="110">
        <v>0</v>
      </c>
      <c r="H6" s="110">
        <v>0</v>
      </c>
      <c r="I6" s="110">
        <v>0</v>
      </c>
      <c r="J6" s="110">
        <v>0</v>
      </c>
      <c r="K6" s="110">
        <v>0</v>
      </c>
      <c r="L6" s="110">
        <v>0</v>
      </c>
      <c r="M6" s="110">
        <v>0</v>
      </c>
      <c r="N6" s="110">
        <v>0</v>
      </c>
      <c r="O6" s="110">
        <f t="shared" ref="O6:S6" si="0">O3*$B$6</f>
        <v>0</v>
      </c>
      <c r="P6" s="110">
        <f t="shared" si="0"/>
        <v>0</v>
      </c>
      <c r="Q6" s="110">
        <f t="shared" si="0"/>
        <v>0</v>
      </c>
      <c r="R6" s="110">
        <f t="shared" si="0"/>
        <v>0</v>
      </c>
      <c r="S6" s="110">
        <f t="shared" si="0"/>
        <v>0</v>
      </c>
      <c r="T6" s="110"/>
      <c r="U6" s="110"/>
      <c r="V6" s="139"/>
      <c r="W6" s="139"/>
      <c r="X6" s="139"/>
      <c r="Y6" s="139"/>
      <c r="Z6" s="139"/>
    </row>
    <row r="7" spans="1:26" ht="14">
      <c r="A7" s="127" t="s">
        <v>57</v>
      </c>
      <c r="B7" s="138">
        <v>15</v>
      </c>
      <c r="C7" s="110">
        <v>0</v>
      </c>
      <c r="D7" s="110">
        <v>0</v>
      </c>
      <c r="E7" s="110">
        <v>0</v>
      </c>
      <c r="F7" s="110">
        <v>0</v>
      </c>
      <c r="G7" s="110">
        <f>5*B7</f>
        <v>75</v>
      </c>
      <c r="H7" s="110">
        <f t="shared" ref="H7:J7" si="1">G7+5*$B$7</f>
        <v>150</v>
      </c>
      <c r="I7" s="110">
        <f t="shared" si="1"/>
        <v>225</v>
      </c>
      <c r="J7" s="110">
        <f t="shared" si="1"/>
        <v>300</v>
      </c>
      <c r="K7" s="110">
        <f t="shared" ref="K7:S7" si="2">J7</f>
        <v>300</v>
      </c>
      <c r="L7" s="110">
        <f t="shared" si="2"/>
        <v>300</v>
      </c>
      <c r="M7" s="110">
        <f t="shared" si="2"/>
        <v>300</v>
      </c>
      <c r="N7" s="110">
        <f t="shared" si="2"/>
        <v>300</v>
      </c>
      <c r="O7" s="110">
        <f t="shared" si="2"/>
        <v>300</v>
      </c>
      <c r="P7" s="110">
        <f t="shared" si="2"/>
        <v>300</v>
      </c>
      <c r="Q7" s="110">
        <f t="shared" si="2"/>
        <v>300</v>
      </c>
      <c r="R7" s="110">
        <f t="shared" si="2"/>
        <v>300</v>
      </c>
      <c r="S7" s="110">
        <f t="shared" si="2"/>
        <v>300</v>
      </c>
      <c r="T7" s="120"/>
      <c r="U7" s="120"/>
      <c r="V7" s="140"/>
    </row>
    <row r="8" spans="1:26" ht="14">
      <c r="A8" s="141" t="s">
        <v>58</v>
      </c>
      <c r="B8" s="138">
        <v>0</v>
      </c>
      <c r="C8" s="110">
        <v>0</v>
      </c>
      <c r="D8" s="110">
        <v>0</v>
      </c>
      <c r="E8" s="110">
        <v>0</v>
      </c>
      <c r="F8" s="110">
        <v>0</v>
      </c>
      <c r="G8" s="110">
        <v>0</v>
      </c>
      <c r="H8" s="110">
        <v>0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f t="shared" ref="O8:S8" si="3">$B$8*O3</f>
        <v>0</v>
      </c>
      <c r="P8" s="110">
        <f t="shared" si="3"/>
        <v>0</v>
      </c>
      <c r="Q8" s="110">
        <f t="shared" si="3"/>
        <v>0</v>
      </c>
      <c r="R8" s="110">
        <f t="shared" si="3"/>
        <v>0</v>
      </c>
      <c r="S8" s="110">
        <f t="shared" si="3"/>
        <v>0</v>
      </c>
      <c r="T8" s="110"/>
      <c r="U8" s="110"/>
      <c r="V8" s="139"/>
      <c r="W8" s="142"/>
      <c r="X8" s="142"/>
      <c r="Y8" s="142"/>
      <c r="Z8" s="142"/>
    </row>
    <row r="9" spans="1:26" ht="14">
      <c r="A9" s="141" t="s">
        <v>59</v>
      </c>
      <c r="B9" s="138">
        <v>0</v>
      </c>
      <c r="C9" s="110">
        <v>0</v>
      </c>
      <c r="D9" s="110">
        <v>0</v>
      </c>
      <c r="E9" s="110">
        <v>0</v>
      </c>
      <c r="F9" s="110">
        <v>0</v>
      </c>
      <c r="G9" s="110">
        <v>0</v>
      </c>
      <c r="H9" s="110">
        <v>0</v>
      </c>
      <c r="I9" s="110">
        <v>0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f t="shared" ref="O9:S9" si="4">$B$9*O3</f>
        <v>0</v>
      </c>
      <c r="P9" s="110">
        <f t="shared" si="4"/>
        <v>0</v>
      </c>
      <c r="Q9" s="110">
        <f t="shared" si="4"/>
        <v>0</v>
      </c>
      <c r="R9" s="110">
        <f t="shared" si="4"/>
        <v>0</v>
      </c>
      <c r="S9" s="110">
        <f t="shared" si="4"/>
        <v>0</v>
      </c>
      <c r="T9" s="110"/>
      <c r="U9" s="110"/>
      <c r="V9" s="139"/>
      <c r="W9" s="139"/>
      <c r="X9" s="139"/>
      <c r="Y9" s="142"/>
      <c r="Z9" s="142"/>
    </row>
    <row r="10" spans="1:26" ht="14">
      <c r="A10" s="141" t="s">
        <v>60</v>
      </c>
      <c r="B10" s="138">
        <v>0</v>
      </c>
      <c r="C10" s="110">
        <v>0</v>
      </c>
      <c r="D10" s="110">
        <v>0</v>
      </c>
      <c r="E10" s="110">
        <v>0</v>
      </c>
      <c r="F10" s="110">
        <v>0</v>
      </c>
      <c r="G10" s="110">
        <v>0</v>
      </c>
      <c r="H10" s="110">
        <v>0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f t="shared" ref="O10:S10" si="5">$B$10*O4</f>
        <v>0</v>
      </c>
      <c r="P10" s="110">
        <f t="shared" si="5"/>
        <v>0</v>
      </c>
      <c r="Q10" s="110">
        <f t="shared" si="5"/>
        <v>0</v>
      </c>
      <c r="R10" s="110">
        <f t="shared" si="5"/>
        <v>0</v>
      </c>
      <c r="S10" s="110">
        <f t="shared" si="5"/>
        <v>0</v>
      </c>
      <c r="T10" s="110"/>
      <c r="U10" s="110"/>
      <c r="V10" s="139"/>
      <c r="W10" s="139"/>
      <c r="X10" s="139"/>
      <c r="Y10" s="142"/>
      <c r="Z10" s="142"/>
    </row>
    <row r="11" spans="1:26" ht="14">
      <c r="A11" s="141" t="s">
        <v>61</v>
      </c>
      <c r="B11" s="138">
        <v>0</v>
      </c>
      <c r="C11" s="110">
        <v>0</v>
      </c>
      <c r="D11" s="110">
        <v>0</v>
      </c>
      <c r="E11" s="110">
        <v>0</v>
      </c>
      <c r="F11" s="110">
        <v>0</v>
      </c>
      <c r="G11" s="110">
        <v>0</v>
      </c>
      <c r="H11" s="110">
        <v>0</v>
      </c>
      <c r="I11" s="110">
        <v>0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f t="shared" ref="O11:S11" si="6">M4*$B$11</f>
        <v>0</v>
      </c>
      <c r="P11" s="110">
        <f t="shared" si="6"/>
        <v>0</v>
      </c>
      <c r="Q11" s="110">
        <f t="shared" si="6"/>
        <v>0</v>
      </c>
      <c r="R11" s="110">
        <f t="shared" si="6"/>
        <v>0</v>
      </c>
      <c r="S11" s="110">
        <f t="shared" si="6"/>
        <v>0</v>
      </c>
      <c r="T11" s="110"/>
      <c r="U11" s="110"/>
      <c r="V11" s="139"/>
      <c r="W11" s="139"/>
      <c r="X11" s="139"/>
      <c r="Y11" s="142"/>
      <c r="Z11" s="142"/>
    </row>
    <row r="12" spans="1:26" ht="14">
      <c r="A12" s="143"/>
      <c r="B12" s="144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39"/>
      <c r="W12" s="139"/>
      <c r="X12" s="139"/>
      <c r="Y12" s="142"/>
      <c r="Z12" s="142"/>
    </row>
    <row r="13" spans="1:26" ht="14">
      <c r="A13" s="145" t="s">
        <v>62</v>
      </c>
      <c r="B13" s="146"/>
      <c r="C13" s="147">
        <f t="shared" ref="C13:S13" si="7">SUM(C6:C11)</f>
        <v>2560</v>
      </c>
      <c r="D13" s="147">
        <f t="shared" si="7"/>
        <v>2560</v>
      </c>
      <c r="E13" s="147">
        <f t="shared" si="7"/>
        <v>2560</v>
      </c>
      <c r="F13" s="147">
        <f t="shared" si="7"/>
        <v>2560</v>
      </c>
      <c r="G13" s="147">
        <f t="shared" si="7"/>
        <v>75</v>
      </c>
      <c r="H13" s="147">
        <f t="shared" si="7"/>
        <v>150</v>
      </c>
      <c r="I13" s="147">
        <f t="shared" si="7"/>
        <v>225</v>
      </c>
      <c r="J13" s="147">
        <f t="shared" si="7"/>
        <v>300</v>
      </c>
      <c r="K13" s="147">
        <f t="shared" si="7"/>
        <v>300</v>
      </c>
      <c r="L13" s="147">
        <f t="shared" si="7"/>
        <v>300</v>
      </c>
      <c r="M13" s="147">
        <f t="shared" si="7"/>
        <v>300</v>
      </c>
      <c r="N13" s="147">
        <f t="shared" si="7"/>
        <v>300</v>
      </c>
      <c r="O13" s="147">
        <f t="shared" si="7"/>
        <v>300</v>
      </c>
      <c r="P13" s="147">
        <f t="shared" si="7"/>
        <v>300</v>
      </c>
      <c r="Q13" s="147">
        <f t="shared" si="7"/>
        <v>300</v>
      </c>
      <c r="R13" s="147">
        <f t="shared" si="7"/>
        <v>300</v>
      </c>
      <c r="S13" s="147">
        <f t="shared" si="7"/>
        <v>300</v>
      </c>
      <c r="T13" s="147"/>
      <c r="U13" s="147"/>
      <c r="V13" s="145"/>
      <c r="W13" s="145"/>
      <c r="X13" s="145"/>
      <c r="Y13" s="145"/>
      <c r="Z13" s="145"/>
    </row>
    <row r="14" spans="1:26" ht="14">
      <c r="A14" s="76"/>
      <c r="B14" s="126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</row>
    <row r="15" spans="1:26" ht="14">
      <c r="A15" s="148" t="s">
        <v>63</v>
      </c>
      <c r="B15" s="126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</row>
    <row r="16" spans="1:26" ht="14">
      <c r="A16" s="76"/>
      <c r="B16" s="126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</row>
    <row r="17" spans="1:26" ht="14">
      <c r="A17" s="28" t="s">
        <v>19</v>
      </c>
      <c r="B17" s="126"/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20"/>
      <c r="U17" s="120"/>
      <c r="V17" s="140"/>
    </row>
    <row r="18" spans="1:26" ht="14">
      <c r="A18" s="28" t="s">
        <v>20</v>
      </c>
      <c r="B18" s="126"/>
      <c r="C18" s="110">
        <v>0</v>
      </c>
      <c r="D18" s="110">
        <v>0</v>
      </c>
      <c r="E18" s="110">
        <v>500</v>
      </c>
      <c r="F18" s="110">
        <v>500</v>
      </c>
      <c r="G18" s="110">
        <v>500</v>
      </c>
      <c r="H18" s="110">
        <v>500</v>
      </c>
      <c r="I18" s="110">
        <v>500</v>
      </c>
      <c r="J18" s="110">
        <v>500</v>
      </c>
      <c r="K18" s="110">
        <v>500</v>
      </c>
      <c r="L18" s="110">
        <v>500</v>
      </c>
      <c r="M18" s="110">
        <v>500</v>
      </c>
      <c r="N18" s="110">
        <v>500</v>
      </c>
      <c r="O18" s="110">
        <v>500</v>
      </c>
      <c r="P18" s="110">
        <v>500</v>
      </c>
      <c r="Q18" s="110">
        <v>500</v>
      </c>
      <c r="R18" s="110">
        <v>500</v>
      </c>
      <c r="S18" s="110">
        <v>500</v>
      </c>
      <c r="T18" s="120"/>
      <c r="U18" s="120"/>
    </row>
    <row r="19" spans="1:26" ht="14">
      <c r="A19" s="28" t="s">
        <v>21</v>
      </c>
      <c r="B19" s="126"/>
      <c r="C19" s="110">
        <v>0</v>
      </c>
      <c r="D19" s="110">
        <v>0</v>
      </c>
      <c r="E19" s="110">
        <v>0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20"/>
      <c r="U19" s="120"/>
      <c r="V19" s="140"/>
    </row>
    <row r="20" spans="1:26" ht="14">
      <c r="A20" s="28" t="s">
        <v>64</v>
      </c>
      <c r="B20" s="126"/>
      <c r="C20" s="110">
        <v>0</v>
      </c>
      <c r="D20" s="110">
        <v>0</v>
      </c>
      <c r="E20" s="110">
        <v>0</v>
      </c>
      <c r="F20" s="110">
        <v>5000</v>
      </c>
      <c r="G20" s="110">
        <f t="shared" ref="G20:S20" si="8">F20</f>
        <v>5000</v>
      </c>
      <c r="H20" s="110">
        <f t="shared" si="8"/>
        <v>5000</v>
      </c>
      <c r="I20" s="110">
        <f t="shared" si="8"/>
        <v>5000</v>
      </c>
      <c r="J20" s="110">
        <f t="shared" si="8"/>
        <v>5000</v>
      </c>
      <c r="K20" s="110">
        <f t="shared" si="8"/>
        <v>5000</v>
      </c>
      <c r="L20" s="110">
        <f t="shared" si="8"/>
        <v>5000</v>
      </c>
      <c r="M20" s="110">
        <f t="shared" si="8"/>
        <v>5000</v>
      </c>
      <c r="N20" s="110">
        <f t="shared" si="8"/>
        <v>5000</v>
      </c>
      <c r="O20" s="110">
        <f t="shared" si="8"/>
        <v>5000</v>
      </c>
      <c r="P20" s="110">
        <f t="shared" si="8"/>
        <v>5000</v>
      </c>
      <c r="Q20" s="110">
        <f t="shared" si="8"/>
        <v>5000</v>
      </c>
      <c r="R20" s="110">
        <f t="shared" si="8"/>
        <v>5000</v>
      </c>
      <c r="S20" s="110">
        <f t="shared" si="8"/>
        <v>5000</v>
      </c>
      <c r="T20" s="120"/>
      <c r="U20" s="120"/>
      <c r="V20" s="140"/>
    </row>
    <row r="21" spans="1:26" ht="14">
      <c r="A21" s="28" t="s">
        <v>23</v>
      </c>
      <c r="B21" s="126"/>
      <c r="C21" s="110">
        <v>0</v>
      </c>
      <c r="D21" s="110">
        <v>500</v>
      </c>
      <c r="E21" s="110">
        <v>500</v>
      </c>
      <c r="F21" s="110">
        <v>500</v>
      </c>
      <c r="G21" s="110">
        <v>500</v>
      </c>
      <c r="H21" s="110">
        <v>500</v>
      </c>
      <c r="I21" s="110">
        <v>1000</v>
      </c>
      <c r="J21" s="110">
        <v>1000</v>
      </c>
      <c r="K21" s="110">
        <v>1000</v>
      </c>
      <c r="L21" s="110">
        <v>1000</v>
      </c>
      <c r="M21" s="110">
        <v>1000</v>
      </c>
      <c r="N21" s="110">
        <v>1000</v>
      </c>
      <c r="O21" s="110">
        <v>1000</v>
      </c>
      <c r="P21" s="110">
        <v>1000</v>
      </c>
      <c r="Q21" s="110">
        <v>1000</v>
      </c>
      <c r="R21" s="110">
        <v>1000</v>
      </c>
      <c r="S21" s="110">
        <v>1000</v>
      </c>
      <c r="T21" s="120"/>
      <c r="U21" s="120"/>
      <c r="V21" s="140"/>
    </row>
    <row r="22" spans="1:26" ht="14">
      <c r="A22" s="28" t="s">
        <v>24</v>
      </c>
      <c r="B22" s="126"/>
      <c r="C22" s="110">
        <v>1500</v>
      </c>
      <c r="D22" s="110">
        <v>1500</v>
      </c>
      <c r="E22" s="110">
        <v>1500</v>
      </c>
      <c r="F22" s="110">
        <v>1500</v>
      </c>
      <c r="G22" s="110">
        <v>1500</v>
      </c>
      <c r="H22" s="110">
        <v>1500</v>
      </c>
      <c r="I22" s="110">
        <v>1500</v>
      </c>
      <c r="J22" s="110">
        <v>1500</v>
      </c>
      <c r="K22" s="110">
        <v>1500</v>
      </c>
      <c r="L22" s="110">
        <v>1500</v>
      </c>
      <c r="M22" s="110">
        <v>1500</v>
      </c>
      <c r="N22" s="110">
        <v>1500</v>
      </c>
      <c r="O22" s="110">
        <v>1500</v>
      </c>
      <c r="P22" s="110">
        <v>1500</v>
      </c>
      <c r="Q22" s="110">
        <v>1500</v>
      </c>
      <c r="R22" s="110">
        <v>1500</v>
      </c>
      <c r="S22" s="110">
        <v>1500</v>
      </c>
      <c r="T22" s="120"/>
      <c r="U22" s="120"/>
      <c r="V22" s="140"/>
    </row>
    <row r="23" spans="1:26" ht="14">
      <c r="A23" s="28" t="s">
        <v>25</v>
      </c>
      <c r="B23" s="126"/>
      <c r="C23" s="110">
        <v>150</v>
      </c>
      <c r="D23" s="110">
        <v>150</v>
      </c>
      <c r="E23" s="110">
        <v>150</v>
      </c>
      <c r="F23" s="110">
        <v>150</v>
      </c>
      <c r="G23" s="110">
        <v>150</v>
      </c>
      <c r="H23" s="110">
        <v>150</v>
      </c>
      <c r="I23" s="110">
        <v>150</v>
      </c>
      <c r="J23" s="110">
        <v>150</v>
      </c>
      <c r="K23" s="110">
        <v>150</v>
      </c>
      <c r="L23" s="110">
        <v>150</v>
      </c>
      <c r="M23" s="110">
        <v>150</v>
      </c>
      <c r="N23" s="110">
        <v>150</v>
      </c>
      <c r="O23" s="110">
        <v>150</v>
      </c>
      <c r="P23" s="110">
        <v>150</v>
      </c>
      <c r="Q23" s="110">
        <v>150</v>
      </c>
      <c r="R23" s="110">
        <v>150</v>
      </c>
      <c r="S23" s="110">
        <v>150</v>
      </c>
      <c r="T23" s="120"/>
      <c r="U23" s="120"/>
      <c r="V23" s="140"/>
    </row>
    <row r="24" spans="1:26" ht="14">
      <c r="A24" s="28" t="s">
        <v>26</v>
      </c>
      <c r="B24" s="126"/>
      <c r="C24" s="110">
        <v>0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20"/>
      <c r="U24" s="120"/>
      <c r="V24" s="140"/>
    </row>
    <row r="25" spans="1:26" ht="14">
      <c r="A25" s="28" t="s">
        <v>27</v>
      </c>
      <c r="B25" s="126"/>
      <c r="C25" s="110">
        <v>0</v>
      </c>
      <c r="D25" s="110">
        <v>500</v>
      </c>
      <c r="E25" s="110">
        <v>500</v>
      </c>
      <c r="F25" s="110">
        <v>500</v>
      </c>
      <c r="G25" s="110">
        <v>500</v>
      </c>
      <c r="H25" s="110">
        <v>500</v>
      </c>
      <c r="I25" s="110">
        <v>500</v>
      </c>
      <c r="J25" s="110">
        <v>500</v>
      </c>
      <c r="K25" s="110">
        <v>500</v>
      </c>
      <c r="L25" s="110">
        <v>500</v>
      </c>
      <c r="M25" s="110">
        <v>500</v>
      </c>
      <c r="N25" s="110">
        <v>500</v>
      </c>
      <c r="O25" s="110">
        <v>500</v>
      </c>
      <c r="P25" s="110">
        <v>500</v>
      </c>
      <c r="Q25" s="110">
        <v>500</v>
      </c>
      <c r="R25" s="110">
        <v>500</v>
      </c>
      <c r="S25" s="110">
        <v>500</v>
      </c>
      <c r="T25" s="120"/>
      <c r="U25" s="120"/>
      <c r="V25" s="140"/>
    </row>
    <row r="26" spans="1:26" ht="14">
      <c r="A26" s="28" t="s">
        <v>28</v>
      </c>
      <c r="B26" s="126"/>
      <c r="C26" s="110">
        <v>500</v>
      </c>
      <c r="D26" s="110">
        <v>500</v>
      </c>
      <c r="E26" s="110">
        <v>500</v>
      </c>
      <c r="F26" s="110">
        <v>500</v>
      </c>
      <c r="G26" s="110">
        <v>500</v>
      </c>
      <c r="H26" s="110">
        <v>500</v>
      </c>
      <c r="I26" s="110">
        <v>500</v>
      </c>
      <c r="J26" s="110">
        <v>500</v>
      </c>
      <c r="K26" s="110">
        <v>500</v>
      </c>
      <c r="L26" s="110">
        <v>500</v>
      </c>
      <c r="M26" s="110">
        <v>500</v>
      </c>
      <c r="N26" s="110">
        <v>500</v>
      </c>
      <c r="O26" s="110">
        <v>500</v>
      </c>
      <c r="P26" s="110">
        <v>500</v>
      </c>
      <c r="Q26" s="110">
        <v>500</v>
      </c>
      <c r="R26" s="110">
        <v>500</v>
      </c>
      <c r="S26" s="110">
        <v>500</v>
      </c>
      <c r="T26" s="120"/>
      <c r="U26" s="120"/>
      <c r="V26" s="140"/>
    </row>
    <row r="27" spans="1:26" ht="14">
      <c r="B27" s="126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</row>
    <row r="28" spans="1:26" ht="14">
      <c r="A28" s="149" t="s">
        <v>65</v>
      </c>
      <c r="B28" s="150">
        <f t="shared" ref="B28:S28" si="9">SUM(B17:B26)</f>
        <v>0</v>
      </c>
      <c r="C28" s="151">
        <f t="shared" si="9"/>
        <v>2150</v>
      </c>
      <c r="D28" s="151">
        <f t="shared" si="9"/>
        <v>3150</v>
      </c>
      <c r="E28" s="151">
        <f t="shared" si="9"/>
        <v>3650</v>
      </c>
      <c r="F28" s="151">
        <f t="shared" si="9"/>
        <v>8650</v>
      </c>
      <c r="G28" s="151">
        <f t="shared" si="9"/>
        <v>8650</v>
      </c>
      <c r="H28" s="151">
        <f t="shared" si="9"/>
        <v>8650</v>
      </c>
      <c r="I28" s="151">
        <f t="shared" si="9"/>
        <v>9150</v>
      </c>
      <c r="J28" s="151">
        <f t="shared" si="9"/>
        <v>9150</v>
      </c>
      <c r="K28" s="151">
        <f t="shared" si="9"/>
        <v>9150</v>
      </c>
      <c r="L28" s="151">
        <f t="shared" si="9"/>
        <v>9150</v>
      </c>
      <c r="M28" s="151">
        <f t="shared" si="9"/>
        <v>9150</v>
      </c>
      <c r="N28" s="151">
        <f t="shared" si="9"/>
        <v>9150</v>
      </c>
      <c r="O28" s="151">
        <f t="shared" si="9"/>
        <v>9150</v>
      </c>
      <c r="P28" s="151">
        <f t="shared" si="9"/>
        <v>9150</v>
      </c>
      <c r="Q28" s="151">
        <f t="shared" si="9"/>
        <v>9150</v>
      </c>
      <c r="R28" s="151">
        <f t="shared" si="9"/>
        <v>9150</v>
      </c>
      <c r="S28" s="151">
        <f t="shared" si="9"/>
        <v>9150</v>
      </c>
      <c r="T28" s="151"/>
      <c r="U28" s="151"/>
      <c r="V28" s="149"/>
      <c r="W28" s="149"/>
      <c r="X28" s="149"/>
      <c r="Y28" s="149"/>
      <c r="Z28" s="149"/>
    </row>
    <row r="29" spans="1:26" ht="14">
      <c r="B29" s="152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</row>
    <row r="30" spans="1:26" ht="14">
      <c r="B30" s="152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</row>
    <row r="31" spans="1:26" ht="14">
      <c r="B31" s="152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</row>
    <row r="32" spans="1:26" ht="14">
      <c r="B32" s="15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</row>
    <row r="33" spans="2:21" ht="14">
      <c r="B33" s="152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</row>
    <row r="34" spans="2:21" ht="14">
      <c r="B34" s="152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</row>
    <row r="35" spans="2:21" ht="14">
      <c r="B35" s="152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</row>
    <row r="36" spans="2:21" ht="14">
      <c r="B36" s="152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</row>
    <row r="37" spans="2:21" ht="14">
      <c r="B37" s="15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 spans="2:21" ht="14">
      <c r="B38" s="152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</row>
    <row r="39" spans="2:21" ht="14">
      <c r="B39" s="15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spans="2:21" ht="14">
      <c r="B40" s="15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spans="2:21" ht="14">
      <c r="B41" s="152"/>
    </row>
    <row r="42" spans="2:21" ht="14">
      <c r="B42" s="152"/>
    </row>
    <row r="43" spans="2:21" ht="14">
      <c r="B43" s="152"/>
    </row>
    <row r="44" spans="2:21" ht="14">
      <c r="B44" s="152"/>
    </row>
    <row r="45" spans="2:21" ht="14">
      <c r="B45" s="152"/>
    </row>
    <row r="46" spans="2:21" ht="14">
      <c r="B46" s="152"/>
    </row>
    <row r="47" spans="2:21" ht="14">
      <c r="B47" s="152"/>
    </row>
    <row r="48" spans="2:21" ht="14">
      <c r="B48" s="152"/>
    </row>
    <row r="49" spans="2:2" ht="14">
      <c r="B49" s="152"/>
    </row>
    <row r="50" spans="2:2" ht="14">
      <c r="B50" s="152"/>
    </row>
    <row r="51" spans="2:2" ht="14">
      <c r="B51" s="152"/>
    </row>
    <row r="52" spans="2:2" ht="14">
      <c r="B52" s="152"/>
    </row>
    <row r="53" spans="2:2" ht="14">
      <c r="B53" s="152"/>
    </row>
    <row r="54" spans="2:2" ht="14">
      <c r="B54" s="152"/>
    </row>
    <row r="55" spans="2:2" ht="14">
      <c r="B55" s="152"/>
    </row>
    <row r="56" spans="2:2" ht="14">
      <c r="B56" s="152"/>
    </row>
    <row r="57" spans="2:2" ht="14">
      <c r="B57" s="152"/>
    </row>
    <row r="58" spans="2:2" ht="14">
      <c r="B58" s="152"/>
    </row>
    <row r="59" spans="2:2" ht="14">
      <c r="B59" s="152"/>
    </row>
    <row r="60" spans="2:2" ht="14">
      <c r="B60" s="152"/>
    </row>
    <row r="61" spans="2:2" ht="14">
      <c r="B61" s="152"/>
    </row>
    <row r="62" spans="2:2" ht="14">
      <c r="B62" s="152"/>
    </row>
    <row r="63" spans="2:2" ht="14">
      <c r="B63" s="152"/>
    </row>
    <row r="64" spans="2:2" ht="14">
      <c r="B64" s="152"/>
    </row>
    <row r="65" spans="2:2" ht="14">
      <c r="B65" s="152"/>
    </row>
    <row r="66" spans="2:2" ht="14">
      <c r="B66" s="152"/>
    </row>
    <row r="67" spans="2:2" ht="14">
      <c r="B67" s="152"/>
    </row>
    <row r="68" spans="2:2" ht="14">
      <c r="B68" s="152"/>
    </row>
    <row r="69" spans="2:2" ht="14">
      <c r="B69" s="152"/>
    </row>
    <row r="70" spans="2:2" ht="14">
      <c r="B70" s="152"/>
    </row>
    <row r="71" spans="2:2" ht="14">
      <c r="B71" s="152"/>
    </row>
    <row r="72" spans="2:2" ht="14">
      <c r="B72" s="152"/>
    </row>
    <row r="73" spans="2:2" ht="14">
      <c r="B73" s="152"/>
    </row>
    <row r="74" spans="2:2" ht="14">
      <c r="B74" s="152"/>
    </row>
    <row r="75" spans="2:2" ht="14">
      <c r="B75" s="152"/>
    </row>
    <row r="76" spans="2:2" ht="14">
      <c r="B76" s="152"/>
    </row>
    <row r="77" spans="2:2" ht="14">
      <c r="B77" s="152"/>
    </row>
    <row r="78" spans="2:2" ht="14">
      <c r="B78" s="152"/>
    </row>
    <row r="79" spans="2:2" ht="14">
      <c r="B79" s="152"/>
    </row>
    <row r="80" spans="2:2" ht="14">
      <c r="B80" s="152"/>
    </row>
    <row r="81" spans="2:2" ht="14">
      <c r="B81" s="152"/>
    </row>
    <row r="82" spans="2:2" ht="14">
      <c r="B82" s="152"/>
    </row>
    <row r="83" spans="2:2" ht="14">
      <c r="B83" s="152"/>
    </row>
    <row r="84" spans="2:2" ht="14">
      <c r="B84" s="152"/>
    </row>
    <row r="85" spans="2:2" ht="14">
      <c r="B85" s="152"/>
    </row>
    <row r="86" spans="2:2" ht="14">
      <c r="B86" s="152"/>
    </row>
    <row r="87" spans="2:2" ht="14">
      <c r="B87" s="152"/>
    </row>
    <row r="88" spans="2:2" ht="14">
      <c r="B88" s="152"/>
    </row>
    <row r="89" spans="2:2" ht="14">
      <c r="B89" s="152"/>
    </row>
    <row r="90" spans="2:2" ht="14">
      <c r="B90" s="152"/>
    </row>
    <row r="91" spans="2:2" ht="14">
      <c r="B91" s="152"/>
    </row>
    <row r="92" spans="2:2" ht="14">
      <c r="B92" s="152"/>
    </row>
    <row r="93" spans="2:2" ht="14">
      <c r="B93" s="152"/>
    </row>
    <row r="94" spans="2:2" ht="14">
      <c r="B94" s="152"/>
    </row>
    <row r="95" spans="2:2" ht="14">
      <c r="B95" s="152"/>
    </row>
    <row r="96" spans="2:2" ht="14">
      <c r="B96" s="152"/>
    </row>
    <row r="97" spans="2:2" ht="14">
      <c r="B97" s="152"/>
    </row>
    <row r="98" spans="2:2" ht="14">
      <c r="B98" s="152"/>
    </row>
    <row r="99" spans="2:2" ht="14">
      <c r="B99" s="152"/>
    </row>
    <row r="100" spans="2:2" ht="14">
      <c r="B100" s="152"/>
    </row>
    <row r="101" spans="2:2" ht="14">
      <c r="B101" s="152"/>
    </row>
    <row r="102" spans="2:2" ht="14">
      <c r="B102" s="152"/>
    </row>
    <row r="103" spans="2:2" ht="14">
      <c r="B103" s="152"/>
    </row>
    <row r="104" spans="2:2" ht="14">
      <c r="B104" s="152"/>
    </row>
    <row r="105" spans="2:2" ht="14">
      <c r="B105" s="152"/>
    </row>
    <row r="106" spans="2:2" ht="14">
      <c r="B106" s="152"/>
    </row>
    <row r="107" spans="2:2" ht="14">
      <c r="B107" s="152"/>
    </row>
    <row r="108" spans="2:2" ht="14">
      <c r="B108" s="152"/>
    </row>
    <row r="109" spans="2:2" ht="14">
      <c r="B109" s="152"/>
    </row>
    <row r="110" spans="2:2" ht="14">
      <c r="B110" s="152"/>
    </row>
    <row r="111" spans="2:2" ht="14">
      <c r="B111" s="152"/>
    </row>
    <row r="112" spans="2:2" ht="14">
      <c r="B112" s="152"/>
    </row>
    <row r="113" spans="2:2" ht="14">
      <c r="B113" s="152"/>
    </row>
    <row r="114" spans="2:2" ht="14">
      <c r="B114" s="152"/>
    </row>
    <row r="115" spans="2:2" ht="14">
      <c r="B115" s="152"/>
    </row>
    <row r="116" spans="2:2" ht="14">
      <c r="B116" s="152"/>
    </row>
    <row r="117" spans="2:2" ht="14">
      <c r="B117" s="152"/>
    </row>
    <row r="118" spans="2:2" ht="14">
      <c r="B118" s="152"/>
    </row>
    <row r="119" spans="2:2" ht="14">
      <c r="B119" s="152"/>
    </row>
    <row r="120" spans="2:2" ht="14">
      <c r="B120" s="152"/>
    </row>
    <row r="121" spans="2:2" ht="14">
      <c r="B121" s="152"/>
    </row>
    <row r="122" spans="2:2" ht="14">
      <c r="B122" s="152"/>
    </row>
    <row r="123" spans="2:2" ht="14">
      <c r="B123" s="152"/>
    </row>
    <row r="124" spans="2:2" ht="14">
      <c r="B124" s="152"/>
    </row>
    <row r="125" spans="2:2" ht="14">
      <c r="B125" s="152"/>
    </row>
    <row r="126" spans="2:2" ht="14">
      <c r="B126" s="152"/>
    </row>
    <row r="127" spans="2:2" ht="14">
      <c r="B127" s="152"/>
    </row>
    <row r="128" spans="2:2" ht="14">
      <c r="B128" s="152"/>
    </row>
    <row r="129" spans="2:2" ht="14">
      <c r="B129" s="152"/>
    </row>
    <row r="130" spans="2:2" ht="14">
      <c r="B130" s="152"/>
    </row>
    <row r="131" spans="2:2" ht="14">
      <c r="B131" s="152"/>
    </row>
    <row r="132" spans="2:2" ht="14">
      <c r="B132" s="152"/>
    </row>
    <row r="133" spans="2:2" ht="14">
      <c r="B133" s="152"/>
    </row>
    <row r="134" spans="2:2" ht="14">
      <c r="B134" s="152"/>
    </row>
    <row r="135" spans="2:2" ht="14">
      <c r="B135" s="152"/>
    </row>
    <row r="136" spans="2:2" ht="14">
      <c r="B136" s="152"/>
    </row>
    <row r="137" spans="2:2" ht="14">
      <c r="B137" s="152"/>
    </row>
    <row r="138" spans="2:2" ht="14">
      <c r="B138" s="152"/>
    </row>
    <row r="139" spans="2:2" ht="14">
      <c r="B139" s="152"/>
    </row>
    <row r="140" spans="2:2" ht="14">
      <c r="B140" s="152"/>
    </row>
    <row r="141" spans="2:2" ht="14">
      <c r="B141" s="152"/>
    </row>
    <row r="142" spans="2:2" ht="14">
      <c r="B142" s="152"/>
    </row>
    <row r="143" spans="2:2" ht="14">
      <c r="B143" s="152"/>
    </row>
    <row r="144" spans="2:2" ht="14">
      <c r="B144" s="152"/>
    </row>
    <row r="145" spans="2:2" ht="14">
      <c r="B145" s="152"/>
    </row>
    <row r="146" spans="2:2" ht="14">
      <c r="B146" s="152"/>
    </row>
    <row r="147" spans="2:2" ht="14">
      <c r="B147" s="152"/>
    </row>
    <row r="148" spans="2:2" ht="14">
      <c r="B148" s="152"/>
    </row>
    <row r="149" spans="2:2" ht="14">
      <c r="B149" s="152"/>
    </row>
    <row r="150" spans="2:2" ht="14">
      <c r="B150" s="152"/>
    </row>
    <row r="151" spans="2:2" ht="14">
      <c r="B151" s="152"/>
    </row>
    <row r="152" spans="2:2" ht="14">
      <c r="B152" s="152"/>
    </row>
    <row r="153" spans="2:2" ht="14">
      <c r="B153" s="152"/>
    </row>
    <row r="154" spans="2:2" ht="14">
      <c r="B154" s="152"/>
    </row>
    <row r="155" spans="2:2" ht="14">
      <c r="B155" s="152"/>
    </row>
    <row r="156" spans="2:2" ht="14">
      <c r="B156" s="152"/>
    </row>
    <row r="157" spans="2:2" ht="14">
      <c r="B157" s="152"/>
    </row>
    <row r="158" spans="2:2" ht="14">
      <c r="B158" s="152"/>
    </row>
    <row r="159" spans="2:2" ht="14">
      <c r="B159" s="152"/>
    </row>
    <row r="160" spans="2:2" ht="14">
      <c r="B160" s="152"/>
    </row>
    <row r="161" spans="2:2" ht="14">
      <c r="B161" s="152"/>
    </row>
    <row r="162" spans="2:2" ht="14">
      <c r="B162" s="152"/>
    </row>
    <row r="163" spans="2:2" ht="14">
      <c r="B163" s="152"/>
    </row>
    <row r="164" spans="2:2" ht="14">
      <c r="B164" s="152"/>
    </row>
    <row r="165" spans="2:2" ht="14">
      <c r="B165" s="152"/>
    </row>
    <row r="166" spans="2:2" ht="14">
      <c r="B166" s="152"/>
    </row>
    <row r="167" spans="2:2" ht="14">
      <c r="B167" s="152"/>
    </row>
    <row r="168" spans="2:2" ht="14">
      <c r="B168" s="152"/>
    </row>
    <row r="169" spans="2:2" ht="14">
      <c r="B169" s="152"/>
    </row>
    <row r="170" spans="2:2" ht="14">
      <c r="B170" s="152"/>
    </row>
    <row r="171" spans="2:2" ht="14">
      <c r="B171" s="152"/>
    </row>
    <row r="172" spans="2:2" ht="14">
      <c r="B172" s="152"/>
    </row>
    <row r="173" spans="2:2" ht="14">
      <c r="B173" s="152"/>
    </row>
    <row r="174" spans="2:2" ht="14">
      <c r="B174" s="152"/>
    </row>
    <row r="175" spans="2:2" ht="14">
      <c r="B175" s="152"/>
    </row>
    <row r="176" spans="2:2" ht="14">
      <c r="B176" s="152"/>
    </row>
    <row r="177" spans="2:2" ht="14">
      <c r="B177" s="152"/>
    </row>
    <row r="178" spans="2:2" ht="14">
      <c r="B178" s="152"/>
    </row>
    <row r="179" spans="2:2" ht="14">
      <c r="B179" s="152"/>
    </row>
    <row r="180" spans="2:2" ht="14">
      <c r="B180" s="152"/>
    </row>
    <row r="181" spans="2:2" ht="14">
      <c r="B181" s="152"/>
    </row>
    <row r="182" spans="2:2" ht="14">
      <c r="B182" s="152"/>
    </row>
    <row r="183" spans="2:2" ht="14">
      <c r="B183" s="152"/>
    </row>
    <row r="184" spans="2:2" ht="14">
      <c r="B184" s="152"/>
    </row>
    <row r="185" spans="2:2" ht="14">
      <c r="B185" s="152"/>
    </row>
    <row r="186" spans="2:2" ht="14">
      <c r="B186" s="152"/>
    </row>
    <row r="187" spans="2:2" ht="14">
      <c r="B187" s="152"/>
    </row>
    <row r="188" spans="2:2" ht="14">
      <c r="B188" s="152"/>
    </row>
    <row r="189" spans="2:2" ht="14">
      <c r="B189" s="152"/>
    </row>
    <row r="190" spans="2:2" ht="14">
      <c r="B190" s="152"/>
    </row>
    <row r="191" spans="2:2" ht="14">
      <c r="B191" s="152"/>
    </row>
    <row r="192" spans="2:2" ht="14">
      <c r="B192" s="152"/>
    </row>
    <row r="193" spans="2:2" ht="14">
      <c r="B193" s="152"/>
    </row>
    <row r="194" spans="2:2" ht="14">
      <c r="B194" s="152"/>
    </row>
    <row r="195" spans="2:2" ht="14">
      <c r="B195" s="152"/>
    </row>
    <row r="196" spans="2:2" ht="14">
      <c r="B196" s="152"/>
    </row>
    <row r="197" spans="2:2" ht="14">
      <c r="B197" s="152"/>
    </row>
    <row r="198" spans="2:2" ht="14">
      <c r="B198" s="152"/>
    </row>
    <row r="199" spans="2:2" ht="14">
      <c r="B199" s="152"/>
    </row>
    <row r="200" spans="2:2" ht="14">
      <c r="B200" s="152"/>
    </row>
    <row r="201" spans="2:2" ht="14">
      <c r="B201" s="152"/>
    </row>
    <row r="202" spans="2:2" ht="14">
      <c r="B202" s="152"/>
    </row>
    <row r="203" spans="2:2" ht="14">
      <c r="B203" s="152"/>
    </row>
    <row r="204" spans="2:2" ht="14">
      <c r="B204" s="152"/>
    </row>
    <row r="205" spans="2:2" ht="14">
      <c r="B205" s="152"/>
    </row>
    <row r="206" spans="2:2" ht="14">
      <c r="B206" s="152"/>
    </row>
    <row r="207" spans="2:2" ht="14">
      <c r="B207" s="152"/>
    </row>
    <row r="208" spans="2:2" ht="14">
      <c r="B208" s="152"/>
    </row>
    <row r="209" spans="2:2" ht="14">
      <c r="B209" s="152"/>
    </row>
    <row r="210" spans="2:2" ht="14">
      <c r="B210" s="152"/>
    </row>
    <row r="211" spans="2:2" ht="14">
      <c r="B211" s="152"/>
    </row>
    <row r="212" spans="2:2" ht="14">
      <c r="B212" s="152"/>
    </row>
    <row r="213" spans="2:2" ht="14">
      <c r="B213" s="152"/>
    </row>
    <row r="214" spans="2:2" ht="14">
      <c r="B214" s="152"/>
    </row>
    <row r="215" spans="2:2" ht="14">
      <c r="B215" s="152"/>
    </row>
    <row r="216" spans="2:2" ht="14">
      <c r="B216" s="152"/>
    </row>
    <row r="217" spans="2:2" ht="14">
      <c r="B217" s="152"/>
    </row>
    <row r="218" spans="2:2" ht="14">
      <c r="B218" s="152"/>
    </row>
    <row r="219" spans="2:2" ht="14">
      <c r="B219" s="152"/>
    </row>
    <row r="220" spans="2:2" ht="14">
      <c r="B220" s="152"/>
    </row>
    <row r="221" spans="2:2" ht="14">
      <c r="B221" s="152"/>
    </row>
    <row r="222" spans="2:2" ht="14">
      <c r="B222" s="152"/>
    </row>
    <row r="223" spans="2:2" ht="14">
      <c r="B223" s="152"/>
    </row>
    <row r="224" spans="2:2" ht="14">
      <c r="B224" s="152"/>
    </row>
    <row r="225" spans="2:2" ht="14">
      <c r="B225" s="152"/>
    </row>
    <row r="226" spans="2:2" ht="14">
      <c r="B226" s="152"/>
    </row>
    <row r="227" spans="2:2" ht="14">
      <c r="B227" s="152"/>
    </row>
    <row r="228" spans="2:2" ht="14">
      <c r="B228" s="152"/>
    </row>
    <row r="229" spans="2:2" ht="14">
      <c r="B229" s="152"/>
    </row>
    <row r="230" spans="2:2" ht="14">
      <c r="B230" s="152"/>
    </row>
    <row r="231" spans="2:2" ht="14">
      <c r="B231" s="152"/>
    </row>
    <row r="232" spans="2:2" ht="14">
      <c r="B232" s="152"/>
    </row>
    <row r="233" spans="2:2" ht="14">
      <c r="B233" s="152"/>
    </row>
    <row r="234" spans="2:2" ht="14">
      <c r="B234" s="152"/>
    </row>
    <row r="235" spans="2:2" ht="14">
      <c r="B235" s="152"/>
    </row>
    <row r="236" spans="2:2" ht="14">
      <c r="B236" s="152"/>
    </row>
    <row r="237" spans="2:2" ht="14">
      <c r="B237" s="152"/>
    </row>
    <row r="238" spans="2:2" ht="14">
      <c r="B238" s="152"/>
    </row>
    <row r="239" spans="2:2" ht="14">
      <c r="B239" s="152"/>
    </row>
    <row r="240" spans="2:2" ht="14">
      <c r="B240" s="152"/>
    </row>
    <row r="241" spans="2:2" ht="14">
      <c r="B241" s="152"/>
    </row>
    <row r="242" spans="2:2" ht="14">
      <c r="B242" s="152"/>
    </row>
    <row r="243" spans="2:2" ht="14">
      <c r="B243" s="152"/>
    </row>
    <row r="244" spans="2:2" ht="14">
      <c r="B244" s="152"/>
    </row>
    <row r="245" spans="2:2" ht="14">
      <c r="B245" s="152"/>
    </row>
    <row r="246" spans="2:2" ht="14">
      <c r="B246" s="152"/>
    </row>
    <row r="247" spans="2:2" ht="14">
      <c r="B247" s="152"/>
    </row>
    <row r="248" spans="2:2" ht="14">
      <c r="B248" s="152"/>
    </row>
    <row r="249" spans="2:2" ht="14">
      <c r="B249" s="152"/>
    </row>
    <row r="250" spans="2:2" ht="14">
      <c r="B250" s="152"/>
    </row>
    <row r="251" spans="2:2" ht="14">
      <c r="B251" s="152"/>
    </row>
    <row r="252" spans="2:2" ht="14">
      <c r="B252" s="152"/>
    </row>
    <row r="253" spans="2:2" ht="14">
      <c r="B253" s="152"/>
    </row>
    <row r="254" spans="2:2" ht="14">
      <c r="B254" s="152"/>
    </row>
    <row r="255" spans="2:2" ht="14">
      <c r="B255" s="152"/>
    </row>
    <row r="256" spans="2:2" ht="14">
      <c r="B256" s="152"/>
    </row>
    <row r="257" spans="2:2" ht="14">
      <c r="B257" s="152"/>
    </row>
    <row r="258" spans="2:2" ht="14">
      <c r="B258" s="152"/>
    </row>
    <row r="259" spans="2:2" ht="14">
      <c r="B259" s="152"/>
    </row>
    <row r="260" spans="2:2" ht="14">
      <c r="B260" s="152"/>
    </row>
    <row r="261" spans="2:2" ht="14">
      <c r="B261" s="152"/>
    </row>
    <row r="262" spans="2:2" ht="14">
      <c r="B262" s="152"/>
    </row>
    <row r="263" spans="2:2" ht="14">
      <c r="B263" s="152"/>
    </row>
    <row r="264" spans="2:2" ht="14">
      <c r="B264" s="152"/>
    </row>
    <row r="265" spans="2:2" ht="14">
      <c r="B265" s="152"/>
    </row>
    <row r="266" spans="2:2" ht="14">
      <c r="B266" s="152"/>
    </row>
    <row r="267" spans="2:2" ht="14">
      <c r="B267" s="152"/>
    </row>
    <row r="268" spans="2:2" ht="14">
      <c r="B268" s="152"/>
    </row>
    <row r="269" spans="2:2" ht="14">
      <c r="B269" s="152"/>
    </row>
    <row r="270" spans="2:2" ht="14">
      <c r="B270" s="152"/>
    </row>
    <row r="271" spans="2:2" ht="14">
      <c r="B271" s="152"/>
    </row>
    <row r="272" spans="2:2" ht="14">
      <c r="B272" s="152"/>
    </row>
    <row r="273" spans="2:2" ht="14">
      <c r="B273" s="152"/>
    </row>
    <row r="274" spans="2:2" ht="14">
      <c r="B274" s="152"/>
    </row>
    <row r="275" spans="2:2" ht="14">
      <c r="B275" s="152"/>
    </row>
    <row r="276" spans="2:2" ht="14">
      <c r="B276" s="152"/>
    </row>
    <row r="277" spans="2:2" ht="14">
      <c r="B277" s="152"/>
    </row>
    <row r="278" spans="2:2" ht="14">
      <c r="B278" s="152"/>
    </row>
    <row r="279" spans="2:2" ht="14">
      <c r="B279" s="152"/>
    </row>
    <row r="280" spans="2:2" ht="14">
      <c r="B280" s="152"/>
    </row>
    <row r="281" spans="2:2" ht="14">
      <c r="B281" s="152"/>
    </row>
    <row r="282" spans="2:2" ht="14">
      <c r="B282" s="152"/>
    </row>
    <row r="283" spans="2:2" ht="14">
      <c r="B283" s="152"/>
    </row>
    <row r="284" spans="2:2" ht="14">
      <c r="B284" s="152"/>
    </row>
    <row r="285" spans="2:2" ht="14">
      <c r="B285" s="152"/>
    </row>
    <row r="286" spans="2:2" ht="14">
      <c r="B286" s="152"/>
    </row>
    <row r="287" spans="2:2" ht="14">
      <c r="B287" s="152"/>
    </row>
    <row r="288" spans="2:2" ht="14">
      <c r="B288" s="152"/>
    </row>
    <row r="289" spans="2:2" ht="14">
      <c r="B289" s="152"/>
    </row>
    <row r="290" spans="2:2" ht="14">
      <c r="B290" s="152"/>
    </row>
    <row r="291" spans="2:2" ht="14">
      <c r="B291" s="152"/>
    </row>
    <row r="292" spans="2:2" ht="14">
      <c r="B292" s="152"/>
    </row>
    <row r="293" spans="2:2" ht="14">
      <c r="B293" s="152"/>
    </row>
    <row r="294" spans="2:2" ht="14">
      <c r="B294" s="152"/>
    </row>
    <row r="295" spans="2:2" ht="14">
      <c r="B295" s="152"/>
    </row>
    <row r="296" spans="2:2" ht="14">
      <c r="B296" s="152"/>
    </row>
    <row r="297" spans="2:2" ht="14">
      <c r="B297" s="152"/>
    </row>
    <row r="298" spans="2:2" ht="14">
      <c r="B298" s="152"/>
    </row>
    <row r="299" spans="2:2" ht="14">
      <c r="B299" s="152"/>
    </row>
    <row r="300" spans="2:2" ht="14">
      <c r="B300" s="152"/>
    </row>
    <row r="301" spans="2:2" ht="14">
      <c r="B301" s="152"/>
    </row>
    <row r="302" spans="2:2" ht="14">
      <c r="B302" s="152"/>
    </row>
    <row r="303" spans="2:2" ht="14">
      <c r="B303" s="152"/>
    </row>
    <row r="304" spans="2:2" ht="14">
      <c r="B304" s="152"/>
    </row>
    <row r="305" spans="2:2" ht="14">
      <c r="B305" s="152"/>
    </row>
    <row r="306" spans="2:2" ht="14">
      <c r="B306" s="152"/>
    </row>
    <row r="307" spans="2:2" ht="14">
      <c r="B307" s="152"/>
    </row>
    <row r="308" spans="2:2" ht="14">
      <c r="B308" s="152"/>
    </row>
    <row r="309" spans="2:2" ht="14">
      <c r="B309" s="152"/>
    </row>
    <row r="310" spans="2:2" ht="14">
      <c r="B310" s="152"/>
    </row>
    <row r="311" spans="2:2" ht="14">
      <c r="B311" s="152"/>
    </row>
    <row r="312" spans="2:2" ht="14">
      <c r="B312" s="152"/>
    </row>
    <row r="313" spans="2:2" ht="14">
      <c r="B313" s="152"/>
    </row>
    <row r="314" spans="2:2" ht="14">
      <c r="B314" s="152"/>
    </row>
    <row r="315" spans="2:2" ht="14">
      <c r="B315" s="152"/>
    </row>
    <row r="316" spans="2:2" ht="14">
      <c r="B316" s="152"/>
    </row>
    <row r="317" spans="2:2" ht="14">
      <c r="B317" s="152"/>
    </row>
    <row r="318" spans="2:2" ht="14">
      <c r="B318" s="152"/>
    </row>
    <row r="319" spans="2:2" ht="14">
      <c r="B319" s="152"/>
    </row>
    <row r="320" spans="2:2" ht="14">
      <c r="B320" s="152"/>
    </row>
    <row r="321" spans="2:2" ht="14">
      <c r="B321" s="152"/>
    </row>
    <row r="322" spans="2:2" ht="14">
      <c r="B322" s="152"/>
    </row>
    <row r="323" spans="2:2" ht="14">
      <c r="B323" s="152"/>
    </row>
    <row r="324" spans="2:2" ht="14">
      <c r="B324" s="152"/>
    </row>
    <row r="325" spans="2:2" ht="14">
      <c r="B325" s="152"/>
    </row>
    <row r="326" spans="2:2" ht="14">
      <c r="B326" s="152"/>
    </row>
    <row r="327" spans="2:2" ht="14">
      <c r="B327" s="152"/>
    </row>
    <row r="328" spans="2:2" ht="14">
      <c r="B328" s="152"/>
    </row>
    <row r="329" spans="2:2" ht="14">
      <c r="B329" s="152"/>
    </row>
    <row r="330" spans="2:2" ht="14">
      <c r="B330" s="152"/>
    </row>
    <row r="331" spans="2:2" ht="14">
      <c r="B331" s="152"/>
    </row>
    <row r="332" spans="2:2" ht="14">
      <c r="B332" s="152"/>
    </row>
    <row r="333" spans="2:2" ht="14">
      <c r="B333" s="152"/>
    </row>
    <row r="334" spans="2:2" ht="14">
      <c r="B334" s="152"/>
    </row>
    <row r="335" spans="2:2" ht="14">
      <c r="B335" s="152"/>
    </row>
    <row r="336" spans="2:2" ht="14">
      <c r="B336" s="152"/>
    </row>
    <row r="337" spans="2:2" ht="14">
      <c r="B337" s="152"/>
    </row>
    <row r="338" spans="2:2" ht="14">
      <c r="B338" s="152"/>
    </row>
    <row r="339" spans="2:2" ht="14">
      <c r="B339" s="152"/>
    </row>
    <row r="340" spans="2:2" ht="14">
      <c r="B340" s="152"/>
    </row>
    <row r="341" spans="2:2" ht="14">
      <c r="B341" s="152"/>
    </row>
    <row r="342" spans="2:2" ht="14">
      <c r="B342" s="152"/>
    </row>
    <row r="343" spans="2:2" ht="14">
      <c r="B343" s="152"/>
    </row>
    <row r="344" spans="2:2" ht="14">
      <c r="B344" s="152"/>
    </row>
    <row r="345" spans="2:2" ht="14">
      <c r="B345" s="152"/>
    </row>
    <row r="346" spans="2:2" ht="14">
      <c r="B346" s="152"/>
    </row>
    <row r="347" spans="2:2" ht="14">
      <c r="B347" s="152"/>
    </row>
    <row r="348" spans="2:2" ht="14">
      <c r="B348" s="152"/>
    </row>
    <row r="349" spans="2:2" ht="14">
      <c r="B349" s="152"/>
    </row>
    <row r="350" spans="2:2" ht="14">
      <c r="B350" s="152"/>
    </row>
    <row r="351" spans="2:2" ht="14">
      <c r="B351" s="152"/>
    </row>
    <row r="352" spans="2:2" ht="14">
      <c r="B352" s="152"/>
    </row>
    <row r="353" spans="2:2" ht="14">
      <c r="B353" s="152"/>
    </row>
    <row r="354" spans="2:2" ht="14">
      <c r="B354" s="152"/>
    </row>
    <row r="355" spans="2:2" ht="14">
      <c r="B355" s="152"/>
    </row>
    <row r="356" spans="2:2" ht="14">
      <c r="B356" s="152"/>
    </row>
    <row r="357" spans="2:2" ht="14">
      <c r="B357" s="152"/>
    </row>
    <row r="358" spans="2:2" ht="14">
      <c r="B358" s="152"/>
    </row>
    <row r="359" spans="2:2" ht="14">
      <c r="B359" s="152"/>
    </row>
    <row r="360" spans="2:2" ht="14">
      <c r="B360" s="152"/>
    </row>
    <row r="361" spans="2:2" ht="14">
      <c r="B361" s="152"/>
    </row>
    <row r="362" spans="2:2" ht="14">
      <c r="B362" s="152"/>
    </row>
    <row r="363" spans="2:2" ht="14">
      <c r="B363" s="152"/>
    </row>
    <row r="364" spans="2:2" ht="14">
      <c r="B364" s="152"/>
    </row>
    <row r="365" spans="2:2" ht="14">
      <c r="B365" s="152"/>
    </row>
    <row r="366" spans="2:2" ht="14">
      <c r="B366" s="152"/>
    </row>
    <row r="367" spans="2:2" ht="14">
      <c r="B367" s="152"/>
    </row>
    <row r="368" spans="2:2" ht="14">
      <c r="B368" s="152"/>
    </row>
    <row r="369" spans="2:2" ht="14">
      <c r="B369" s="152"/>
    </row>
    <row r="370" spans="2:2" ht="14">
      <c r="B370" s="152"/>
    </row>
    <row r="371" spans="2:2" ht="14">
      <c r="B371" s="152"/>
    </row>
    <row r="372" spans="2:2" ht="14">
      <c r="B372" s="152"/>
    </row>
    <row r="373" spans="2:2" ht="14">
      <c r="B373" s="152"/>
    </row>
    <row r="374" spans="2:2" ht="14">
      <c r="B374" s="152"/>
    </row>
    <row r="375" spans="2:2" ht="14">
      <c r="B375" s="152"/>
    </row>
    <row r="376" spans="2:2" ht="14">
      <c r="B376" s="152"/>
    </row>
    <row r="377" spans="2:2" ht="14">
      <c r="B377" s="152"/>
    </row>
    <row r="378" spans="2:2" ht="14">
      <c r="B378" s="152"/>
    </row>
    <row r="379" spans="2:2" ht="14">
      <c r="B379" s="152"/>
    </row>
    <row r="380" spans="2:2" ht="14">
      <c r="B380" s="152"/>
    </row>
    <row r="381" spans="2:2" ht="14">
      <c r="B381" s="152"/>
    </row>
    <row r="382" spans="2:2" ht="14">
      <c r="B382" s="152"/>
    </row>
    <row r="383" spans="2:2" ht="14">
      <c r="B383" s="152"/>
    </row>
    <row r="384" spans="2:2" ht="14">
      <c r="B384" s="152"/>
    </row>
    <row r="385" spans="2:2" ht="14">
      <c r="B385" s="152"/>
    </row>
    <row r="386" spans="2:2" ht="14">
      <c r="B386" s="152"/>
    </row>
    <row r="387" spans="2:2" ht="14">
      <c r="B387" s="152"/>
    </row>
    <row r="388" spans="2:2" ht="14">
      <c r="B388" s="152"/>
    </row>
    <row r="389" spans="2:2" ht="14">
      <c r="B389" s="152"/>
    </row>
    <row r="390" spans="2:2" ht="14">
      <c r="B390" s="152"/>
    </row>
    <row r="391" spans="2:2" ht="14">
      <c r="B391" s="152"/>
    </row>
    <row r="392" spans="2:2" ht="14">
      <c r="B392" s="152"/>
    </row>
    <row r="393" spans="2:2" ht="14">
      <c r="B393" s="152"/>
    </row>
    <row r="394" spans="2:2" ht="14">
      <c r="B394" s="152"/>
    </row>
    <row r="395" spans="2:2" ht="14">
      <c r="B395" s="152"/>
    </row>
    <row r="396" spans="2:2" ht="14">
      <c r="B396" s="152"/>
    </row>
    <row r="397" spans="2:2" ht="14">
      <c r="B397" s="152"/>
    </row>
    <row r="398" spans="2:2" ht="14">
      <c r="B398" s="152"/>
    </row>
    <row r="399" spans="2:2" ht="14">
      <c r="B399" s="152"/>
    </row>
    <row r="400" spans="2:2" ht="14">
      <c r="B400" s="152"/>
    </row>
    <row r="401" spans="2:2" ht="14">
      <c r="B401" s="152"/>
    </row>
    <row r="402" spans="2:2" ht="14">
      <c r="B402" s="152"/>
    </row>
    <row r="403" spans="2:2" ht="14">
      <c r="B403" s="152"/>
    </row>
    <row r="404" spans="2:2" ht="14">
      <c r="B404" s="152"/>
    </row>
    <row r="405" spans="2:2" ht="14">
      <c r="B405" s="152"/>
    </row>
    <row r="406" spans="2:2" ht="14">
      <c r="B406" s="152"/>
    </row>
    <row r="407" spans="2:2" ht="14">
      <c r="B407" s="152"/>
    </row>
    <row r="408" spans="2:2" ht="14">
      <c r="B408" s="152"/>
    </row>
    <row r="409" spans="2:2" ht="14">
      <c r="B409" s="152"/>
    </row>
    <row r="410" spans="2:2" ht="14">
      <c r="B410" s="152"/>
    </row>
    <row r="411" spans="2:2" ht="14">
      <c r="B411" s="152"/>
    </row>
    <row r="412" spans="2:2" ht="14">
      <c r="B412" s="152"/>
    </row>
    <row r="413" spans="2:2" ht="14">
      <c r="B413" s="152"/>
    </row>
    <row r="414" spans="2:2" ht="14">
      <c r="B414" s="152"/>
    </row>
    <row r="415" spans="2:2" ht="14">
      <c r="B415" s="152"/>
    </row>
    <row r="416" spans="2:2" ht="14">
      <c r="B416" s="152"/>
    </row>
    <row r="417" spans="2:2" ht="14">
      <c r="B417" s="152"/>
    </row>
    <row r="418" spans="2:2" ht="14">
      <c r="B418" s="152"/>
    </row>
    <row r="419" spans="2:2" ht="14">
      <c r="B419" s="152"/>
    </row>
    <row r="420" spans="2:2" ht="14">
      <c r="B420" s="152"/>
    </row>
    <row r="421" spans="2:2" ht="14">
      <c r="B421" s="152"/>
    </row>
    <row r="422" spans="2:2" ht="14">
      <c r="B422" s="152"/>
    </row>
    <row r="423" spans="2:2" ht="14">
      <c r="B423" s="152"/>
    </row>
    <row r="424" spans="2:2" ht="14">
      <c r="B424" s="152"/>
    </row>
    <row r="425" spans="2:2" ht="14">
      <c r="B425" s="152"/>
    </row>
    <row r="426" spans="2:2" ht="14">
      <c r="B426" s="152"/>
    </row>
    <row r="427" spans="2:2" ht="14">
      <c r="B427" s="152"/>
    </row>
    <row r="428" spans="2:2" ht="14">
      <c r="B428" s="152"/>
    </row>
    <row r="429" spans="2:2" ht="14">
      <c r="B429" s="152"/>
    </row>
    <row r="430" spans="2:2" ht="14">
      <c r="B430" s="152"/>
    </row>
    <row r="431" spans="2:2" ht="14">
      <c r="B431" s="152"/>
    </row>
    <row r="432" spans="2:2" ht="14">
      <c r="B432" s="152"/>
    </row>
    <row r="433" spans="2:2" ht="14">
      <c r="B433" s="152"/>
    </row>
    <row r="434" spans="2:2" ht="14">
      <c r="B434" s="152"/>
    </row>
    <row r="435" spans="2:2" ht="14">
      <c r="B435" s="152"/>
    </row>
    <row r="436" spans="2:2" ht="14">
      <c r="B436" s="152"/>
    </row>
    <row r="437" spans="2:2" ht="14">
      <c r="B437" s="152"/>
    </row>
    <row r="438" spans="2:2" ht="14">
      <c r="B438" s="152"/>
    </row>
    <row r="439" spans="2:2" ht="14">
      <c r="B439" s="152"/>
    </row>
    <row r="440" spans="2:2" ht="14">
      <c r="B440" s="152"/>
    </row>
    <row r="441" spans="2:2" ht="14">
      <c r="B441" s="152"/>
    </row>
    <row r="442" spans="2:2" ht="14">
      <c r="B442" s="152"/>
    </row>
    <row r="443" spans="2:2" ht="14">
      <c r="B443" s="152"/>
    </row>
    <row r="444" spans="2:2" ht="14">
      <c r="B444" s="152"/>
    </row>
    <row r="445" spans="2:2" ht="14">
      <c r="B445" s="152"/>
    </row>
    <row r="446" spans="2:2" ht="14">
      <c r="B446" s="152"/>
    </row>
    <row r="447" spans="2:2" ht="14">
      <c r="B447" s="152"/>
    </row>
    <row r="448" spans="2:2" ht="14">
      <c r="B448" s="152"/>
    </row>
    <row r="449" spans="2:2" ht="14">
      <c r="B449" s="152"/>
    </row>
    <row r="450" spans="2:2" ht="14">
      <c r="B450" s="152"/>
    </row>
    <row r="451" spans="2:2" ht="14">
      <c r="B451" s="152"/>
    </row>
    <row r="452" spans="2:2" ht="14">
      <c r="B452" s="152"/>
    </row>
    <row r="453" spans="2:2" ht="14">
      <c r="B453" s="152"/>
    </row>
    <row r="454" spans="2:2" ht="14">
      <c r="B454" s="152"/>
    </row>
    <row r="455" spans="2:2" ht="14">
      <c r="B455" s="152"/>
    </row>
    <row r="456" spans="2:2" ht="14">
      <c r="B456" s="152"/>
    </row>
    <row r="457" spans="2:2" ht="14">
      <c r="B457" s="152"/>
    </row>
    <row r="458" spans="2:2" ht="14">
      <c r="B458" s="152"/>
    </row>
    <row r="459" spans="2:2" ht="14">
      <c r="B459" s="152"/>
    </row>
    <row r="460" spans="2:2" ht="14">
      <c r="B460" s="152"/>
    </row>
    <row r="461" spans="2:2" ht="14">
      <c r="B461" s="152"/>
    </row>
    <row r="462" spans="2:2" ht="14">
      <c r="B462" s="152"/>
    </row>
    <row r="463" spans="2:2" ht="14">
      <c r="B463" s="152"/>
    </row>
    <row r="464" spans="2:2" ht="14">
      <c r="B464" s="152"/>
    </row>
    <row r="465" spans="2:2" ht="14">
      <c r="B465" s="152"/>
    </row>
    <row r="466" spans="2:2" ht="14">
      <c r="B466" s="152"/>
    </row>
    <row r="467" spans="2:2" ht="14">
      <c r="B467" s="152"/>
    </row>
    <row r="468" spans="2:2" ht="14">
      <c r="B468" s="152"/>
    </row>
    <row r="469" spans="2:2" ht="14">
      <c r="B469" s="152"/>
    </row>
    <row r="470" spans="2:2" ht="14">
      <c r="B470" s="152"/>
    </row>
    <row r="471" spans="2:2" ht="14">
      <c r="B471" s="152"/>
    </row>
    <row r="472" spans="2:2" ht="14">
      <c r="B472" s="152"/>
    </row>
    <row r="473" spans="2:2" ht="14">
      <c r="B473" s="152"/>
    </row>
    <row r="474" spans="2:2" ht="14">
      <c r="B474" s="152"/>
    </row>
    <row r="475" spans="2:2" ht="14">
      <c r="B475" s="152"/>
    </row>
    <row r="476" spans="2:2" ht="14">
      <c r="B476" s="152"/>
    </row>
    <row r="477" spans="2:2" ht="14">
      <c r="B477" s="152"/>
    </row>
    <row r="478" spans="2:2" ht="14">
      <c r="B478" s="152"/>
    </row>
    <row r="479" spans="2:2" ht="14">
      <c r="B479" s="152"/>
    </row>
    <row r="480" spans="2:2" ht="14">
      <c r="B480" s="152"/>
    </row>
    <row r="481" spans="2:2" ht="14">
      <c r="B481" s="152"/>
    </row>
    <row r="482" spans="2:2" ht="14">
      <c r="B482" s="152"/>
    </row>
    <row r="483" spans="2:2" ht="14">
      <c r="B483" s="152"/>
    </row>
    <row r="484" spans="2:2" ht="14">
      <c r="B484" s="152"/>
    </row>
    <row r="485" spans="2:2" ht="14">
      <c r="B485" s="152"/>
    </row>
    <row r="486" spans="2:2" ht="14">
      <c r="B486" s="152"/>
    </row>
    <row r="487" spans="2:2" ht="14">
      <c r="B487" s="152"/>
    </row>
    <row r="488" spans="2:2" ht="14">
      <c r="B488" s="152"/>
    </row>
    <row r="489" spans="2:2" ht="14">
      <c r="B489" s="152"/>
    </row>
    <row r="490" spans="2:2" ht="14">
      <c r="B490" s="152"/>
    </row>
    <row r="491" spans="2:2" ht="14">
      <c r="B491" s="152"/>
    </row>
    <row r="492" spans="2:2" ht="14">
      <c r="B492" s="152"/>
    </row>
    <row r="493" spans="2:2" ht="14">
      <c r="B493" s="152"/>
    </row>
    <row r="494" spans="2:2" ht="14">
      <c r="B494" s="152"/>
    </row>
    <row r="495" spans="2:2" ht="14">
      <c r="B495" s="152"/>
    </row>
    <row r="496" spans="2:2" ht="14">
      <c r="B496" s="152"/>
    </row>
    <row r="497" spans="2:2" ht="14">
      <c r="B497" s="152"/>
    </row>
    <row r="498" spans="2:2" ht="14">
      <c r="B498" s="152"/>
    </row>
    <row r="499" spans="2:2" ht="14">
      <c r="B499" s="152"/>
    </row>
    <row r="500" spans="2:2" ht="14">
      <c r="B500" s="152"/>
    </row>
    <row r="501" spans="2:2" ht="14">
      <c r="B501" s="152"/>
    </row>
    <row r="502" spans="2:2" ht="14">
      <c r="B502" s="152"/>
    </row>
    <row r="503" spans="2:2" ht="14">
      <c r="B503" s="152"/>
    </row>
    <row r="504" spans="2:2" ht="14">
      <c r="B504" s="152"/>
    </row>
    <row r="505" spans="2:2" ht="14">
      <c r="B505" s="152"/>
    </row>
    <row r="506" spans="2:2" ht="14">
      <c r="B506" s="152"/>
    </row>
    <row r="507" spans="2:2" ht="14">
      <c r="B507" s="152"/>
    </row>
    <row r="508" spans="2:2" ht="14">
      <c r="B508" s="152"/>
    </row>
    <row r="509" spans="2:2" ht="14">
      <c r="B509" s="152"/>
    </row>
    <row r="510" spans="2:2" ht="14">
      <c r="B510" s="152"/>
    </row>
    <row r="511" spans="2:2" ht="14">
      <c r="B511" s="152"/>
    </row>
    <row r="512" spans="2:2" ht="14">
      <c r="B512" s="152"/>
    </row>
    <row r="513" spans="2:2" ht="14">
      <c r="B513" s="152"/>
    </row>
    <row r="514" spans="2:2" ht="14">
      <c r="B514" s="152"/>
    </row>
    <row r="515" spans="2:2" ht="14">
      <c r="B515" s="152"/>
    </row>
    <row r="516" spans="2:2" ht="14">
      <c r="B516" s="152"/>
    </row>
    <row r="517" spans="2:2" ht="14">
      <c r="B517" s="152"/>
    </row>
    <row r="518" spans="2:2" ht="14">
      <c r="B518" s="152"/>
    </row>
    <row r="519" spans="2:2" ht="14">
      <c r="B519" s="152"/>
    </row>
    <row r="520" spans="2:2" ht="14">
      <c r="B520" s="152"/>
    </row>
    <row r="521" spans="2:2" ht="14">
      <c r="B521" s="152"/>
    </row>
    <row r="522" spans="2:2" ht="14">
      <c r="B522" s="152"/>
    </row>
    <row r="523" spans="2:2" ht="14">
      <c r="B523" s="152"/>
    </row>
    <row r="524" spans="2:2" ht="14">
      <c r="B524" s="152"/>
    </row>
    <row r="525" spans="2:2" ht="14">
      <c r="B525" s="152"/>
    </row>
    <row r="526" spans="2:2" ht="14">
      <c r="B526" s="152"/>
    </row>
    <row r="527" spans="2:2" ht="14">
      <c r="B527" s="152"/>
    </row>
    <row r="528" spans="2:2" ht="14">
      <c r="B528" s="152"/>
    </row>
    <row r="529" spans="2:2" ht="14">
      <c r="B529" s="152"/>
    </row>
    <row r="530" spans="2:2" ht="14">
      <c r="B530" s="152"/>
    </row>
    <row r="531" spans="2:2" ht="14">
      <c r="B531" s="152"/>
    </row>
    <row r="532" spans="2:2" ht="14">
      <c r="B532" s="152"/>
    </row>
    <row r="533" spans="2:2" ht="14">
      <c r="B533" s="152"/>
    </row>
    <row r="534" spans="2:2" ht="14">
      <c r="B534" s="152"/>
    </row>
    <row r="535" spans="2:2" ht="14">
      <c r="B535" s="152"/>
    </row>
    <row r="536" spans="2:2" ht="14">
      <c r="B536" s="152"/>
    </row>
    <row r="537" spans="2:2" ht="14">
      <c r="B537" s="152"/>
    </row>
    <row r="538" spans="2:2" ht="14">
      <c r="B538" s="152"/>
    </row>
    <row r="539" spans="2:2" ht="14">
      <c r="B539" s="152"/>
    </row>
    <row r="540" spans="2:2" ht="14">
      <c r="B540" s="152"/>
    </row>
    <row r="541" spans="2:2" ht="14">
      <c r="B541" s="152"/>
    </row>
    <row r="542" spans="2:2" ht="14">
      <c r="B542" s="152"/>
    </row>
    <row r="543" spans="2:2" ht="14">
      <c r="B543" s="152"/>
    </row>
    <row r="544" spans="2:2" ht="14">
      <c r="B544" s="152"/>
    </row>
    <row r="545" spans="2:2" ht="14">
      <c r="B545" s="152"/>
    </row>
    <row r="546" spans="2:2" ht="14">
      <c r="B546" s="152"/>
    </row>
    <row r="547" spans="2:2" ht="14">
      <c r="B547" s="152"/>
    </row>
    <row r="548" spans="2:2" ht="14">
      <c r="B548" s="152"/>
    </row>
    <row r="549" spans="2:2" ht="14">
      <c r="B549" s="152"/>
    </row>
    <row r="550" spans="2:2" ht="14">
      <c r="B550" s="152"/>
    </row>
    <row r="551" spans="2:2" ht="14">
      <c r="B551" s="152"/>
    </row>
    <row r="552" spans="2:2" ht="14">
      <c r="B552" s="152"/>
    </row>
    <row r="553" spans="2:2" ht="14">
      <c r="B553" s="152"/>
    </row>
    <row r="554" spans="2:2" ht="14">
      <c r="B554" s="152"/>
    </row>
    <row r="555" spans="2:2" ht="14">
      <c r="B555" s="152"/>
    </row>
    <row r="556" spans="2:2" ht="14">
      <c r="B556" s="152"/>
    </row>
    <row r="557" spans="2:2" ht="14">
      <c r="B557" s="152"/>
    </row>
    <row r="558" spans="2:2" ht="14">
      <c r="B558" s="152"/>
    </row>
    <row r="559" spans="2:2" ht="14">
      <c r="B559" s="152"/>
    </row>
    <row r="560" spans="2:2" ht="14">
      <c r="B560" s="152"/>
    </row>
    <row r="561" spans="2:2" ht="14">
      <c r="B561" s="152"/>
    </row>
    <row r="562" spans="2:2" ht="14">
      <c r="B562" s="152"/>
    </row>
    <row r="563" spans="2:2" ht="14">
      <c r="B563" s="152"/>
    </row>
    <row r="564" spans="2:2" ht="14">
      <c r="B564" s="152"/>
    </row>
    <row r="565" spans="2:2" ht="14">
      <c r="B565" s="152"/>
    </row>
    <row r="566" spans="2:2" ht="14">
      <c r="B566" s="152"/>
    </row>
    <row r="567" spans="2:2" ht="14">
      <c r="B567" s="152"/>
    </row>
    <row r="568" spans="2:2" ht="14">
      <c r="B568" s="152"/>
    </row>
    <row r="569" spans="2:2" ht="14">
      <c r="B569" s="152"/>
    </row>
    <row r="570" spans="2:2" ht="14">
      <c r="B570" s="152"/>
    </row>
    <row r="571" spans="2:2" ht="14">
      <c r="B571" s="152"/>
    </row>
    <row r="572" spans="2:2" ht="14">
      <c r="B572" s="152"/>
    </row>
    <row r="573" spans="2:2" ht="14">
      <c r="B573" s="152"/>
    </row>
    <row r="574" spans="2:2" ht="14">
      <c r="B574" s="152"/>
    </row>
    <row r="575" spans="2:2" ht="14">
      <c r="B575" s="152"/>
    </row>
    <row r="576" spans="2:2" ht="14">
      <c r="B576" s="152"/>
    </row>
    <row r="577" spans="2:2" ht="14">
      <c r="B577" s="152"/>
    </row>
    <row r="578" spans="2:2" ht="14">
      <c r="B578" s="152"/>
    </row>
    <row r="579" spans="2:2" ht="14">
      <c r="B579" s="152"/>
    </row>
    <row r="580" spans="2:2" ht="14">
      <c r="B580" s="152"/>
    </row>
    <row r="581" spans="2:2" ht="14">
      <c r="B581" s="152"/>
    </row>
    <row r="582" spans="2:2" ht="14">
      <c r="B582" s="152"/>
    </row>
    <row r="583" spans="2:2" ht="14">
      <c r="B583" s="152"/>
    </row>
    <row r="584" spans="2:2" ht="14">
      <c r="B584" s="152"/>
    </row>
    <row r="585" spans="2:2" ht="14">
      <c r="B585" s="152"/>
    </row>
    <row r="586" spans="2:2" ht="14">
      <c r="B586" s="152"/>
    </row>
    <row r="587" spans="2:2" ht="14">
      <c r="B587" s="152"/>
    </row>
    <row r="588" spans="2:2" ht="14">
      <c r="B588" s="152"/>
    </row>
    <row r="589" spans="2:2" ht="14">
      <c r="B589" s="152"/>
    </row>
    <row r="590" spans="2:2" ht="14">
      <c r="B590" s="152"/>
    </row>
    <row r="591" spans="2:2" ht="14">
      <c r="B591" s="152"/>
    </row>
    <row r="592" spans="2:2" ht="14">
      <c r="B592" s="152"/>
    </row>
    <row r="593" spans="2:2" ht="14">
      <c r="B593" s="152"/>
    </row>
    <row r="594" spans="2:2" ht="14">
      <c r="B594" s="152"/>
    </row>
    <row r="595" spans="2:2" ht="14">
      <c r="B595" s="152"/>
    </row>
    <row r="596" spans="2:2" ht="14">
      <c r="B596" s="152"/>
    </row>
    <row r="597" spans="2:2" ht="14">
      <c r="B597" s="152"/>
    </row>
    <row r="598" spans="2:2" ht="14">
      <c r="B598" s="152"/>
    </row>
    <row r="599" spans="2:2" ht="14">
      <c r="B599" s="152"/>
    </row>
    <row r="600" spans="2:2" ht="14">
      <c r="B600" s="152"/>
    </row>
    <row r="601" spans="2:2" ht="14">
      <c r="B601" s="152"/>
    </row>
    <row r="602" spans="2:2" ht="14">
      <c r="B602" s="152"/>
    </row>
    <row r="603" spans="2:2" ht="14">
      <c r="B603" s="152"/>
    </row>
    <row r="604" spans="2:2" ht="14">
      <c r="B604" s="152"/>
    </row>
    <row r="605" spans="2:2" ht="14">
      <c r="B605" s="152"/>
    </row>
    <row r="606" spans="2:2" ht="14">
      <c r="B606" s="152"/>
    </row>
    <row r="607" spans="2:2" ht="14">
      <c r="B607" s="152"/>
    </row>
    <row r="608" spans="2:2" ht="14">
      <c r="B608" s="152"/>
    </row>
    <row r="609" spans="2:2" ht="14">
      <c r="B609" s="152"/>
    </row>
    <row r="610" spans="2:2" ht="14">
      <c r="B610" s="152"/>
    </row>
    <row r="611" spans="2:2" ht="14">
      <c r="B611" s="152"/>
    </row>
    <row r="612" spans="2:2" ht="14">
      <c r="B612" s="152"/>
    </row>
    <row r="613" spans="2:2" ht="14">
      <c r="B613" s="152"/>
    </row>
    <row r="614" spans="2:2" ht="14">
      <c r="B614" s="152"/>
    </row>
    <row r="615" spans="2:2" ht="14">
      <c r="B615" s="152"/>
    </row>
    <row r="616" spans="2:2" ht="14">
      <c r="B616" s="152"/>
    </row>
    <row r="617" spans="2:2" ht="14">
      <c r="B617" s="152"/>
    </row>
    <row r="618" spans="2:2" ht="14">
      <c r="B618" s="152"/>
    </row>
    <row r="619" spans="2:2" ht="14">
      <c r="B619" s="152"/>
    </row>
    <row r="620" spans="2:2" ht="14">
      <c r="B620" s="152"/>
    </row>
    <row r="621" spans="2:2" ht="14">
      <c r="B621" s="152"/>
    </row>
    <row r="622" spans="2:2" ht="14">
      <c r="B622" s="152"/>
    </row>
    <row r="623" spans="2:2" ht="14">
      <c r="B623" s="152"/>
    </row>
    <row r="624" spans="2:2" ht="14">
      <c r="B624" s="152"/>
    </row>
    <row r="625" spans="2:2" ht="14">
      <c r="B625" s="152"/>
    </row>
    <row r="626" spans="2:2" ht="14">
      <c r="B626" s="152"/>
    </row>
    <row r="627" spans="2:2" ht="14">
      <c r="B627" s="152"/>
    </row>
    <row r="628" spans="2:2" ht="14">
      <c r="B628" s="152"/>
    </row>
    <row r="629" spans="2:2" ht="14">
      <c r="B629" s="152"/>
    </row>
    <row r="630" spans="2:2" ht="14">
      <c r="B630" s="152"/>
    </row>
    <row r="631" spans="2:2" ht="14">
      <c r="B631" s="152"/>
    </row>
    <row r="632" spans="2:2" ht="14">
      <c r="B632" s="152"/>
    </row>
    <row r="633" spans="2:2" ht="14">
      <c r="B633" s="152"/>
    </row>
    <row r="634" spans="2:2" ht="14">
      <c r="B634" s="152"/>
    </row>
    <row r="635" spans="2:2" ht="14">
      <c r="B635" s="152"/>
    </row>
    <row r="636" spans="2:2" ht="14">
      <c r="B636" s="152"/>
    </row>
    <row r="637" spans="2:2" ht="14">
      <c r="B637" s="152"/>
    </row>
    <row r="638" spans="2:2" ht="14">
      <c r="B638" s="152"/>
    </row>
    <row r="639" spans="2:2" ht="14">
      <c r="B639" s="152"/>
    </row>
    <row r="640" spans="2:2" ht="14">
      <c r="B640" s="152"/>
    </row>
    <row r="641" spans="2:2" ht="14">
      <c r="B641" s="152"/>
    </row>
    <row r="642" spans="2:2" ht="14">
      <c r="B642" s="152"/>
    </row>
    <row r="643" spans="2:2" ht="14">
      <c r="B643" s="152"/>
    </row>
    <row r="644" spans="2:2" ht="14">
      <c r="B644" s="152"/>
    </row>
    <row r="645" spans="2:2" ht="14">
      <c r="B645" s="152"/>
    </row>
    <row r="646" spans="2:2" ht="14">
      <c r="B646" s="152"/>
    </row>
    <row r="647" spans="2:2" ht="14">
      <c r="B647" s="152"/>
    </row>
    <row r="648" spans="2:2" ht="14">
      <c r="B648" s="152"/>
    </row>
    <row r="649" spans="2:2" ht="14">
      <c r="B649" s="152"/>
    </row>
    <row r="650" spans="2:2" ht="14">
      <c r="B650" s="152"/>
    </row>
    <row r="651" spans="2:2" ht="14">
      <c r="B651" s="152"/>
    </row>
    <row r="652" spans="2:2" ht="14">
      <c r="B652" s="152"/>
    </row>
    <row r="653" spans="2:2" ht="14">
      <c r="B653" s="152"/>
    </row>
    <row r="654" spans="2:2" ht="14">
      <c r="B654" s="152"/>
    </row>
    <row r="655" spans="2:2" ht="14">
      <c r="B655" s="152"/>
    </row>
    <row r="656" spans="2:2" ht="14">
      <c r="B656" s="152"/>
    </row>
    <row r="657" spans="2:2" ht="14">
      <c r="B657" s="152"/>
    </row>
    <row r="658" spans="2:2" ht="14">
      <c r="B658" s="152"/>
    </row>
    <row r="659" spans="2:2" ht="14">
      <c r="B659" s="152"/>
    </row>
    <row r="660" spans="2:2" ht="14">
      <c r="B660" s="152"/>
    </row>
    <row r="661" spans="2:2" ht="14">
      <c r="B661" s="152"/>
    </row>
    <row r="662" spans="2:2" ht="14">
      <c r="B662" s="152"/>
    </row>
    <row r="663" spans="2:2" ht="14">
      <c r="B663" s="152"/>
    </row>
    <row r="664" spans="2:2" ht="14">
      <c r="B664" s="152"/>
    </row>
    <row r="665" spans="2:2" ht="14">
      <c r="B665" s="152"/>
    </row>
    <row r="666" spans="2:2" ht="14">
      <c r="B666" s="152"/>
    </row>
    <row r="667" spans="2:2" ht="14">
      <c r="B667" s="152"/>
    </row>
    <row r="668" spans="2:2" ht="14">
      <c r="B668" s="152"/>
    </row>
    <row r="669" spans="2:2" ht="14">
      <c r="B669" s="152"/>
    </row>
    <row r="670" spans="2:2" ht="14">
      <c r="B670" s="152"/>
    </row>
    <row r="671" spans="2:2" ht="14">
      <c r="B671" s="152"/>
    </row>
    <row r="672" spans="2:2" ht="14">
      <c r="B672" s="152"/>
    </row>
    <row r="673" spans="2:2" ht="14">
      <c r="B673" s="152"/>
    </row>
    <row r="674" spans="2:2" ht="14">
      <c r="B674" s="152"/>
    </row>
    <row r="675" spans="2:2" ht="14">
      <c r="B675" s="152"/>
    </row>
    <row r="676" spans="2:2" ht="14">
      <c r="B676" s="152"/>
    </row>
    <row r="677" spans="2:2" ht="14">
      <c r="B677" s="152"/>
    </row>
    <row r="678" spans="2:2" ht="14">
      <c r="B678" s="152"/>
    </row>
    <row r="679" spans="2:2" ht="14">
      <c r="B679" s="152"/>
    </row>
    <row r="680" spans="2:2" ht="14">
      <c r="B680" s="152"/>
    </row>
    <row r="681" spans="2:2" ht="14">
      <c r="B681" s="152"/>
    </row>
    <row r="682" spans="2:2" ht="14">
      <c r="B682" s="152"/>
    </row>
    <row r="683" spans="2:2" ht="14">
      <c r="B683" s="152"/>
    </row>
    <row r="684" spans="2:2" ht="14">
      <c r="B684" s="152"/>
    </row>
    <row r="685" spans="2:2" ht="14">
      <c r="B685" s="152"/>
    </row>
    <row r="686" spans="2:2" ht="14">
      <c r="B686" s="152"/>
    </row>
    <row r="687" spans="2:2" ht="14">
      <c r="B687" s="152"/>
    </row>
    <row r="688" spans="2:2" ht="14">
      <c r="B688" s="152"/>
    </row>
    <row r="689" spans="2:2" ht="14">
      <c r="B689" s="152"/>
    </row>
    <row r="690" spans="2:2" ht="14">
      <c r="B690" s="152"/>
    </row>
    <row r="691" spans="2:2" ht="14">
      <c r="B691" s="152"/>
    </row>
    <row r="692" spans="2:2" ht="14">
      <c r="B692" s="152"/>
    </row>
    <row r="693" spans="2:2" ht="14">
      <c r="B693" s="152"/>
    </row>
    <row r="694" spans="2:2" ht="14">
      <c r="B694" s="152"/>
    </row>
    <row r="695" spans="2:2" ht="14">
      <c r="B695" s="152"/>
    </row>
    <row r="696" spans="2:2" ht="14">
      <c r="B696" s="152"/>
    </row>
    <row r="697" spans="2:2" ht="14">
      <c r="B697" s="152"/>
    </row>
    <row r="698" spans="2:2" ht="14">
      <c r="B698" s="152"/>
    </row>
    <row r="699" spans="2:2" ht="14">
      <c r="B699" s="152"/>
    </row>
    <row r="700" spans="2:2" ht="14">
      <c r="B700" s="152"/>
    </row>
    <row r="701" spans="2:2" ht="14">
      <c r="B701" s="152"/>
    </row>
    <row r="702" spans="2:2" ht="14">
      <c r="B702" s="152"/>
    </row>
    <row r="703" spans="2:2" ht="14">
      <c r="B703" s="152"/>
    </row>
    <row r="704" spans="2:2" ht="14">
      <c r="B704" s="152"/>
    </row>
    <row r="705" spans="2:2" ht="14">
      <c r="B705" s="152"/>
    </row>
    <row r="706" spans="2:2" ht="14">
      <c r="B706" s="152"/>
    </row>
    <row r="707" spans="2:2" ht="14">
      <c r="B707" s="152"/>
    </row>
    <row r="708" spans="2:2" ht="14">
      <c r="B708" s="152"/>
    </row>
    <row r="709" spans="2:2" ht="14">
      <c r="B709" s="152"/>
    </row>
    <row r="710" spans="2:2" ht="14">
      <c r="B710" s="152"/>
    </row>
    <row r="711" spans="2:2" ht="14">
      <c r="B711" s="152"/>
    </row>
    <row r="712" spans="2:2" ht="14">
      <c r="B712" s="152"/>
    </row>
    <row r="713" spans="2:2" ht="14">
      <c r="B713" s="152"/>
    </row>
    <row r="714" spans="2:2" ht="14">
      <c r="B714" s="152"/>
    </row>
    <row r="715" spans="2:2" ht="14">
      <c r="B715" s="152"/>
    </row>
    <row r="716" spans="2:2" ht="14">
      <c r="B716" s="152"/>
    </row>
    <row r="717" spans="2:2" ht="14">
      <c r="B717" s="152"/>
    </row>
    <row r="718" spans="2:2" ht="14">
      <c r="B718" s="152"/>
    </row>
    <row r="719" spans="2:2" ht="14">
      <c r="B719" s="152"/>
    </row>
    <row r="720" spans="2:2" ht="14">
      <c r="B720" s="152"/>
    </row>
    <row r="721" spans="2:2" ht="14">
      <c r="B721" s="152"/>
    </row>
    <row r="722" spans="2:2" ht="14">
      <c r="B722" s="152"/>
    </row>
    <row r="723" spans="2:2" ht="14">
      <c r="B723" s="152"/>
    </row>
    <row r="724" spans="2:2" ht="14">
      <c r="B724" s="152"/>
    </row>
    <row r="725" spans="2:2" ht="14">
      <c r="B725" s="152"/>
    </row>
    <row r="726" spans="2:2" ht="14">
      <c r="B726" s="152"/>
    </row>
    <row r="727" spans="2:2" ht="14">
      <c r="B727" s="152"/>
    </row>
    <row r="728" spans="2:2" ht="14">
      <c r="B728" s="152"/>
    </row>
    <row r="729" spans="2:2" ht="14">
      <c r="B729" s="152"/>
    </row>
    <row r="730" spans="2:2" ht="14">
      <c r="B730" s="152"/>
    </row>
    <row r="731" spans="2:2" ht="14">
      <c r="B731" s="152"/>
    </row>
    <row r="732" spans="2:2" ht="14">
      <c r="B732" s="152"/>
    </row>
    <row r="733" spans="2:2" ht="14">
      <c r="B733" s="152"/>
    </row>
    <row r="734" spans="2:2" ht="14">
      <c r="B734" s="152"/>
    </row>
    <row r="735" spans="2:2" ht="14">
      <c r="B735" s="152"/>
    </row>
    <row r="736" spans="2:2" ht="14">
      <c r="B736" s="152"/>
    </row>
    <row r="737" spans="2:2" ht="14">
      <c r="B737" s="152"/>
    </row>
    <row r="738" spans="2:2" ht="14">
      <c r="B738" s="152"/>
    </row>
    <row r="739" spans="2:2" ht="14">
      <c r="B739" s="152"/>
    </row>
    <row r="740" spans="2:2" ht="14">
      <c r="B740" s="152"/>
    </row>
    <row r="741" spans="2:2" ht="14">
      <c r="B741" s="152"/>
    </row>
    <row r="742" spans="2:2" ht="14">
      <c r="B742" s="152"/>
    </row>
    <row r="743" spans="2:2" ht="14">
      <c r="B743" s="152"/>
    </row>
    <row r="744" spans="2:2" ht="14">
      <c r="B744" s="152"/>
    </row>
    <row r="745" spans="2:2" ht="14">
      <c r="B745" s="152"/>
    </row>
    <row r="746" spans="2:2" ht="14">
      <c r="B746" s="152"/>
    </row>
    <row r="747" spans="2:2" ht="14">
      <c r="B747" s="152"/>
    </row>
    <row r="748" spans="2:2" ht="14">
      <c r="B748" s="152"/>
    </row>
    <row r="749" spans="2:2" ht="14">
      <c r="B749" s="152"/>
    </row>
    <row r="750" spans="2:2" ht="14">
      <c r="B750" s="152"/>
    </row>
    <row r="751" spans="2:2" ht="14">
      <c r="B751" s="152"/>
    </row>
    <row r="752" spans="2:2" ht="14">
      <c r="B752" s="152"/>
    </row>
    <row r="753" spans="2:2" ht="14">
      <c r="B753" s="152"/>
    </row>
    <row r="754" spans="2:2" ht="14">
      <c r="B754" s="152"/>
    </row>
    <row r="755" spans="2:2" ht="14">
      <c r="B755" s="152"/>
    </row>
    <row r="756" spans="2:2" ht="14">
      <c r="B756" s="152"/>
    </row>
    <row r="757" spans="2:2" ht="14">
      <c r="B757" s="152"/>
    </row>
    <row r="758" spans="2:2" ht="14">
      <c r="B758" s="152"/>
    </row>
    <row r="759" spans="2:2" ht="14">
      <c r="B759" s="152"/>
    </row>
    <row r="760" spans="2:2" ht="14">
      <c r="B760" s="152"/>
    </row>
    <row r="761" spans="2:2" ht="14">
      <c r="B761" s="152"/>
    </row>
    <row r="762" spans="2:2" ht="14">
      <c r="B762" s="152"/>
    </row>
    <row r="763" spans="2:2" ht="14">
      <c r="B763" s="152"/>
    </row>
    <row r="764" spans="2:2" ht="14">
      <c r="B764" s="152"/>
    </row>
    <row r="765" spans="2:2" ht="14">
      <c r="B765" s="152"/>
    </row>
    <row r="766" spans="2:2" ht="14">
      <c r="B766" s="152"/>
    </row>
    <row r="767" spans="2:2" ht="14">
      <c r="B767" s="152"/>
    </row>
    <row r="768" spans="2:2" ht="14">
      <c r="B768" s="152"/>
    </row>
    <row r="769" spans="2:2" ht="14">
      <c r="B769" s="152"/>
    </row>
    <row r="770" spans="2:2" ht="14">
      <c r="B770" s="152"/>
    </row>
    <row r="771" spans="2:2" ht="14">
      <c r="B771" s="152"/>
    </row>
    <row r="772" spans="2:2" ht="14">
      <c r="B772" s="152"/>
    </row>
    <row r="773" spans="2:2" ht="14">
      <c r="B773" s="152"/>
    </row>
    <row r="774" spans="2:2" ht="14">
      <c r="B774" s="152"/>
    </row>
    <row r="775" spans="2:2" ht="14">
      <c r="B775" s="152"/>
    </row>
    <row r="776" spans="2:2" ht="14">
      <c r="B776" s="152"/>
    </row>
    <row r="777" spans="2:2" ht="14">
      <c r="B777" s="152"/>
    </row>
    <row r="778" spans="2:2" ht="14">
      <c r="B778" s="152"/>
    </row>
    <row r="779" spans="2:2" ht="14">
      <c r="B779" s="152"/>
    </row>
    <row r="780" spans="2:2" ht="14">
      <c r="B780" s="152"/>
    </row>
    <row r="781" spans="2:2" ht="14">
      <c r="B781" s="152"/>
    </row>
    <row r="782" spans="2:2" ht="14">
      <c r="B782" s="152"/>
    </row>
    <row r="783" spans="2:2" ht="14">
      <c r="B783" s="152"/>
    </row>
    <row r="784" spans="2:2" ht="14">
      <c r="B784" s="152"/>
    </row>
    <row r="785" spans="2:2" ht="14">
      <c r="B785" s="152"/>
    </row>
    <row r="786" spans="2:2" ht="14">
      <c r="B786" s="152"/>
    </row>
    <row r="787" spans="2:2" ht="14">
      <c r="B787" s="152"/>
    </row>
    <row r="788" spans="2:2" ht="14">
      <c r="B788" s="152"/>
    </row>
    <row r="789" spans="2:2" ht="14">
      <c r="B789" s="152"/>
    </row>
    <row r="790" spans="2:2" ht="14">
      <c r="B790" s="152"/>
    </row>
    <row r="791" spans="2:2" ht="14">
      <c r="B791" s="152"/>
    </row>
    <row r="792" spans="2:2" ht="14">
      <c r="B792" s="152"/>
    </row>
    <row r="793" spans="2:2" ht="14">
      <c r="B793" s="152"/>
    </row>
    <row r="794" spans="2:2" ht="14">
      <c r="B794" s="152"/>
    </row>
    <row r="795" spans="2:2" ht="14">
      <c r="B795" s="152"/>
    </row>
    <row r="796" spans="2:2" ht="14">
      <c r="B796" s="152"/>
    </row>
    <row r="797" spans="2:2" ht="14">
      <c r="B797" s="152"/>
    </row>
    <row r="798" spans="2:2" ht="14">
      <c r="B798" s="152"/>
    </row>
    <row r="799" spans="2:2" ht="14">
      <c r="B799" s="152"/>
    </row>
    <row r="800" spans="2:2" ht="14">
      <c r="B800" s="152"/>
    </row>
    <row r="801" spans="2:2" ht="14">
      <c r="B801" s="152"/>
    </row>
    <row r="802" spans="2:2" ht="14">
      <c r="B802" s="152"/>
    </row>
    <row r="803" spans="2:2" ht="14">
      <c r="B803" s="152"/>
    </row>
    <row r="804" spans="2:2" ht="14">
      <c r="B804" s="152"/>
    </row>
    <row r="805" spans="2:2" ht="14">
      <c r="B805" s="152"/>
    </row>
    <row r="806" spans="2:2" ht="14">
      <c r="B806" s="152"/>
    </row>
    <row r="807" spans="2:2" ht="14">
      <c r="B807" s="152"/>
    </row>
    <row r="808" spans="2:2" ht="14">
      <c r="B808" s="152"/>
    </row>
    <row r="809" spans="2:2" ht="14">
      <c r="B809" s="152"/>
    </row>
    <row r="810" spans="2:2" ht="14">
      <c r="B810" s="152"/>
    </row>
    <row r="811" spans="2:2" ht="14">
      <c r="B811" s="152"/>
    </row>
    <row r="812" spans="2:2" ht="14">
      <c r="B812" s="152"/>
    </row>
    <row r="813" spans="2:2" ht="14">
      <c r="B813" s="152"/>
    </row>
    <row r="814" spans="2:2" ht="14">
      <c r="B814" s="152"/>
    </row>
    <row r="815" spans="2:2" ht="14">
      <c r="B815" s="152"/>
    </row>
    <row r="816" spans="2:2" ht="14">
      <c r="B816" s="152"/>
    </row>
    <row r="817" spans="2:2" ht="14">
      <c r="B817" s="152"/>
    </row>
    <row r="818" spans="2:2" ht="14">
      <c r="B818" s="152"/>
    </row>
    <row r="819" spans="2:2" ht="14">
      <c r="B819" s="152"/>
    </row>
    <row r="820" spans="2:2" ht="14">
      <c r="B820" s="152"/>
    </row>
    <row r="821" spans="2:2" ht="14">
      <c r="B821" s="152"/>
    </row>
    <row r="822" spans="2:2" ht="14">
      <c r="B822" s="152"/>
    </row>
    <row r="823" spans="2:2" ht="14">
      <c r="B823" s="152"/>
    </row>
    <row r="824" spans="2:2" ht="14">
      <c r="B824" s="152"/>
    </row>
    <row r="825" spans="2:2" ht="14">
      <c r="B825" s="152"/>
    </row>
    <row r="826" spans="2:2" ht="14">
      <c r="B826" s="152"/>
    </row>
    <row r="827" spans="2:2" ht="14">
      <c r="B827" s="152"/>
    </row>
    <row r="828" spans="2:2" ht="14">
      <c r="B828" s="152"/>
    </row>
    <row r="829" spans="2:2" ht="14">
      <c r="B829" s="152"/>
    </row>
    <row r="830" spans="2:2" ht="14">
      <c r="B830" s="152"/>
    </row>
    <row r="831" spans="2:2" ht="14">
      <c r="B831" s="152"/>
    </row>
    <row r="832" spans="2:2" ht="14">
      <c r="B832" s="152"/>
    </row>
    <row r="833" spans="2:2" ht="14">
      <c r="B833" s="152"/>
    </row>
    <row r="834" spans="2:2" ht="14">
      <c r="B834" s="152"/>
    </row>
    <row r="835" spans="2:2" ht="14">
      <c r="B835" s="152"/>
    </row>
    <row r="836" spans="2:2" ht="14">
      <c r="B836" s="152"/>
    </row>
    <row r="837" spans="2:2" ht="14">
      <c r="B837" s="152"/>
    </row>
    <row r="838" spans="2:2" ht="14">
      <c r="B838" s="152"/>
    </row>
    <row r="839" spans="2:2" ht="14">
      <c r="B839" s="152"/>
    </row>
    <row r="840" spans="2:2" ht="14">
      <c r="B840" s="152"/>
    </row>
    <row r="841" spans="2:2" ht="14">
      <c r="B841" s="152"/>
    </row>
    <row r="842" spans="2:2" ht="14">
      <c r="B842" s="152"/>
    </row>
    <row r="843" spans="2:2" ht="14">
      <c r="B843" s="152"/>
    </row>
    <row r="844" spans="2:2" ht="14">
      <c r="B844" s="152"/>
    </row>
    <row r="845" spans="2:2" ht="14">
      <c r="B845" s="152"/>
    </row>
    <row r="846" spans="2:2" ht="14">
      <c r="B846" s="152"/>
    </row>
    <row r="847" spans="2:2" ht="14">
      <c r="B847" s="152"/>
    </row>
    <row r="848" spans="2:2" ht="14">
      <c r="B848" s="152"/>
    </row>
    <row r="849" spans="2:2" ht="14">
      <c r="B849" s="152"/>
    </row>
    <row r="850" spans="2:2" ht="14">
      <c r="B850" s="152"/>
    </row>
    <row r="851" spans="2:2" ht="14">
      <c r="B851" s="152"/>
    </row>
    <row r="852" spans="2:2" ht="14">
      <c r="B852" s="152"/>
    </row>
    <row r="853" spans="2:2" ht="14">
      <c r="B853" s="152"/>
    </row>
    <row r="854" spans="2:2" ht="14">
      <c r="B854" s="152"/>
    </row>
    <row r="855" spans="2:2" ht="14">
      <c r="B855" s="152"/>
    </row>
    <row r="856" spans="2:2" ht="14">
      <c r="B856" s="152"/>
    </row>
    <row r="857" spans="2:2" ht="14">
      <c r="B857" s="152"/>
    </row>
    <row r="858" spans="2:2" ht="14">
      <c r="B858" s="152"/>
    </row>
    <row r="859" spans="2:2" ht="14">
      <c r="B859" s="152"/>
    </row>
    <row r="860" spans="2:2" ht="14">
      <c r="B860" s="152"/>
    </row>
    <row r="861" spans="2:2" ht="14">
      <c r="B861" s="152"/>
    </row>
    <row r="862" spans="2:2" ht="14">
      <c r="B862" s="152"/>
    </row>
    <row r="863" spans="2:2" ht="14">
      <c r="B863" s="152"/>
    </row>
    <row r="864" spans="2:2" ht="14">
      <c r="B864" s="152"/>
    </row>
    <row r="865" spans="2:2" ht="14">
      <c r="B865" s="152"/>
    </row>
    <row r="866" spans="2:2" ht="14">
      <c r="B866" s="152"/>
    </row>
    <row r="867" spans="2:2" ht="14">
      <c r="B867" s="152"/>
    </row>
    <row r="868" spans="2:2" ht="14">
      <c r="B868" s="152"/>
    </row>
    <row r="869" spans="2:2" ht="14">
      <c r="B869" s="152"/>
    </row>
    <row r="870" spans="2:2" ht="14">
      <c r="B870" s="152"/>
    </row>
    <row r="871" spans="2:2" ht="14">
      <c r="B871" s="152"/>
    </row>
    <row r="872" spans="2:2" ht="14">
      <c r="B872" s="152"/>
    </row>
    <row r="873" spans="2:2" ht="14">
      <c r="B873" s="152"/>
    </row>
    <row r="874" spans="2:2" ht="14">
      <c r="B874" s="152"/>
    </row>
    <row r="875" spans="2:2" ht="14">
      <c r="B875" s="152"/>
    </row>
    <row r="876" spans="2:2" ht="14">
      <c r="B876" s="152"/>
    </row>
    <row r="877" spans="2:2" ht="14">
      <c r="B877" s="152"/>
    </row>
    <row r="878" spans="2:2" ht="14">
      <c r="B878" s="152"/>
    </row>
    <row r="879" spans="2:2" ht="14">
      <c r="B879" s="152"/>
    </row>
    <row r="880" spans="2:2" ht="14">
      <c r="B880" s="152"/>
    </row>
    <row r="881" spans="2:2" ht="14">
      <c r="B881" s="152"/>
    </row>
    <row r="882" spans="2:2" ht="14">
      <c r="B882" s="152"/>
    </row>
    <row r="883" spans="2:2" ht="14">
      <c r="B883" s="152"/>
    </row>
    <row r="884" spans="2:2" ht="14">
      <c r="B884" s="152"/>
    </row>
    <row r="885" spans="2:2" ht="14">
      <c r="B885" s="152"/>
    </row>
    <row r="886" spans="2:2" ht="14">
      <c r="B886" s="152"/>
    </row>
    <row r="887" spans="2:2" ht="14">
      <c r="B887" s="152"/>
    </row>
    <row r="888" spans="2:2" ht="14">
      <c r="B888" s="152"/>
    </row>
    <row r="889" spans="2:2" ht="14">
      <c r="B889" s="152"/>
    </row>
    <row r="890" spans="2:2" ht="14">
      <c r="B890" s="152"/>
    </row>
    <row r="891" spans="2:2" ht="14">
      <c r="B891" s="152"/>
    </row>
    <row r="892" spans="2:2" ht="14">
      <c r="B892" s="152"/>
    </row>
    <row r="893" spans="2:2" ht="14">
      <c r="B893" s="152"/>
    </row>
    <row r="894" spans="2:2" ht="14">
      <c r="B894" s="152"/>
    </row>
    <row r="895" spans="2:2" ht="14">
      <c r="B895" s="152"/>
    </row>
    <row r="896" spans="2:2" ht="14">
      <c r="B896" s="152"/>
    </row>
    <row r="897" spans="2:2" ht="14">
      <c r="B897" s="152"/>
    </row>
    <row r="898" spans="2:2" ht="14">
      <c r="B898" s="152"/>
    </row>
    <row r="899" spans="2:2" ht="14">
      <c r="B899" s="152"/>
    </row>
    <row r="900" spans="2:2" ht="14">
      <c r="B900" s="152"/>
    </row>
    <row r="901" spans="2:2" ht="14">
      <c r="B901" s="152"/>
    </row>
    <row r="902" spans="2:2" ht="14">
      <c r="B902" s="152"/>
    </row>
    <row r="903" spans="2:2" ht="14">
      <c r="B903" s="152"/>
    </row>
    <row r="904" spans="2:2" ht="14">
      <c r="B904" s="152"/>
    </row>
    <row r="905" spans="2:2" ht="14">
      <c r="B905" s="152"/>
    </row>
    <row r="906" spans="2:2" ht="14">
      <c r="B906" s="152"/>
    </row>
    <row r="907" spans="2:2" ht="14">
      <c r="B907" s="152"/>
    </row>
    <row r="908" spans="2:2" ht="14">
      <c r="B908" s="152"/>
    </row>
    <row r="909" spans="2:2" ht="14">
      <c r="B909" s="152"/>
    </row>
    <row r="910" spans="2:2" ht="14">
      <c r="B910" s="152"/>
    </row>
    <row r="911" spans="2:2" ht="14">
      <c r="B911" s="152"/>
    </row>
    <row r="912" spans="2:2" ht="14">
      <c r="B912" s="152"/>
    </row>
    <row r="913" spans="2:2" ht="14">
      <c r="B913" s="152"/>
    </row>
    <row r="914" spans="2:2" ht="14">
      <c r="B914" s="152"/>
    </row>
    <row r="915" spans="2:2" ht="14">
      <c r="B915" s="152"/>
    </row>
    <row r="916" spans="2:2" ht="14">
      <c r="B916" s="152"/>
    </row>
    <row r="917" spans="2:2" ht="14">
      <c r="B917" s="152"/>
    </row>
    <row r="918" spans="2:2" ht="14">
      <c r="B918" s="152"/>
    </row>
    <row r="919" spans="2:2" ht="14">
      <c r="B919" s="152"/>
    </row>
    <row r="920" spans="2:2" ht="14">
      <c r="B920" s="152"/>
    </row>
    <row r="921" spans="2:2" ht="14">
      <c r="B921" s="152"/>
    </row>
    <row r="922" spans="2:2" ht="14">
      <c r="B922" s="152"/>
    </row>
    <row r="923" spans="2:2" ht="14">
      <c r="B923" s="152"/>
    </row>
    <row r="924" spans="2:2" ht="14">
      <c r="B924" s="152"/>
    </row>
    <row r="925" spans="2:2" ht="14">
      <c r="B925" s="152"/>
    </row>
    <row r="926" spans="2:2" ht="14">
      <c r="B926" s="152"/>
    </row>
    <row r="927" spans="2:2" ht="14">
      <c r="B927" s="152"/>
    </row>
    <row r="928" spans="2:2" ht="14">
      <c r="B928" s="152"/>
    </row>
    <row r="929" spans="2:2" ht="14">
      <c r="B929" s="152"/>
    </row>
    <row r="930" spans="2:2" ht="14">
      <c r="B930" s="152"/>
    </row>
    <row r="931" spans="2:2" ht="14">
      <c r="B931" s="152"/>
    </row>
    <row r="932" spans="2:2" ht="14">
      <c r="B932" s="152"/>
    </row>
    <row r="933" spans="2:2" ht="14">
      <c r="B933" s="152"/>
    </row>
    <row r="934" spans="2:2" ht="14">
      <c r="B934" s="152"/>
    </row>
    <row r="935" spans="2:2" ht="14">
      <c r="B935" s="152"/>
    </row>
    <row r="936" spans="2:2" ht="14">
      <c r="B936" s="152"/>
    </row>
    <row r="937" spans="2:2" ht="14">
      <c r="B937" s="152"/>
    </row>
    <row r="938" spans="2:2" ht="14">
      <c r="B938" s="152"/>
    </row>
    <row r="939" spans="2:2" ht="14">
      <c r="B939" s="152"/>
    </row>
    <row r="940" spans="2:2" ht="14">
      <c r="B940" s="152"/>
    </row>
    <row r="941" spans="2:2" ht="14">
      <c r="B941" s="152"/>
    </row>
    <row r="942" spans="2:2" ht="14">
      <c r="B942" s="152"/>
    </row>
    <row r="943" spans="2:2" ht="14">
      <c r="B943" s="152"/>
    </row>
    <row r="944" spans="2:2" ht="14">
      <c r="B944" s="152"/>
    </row>
    <row r="945" spans="2:2" ht="14">
      <c r="B945" s="152"/>
    </row>
    <row r="946" spans="2:2" ht="14">
      <c r="B946" s="152"/>
    </row>
    <row r="947" spans="2:2" ht="14">
      <c r="B947" s="152"/>
    </row>
    <row r="948" spans="2:2" ht="14">
      <c r="B948" s="152"/>
    </row>
    <row r="949" spans="2:2" ht="14">
      <c r="B949" s="152"/>
    </row>
    <row r="950" spans="2:2" ht="14">
      <c r="B950" s="152"/>
    </row>
    <row r="951" spans="2:2" ht="14">
      <c r="B951" s="152"/>
    </row>
    <row r="952" spans="2:2" ht="14">
      <c r="B952" s="152"/>
    </row>
    <row r="953" spans="2:2" ht="14">
      <c r="B953" s="152"/>
    </row>
    <row r="954" spans="2:2" ht="14">
      <c r="B954" s="152"/>
    </row>
    <row r="955" spans="2:2" ht="14">
      <c r="B955" s="152"/>
    </row>
    <row r="956" spans="2:2" ht="14">
      <c r="B956" s="152"/>
    </row>
    <row r="957" spans="2:2" ht="14">
      <c r="B957" s="152"/>
    </row>
    <row r="958" spans="2:2" ht="14">
      <c r="B958" s="152"/>
    </row>
    <row r="959" spans="2:2" ht="14">
      <c r="B959" s="152"/>
    </row>
    <row r="960" spans="2:2" ht="14">
      <c r="B960" s="152"/>
    </row>
    <row r="961" spans="2:2" ht="14">
      <c r="B961" s="152"/>
    </row>
    <row r="962" spans="2:2" ht="14">
      <c r="B962" s="152"/>
    </row>
    <row r="963" spans="2:2" ht="14">
      <c r="B963" s="152"/>
    </row>
    <row r="964" spans="2:2" ht="14">
      <c r="B964" s="152"/>
    </row>
    <row r="965" spans="2:2" ht="14">
      <c r="B965" s="152"/>
    </row>
    <row r="966" spans="2:2" ht="14">
      <c r="B966" s="152"/>
    </row>
    <row r="967" spans="2:2" ht="14">
      <c r="B967" s="152"/>
    </row>
    <row r="968" spans="2:2" ht="14">
      <c r="B968" s="152"/>
    </row>
    <row r="969" spans="2:2" ht="14">
      <c r="B969" s="152"/>
    </row>
    <row r="970" spans="2:2" ht="14">
      <c r="B970" s="152"/>
    </row>
    <row r="971" spans="2:2" ht="14">
      <c r="B971" s="152"/>
    </row>
    <row r="972" spans="2:2" ht="14">
      <c r="B972" s="152"/>
    </row>
    <row r="973" spans="2:2" ht="14">
      <c r="B973" s="152"/>
    </row>
    <row r="974" spans="2:2" ht="14">
      <c r="B974" s="152"/>
    </row>
    <row r="975" spans="2:2" ht="14">
      <c r="B975" s="152"/>
    </row>
    <row r="976" spans="2:2" ht="14">
      <c r="B976" s="152"/>
    </row>
    <row r="977" spans="2:2" ht="14">
      <c r="B977" s="152"/>
    </row>
    <row r="978" spans="2:2" ht="14">
      <c r="B978" s="152"/>
    </row>
    <row r="979" spans="2:2" ht="14">
      <c r="B979" s="152"/>
    </row>
    <row r="980" spans="2:2" ht="14">
      <c r="B980" s="152"/>
    </row>
    <row r="981" spans="2:2" ht="14">
      <c r="B981" s="152"/>
    </row>
    <row r="982" spans="2:2" ht="14">
      <c r="B982" s="152"/>
    </row>
    <row r="983" spans="2:2" ht="14">
      <c r="B983" s="152"/>
    </row>
    <row r="984" spans="2:2" ht="14">
      <c r="B984" s="152"/>
    </row>
    <row r="985" spans="2:2" ht="14">
      <c r="B985" s="152"/>
    </row>
    <row r="986" spans="2:2" ht="14">
      <c r="B986" s="152"/>
    </row>
    <row r="987" spans="2:2" ht="14">
      <c r="B987" s="152"/>
    </row>
    <row r="988" spans="2:2" ht="14">
      <c r="B988" s="152"/>
    </row>
    <row r="989" spans="2:2" ht="14">
      <c r="B989" s="152"/>
    </row>
    <row r="990" spans="2:2" ht="14">
      <c r="B990" s="152"/>
    </row>
    <row r="991" spans="2:2" ht="14">
      <c r="B991" s="152"/>
    </row>
    <row r="992" spans="2:2" ht="14">
      <c r="B992" s="152"/>
    </row>
    <row r="993" spans="1:14" ht="14">
      <c r="B993" s="152"/>
    </row>
    <row r="994" spans="1:14" ht="14">
      <c r="B994" s="152"/>
    </row>
    <row r="995" spans="1:14" ht="14">
      <c r="B995" s="152"/>
    </row>
    <row r="996" spans="1:14" ht="14">
      <c r="A996" s="2"/>
      <c r="B996" s="8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4">
      <c r="A997" s="2"/>
      <c r="B997" s="8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4">
      <c r="A998" s="2"/>
      <c r="B998" s="8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4">
      <c r="A999" s="2"/>
      <c r="B999" s="8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4">
      <c r="A1000" s="2"/>
      <c r="B1000" s="8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ht="14">
      <c r="A1001" s="2"/>
      <c r="B1001" s="8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ht="14">
      <c r="A1002" s="2"/>
      <c r="B1002" s="84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4">
      <c r="A1003" s="2"/>
      <c r="B1003" s="84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ht="14">
      <c r="A1004" s="2"/>
      <c r="B1004" s="84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O23" sqref="O23"/>
    </sheetView>
  </sheetViews>
  <sheetFormatPr baseColWidth="10" defaultColWidth="14.3984375" defaultRowHeight="15" customHeight="1"/>
  <cols>
    <col min="1" max="1" width="11.19921875" customWidth="1"/>
    <col min="2" max="2" width="4" customWidth="1"/>
    <col min="3" max="3" width="20.19921875" customWidth="1"/>
    <col min="5" max="8" width="11.796875" customWidth="1"/>
    <col min="10" max="24" width="9.796875" customWidth="1"/>
    <col min="25" max="25" width="11.19921875" customWidth="1"/>
    <col min="26" max="26" width="10" customWidth="1"/>
  </cols>
  <sheetData>
    <row r="1" spans="1:34" ht="24" customHeight="1">
      <c r="A1" s="153" t="s">
        <v>66</v>
      </c>
      <c r="B1" s="153" t="s">
        <v>67</v>
      </c>
      <c r="C1" s="154" t="s">
        <v>68</v>
      </c>
      <c r="D1" s="153" t="s">
        <v>69</v>
      </c>
      <c r="E1" s="153" t="s">
        <v>70</v>
      </c>
      <c r="F1" s="153" t="s">
        <v>71</v>
      </c>
      <c r="G1" s="153" t="s">
        <v>72</v>
      </c>
      <c r="H1" s="153" t="s">
        <v>65</v>
      </c>
      <c r="I1" s="155"/>
      <c r="J1" s="156">
        <v>45528</v>
      </c>
      <c r="K1" s="156">
        <v>45559</v>
      </c>
      <c r="L1" s="156">
        <v>45589</v>
      </c>
      <c r="M1" s="156">
        <v>45620</v>
      </c>
      <c r="N1" s="156">
        <v>45650</v>
      </c>
      <c r="O1" s="156">
        <v>45682</v>
      </c>
      <c r="P1" s="156">
        <v>45713</v>
      </c>
      <c r="Q1" s="156">
        <v>45741</v>
      </c>
      <c r="R1" s="156">
        <v>45772</v>
      </c>
      <c r="S1" s="156">
        <v>45802</v>
      </c>
      <c r="T1" s="156">
        <v>45833</v>
      </c>
      <c r="U1" s="156">
        <v>45863</v>
      </c>
      <c r="V1" s="156">
        <v>45894</v>
      </c>
      <c r="W1" s="156">
        <v>45925</v>
      </c>
      <c r="X1" s="156">
        <v>45955</v>
      </c>
      <c r="Y1" s="156">
        <v>45986</v>
      </c>
      <c r="Z1" s="156">
        <v>46016</v>
      </c>
      <c r="AA1" s="156"/>
      <c r="AB1" s="157"/>
      <c r="AC1" s="157"/>
      <c r="AD1" s="157"/>
      <c r="AE1" s="157"/>
      <c r="AF1" s="157"/>
      <c r="AG1" s="157"/>
      <c r="AH1" s="155"/>
    </row>
    <row r="2" spans="1:34" ht="14">
      <c r="A2" s="158" t="s">
        <v>73</v>
      </c>
      <c r="B2" s="158"/>
      <c r="C2" s="159" t="s">
        <v>74</v>
      </c>
      <c r="D2" s="160">
        <v>72000</v>
      </c>
      <c r="E2" s="160">
        <f t="shared" ref="E2:E8" si="0">ROUND(D2/12,2)</f>
        <v>6000</v>
      </c>
      <c r="F2" s="160">
        <v>0</v>
      </c>
      <c r="G2" s="160">
        <v>0</v>
      </c>
      <c r="H2" s="161">
        <f t="shared" ref="H2:H8" si="1">(E2+F2+G2)</f>
        <v>6000</v>
      </c>
      <c r="I2" s="162"/>
      <c r="J2" s="163">
        <v>0</v>
      </c>
      <c r="K2" s="163">
        <f t="shared" ref="K2:M2" si="2">$H$2/2</f>
        <v>3000</v>
      </c>
      <c r="L2" s="163">
        <f t="shared" si="2"/>
        <v>3000</v>
      </c>
      <c r="M2" s="163">
        <f t="shared" si="2"/>
        <v>3000</v>
      </c>
      <c r="N2" s="163">
        <f t="shared" ref="N2:Z2" si="3">$H$2</f>
        <v>6000</v>
      </c>
      <c r="O2" s="163">
        <f t="shared" si="3"/>
        <v>6000</v>
      </c>
      <c r="P2" s="163">
        <f t="shared" si="3"/>
        <v>6000</v>
      </c>
      <c r="Q2" s="163">
        <f t="shared" si="3"/>
        <v>6000</v>
      </c>
      <c r="R2" s="163">
        <f t="shared" si="3"/>
        <v>6000</v>
      </c>
      <c r="S2" s="163">
        <f t="shared" si="3"/>
        <v>6000</v>
      </c>
      <c r="T2" s="163">
        <f t="shared" si="3"/>
        <v>6000</v>
      </c>
      <c r="U2" s="163">
        <f t="shared" si="3"/>
        <v>6000</v>
      </c>
      <c r="V2" s="163">
        <f t="shared" si="3"/>
        <v>6000</v>
      </c>
      <c r="W2" s="163">
        <f t="shared" si="3"/>
        <v>6000</v>
      </c>
      <c r="X2" s="163">
        <f t="shared" si="3"/>
        <v>6000</v>
      </c>
      <c r="Y2" s="163">
        <f t="shared" si="3"/>
        <v>6000</v>
      </c>
      <c r="Z2" s="163">
        <f t="shared" si="3"/>
        <v>6000</v>
      </c>
      <c r="AA2" s="163"/>
      <c r="AB2" s="164"/>
      <c r="AC2" s="164"/>
      <c r="AD2" s="164"/>
      <c r="AE2" s="164"/>
      <c r="AF2" s="164"/>
      <c r="AG2" s="164"/>
      <c r="AH2" s="165"/>
    </row>
    <row r="3" spans="1:34" ht="14">
      <c r="A3" s="158" t="s">
        <v>75</v>
      </c>
      <c r="B3" s="158"/>
      <c r="C3" s="159" t="s">
        <v>74</v>
      </c>
      <c r="D3" s="160">
        <v>76000</v>
      </c>
      <c r="E3" s="160">
        <f t="shared" si="0"/>
        <v>6333.33</v>
      </c>
      <c r="F3" s="160">
        <v>0</v>
      </c>
      <c r="G3" s="160">
        <v>0</v>
      </c>
      <c r="H3" s="161">
        <f t="shared" si="1"/>
        <v>6333.33</v>
      </c>
      <c r="I3" s="162"/>
      <c r="J3" s="163">
        <v>0</v>
      </c>
      <c r="K3" s="163">
        <f t="shared" ref="K3:Z3" si="4">$H3</f>
        <v>6333.33</v>
      </c>
      <c r="L3" s="163">
        <f t="shared" si="4"/>
        <v>6333.33</v>
      </c>
      <c r="M3" s="163">
        <f t="shared" si="4"/>
        <v>6333.33</v>
      </c>
      <c r="N3" s="163">
        <f t="shared" si="4"/>
        <v>6333.33</v>
      </c>
      <c r="O3" s="163">
        <f t="shared" si="4"/>
        <v>6333.33</v>
      </c>
      <c r="P3" s="163">
        <f t="shared" si="4"/>
        <v>6333.33</v>
      </c>
      <c r="Q3" s="163">
        <f t="shared" si="4"/>
        <v>6333.33</v>
      </c>
      <c r="R3" s="163">
        <f t="shared" si="4"/>
        <v>6333.33</v>
      </c>
      <c r="S3" s="163">
        <f t="shared" si="4"/>
        <v>6333.33</v>
      </c>
      <c r="T3" s="163">
        <f t="shared" si="4"/>
        <v>6333.33</v>
      </c>
      <c r="U3" s="163">
        <f t="shared" si="4"/>
        <v>6333.33</v>
      </c>
      <c r="V3" s="163">
        <f t="shared" si="4"/>
        <v>6333.33</v>
      </c>
      <c r="W3" s="163">
        <f t="shared" si="4"/>
        <v>6333.33</v>
      </c>
      <c r="X3" s="163">
        <f t="shared" si="4"/>
        <v>6333.33</v>
      </c>
      <c r="Y3" s="163">
        <f t="shared" si="4"/>
        <v>6333.33</v>
      </c>
      <c r="Z3" s="163">
        <f t="shared" si="4"/>
        <v>6333.33</v>
      </c>
      <c r="AA3" s="163"/>
      <c r="AB3" s="166"/>
      <c r="AC3" s="166"/>
      <c r="AD3" s="166"/>
      <c r="AE3" s="166"/>
      <c r="AF3" s="166"/>
      <c r="AG3" s="166"/>
      <c r="AH3" s="165"/>
    </row>
    <row r="4" spans="1:34" ht="14">
      <c r="A4" s="158" t="s">
        <v>76</v>
      </c>
      <c r="B4" s="158"/>
      <c r="C4" s="159" t="s">
        <v>77</v>
      </c>
      <c r="D4" s="160">
        <v>36000</v>
      </c>
      <c r="E4" s="160">
        <f t="shared" si="0"/>
        <v>3000</v>
      </c>
      <c r="F4" s="160">
        <f t="shared" ref="F4:F8" si="5">ROUND(D4*15%/12,2)</f>
        <v>450</v>
      </c>
      <c r="G4" s="160">
        <f t="shared" ref="G4:G8" si="6">ROUND((E4)*3%,2)</f>
        <v>90</v>
      </c>
      <c r="H4" s="161">
        <f t="shared" si="1"/>
        <v>3540</v>
      </c>
      <c r="I4" s="162"/>
      <c r="J4" s="163">
        <v>0</v>
      </c>
      <c r="K4" s="163">
        <v>0</v>
      </c>
      <c r="L4" s="163">
        <v>0</v>
      </c>
      <c r="M4" s="163">
        <f>H4</f>
        <v>3540</v>
      </c>
      <c r="N4" s="163">
        <f t="shared" ref="N4:Z4" si="7">M4</f>
        <v>3540</v>
      </c>
      <c r="O4" s="163">
        <f t="shared" si="7"/>
        <v>3540</v>
      </c>
      <c r="P4" s="163">
        <f t="shared" si="7"/>
        <v>3540</v>
      </c>
      <c r="Q4" s="163">
        <f t="shared" si="7"/>
        <v>3540</v>
      </c>
      <c r="R4" s="163">
        <f t="shared" si="7"/>
        <v>3540</v>
      </c>
      <c r="S4" s="163">
        <f t="shared" si="7"/>
        <v>3540</v>
      </c>
      <c r="T4" s="163">
        <f t="shared" si="7"/>
        <v>3540</v>
      </c>
      <c r="U4" s="163">
        <f t="shared" si="7"/>
        <v>3540</v>
      </c>
      <c r="V4" s="163">
        <f t="shared" si="7"/>
        <v>3540</v>
      </c>
      <c r="W4" s="163">
        <f t="shared" si="7"/>
        <v>3540</v>
      </c>
      <c r="X4" s="163">
        <f t="shared" si="7"/>
        <v>3540</v>
      </c>
      <c r="Y4" s="163">
        <f t="shared" si="7"/>
        <v>3540</v>
      </c>
      <c r="Z4" s="163">
        <f t="shared" si="7"/>
        <v>3540</v>
      </c>
      <c r="AA4" s="163"/>
      <c r="AB4" s="164"/>
      <c r="AC4" s="164"/>
      <c r="AD4" s="164"/>
      <c r="AE4" s="164"/>
      <c r="AF4" s="164"/>
      <c r="AG4" s="164"/>
      <c r="AH4" s="165"/>
    </row>
    <row r="5" spans="1:34" ht="14">
      <c r="A5" s="158" t="s">
        <v>76</v>
      </c>
      <c r="B5" s="158"/>
      <c r="C5" s="159"/>
      <c r="D5" s="160"/>
      <c r="E5" s="160">
        <f t="shared" si="0"/>
        <v>0</v>
      </c>
      <c r="F5" s="160">
        <f t="shared" si="5"/>
        <v>0</v>
      </c>
      <c r="G5" s="160">
        <f t="shared" si="6"/>
        <v>0</v>
      </c>
      <c r="H5" s="161">
        <f t="shared" si="1"/>
        <v>0</v>
      </c>
      <c r="I5" s="162"/>
      <c r="J5" s="163">
        <v>0</v>
      </c>
      <c r="K5" s="163">
        <f t="shared" ref="K5:Z5" si="8">$H5</f>
        <v>0</v>
      </c>
      <c r="L5" s="163">
        <f t="shared" si="8"/>
        <v>0</v>
      </c>
      <c r="M5" s="163">
        <f t="shared" si="8"/>
        <v>0</v>
      </c>
      <c r="N5" s="163">
        <f t="shared" si="8"/>
        <v>0</v>
      </c>
      <c r="O5" s="163">
        <f t="shared" si="8"/>
        <v>0</v>
      </c>
      <c r="P5" s="163">
        <f t="shared" si="8"/>
        <v>0</v>
      </c>
      <c r="Q5" s="163">
        <f t="shared" si="8"/>
        <v>0</v>
      </c>
      <c r="R5" s="163">
        <f t="shared" si="8"/>
        <v>0</v>
      </c>
      <c r="S5" s="163">
        <f t="shared" si="8"/>
        <v>0</v>
      </c>
      <c r="T5" s="163">
        <f t="shared" si="8"/>
        <v>0</v>
      </c>
      <c r="U5" s="163">
        <f t="shared" si="8"/>
        <v>0</v>
      </c>
      <c r="V5" s="163">
        <f t="shared" si="8"/>
        <v>0</v>
      </c>
      <c r="W5" s="163">
        <f t="shared" si="8"/>
        <v>0</v>
      </c>
      <c r="X5" s="163">
        <f t="shared" si="8"/>
        <v>0</v>
      </c>
      <c r="Y5" s="163">
        <f t="shared" si="8"/>
        <v>0</v>
      </c>
      <c r="Z5" s="163">
        <f t="shared" si="8"/>
        <v>0</v>
      </c>
      <c r="AA5" s="163"/>
      <c r="AB5" s="164"/>
      <c r="AC5" s="164"/>
      <c r="AD5" s="164"/>
      <c r="AE5" s="164"/>
      <c r="AF5" s="164"/>
      <c r="AG5" s="164"/>
      <c r="AH5" s="165"/>
    </row>
    <row r="6" spans="1:34" ht="14">
      <c r="A6" s="158" t="s">
        <v>76</v>
      </c>
      <c r="B6" s="158"/>
      <c r="C6" s="159"/>
      <c r="D6" s="160"/>
      <c r="E6" s="160">
        <f t="shared" si="0"/>
        <v>0</v>
      </c>
      <c r="F6" s="160">
        <f t="shared" si="5"/>
        <v>0</v>
      </c>
      <c r="G6" s="160">
        <f t="shared" si="6"/>
        <v>0</v>
      </c>
      <c r="H6" s="161">
        <f t="shared" si="1"/>
        <v>0</v>
      </c>
      <c r="I6" s="162"/>
      <c r="J6" s="163">
        <v>0</v>
      </c>
      <c r="K6" s="163">
        <f t="shared" ref="K6:Z6" si="9">$H6</f>
        <v>0</v>
      </c>
      <c r="L6" s="163">
        <f t="shared" si="9"/>
        <v>0</v>
      </c>
      <c r="M6" s="163">
        <f t="shared" si="9"/>
        <v>0</v>
      </c>
      <c r="N6" s="163">
        <f t="shared" si="9"/>
        <v>0</v>
      </c>
      <c r="O6" s="163">
        <f t="shared" si="9"/>
        <v>0</v>
      </c>
      <c r="P6" s="163">
        <f t="shared" si="9"/>
        <v>0</v>
      </c>
      <c r="Q6" s="163">
        <f t="shared" si="9"/>
        <v>0</v>
      </c>
      <c r="R6" s="163">
        <f t="shared" si="9"/>
        <v>0</v>
      </c>
      <c r="S6" s="163">
        <f t="shared" si="9"/>
        <v>0</v>
      </c>
      <c r="T6" s="163">
        <f t="shared" si="9"/>
        <v>0</v>
      </c>
      <c r="U6" s="163">
        <f t="shared" si="9"/>
        <v>0</v>
      </c>
      <c r="V6" s="163">
        <f t="shared" si="9"/>
        <v>0</v>
      </c>
      <c r="W6" s="163">
        <f t="shared" si="9"/>
        <v>0</v>
      </c>
      <c r="X6" s="163">
        <f t="shared" si="9"/>
        <v>0</v>
      </c>
      <c r="Y6" s="163">
        <f t="shared" si="9"/>
        <v>0</v>
      </c>
      <c r="Z6" s="163">
        <f t="shared" si="9"/>
        <v>0</v>
      </c>
      <c r="AA6" s="163"/>
      <c r="AB6" s="164"/>
      <c r="AC6" s="164"/>
      <c r="AD6" s="164"/>
      <c r="AE6" s="164"/>
      <c r="AF6" s="164"/>
      <c r="AG6" s="164"/>
      <c r="AH6" s="165"/>
    </row>
    <row r="7" spans="1:34" ht="14">
      <c r="A7" s="158" t="s">
        <v>78</v>
      </c>
      <c r="B7" s="158"/>
      <c r="C7" s="159" t="s">
        <v>79</v>
      </c>
      <c r="D7" s="160">
        <v>0</v>
      </c>
      <c r="E7" s="160">
        <f t="shared" si="0"/>
        <v>0</v>
      </c>
      <c r="F7" s="160">
        <f t="shared" si="5"/>
        <v>0</v>
      </c>
      <c r="G7" s="160">
        <f t="shared" si="6"/>
        <v>0</v>
      </c>
      <c r="H7" s="161">
        <f t="shared" si="1"/>
        <v>0</v>
      </c>
      <c r="I7" s="162"/>
      <c r="J7" s="163">
        <f t="shared" ref="J7:K7" si="10">$H7</f>
        <v>0</v>
      </c>
      <c r="K7" s="163">
        <f t="shared" si="10"/>
        <v>0</v>
      </c>
      <c r="L7" s="163">
        <v>0</v>
      </c>
      <c r="M7" s="163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163">
        <v>0</v>
      </c>
      <c r="T7" s="163">
        <v>0</v>
      </c>
      <c r="U7" s="163">
        <v>0</v>
      </c>
      <c r="V7" s="163">
        <v>5000</v>
      </c>
      <c r="W7" s="163">
        <v>5000</v>
      </c>
      <c r="X7" s="163">
        <v>5000</v>
      </c>
      <c r="Y7" s="163">
        <v>5000</v>
      </c>
      <c r="Z7" s="163">
        <v>5000</v>
      </c>
      <c r="AA7" s="163"/>
      <c r="AB7" s="166"/>
      <c r="AC7" s="166"/>
      <c r="AD7" s="166"/>
      <c r="AE7" s="166"/>
      <c r="AF7" s="166"/>
      <c r="AG7" s="166"/>
      <c r="AH7" s="165"/>
    </row>
    <row r="8" spans="1:34" ht="14">
      <c r="A8" s="158" t="s">
        <v>80</v>
      </c>
      <c r="B8" s="158"/>
      <c r="C8" s="159" t="s">
        <v>79</v>
      </c>
      <c r="D8" s="160">
        <v>0</v>
      </c>
      <c r="E8" s="160">
        <f t="shared" si="0"/>
        <v>0</v>
      </c>
      <c r="F8" s="160">
        <f t="shared" si="5"/>
        <v>0</v>
      </c>
      <c r="G8" s="160">
        <f t="shared" si="6"/>
        <v>0</v>
      </c>
      <c r="H8" s="161">
        <f t="shared" si="1"/>
        <v>0</v>
      </c>
      <c r="I8" s="162"/>
      <c r="J8" s="163">
        <f t="shared" ref="J8:K8" si="11">$H8</f>
        <v>0</v>
      </c>
      <c r="K8" s="163">
        <f t="shared" si="11"/>
        <v>0</v>
      </c>
      <c r="L8" s="163">
        <v>0</v>
      </c>
      <c r="M8" s="163">
        <v>0</v>
      </c>
      <c r="N8" s="163">
        <v>0</v>
      </c>
      <c r="O8" s="163">
        <v>0</v>
      </c>
      <c r="P8" s="163">
        <v>0</v>
      </c>
      <c r="Q8" s="163">
        <v>0</v>
      </c>
      <c r="R8" s="163">
        <v>0</v>
      </c>
      <c r="S8" s="163">
        <v>0</v>
      </c>
      <c r="T8" s="163">
        <v>0</v>
      </c>
      <c r="U8" s="163">
        <v>0</v>
      </c>
      <c r="V8" s="163">
        <v>5000</v>
      </c>
      <c r="W8" s="163">
        <v>5000</v>
      </c>
      <c r="X8" s="163">
        <v>5000</v>
      </c>
      <c r="Y8" s="163">
        <v>5000</v>
      </c>
      <c r="Z8" s="163">
        <v>5000</v>
      </c>
      <c r="AA8" s="163"/>
      <c r="AB8" s="164"/>
      <c r="AC8" s="164"/>
      <c r="AD8" s="164"/>
      <c r="AE8" s="164"/>
      <c r="AF8" s="164"/>
      <c r="AG8" s="164"/>
      <c r="AH8" s="165"/>
    </row>
    <row r="9" spans="1:34" ht="14">
      <c r="C9" s="139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1:34" ht="14">
      <c r="A10" s="167"/>
      <c r="B10" s="167"/>
      <c r="C10" s="167"/>
      <c r="D10" s="167"/>
      <c r="E10" s="167"/>
      <c r="F10" s="167"/>
      <c r="G10" s="167"/>
      <c r="H10" s="167"/>
      <c r="I10" s="168" t="s">
        <v>81</v>
      </c>
      <c r="J10" s="169">
        <f>SUM(J2:J8)-J2-J7-J8</f>
        <v>0</v>
      </c>
      <c r="K10" s="169">
        <v>0</v>
      </c>
      <c r="L10" s="169">
        <v>0</v>
      </c>
      <c r="M10" s="169">
        <f t="shared" ref="M10:Z10" si="12">SUMIF($C$2:$C$8,$C$20,$H$2:$H$8)</f>
        <v>3540</v>
      </c>
      <c r="N10" s="169">
        <f t="shared" si="12"/>
        <v>3540</v>
      </c>
      <c r="O10" s="169">
        <f t="shared" si="12"/>
        <v>3540</v>
      </c>
      <c r="P10" s="169">
        <f t="shared" si="12"/>
        <v>3540</v>
      </c>
      <c r="Q10" s="169">
        <f t="shared" si="12"/>
        <v>3540</v>
      </c>
      <c r="R10" s="169">
        <f t="shared" si="12"/>
        <v>3540</v>
      </c>
      <c r="S10" s="169">
        <f t="shared" si="12"/>
        <v>3540</v>
      </c>
      <c r="T10" s="169">
        <f t="shared" si="12"/>
        <v>3540</v>
      </c>
      <c r="U10" s="169">
        <f t="shared" si="12"/>
        <v>3540</v>
      </c>
      <c r="V10" s="169">
        <f t="shared" si="12"/>
        <v>3540</v>
      </c>
      <c r="W10" s="169">
        <f t="shared" si="12"/>
        <v>3540</v>
      </c>
      <c r="X10" s="169">
        <f t="shared" si="12"/>
        <v>3540</v>
      </c>
      <c r="Y10" s="169">
        <f t="shared" si="12"/>
        <v>3540</v>
      </c>
      <c r="Z10" s="169">
        <f t="shared" si="12"/>
        <v>3540</v>
      </c>
      <c r="AA10" s="169"/>
      <c r="AB10" s="167"/>
      <c r="AC10" s="167"/>
      <c r="AD10" s="167"/>
      <c r="AE10" s="167"/>
      <c r="AF10" s="167"/>
      <c r="AG10" s="167"/>
      <c r="AH10" s="167"/>
    </row>
    <row r="11" spans="1:34" ht="14">
      <c r="A11" s="139"/>
      <c r="B11" s="139"/>
      <c r="C11" s="139"/>
      <c r="D11" s="139"/>
      <c r="E11" s="139"/>
      <c r="F11" s="139"/>
      <c r="G11" s="139"/>
      <c r="H11" s="139"/>
      <c r="I11" s="139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39"/>
      <c r="AC11" s="139"/>
      <c r="AD11" s="139"/>
      <c r="AE11" s="139"/>
      <c r="AF11" s="139"/>
      <c r="AG11" s="139"/>
      <c r="AH11" s="139"/>
    </row>
    <row r="12" spans="1:34" ht="14">
      <c r="A12" s="170"/>
      <c r="B12" s="170"/>
      <c r="C12" s="170"/>
      <c r="D12" s="170"/>
      <c r="E12" s="170"/>
      <c r="F12" s="170"/>
      <c r="G12" s="170"/>
      <c r="H12" s="170"/>
      <c r="I12" s="167" t="s">
        <v>82</v>
      </c>
      <c r="J12" s="171">
        <f t="shared" ref="J12:Z12" si="13">SUM(J2:J3)</f>
        <v>0</v>
      </c>
      <c r="K12" s="171">
        <f t="shared" si="13"/>
        <v>9333.33</v>
      </c>
      <c r="L12" s="171">
        <f t="shared" si="13"/>
        <v>9333.33</v>
      </c>
      <c r="M12" s="171">
        <f t="shared" si="13"/>
        <v>9333.33</v>
      </c>
      <c r="N12" s="171">
        <f t="shared" si="13"/>
        <v>12333.33</v>
      </c>
      <c r="O12" s="171">
        <f t="shared" si="13"/>
        <v>12333.33</v>
      </c>
      <c r="P12" s="171">
        <f t="shared" si="13"/>
        <v>12333.33</v>
      </c>
      <c r="Q12" s="171">
        <f t="shared" si="13"/>
        <v>12333.33</v>
      </c>
      <c r="R12" s="171">
        <f t="shared" si="13"/>
        <v>12333.33</v>
      </c>
      <c r="S12" s="171">
        <f t="shared" si="13"/>
        <v>12333.33</v>
      </c>
      <c r="T12" s="171">
        <f t="shared" si="13"/>
        <v>12333.33</v>
      </c>
      <c r="U12" s="171">
        <f t="shared" si="13"/>
        <v>12333.33</v>
      </c>
      <c r="V12" s="171">
        <f t="shared" si="13"/>
        <v>12333.33</v>
      </c>
      <c r="W12" s="171">
        <f t="shared" si="13"/>
        <v>12333.33</v>
      </c>
      <c r="X12" s="171">
        <f t="shared" si="13"/>
        <v>12333.33</v>
      </c>
      <c r="Y12" s="171">
        <f t="shared" si="13"/>
        <v>12333.33</v>
      </c>
      <c r="Z12" s="171">
        <f t="shared" si="13"/>
        <v>12333.33</v>
      </c>
      <c r="AA12" s="171"/>
      <c r="AB12" s="170"/>
      <c r="AC12" s="170"/>
      <c r="AD12" s="170"/>
      <c r="AE12" s="170"/>
      <c r="AF12" s="170"/>
      <c r="AG12" s="170"/>
      <c r="AH12" s="170"/>
    </row>
    <row r="13" spans="1:34" ht="14">
      <c r="C13" s="139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spans="1:34" ht="14">
      <c r="A14" s="172"/>
      <c r="B14" s="172"/>
      <c r="C14" s="173"/>
      <c r="D14" s="172"/>
      <c r="E14" s="172"/>
      <c r="F14" s="172"/>
      <c r="G14" s="172"/>
      <c r="H14" s="172"/>
      <c r="I14" s="172"/>
      <c r="J14" s="172"/>
      <c r="K14" s="174">
        <f>SUM(K2:K8)-SUM(K10:K12)</f>
        <v>0</v>
      </c>
      <c r="L14" s="174">
        <f t="shared" ref="L14:Z14" si="14">SUM(L2:L6)-SUM(L10:L12)</f>
        <v>0</v>
      </c>
      <c r="M14" s="174">
        <f t="shared" si="14"/>
        <v>0</v>
      </c>
      <c r="N14" s="174">
        <f t="shared" si="14"/>
        <v>0</v>
      </c>
      <c r="O14" s="174">
        <f t="shared" si="14"/>
        <v>0</v>
      </c>
      <c r="P14" s="174">
        <f t="shared" si="14"/>
        <v>0</v>
      </c>
      <c r="Q14" s="174">
        <f t="shared" si="14"/>
        <v>0</v>
      </c>
      <c r="R14" s="174">
        <f t="shared" si="14"/>
        <v>0</v>
      </c>
      <c r="S14" s="174">
        <f t="shared" si="14"/>
        <v>0</v>
      </c>
      <c r="T14" s="174">
        <f t="shared" si="14"/>
        <v>0</v>
      </c>
      <c r="U14" s="174">
        <f t="shared" si="14"/>
        <v>0</v>
      </c>
      <c r="V14" s="174">
        <f t="shared" si="14"/>
        <v>0</v>
      </c>
      <c r="W14" s="174">
        <f t="shared" si="14"/>
        <v>0</v>
      </c>
      <c r="X14" s="174">
        <f t="shared" si="14"/>
        <v>0</v>
      </c>
      <c r="Y14" s="174">
        <f t="shared" si="14"/>
        <v>0</v>
      </c>
      <c r="Z14" s="174">
        <f t="shared" si="14"/>
        <v>0</v>
      </c>
      <c r="AA14" s="172"/>
      <c r="AB14" s="172"/>
      <c r="AC14" s="172"/>
      <c r="AD14" s="172"/>
      <c r="AE14" s="172"/>
      <c r="AF14" s="172"/>
      <c r="AG14" s="172"/>
      <c r="AH14" s="172"/>
    </row>
    <row r="15" spans="1:34" ht="14">
      <c r="C15" s="139"/>
    </row>
    <row r="16" spans="1:34" ht="14">
      <c r="C16" s="139"/>
    </row>
    <row r="17" spans="3:3" ht="14">
      <c r="C17" s="139"/>
    </row>
    <row r="18" spans="3:3" ht="14">
      <c r="C18" s="139"/>
    </row>
    <row r="19" spans="3:3" ht="14">
      <c r="C19" s="139"/>
    </row>
    <row r="20" spans="3:3" ht="14" hidden="1">
      <c r="C20" s="139" t="s">
        <v>77</v>
      </c>
    </row>
    <row r="21" spans="3:3" ht="14">
      <c r="C21" s="139"/>
    </row>
    <row r="22" spans="3:3" ht="14">
      <c r="C22" s="139"/>
    </row>
    <row r="23" spans="3:3" ht="14">
      <c r="C23" s="139"/>
    </row>
    <row r="24" spans="3:3" ht="14">
      <c r="C24" s="139"/>
    </row>
    <row r="25" spans="3:3" ht="14">
      <c r="C25" s="139"/>
    </row>
    <row r="26" spans="3:3" ht="14">
      <c r="C26" s="139"/>
    </row>
    <row r="27" spans="3:3" ht="14">
      <c r="C27" s="139"/>
    </row>
    <row r="28" spans="3:3" ht="14">
      <c r="C28" s="139"/>
    </row>
    <row r="29" spans="3:3" ht="14">
      <c r="C29" s="139"/>
    </row>
    <row r="30" spans="3:3" ht="14">
      <c r="C30" s="139"/>
    </row>
    <row r="31" spans="3:3" ht="14">
      <c r="C31" s="139"/>
    </row>
    <row r="32" spans="3:3" ht="14">
      <c r="C32" s="139"/>
    </row>
    <row r="33" spans="3:3" ht="14">
      <c r="C33" s="139"/>
    </row>
    <row r="34" spans="3:3" ht="14">
      <c r="C34" s="139"/>
    </row>
    <row r="35" spans="3:3" ht="14">
      <c r="C35" s="139"/>
    </row>
    <row r="36" spans="3:3" ht="14">
      <c r="C36" s="139"/>
    </row>
    <row r="37" spans="3:3" ht="14">
      <c r="C37" s="139"/>
    </row>
    <row r="38" spans="3:3" ht="14">
      <c r="C38" s="139"/>
    </row>
    <row r="39" spans="3:3" ht="14">
      <c r="C39" s="139"/>
    </row>
    <row r="40" spans="3:3" ht="14">
      <c r="C40" s="139"/>
    </row>
    <row r="41" spans="3:3" ht="14">
      <c r="C41" s="139"/>
    </row>
    <row r="42" spans="3:3" ht="14">
      <c r="C42" s="139"/>
    </row>
    <row r="43" spans="3:3" ht="14">
      <c r="C43" s="139"/>
    </row>
    <row r="44" spans="3:3" ht="14">
      <c r="C44" s="139"/>
    </row>
    <row r="45" spans="3:3" ht="14">
      <c r="C45" s="139"/>
    </row>
    <row r="46" spans="3:3" ht="14">
      <c r="C46" s="139"/>
    </row>
    <row r="47" spans="3:3" ht="14">
      <c r="C47" s="139"/>
    </row>
    <row r="48" spans="3:3" ht="14">
      <c r="C48" s="139"/>
    </row>
    <row r="49" spans="3:3" ht="14">
      <c r="C49" s="139"/>
    </row>
    <row r="50" spans="3:3" ht="14">
      <c r="C50" s="139"/>
    </row>
    <row r="51" spans="3:3" ht="14">
      <c r="C51" s="139"/>
    </row>
    <row r="52" spans="3:3" ht="14">
      <c r="C52" s="139"/>
    </row>
    <row r="53" spans="3:3" ht="14">
      <c r="C53" s="139"/>
    </row>
    <row r="54" spans="3:3" ht="14">
      <c r="C54" s="139"/>
    </row>
    <row r="55" spans="3:3" ht="14">
      <c r="C55" s="139"/>
    </row>
    <row r="56" spans="3:3" ht="14">
      <c r="C56" s="139"/>
    </row>
    <row r="57" spans="3:3" ht="14">
      <c r="C57" s="139"/>
    </row>
    <row r="58" spans="3:3" ht="14">
      <c r="C58" s="139"/>
    </row>
    <row r="59" spans="3:3" ht="14">
      <c r="C59" s="139"/>
    </row>
    <row r="60" spans="3:3" ht="14">
      <c r="C60" s="139"/>
    </row>
    <row r="61" spans="3:3" ht="14">
      <c r="C61" s="139"/>
    </row>
    <row r="62" spans="3:3" ht="14">
      <c r="C62" s="139"/>
    </row>
    <row r="63" spans="3:3" ht="14">
      <c r="C63" s="139"/>
    </row>
    <row r="64" spans="3:3" ht="14">
      <c r="C64" s="139"/>
    </row>
    <row r="65" spans="3:3" ht="14">
      <c r="C65" s="139"/>
    </row>
    <row r="66" spans="3:3" ht="14">
      <c r="C66" s="139"/>
    </row>
    <row r="67" spans="3:3" ht="14">
      <c r="C67" s="139"/>
    </row>
    <row r="68" spans="3:3" ht="14">
      <c r="C68" s="139"/>
    </row>
    <row r="69" spans="3:3" ht="14">
      <c r="C69" s="139"/>
    </row>
    <row r="70" spans="3:3" ht="14">
      <c r="C70" s="139"/>
    </row>
    <row r="71" spans="3:3" ht="14">
      <c r="C71" s="139"/>
    </row>
    <row r="72" spans="3:3" ht="14">
      <c r="C72" s="139"/>
    </row>
    <row r="73" spans="3:3" ht="14">
      <c r="C73" s="139"/>
    </row>
    <row r="74" spans="3:3" ht="14">
      <c r="C74" s="139"/>
    </row>
    <row r="75" spans="3:3" ht="14">
      <c r="C75" s="139"/>
    </row>
    <row r="76" spans="3:3" ht="14">
      <c r="C76" s="139"/>
    </row>
    <row r="77" spans="3:3" ht="14">
      <c r="C77" s="139"/>
    </row>
    <row r="78" spans="3:3" ht="14">
      <c r="C78" s="139"/>
    </row>
    <row r="79" spans="3:3" ht="14">
      <c r="C79" s="139"/>
    </row>
    <row r="80" spans="3:3" ht="14">
      <c r="C80" s="139"/>
    </row>
    <row r="81" spans="3:3" ht="14">
      <c r="C81" s="139"/>
    </row>
    <row r="82" spans="3:3" ht="14">
      <c r="C82" s="139"/>
    </row>
    <row r="83" spans="3:3" ht="14">
      <c r="C83" s="139"/>
    </row>
    <row r="84" spans="3:3" ht="14">
      <c r="C84" s="139"/>
    </row>
    <row r="85" spans="3:3" ht="14">
      <c r="C85" s="139"/>
    </row>
    <row r="86" spans="3:3" ht="14">
      <c r="C86" s="139"/>
    </row>
    <row r="87" spans="3:3" ht="14">
      <c r="C87" s="139"/>
    </row>
    <row r="88" spans="3:3" ht="14">
      <c r="C88" s="139"/>
    </row>
    <row r="89" spans="3:3" ht="14">
      <c r="C89" s="139"/>
    </row>
    <row r="90" spans="3:3" ht="14">
      <c r="C90" s="139"/>
    </row>
    <row r="91" spans="3:3" ht="14">
      <c r="C91" s="139"/>
    </row>
    <row r="92" spans="3:3" ht="14">
      <c r="C92" s="139"/>
    </row>
    <row r="93" spans="3:3" ht="14">
      <c r="C93" s="139"/>
    </row>
    <row r="94" spans="3:3" ht="14">
      <c r="C94" s="139"/>
    </row>
    <row r="95" spans="3:3" ht="14">
      <c r="C95" s="139"/>
    </row>
    <row r="96" spans="3:3" ht="14">
      <c r="C96" s="139"/>
    </row>
    <row r="97" spans="3:3" ht="14">
      <c r="C97" s="139"/>
    </row>
    <row r="98" spans="3:3" ht="14">
      <c r="C98" s="139"/>
    </row>
    <row r="99" spans="3:3" ht="14">
      <c r="C99" s="139"/>
    </row>
    <row r="100" spans="3:3" ht="14">
      <c r="C100" s="139"/>
    </row>
    <row r="101" spans="3:3" ht="14">
      <c r="C101" s="139"/>
    </row>
    <row r="102" spans="3:3" ht="14">
      <c r="C102" s="139"/>
    </row>
    <row r="103" spans="3:3" ht="14">
      <c r="C103" s="139"/>
    </row>
    <row r="104" spans="3:3" ht="14">
      <c r="C104" s="139"/>
    </row>
    <row r="105" spans="3:3" ht="14">
      <c r="C105" s="139"/>
    </row>
    <row r="106" spans="3:3" ht="14">
      <c r="C106" s="139"/>
    </row>
    <row r="107" spans="3:3" ht="14">
      <c r="C107" s="139"/>
    </row>
    <row r="108" spans="3:3" ht="14">
      <c r="C108" s="139"/>
    </row>
    <row r="109" spans="3:3" ht="14">
      <c r="C109" s="139"/>
    </row>
    <row r="110" spans="3:3" ht="14">
      <c r="C110" s="139"/>
    </row>
    <row r="111" spans="3:3" ht="14">
      <c r="C111" s="139"/>
    </row>
    <row r="112" spans="3:3" ht="14">
      <c r="C112" s="139"/>
    </row>
    <row r="113" spans="3:3" ht="14">
      <c r="C113" s="139"/>
    </row>
    <row r="114" spans="3:3" ht="14">
      <c r="C114" s="139"/>
    </row>
    <row r="115" spans="3:3" ht="14">
      <c r="C115" s="139"/>
    </row>
    <row r="116" spans="3:3" ht="14">
      <c r="C116" s="139"/>
    </row>
    <row r="117" spans="3:3" ht="14">
      <c r="C117" s="139"/>
    </row>
    <row r="118" spans="3:3" ht="14">
      <c r="C118" s="139"/>
    </row>
    <row r="119" spans="3:3" ht="14">
      <c r="C119" s="139"/>
    </row>
    <row r="120" spans="3:3" ht="14">
      <c r="C120" s="139"/>
    </row>
    <row r="121" spans="3:3" ht="14">
      <c r="C121" s="139"/>
    </row>
    <row r="122" spans="3:3" ht="14">
      <c r="C122" s="139"/>
    </row>
    <row r="123" spans="3:3" ht="14">
      <c r="C123" s="139"/>
    </row>
    <row r="124" spans="3:3" ht="14">
      <c r="C124" s="139"/>
    </row>
    <row r="125" spans="3:3" ht="14">
      <c r="C125" s="139"/>
    </row>
    <row r="126" spans="3:3" ht="14">
      <c r="C126" s="139"/>
    </row>
    <row r="127" spans="3:3" ht="14">
      <c r="C127" s="139"/>
    </row>
    <row r="128" spans="3:3" ht="14">
      <c r="C128" s="139"/>
    </row>
    <row r="129" spans="3:3" ht="14">
      <c r="C129" s="139"/>
    </row>
    <row r="130" spans="3:3" ht="14">
      <c r="C130" s="139"/>
    </row>
    <row r="131" spans="3:3" ht="14">
      <c r="C131" s="139"/>
    </row>
    <row r="132" spans="3:3" ht="14">
      <c r="C132" s="139"/>
    </row>
    <row r="133" spans="3:3" ht="14">
      <c r="C133" s="139"/>
    </row>
    <row r="134" spans="3:3" ht="14">
      <c r="C134" s="139"/>
    </row>
    <row r="135" spans="3:3" ht="14">
      <c r="C135" s="139"/>
    </row>
    <row r="136" spans="3:3" ht="14">
      <c r="C136" s="139"/>
    </row>
    <row r="137" spans="3:3" ht="14">
      <c r="C137" s="139"/>
    </row>
    <row r="138" spans="3:3" ht="14">
      <c r="C138" s="139"/>
    </row>
    <row r="139" spans="3:3" ht="14">
      <c r="C139" s="139"/>
    </row>
    <row r="140" spans="3:3" ht="14">
      <c r="C140" s="139"/>
    </row>
    <row r="141" spans="3:3" ht="14">
      <c r="C141" s="139"/>
    </row>
    <row r="142" spans="3:3" ht="14">
      <c r="C142" s="139"/>
    </row>
    <row r="143" spans="3:3" ht="14">
      <c r="C143" s="139"/>
    </row>
    <row r="144" spans="3:3" ht="14">
      <c r="C144" s="139"/>
    </row>
    <row r="145" spans="3:3" ht="14">
      <c r="C145" s="139"/>
    </row>
    <row r="146" spans="3:3" ht="14">
      <c r="C146" s="139"/>
    </row>
    <row r="147" spans="3:3" ht="14">
      <c r="C147" s="139"/>
    </row>
    <row r="148" spans="3:3" ht="14">
      <c r="C148" s="139"/>
    </row>
    <row r="149" spans="3:3" ht="14">
      <c r="C149" s="139"/>
    </row>
    <row r="150" spans="3:3" ht="14">
      <c r="C150" s="139"/>
    </row>
    <row r="151" spans="3:3" ht="14">
      <c r="C151" s="139"/>
    </row>
    <row r="152" spans="3:3" ht="14">
      <c r="C152" s="139"/>
    </row>
    <row r="153" spans="3:3" ht="14">
      <c r="C153" s="139"/>
    </row>
    <row r="154" spans="3:3" ht="14">
      <c r="C154" s="139"/>
    </row>
    <row r="155" spans="3:3" ht="14">
      <c r="C155" s="139"/>
    </row>
    <row r="156" spans="3:3" ht="14">
      <c r="C156" s="139"/>
    </row>
    <row r="157" spans="3:3" ht="14">
      <c r="C157" s="139"/>
    </row>
    <row r="158" spans="3:3" ht="14">
      <c r="C158" s="139"/>
    </row>
    <row r="159" spans="3:3" ht="14">
      <c r="C159" s="139"/>
    </row>
    <row r="160" spans="3:3" ht="14">
      <c r="C160" s="139"/>
    </row>
    <row r="161" spans="3:3" ht="14">
      <c r="C161" s="139"/>
    </row>
    <row r="162" spans="3:3" ht="14">
      <c r="C162" s="139"/>
    </row>
    <row r="163" spans="3:3" ht="14">
      <c r="C163" s="139"/>
    </row>
    <row r="164" spans="3:3" ht="14">
      <c r="C164" s="139"/>
    </row>
    <row r="165" spans="3:3" ht="14">
      <c r="C165" s="139"/>
    </row>
    <row r="166" spans="3:3" ht="14">
      <c r="C166" s="139"/>
    </row>
    <row r="167" spans="3:3" ht="14">
      <c r="C167" s="139"/>
    </row>
    <row r="168" spans="3:3" ht="14">
      <c r="C168" s="139"/>
    </row>
    <row r="169" spans="3:3" ht="14">
      <c r="C169" s="139"/>
    </row>
    <row r="170" spans="3:3" ht="14">
      <c r="C170" s="139"/>
    </row>
    <row r="171" spans="3:3" ht="14">
      <c r="C171" s="139"/>
    </row>
    <row r="172" spans="3:3" ht="14">
      <c r="C172" s="139"/>
    </row>
    <row r="173" spans="3:3" ht="14">
      <c r="C173" s="139"/>
    </row>
    <row r="174" spans="3:3" ht="14">
      <c r="C174" s="139"/>
    </row>
    <row r="175" spans="3:3" ht="14">
      <c r="C175" s="139"/>
    </row>
    <row r="176" spans="3:3" ht="14">
      <c r="C176" s="139"/>
    </row>
    <row r="177" spans="3:3" ht="14">
      <c r="C177" s="139"/>
    </row>
    <row r="178" spans="3:3" ht="14">
      <c r="C178" s="139"/>
    </row>
    <row r="179" spans="3:3" ht="14">
      <c r="C179" s="139"/>
    </row>
    <row r="180" spans="3:3" ht="14">
      <c r="C180" s="139"/>
    </row>
    <row r="181" spans="3:3" ht="14">
      <c r="C181" s="139"/>
    </row>
    <row r="182" spans="3:3" ht="14">
      <c r="C182" s="139"/>
    </row>
    <row r="183" spans="3:3" ht="14">
      <c r="C183" s="139"/>
    </row>
    <row r="184" spans="3:3" ht="14">
      <c r="C184" s="139"/>
    </row>
    <row r="185" spans="3:3" ht="14">
      <c r="C185" s="139"/>
    </row>
    <row r="186" spans="3:3" ht="14">
      <c r="C186" s="139"/>
    </row>
    <row r="187" spans="3:3" ht="14">
      <c r="C187" s="139"/>
    </row>
    <row r="188" spans="3:3" ht="14">
      <c r="C188" s="139"/>
    </row>
    <row r="189" spans="3:3" ht="14">
      <c r="C189" s="139"/>
    </row>
    <row r="190" spans="3:3" ht="14">
      <c r="C190" s="139"/>
    </row>
    <row r="191" spans="3:3" ht="14">
      <c r="C191" s="139"/>
    </row>
    <row r="192" spans="3:3" ht="14">
      <c r="C192" s="139"/>
    </row>
    <row r="193" spans="3:3" ht="14">
      <c r="C193" s="139"/>
    </row>
    <row r="194" spans="3:3" ht="14">
      <c r="C194" s="139"/>
    </row>
    <row r="195" spans="3:3" ht="14">
      <c r="C195" s="139"/>
    </row>
    <row r="196" spans="3:3" ht="14">
      <c r="C196" s="139"/>
    </row>
    <row r="197" spans="3:3" ht="14">
      <c r="C197" s="139"/>
    </row>
    <row r="198" spans="3:3" ht="14">
      <c r="C198" s="139"/>
    </row>
    <row r="199" spans="3:3" ht="14">
      <c r="C199" s="139"/>
    </row>
    <row r="200" spans="3:3" ht="14">
      <c r="C200" s="139"/>
    </row>
    <row r="201" spans="3:3" ht="14">
      <c r="C201" s="139"/>
    </row>
    <row r="202" spans="3:3" ht="14">
      <c r="C202" s="139"/>
    </row>
    <row r="203" spans="3:3" ht="14">
      <c r="C203" s="139"/>
    </row>
    <row r="204" spans="3:3" ht="14">
      <c r="C204" s="139"/>
    </row>
    <row r="205" spans="3:3" ht="14">
      <c r="C205" s="139"/>
    </row>
    <row r="206" spans="3:3" ht="14">
      <c r="C206" s="139"/>
    </row>
    <row r="207" spans="3:3" ht="14">
      <c r="C207" s="139"/>
    </row>
    <row r="208" spans="3:3" ht="14">
      <c r="C208" s="139"/>
    </row>
    <row r="209" spans="3:3" ht="14">
      <c r="C209" s="139"/>
    </row>
    <row r="210" spans="3:3" ht="14">
      <c r="C210" s="139"/>
    </row>
    <row r="211" spans="3:3" ht="14">
      <c r="C211" s="139"/>
    </row>
    <row r="212" spans="3:3" ht="14">
      <c r="C212" s="139"/>
    </row>
    <row r="213" spans="3:3" ht="14">
      <c r="C213" s="139"/>
    </row>
    <row r="214" spans="3:3" ht="14">
      <c r="C214" s="139"/>
    </row>
    <row r="215" spans="3:3" ht="14">
      <c r="C215" s="139"/>
    </row>
    <row r="216" spans="3:3" ht="14">
      <c r="C216" s="139"/>
    </row>
    <row r="217" spans="3:3" ht="14">
      <c r="C217" s="139"/>
    </row>
    <row r="218" spans="3:3" ht="14">
      <c r="C218" s="139"/>
    </row>
    <row r="219" spans="3:3" ht="14">
      <c r="C219" s="139"/>
    </row>
    <row r="220" spans="3:3" ht="14">
      <c r="C220" s="139"/>
    </row>
    <row r="221" spans="3:3" ht="14">
      <c r="C221" s="139"/>
    </row>
    <row r="222" spans="3:3" ht="14">
      <c r="C222" s="139"/>
    </row>
    <row r="223" spans="3:3" ht="14">
      <c r="C223" s="139"/>
    </row>
    <row r="224" spans="3:3" ht="14">
      <c r="C224" s="139"/>
    </row>
    <row r="225" spans="3:3" ht="14">
      <c r="C225" s="139"/>
    </row>
    <row r="226" spans="3:3" ht="14">
      <c r="C226" s="139"/>
    </row>
    <row r="227" spans="3:3" ht="14">
      <c r="C227" s="139"/>
    </row>
    <row r="228" spans="3:3" ht="14">
      <c r="C228" s="139"/>
    </row>
    <row r="229" spans="3:3" ht="14">
      <c r="C229" s="139"/>
    </row>
    <row r="230" spans="3:3" ht="14">
      <c r="C230" s="139"/>
    </row>
    <row r="231" spans="3:3" ht="14">
      <c r="C231" s="139"/>
    </row>
    <row r="232" spans="3:3" ht="14">
      <c r="C232" s="139"/>
    </row>
    <row r="233" spans="3:3" ht="14">
      <c r="C233" s="139"/>
    </row>
    <row r="234" spans="3:3" ht="14">
      <c r="C234" s="139"/>
    </row>
    <row r="235" spans="3:3" ht="14">
      <c r="C235" s="139"/>
    </row>
    <row r="236" spans="3:3" ht="14">
      <c r="C236" s="139"/>
    </row>
    <row r="237" spans="3:3" ht="14">
      <c r="C237" s="139"/>
    </row>
    <row r="238" spans="3:3" ht="14">
      <c r="C238" s="139"/>
    </row>
    <row r="239" spans="3:3" ht="14">
      <c r="C239" s="139"/>
    </row>
    <row r="240" spans="3:3" ht="14">
      <c r="C240" s="139"/>
    </row>
    <row r="241" spans="3:3" ht="14">
      <c r="C241" s="139"/>
    </row>
    <row r="242" spans="3:3" ht="14">
      <c r="C242" s="139"/>
    </row>
    <row r="243" spans="3:3" ht="14">
      <c r="C243" s="139"/>
    </row>
    <row r="244" spans="3:3" ht="14">
      <c r="C244" s="139"/>
    </row>
    <row r="245" spans="3:3" ht="14">
      <c r="C245" s="139"/>
    </row>
    <row r="246" spans="3:3" ht="14">
      <c r="C246" s="139"/>
    </row>
    <row r="247" spans="3:3" ht="14">
      <c r="C247" s="139"/>
    </row>
    <row r="248" spans="3:3" ht="14">
      <c r="C248" s="139"/>
    </row>
    <row r="249" spans="3:3" ht="14">
      <c r="C249" s="139"/>
    </row>
    <row r="250" spans="3:3" ht="14">
      <c r="C250" s="139"/>
    </row>
    <row r="251" spans="3:3" ht="14">
      <c r="C251" s="139"/>
    </row>
    <row r="252" spans="3:3" ht="14">
      <c r="C252" s="139"/>
    </row>
    <row r="253" spans="3:3" ht="14">
      <c r="C253" s="139"/>
    </row>
    <row r="254" spans="3:3" ht="14">
      <c r="C254" s="139"/>
    </row>
    <row r="255" spans="3:3" ht="14">
      <c r="C255" s="139"/>
    </row>
    <row r="256" spans="3:3" ht="14">
      <c r="C256" s="139"/>
    </row>
    <row r="257" spans="3:3" ht="14">
      <c r="C257" s="139"/>
    </row>
    <row r="258" spans="3:3" ht="14">
      <c r="C258" s="139"/>
    </row>
    <row r="259" spans="3:3" ht="14">
      <c r="C259" s="139"/>
    </row>
    <row r="260" spans="3:3" ht="14">
      <c r="C260" s="139"/>
    </row>
    <row r="261" spans="3:3" ht="14">
      <c r="C261" s="139"/>
    </row>
    <row r="262" spans="3:3" ht="14">
      <c r="C262" s="139"/>
    </row>
    <row r="263" spans="3:3" ht="14">
      <c r="C263" s="139"/>
    </row>
    <row r="264" spans="3:3" ht="14">
      <c r="C264" s="139"/>
    </row>
    <row r="265" spans="3:3" ht="14">
      <c r="C265" s="139"/>
    </row>
    <row r="266" spans="3:3" ht="14">
      <c r="C266" s="139"/>
    </row>
    <row r="267" spans="3:3" ht="14">
      <c r="C267" s="139"/>
    </row>
    <row r="268" spans="3:3" ht="14">
      <c r="C268" s="139"/>
    </row>
    <row r="269" spans="3:3" ht="14">
      <c r="C269" s="139"/>
    </row>
    <row r="270" spans="3:3" ht="14">
      <c r="C270" s="139"/>
    </row>
    <row r="271" spans="3:3" ht="14">
      <c r="C271" s="139"/>
    </row>
    <row r="272" spans="3:3" ht="14">
      <c r="C272" s="139"/>
    </row>
    <row r="273" spans="3:3" ht="14">
      <c r="C273" s="139"/>
    </row>
    <row r="274" spans="3:3" ht="14">
      <c r="C274" s="139"/>
    </row>
    <row r="275" spans="3:3" ht="14">
      <c r="C275" s="139"/>
    </row>
    <row r="276" spans="3:3" ht="14">
      <c r="C276" s="139"/>
    </row>
    <row r="277" spans="3:3" ht="14">
      <c r="C277" s="139"/>
    </row>
    <row r="278" spans="3:3" ht="14">
      <c r="C278" s="139"/>
    </row>
    <row r="279" spans="3:3" ht="14">
      <c r="C279" s="139"/>
    </row>
    <row r="280" spans="3:3" ht="14">
      <c r="C280" s="139"/>
    </row>
    <row r="281" spans="3:3" ht="14">
      <c r="C281" s="139"/>
    </row>
    <row r="282" spans="3:3" ht="14">
      <c r="C282" s="139"/>
    </row>
    <row r="283" spans="3:3" ht="14">
      <c r="C283" s="139"/>
    </row>
    <row r="284" spans="3:3" ht="14">
      <c r="C284" s="139"/>
    </row>
    <row r="285" spans="3:3" ht="14">
      <c r="C285" s="139"/>
    </row>
    <row r="286" spans="3:3" ht="14">
      <c r="C286" s="139"/>
    </row>
    <row r="287" spans="3:3" ht="14">
      <c r="C287" s="139"/>
    </row>
    <row r="288" spans="3:3" ht="14">
      <c r="C288" s="139"/>
    </row>
    <row r="289" spans="3:3" ht="14">
      <c r="C289" s="139"/>
    </row>
    <row r="290" spans="3:3" ht="14">
      <c r="C290" s="139"/>
    </row>
    <row r="291" spans="3:3" ht="14">
      <c r="C291" s="139"/>
    </row>
    <row r="292" spans="3:3" ht="14">
      <c r="C292" s="139"/>
    </row>
    <row r="293" spans="3:3" ht="14">
      <c r="C293" s="139"/>
    </row>
    <row r="294" spans="3:3" ht="14">
      <c r="C294" s="139"/>
    </row>
    <row r="295" spans="3:3" ht="14">
      <c r="C295" s="139"/>
    </row>
    <row r="296" spans="3:3" ht="14">
      <c r="C296" s="139"/>
    </row>
    <row r="297" spans="3:3" ht="14">
      <c r="C297" s="139"/>
    </row>
    <row r="298" spans="3:3" ht="14">
      <c r="C298" s="139"/>
    </row>
    <row r="299" spans="3:3" ht="14">
      <c r="C299" s="139"/>
    </row>
    <row r="300" spans="3:3" ht="14">
      <c r="C300" s="139"/>
    </row>
    <row r="301" spans="3:3" ht="14">
      <c r="C301" s="139"/>
    </row>
    <row r="302" spans="3:3" ht="14">
      <c r="C302" s="139"/>
    </row>
    <row r="303" spans="3:3" ht="14">
      <c r="C303" s="139"/>
    </row>
    <row r="304" spans="3:3" ht="14">
      <c r="C304" s="139"/>
    </row>
    <row r="305" spans="3:3" ht="14">
      <c r="C305" s="139"/>
    </row>
    <row r="306" spans="3:3" ht="14">
      <c r="C306" s="139"/>
    </row>
    <row r="307" spans="3:3" ht="14">
      <c r="C307" s="139"/>
    </row>
    <row r="308" spans="3:3" ht="14">
      <c r="C308" s="139"/>
    </row>
    <row r="309" spans="3:3" ht="14">
      <c r="C309" s="139"/>
    </row>
    <row r="310" spans="3:3" ht="14">
      <c r="C310" s="139"/>
    </row>
    <row r="311" spans="3:3" ht="14">
      <c r="C311" s="139"/>
    </row>
    <row r="312" spans="3:3" ht="14">
      <c r="C312" s="139"/>
    </row>
    <row r="313" spans="3:3" ht="14">
      <c r="C313" s="139"/>
    </row>
    <row r="314" spans="3:3" ht="14">
      <c r="C314" s="139"/>
    </row>
    <row r="315" spans="3:3" ht="14">
      <c r="C315" s="139"/>
    </row>
    <row r="316" spans="3:3" ht="14">
      <c r="C316" s="139"/>
    </row>
    <row r="317" spans="3:3" ht="14">
      <c r="C317" s="139"/>
    </row>
    <row r="318" spans="3:3" ht="14">
      <c r="C318" s="139"/>
    </row>
    <row r="319" spans="3:3" ht="14">
      <c r="C319" s="139"/>
    </row>
    <row r="320" spans="3:3" ht="14">
      <c r="C320" s="139"/>
    </row>
    <row r="321" spans="3:3" ht="14">
      <c r="C321" s="139"/>
    </row>
    <row r="322" spans="3:3" ht="14">
      <c r="C322" s="139"/>
    </row>
    <row r="323" spans="3:3" ht="14">
      <c r="C323" s="139"/>
    </row>
    <row r="324" spans="3:3" ht="14">
      <c r="C324" s="139"/>
    </row>
    <row r="325" spans="3:3" ht="14">
      <c r="C325" s="139"/>
    </row>
    <row r="326" spans="3:3" ht="14">
      <c r="C326" s="139"/>
    </row>
    <row r="327" spans="3:3" ht="14">
      <c r="C327" s="139"/>
    </row>
    <row r="328" spans="3:3" ht="14">
      <c r="C328" s="139"/>
    </row>
    <row r="329" spans="3:3" ht="14">
      <c r="C329" s="139"/>
    </row>
    <row r="330" spans="3:3" ht="14">
      <c r="C330" s="139"/>
    </row>
    <row r="331" spans="3:3" ht="14">
      <c r="C331" s="139"/>
    </row>
    <row r="332" spans="3:3" ht="14">
      <c r="C332" s="139"/>
    </row>
    <row r="333" spans="3:3" ht="14">
      <c r="C333" s="139"/>
    </row>
    <row r="334" spans="3:3" ht="14">
      <c r="C334" s="139"/>
    </row>
    <row r="335" spans="3:3" ht="14">
      <c r="C335" s="139"/>
    </row>
    <row r="336" spans="3:3" ht="14">
      <c r="C336" s="139"/>
    </row>
    <row r="337" spans="3:3" ht="14">
      <c r="C337" s="139"/>
    </row>
    <row r="338" spans="3:3" ht="14">
      <c r="C338" s="139"/>
    </row>
    <row r="339" spans="3:3" ht="14">
      <c r="C339" s="139"/>
    </row>
    <row r="340" spans="3:3" ht="14">
      <c r="C340" s="139"/>
    </row>
    <row r="341" spans="3:3" ht="14">
      <c r="C341" s="139"/>
    </row>
    <row r="342" spans="3:3" ht="14">
      <c r="C342" s="139"/>
    </row>
    <row r="343" spans="3:3" ht="14">
      <c r="C343" s="139"/>
    </row>
    <row r="344" spans="3:3" ht="14">
      <c r="C344" s="139"/>
    </row>
    <row r="345" spans="3:3" ht="14">
      <c r="C345" s="139"/>
    </row>
    <row r="346" spans="3:3" ht="14">
      <c r="C346" s="139"/>
    </row>
    <row r="347" spans="3:3" ht="14">
      <c r="C347" s="139"/>
    </row>
    <row r="348" spans="3:3" ht="14">
      <c r="C348" s="139"/>
    </row>
    <row r="349" spans="3:3" ht="14">
      <c r="C349" s="139"/>
    </row>
    <row r="350" spans="3:3" ht="14">
      <c r="C350" s="139"/>
    </row>
    <row r="351" spans="3:3" ht="14">
      <c r="C351" s="139"/>
    </row>
    <row r="352" spans="3:3" ht="14">
      <c r="C352" s="139"/>
    </row>
    <row r="353" spans="3:3" ht="14">
      <c r="C353" s="139"/>
    </row>
    <row r="354" spans="3:3" ht="14">
      <c r="C354" s="139"/>
    </row>
    <row r="355" spans="3:3" ht="14">
      <c r="C355" s="139"/>
    </row>
    <row r="356" spans="3:3" ht="14">
      <c r="C356" s="139"/>
    </row>
    <row r="357" spans="3:3" ht="14">
      <c r="C357" s="139"/>
    </row>
    <row r="358" spans="3:3" ht="14">
      <c r="C358" s="139"/>
    </row>
    <row r="359" spans="3:3" ht="14">
      <c r="C359" s="139"/>
    </row>
    <row r="360" spans="3:3" ht="14">
      <c r="C360" s="139"/>
    </row>
    <row r="361" spans="3:3" ht="14">
      <c r="C361" s="139"/>
    </row>
    <row r="362" spans="3:3" ht="14">
      <c r="C362" s="139"/>
    </row>
    <row r="363" spans="3:3" ht="14">
      <c r="C363" s="139"/>
    </row>
    <row r="364" spans="3:3" ht="14">
      <c r="C364" s="139"/>
    </row>
    <row r="365" spans="3:3" ht="14">
      <c r="C365" s="139"/>
    </row>
    <row r="366" spans="3:3" ht="14">
      <c r="C366" s="139"/>
    </row>
    <row r="367" spans="3:3" ht="14">
      <c r="C367" s="139"/>
    </row>
    <row r="368" spans="3:3" ht="14">
      <c r="C368" s="139"/>
    </row>
    <row r="369" spans="3:3" ht="14">
      <c r="C369" s="139"/>
    </row>
    <row r="370" spans="3:3" ht="14">
      <c r="C370" s="139"/>
    </row>
    <row r="371" spans="3:3" ht="14">
      <c r="C371" s="139"/>
    </row>
    <row r="372" spans="3:3" ht="14">
      <c r="C372" s="139"/>
    </row>
    <row r="373" spans="3:3" ht="14">
      <c r="C373" s="139"/>
    </row>
    <row r="374" spans="3:3" ht="14">
      <c r="C374" s="139"/>
    </row>
    <row r="375" spans="3:3" ht="14">
      <c r="C375" s="139"/>
    </row>
    <row r="376" spans="3:3" ht="14">
      <c r="C376" s="139"/>
    </row>
    <row r="377" spans="3:3" ht="14">
      <c r="C377" s="139"/>
    </row>
    <row r="378" spans="3:3" ht="14">
      <c r="C378" s="139"/>
    </row>
    <row r="379" spans="3:3" ht="14">
      <c r="C379" s="139"/>
    </row>
    <row r="380" spans="3:3" ht="14">
      <c r="C380" s="139"/>
    </row>
    <row r="381" spans="3:3" ht="14">
      <c r="C381" s="139"/>
    </row>
    <row r="382" spans="3:3" ht="14">
      <c r="C382" s="139"/>
    </row>
    <row r="383" spans="3:3" ht="14">
      <c r="C383" s="139"/>
    </row>
    <row r="384" spans="3:3" ht="14">
      <c r="C384" s="139"/>
    </row>
    <row r="385" spans="3:3" ht="14">
      <c r="C385" s="139"/>
    </row>
    <row r="386" spans="3:3" ht="14">
      <c r="C386" s="139"/>
    </row>
    <row r="387" spans="3:3" ht="14">
      <c r="C387" s="139"/>
    </row>
    <row r="388" spans="3:3" ht="14">
      <c r="C388" s="139"/>
    </row>
    <row r="389" spans="3:3" ht="14">
      <c r="C389" s="139"/>
    </row>
    <row r="390" spans="3:3" ht="14">
      <c r="C390" s="139"/>
    </row>
    <row r="391" spans="3:3" ht="14">
      <c r="C391" s="139"/>
    </row>
    <row r="392" spans="3:3" ht="14">
      <c r="C392" s="139"/>
    </row>
    <row r="393" spans="3:3" ht="14">
      <c r="C393" s="139"/>
    </row>
    <row r="394" spans="3:3" ht="14">
      <c r="C394" s="139"/>
    </row>
    <row r="395" spans="3:3" ht="14">
      <c r="C395" s="139"/>
    </row>
    <row r="396" spans="3:3" ht="14">
      <c r="C396" s="139"/>
    </row>
    <row r="397" spans="3:3" ht="14">
      <c r="C397" s="139"/>
    </row>
    <row r="398" spans="3:3" ht="14">
      <c r="C398" s="139"/>
    </row>
    <row r="399" spans="3:3" ht="14">
      <c r="C399" s="139"/>
    </row>
    <row r="400" spans="3:3" ht="14">
      <c r="C400" s="139"/>
    </row>
    <row r="401" spans="3:3" ht="14">
      <c r="C401" s="139"/>
    </row>
    <row r="402" spans="3:3" ht="14">
      <c r="C402" s="139"/>
    </row>
    <row r="403" spans="3:3" ht="14">
      <c r="C403" s="139"/>
    </row>
    <row r="404" spans="3:3" ht="14">
      <c r="C404" s="139"/>
    </row>
    <row r="405" spans="3:3" ht="14">
      <c r="C405" s="139"/>
    </row>
    <row r="406" spans="3:3" ht="14">
      <c r="C406" s="139"/>
    </row>
    <row r="407" spans="3:3" ht="14">
      <c r="C407" s="139"/>
    </row>
    <row r="408" spans="3:3" ht="14">
      <c r="C408" s="139"/>
    </row>
    <row r="409" spans="3:3" ht="14">
      <c r="C409" s="139"/>
    </row>
    <row r="410" spans="3:3" ht="14">
      <c r="C410" s="139"/>
    </row>
    <row r="411" spans="3:3" ht="14">
      <c r="C411" s="139"/>
    </row>
    <row r="412" spans="3:3" ht="14">
      <c r="C412" s="139"/>
    </row>
    <row r="413" spans="3:3" ht="14">
      <c r="C413" s="139"/>
    </row>
    <row r="414" spans="3:3" ht="14">
      <c r="C414" s="139"/>
    </row>
    <row r="415" spans="3:3" ht="14">
      <c r="C415" s="139"/>
    </row>
    <row r="416" spans="3:3" ht="14">
      <c r="C416" s="139"/>
    </row>
    <row r="417" spans="3:3" ht="14">
      <c r="C417" s="139"/>
    </row>
    <row r="418" spans="3:3" ht="14">
      <c r="C418" s="139"/>
    </row>
    <row r="419" spans="3:3" ht="14">
      <c r="C419" s="139"/>
    </row>
    <row r="420" spans="3:3" ht="14">
      <c r="C420" s="139"/>
    </row>
    <row r="421" spans="3:3" ht="14">
      <c r="C421" s="139"/>
    </row>
    <row r="422" spans="3:3" ht="14">
      <c r="C422" s="139"/>
    </row>
    <row r="423" spans="3:3" ht="14">
      <c r="C423" s="139"/>
    </row>
    <row r="424" spans="3:3" ht="14">
      <c r="C424" s="139"/>
    </row>
    <row r="425" spans="3:3" ht="14">
      <c r="C425" s="139"/>
    </row>
    <row r="426" spans="3:3" ht="14">
      <c r="C426" s="139"/>
    </row>
    <row r="427" spans="3:3" ht="14">
      <c r="C427" s="139"/>
    </row>
    <row r="428" spans="3:3" ht="14">
      <c r="C428" s="139"/>
    </row>
    <row r="429" spans="3:3" ht="14">
      <c r="C429" s="139"/>
    </row>
    <row r="430" spans="3:3" ht="14">
      <c r="C430" s="139"/>
    </row>
    <row r="431" spans="3:3" ht="14">
      <c r="C431" s="139"/>
    </row>
    <row r="432" spans="3:3" ht="14">
      <c r="C432" s="139"/>
    </row>
    <row r="433" spans="3:3" ht="14">
      <c r="C433" s="139"/>
    </row>
    <row r="434" spans="3:3" ht="14">
      <c r="C434" s="139"/>
    </row>
    <row r="435" spans="3:3" ht="14">
      <c r="C435" s="139"/>
    </row>
    <row r="436" spans="3:3" ht="14">
      <c r="C436" s="139"/>
    </row>
    <row r="437" spans="3:3" ht="14">
      <c r="C437" s="139"/>
    </row>
    <row r="438" spans="3:3" ht="14">
      <c r="C438" s="139"/>
    </row>
    <row r="439" spans="3:3" ht="14">
      <c r="C439" s="139"/>
    </row>
    <row r="440" spans="3:3" ht="14">
      <c r="C440" s="139"/>
    </row>
    <row r="441" spans="3:3" ht="14">
      <c r="C441" s="139"/>
    </row>
    <row r="442" spans="3:3" ht="14">
      <c r="C442" s="139"/>
    </row>
    <row r="443" spans="3:3" ht="14">
      <c r="C443" s="139"/>
    </row>
    <row r="444" spans="3:3" ht="14">
      <c r="C444" s="139"/>
    </row>
    <row r="445" spans="3:3" ht="14">
      <c r="C445" s="139"/>
    </row>
    <row r="446" spans="3:3" ht="14">
      <c r="C446" s="139"/>
    </row>
    <row r="447" spans="3:3" ht="14">
      <c r="C447" s="139"/>
    </row>
    <row r="448" spans="3:3" ht="14">
      <c r="C448" s="139"/>
    </row>
    <row r="449" spans="3:3" ht="14">
      <c r="C449" s="139"/>
    </row>
    <row r="450" spans="3:3" ht="14">
      <c r="C450" s="139"/>
    </row>
    <row r="451" spans="3:3" ht="14">
      <c r="C451" s="139"/>
    </row>
    <row r="452" spans="3:3" ht="14">
      <c r="C452" s="139"/>
    </row>
    <row r="453" spans="3:3" ht="14">
      <c r="C453" s="139"/>
    </row>
    <row r="454" spans="3:3" ht="14">
      <c r="C454" s="139"/>
    </row>
    <row r="455" spans="3:3" ht="14">
      <c r="C455" s="139"/>
    </row>
    <row r="456" spans="3:3" ht="14">
      <c r="C456" s="139"/>
    </row>
    <row r="457" spans="3:3" ht="14">
      <c r="C457" s="139"/>
    </row>
    <row r="458" spans="3:3" ht="14">
      <c r="C458" s="139"/>
    </row>
    <row r="459" spans="3:3" ht="14">
      <c r="C459" s="139"/>
    </row>
    <row r="460" spans="3:3" ht="14">
      <c r="C460" s="139"/>
    </row>
    <row r="461" spans="3:3" ht="14">
      <c r="C461" s="139"/>
    </row>
    <row r="462" spans="3:3" ht="14">
      <c r="C462" s="139"/>
    </row>
    <row r="463" spans="3:3" ht="14">
      <c r="C463" s="139"/>
    </row>
    <row r="464" spans="3:3" ht="14">
      <c r="C464" s="139"/>
    </row>
    <row r="465" spans="3:3" ht="14">
      <c r="C465" s="139"/>
    </row>
    <row r="466" spans="3:3" ht="14">
      <c r="C466" s="139"/>
    </row>
    <row r="467" spans="3:3" ht="14">
      <c r="C467" s="139"/>
    </row>
    <row r="468" spans="3:3" ht="14">
      <c r="C468" s="139"/>
    </row>
    <row r="469" spans="3:3" ht="14">
      <c r="C469" s="139"/>
    </row>
    <row r="470" spans="3:3" ht="14">
      <c r="C470" s="139"/>
    </row>
    <row r="471" spans="3:3" ht="14">
      <c r="C471" s="139"/>
    </row>
    <row r="472" spans="3:3" ht="14">
      <c r="C472" s="139"/>
    </row>
    <row r="473" spans="3:3" ht="14">
      <c r="C473" s="139"/>
    </row>
    <row r="474" spans="3:3" ht="14">
      <c r="C474" s="139"/>
    </row>
    <row r="475" spans="3:3" ht="14">
      <c r="C475" s="139"/>
    </row>
    <row r="476" spans="3:3" ht="14">
      <c r="C476" s="139"/>
    </row>
    <row r="477" spans="3:3" ht="14">
      <c r="C477" s="139"/>
    </row>
    <row r="478" spans="3:3" ht="14">
      <c r="C478" s="139"/>
    </row>
    <row r="479" spans="3:3" ht="14">
      <c r="C479" s="139"/>
    </row>
    <row r="480" spans="3:3" ht="14">
      <c r="C480" s="139"/>
    </row>
    <row r="481" spans="3:3" ht="14">
      <c r="C481" s="139"/>
    </row>
    <row r="482" spans="3:3" ht="14">
      <c r="C482" s="139"/>
    </row>
    <row r="483" spans="3:3" ht="14">
      <c r="C483" s="139"/>
    </row>
    <row r="484" spans="3:3" ht="14">
      <c r="C484" s="139"/>
    </row>
    <row r="485" spans="3:3" ht="14">
      <c r="C485" s="139"/>
    </row>
    <row r="486" spans="3:3" ht="14">
      <c r="C486" s="139"/>
    </row>
    <row r="487" spans="3:3" ht="14">
      <c r="C487" s="139"/>
    </row>
    <row r="488" spans="3:3" ht="14">
      <c r="C488" s="139"/>
    </row>
    <row r="489" spans="3:3" ht="14">
      <c r="C489" s="139"/>
    </row>
    <row r="490" spans="3:3" ht="14">
      <c r="C490" s="139"/>
    </row>
    <row r="491" spans="3:3" ht="14">
      <c r="C491" s="139"/>
    </row>
    <row r="492" spans="3:3" ht="14">
      <c r="C492" s="139"/>
    </row>
    <row r="493" spans="3:3" ht="14">
      <c r="C493" s="139"/>
    </row>
    <row r="494" spans="3:3" ht="14">
      <c r="C494" s="139"/>
    </row>
    <row r="495" spans="3:3" ht="14">
      <c r="C495" s="139"/>
    </row>
    <row r="496" spans="3:3" ht="14">
      <c r="C496" s="139"/>
    </row>
    <row r="497" spans="3:3" ht="14">
      <c r="C497" s="139"/>
    </row>
    <row r="498" spans="3:3" ht="14">
      <c r="C498" s="139"/>
    </row>
    <row r="499" spans="3:3" ht="14">
      <c r="C499" s="139"/>
    </row>
    <row r="500" spans="3:3" ht="14">
      <c r="C500" s="139"/>
    </row>
    <row r="501" spans="3:3" ht="14">
      <c r="C501" s="139"/>
    </row>
    <row r="502" spans="3:3" ht="14">
      <c r="C502" s="139"/>
    </row>
    <row r="503" spans="3:3" ht="14">
      <c r="C503" s="139"/>
    </row>
    <row r="504" spans="3:3" ht="14">
      <c r="C504" s="139"/>
    </row>
    <row r="505" spans="3:3" ht="14">
      <c r="C505" s="139"/>
    </row>
    <row r="506" spans="3:3" ht="14">
      <c r="C506" s="139"/>
    </row>
    <row r="507" spans="3:3" ht="14">
      <c r="C507" s="139"/>
    </row>
    <row r="508" spans="3:3" ht="14">
      <c r="C508" s="139"/>
    </row>
    <row r="509" spans="3:3" ht="14">
      <c r="C509" s="139"/>
    </row>
    <row r="510" spans="3:3" ht="14">
      <c r="C510" s="139"/>
    </row>
    <row r="511" spans="3:3" ht="14">
      <c r="C511" s="139"/>
    </row>
    <row r="512" spans="3:3" ht="14">
      <c r="C512" s="139"/>
    </row>
    <row r="513" spans="3:3" ht="14">
      <c r="C513" s="139"/>
    </row>
    <row r="514" spans="3:3" ht="14">
      <c r="C514" s="139"/>
    </row>
    <row r="515" spans="3:3" ht="14">
      <c r="C515" s="139"/>
    </row>
    <row r="516" spans="3:3" ht="14">
      <c r="C516" s="139"/>
    </row>
    <row r="517" spans="3:3" ht="14">
      <c r="C517" s="139"/>
    </row>
    <row r="518" spans="3:3" ht="14">
      <c r="C518" s="139"/>
    </row>
    <row r="519" spans="3:3" ht="14">
      <c r="C519" s="139"/>
    </row>
    <row r="520" spans="3:3" ht="14">
      <c r="C520" s="139"/>
    </row>
    <row r="521" spans="3:3" ht="14">
      <c r="C521" s="139"/>
    </row>
    <row r="522" spans="3:3" ht="14">
      <c r="C522" s="139"/>
    </row>
    <row r="523" spans="3:3" ht="14">
      <c r="C523" s="139"/>
    </row>
    <row r="524" spans="3:3" ht="14">
      <c r="C524" s="139"/>
    </row>
    <row r="525" spans="3:3" ht="14">
      <c r="C525" s="139"/>
    </row>
    <row r="526" spans="3:3" ht="14">
      <c r="C526" s="139"/>
    </row>
    <row r="527" spans="3:3" ht="14">
      <c r="C527" s="139"/>
    </row>
    <row r="528" spans="3:3" ht="14">
      <c r="C528" s="139"/>
    </row>
    <row r="529" spans="3:3" ht="14">
      <c r="C529" s="139"/>
    </row>
    <row r="530" spans="3:3" ht="14">
      <c r="C530" s="139"/>
    </row>
    <row r="531" spans="3:3" ht="14">
      <c r="C531" s="139"/>
    </row>
    <row r="532" spans="3:3" ht="14">
      <c r="C532" s="139"/>
    </row>
    <row r="533" spans="3:3" ht="14">
      <c r="C533" s="139"/>
    </row>
    <row r="534" spans="3:3" ht="14">
      <c r="C534" s="139"/>
    </row>
    <row r="535" spans="3:3" ht="14">
      <c r="C535" s="139"/>
    </row>
    <row r="536" spans="3:3" ht="14">
      <c r="C536" s="139"/>
    </row>
    <row r="537" spans="3:3" ht="14">
      <c r="C537" s="139"/>
    </row>
    <row r="538" spans="3:3" ht="14">
      <c r="C538" s="139"/>
    </row>
    <row r="539" spans="3:3" ht="14">
      <c r="C539" s="139"/>
    </row>
    <row r="540" spans="3:3" ht="14">
      <c r="C540" s="139"/>
    </row>
    <row r="541" spans="3:3" ht="14">
      <c r="C541" s="139"/>
    </row>
    <row r="542" spans="3:3" ht="14">
      <c r="C542" s="139"/>
    </row>
    <row r="543" spans="3:3" ht="14">
      <c r="C543" s="139"/>
    </row>
    <row r="544" spans="3:3" ht="14">
      <c r="C544" s="139"/>
    </row>
    <row r="545" spans="3:3" ht="14">
      <c r="C545" s="139"/>
    </row>
    <row r="546" spans="3:3" ht="14">
      <c r="C546" s="139"/>
    </row>
    <row r="547" spans="3:3" ht="14">
      <c r="C547" s="139"/>
    </row>
    <row r="548" spans="3:3" ht="14">
      <c r="C548" s="139"/>
    </row>
    <row r="549" spans="3:3" ht="14">
      <c r="C549" s="139"/>
    </row>
    <row r="550" spans="3:3" ht="14">
      <c r="C550" s="139"/>
    </row>
    <row r="551" spans="3:3" ht="14">
      <c r="C551" s="139"/>
    </row>
    <row r="552" spans="3:3" ht="14">
      <c r="C552" s="139"/>
    </row>
    <row r="553" spans="3:3" ht="14">
      <c r="C553" s="139"/>
    </row>
    <row r="554" spans="3:3" ht="14">
      <c r="C554" s="139"/>
    </row>
    <row r="555" spans="3:3" ht="14">
      <c r="C555" s="139"/>
    </row>
    <row r="556" spans="3:3" ht="14">
      <c r="C556" s="139"/>
    </row>
    <row r="557" spans="3:3" ht="14">
      <c r="C557" s="139"/>
    </row>
    <row r="558" spans="3:3" ht="14">
      <c r="C558" s="139"/>
    </row>
    <row r="559" spans="3:3" ht="14">
      <c r="C559" s="139"/>
    </row>
    <row r="560" spans="3:3" ht="14">
      <c r="C560" s="139"/>
    </row>
    <row r="561" spans="3:3" ht="14">
      <c r="C561" s="139"/>
    </row>
    <row r="562" spans="3:3" ht="14">
      <c r="C562" s="139"/>
    </row>
    <row r="563" spans="3:3" ht="14">
      <c r="C563" s="139"/>
    </row>
    <row r="564" spans="3:3" ht="14">
      <c r="C564" s="139"/>
    </row>
    <row r="565" spans="3:3" ht="14">
      <c r="C565" s="139"/>
    </row>
    <row r="566" spans="3:3" ht="14">
      <c r="C566" s="139"/>
    </row>
    <row r="567" spans="3:3" ht="14">
      <c r="C567" s="139"/>
    </row>
    <row r="568" spans="3:3" ht="14">
      <c r="C568" s="139"/>
    </row>
    <row r="569" spans="3:3" ht="14">
      <c r="C569" s="139"/>
    </row>
    <row r="570" spans="3:3" ht="14">
      <c r="C570" s="139"/>
    </row>
    <row r="571" spans="3:3" ht="14">
      <c r="C571" s="139"/>
    </row>
    <row r="572" spans="3:3" ht="14">
      <c r="C572" s="139"/>
    </row>
    <row r="573" spans="3:3" ht="14">
      <c r="C573" s="139"/>
    </row>
    <row r="574" spans="3:3" ht="14">
      <c r="C574" s="139"/>
    </row>
    <row r="575" spans="3:3" ht="14">
      <c r="C575" s="139"/>
    </row>
    <row r="576" spans="3:3" ht="14">
      <c r="C576" s="139"/>
    </row>
    <row r="577" spans="3:3" ht="14">
      <c r="C577" s="139"/>
    </row>
    <row r="578" spans="3:3" ht="14">
      <c r="C578" s="139"/>
    </row>
    <row r="579" spans="3:3" ht="14">
      <c r="C579" s="139"/>
    </row>
    <row r="580" spans="3:3" ht="14">
      <c r="C580" s="139"/>
    </row>
    <row r="581" spans="3:3" ht="14">
      <c r="C581" s="139"/>
    </row>
    <row r="582" spans="3:3" ht="14">
      <c r="C582" s="139"/>
    </row>
    <row r="583" spans="3:3" ht="14">
      <c r="C583" s="139"/>
    </row>
    <row r="584" spans="3:3" ht="14">
      <c r="C584" s="139"/>
    </row>
    <row r="585" spans="3:3" ht="14">
      <c r="C585" s="139"/>
    </row>
    <row r="586" spans="3:3" ht="14">
      <c r="C586" s="139"/>
    </row>
    <row r="587" spans="3:3" ht="14">
      <c r="C587" s="139"/>
    </row>
    <row r="588" spans="3:3" ht="14">
      <c r="C588" s="139"/>
    </row>
    <row r="589" spans="3:3" ht="14">
      <c r="C589" s="139"/>
    </row>
    <row r="590" spans="3:3" ht="14">
      <c r="C590" s="139"/>
    </row>
    <row r="591" spans="3:3" ht="14">
      <c r="C591" s="139"/>
    </row>
    <row r="592" spans="3:3" ht="14">
      <c r="C592" s="139"/>
    </row>
    <row r="593" spans="3:3" ht="14">
      <c r="C593" s="139"/>
    </row>
    <row r="594" spans="3:3" ht="14">
      <c r="C594" s="139"/>
    </row>
    <row r="595" spans="3:3" ht="14">
      <c r="C595" s="139"/>
    </row>
    <row r="596" spans="3:3" ht="14">
      <c r="C596" s="139"/>
    </row>
    <row r="597" spans="3:3" ht="14">
      <c r="C597" s="139"/>
    </row>
    <row r="598" spans="3:3" ht="14">
      <c r="C598" s="139"/>
    </row>
    <row r="599" spans="3:3" ht="14">
      <c r="C599" s="139"/>
    </row>
    <row r="600" spans="3:3" ht="14">
      <c r="C600" s="139"/>
    </row>
    <row r="601" spans="3:3" ht="14">
      <c r="C601" s="139"/>
    </row>
    <row r="602" spans="3:3" ht="14">
      <c r="C602" s="139"/>
    </row>
    <row r="603" spans="3:3" ht="14">
      <c r="C603" s="139"/>
    </row>
    <row r="604" spans="3:3" ht="14">
      <c r="C604" s="139"/>
    </row>
    <row r="605" spans="3:3" ht="14">
      <c r="C605" s="139"/>
    </row>
    <row r="606" spans="3:3" ht="14">
      <c r="C606" s="139"/>
    </row>
    <row r="607" spans="3:3" ht="14">
      <c r="C607" s="139"/>
    </row>
    <row r="608" spans="3:3" ht="14">
      <c r="C608" s="139"/>
    </row>
    <row r="609" spans="3:3" ht="14">
      <c r="C609" s="139"/>
    </row>
    <row r="610" spans="3:3" ht="14">
      <c r="C610" s="139"/>
    </row>
    <row r="611" spans="3:3" ht="14">
      <c r="C611" s="139"/>
    </row>
    <row r="612" spans="3:3" ht="14">
      <c r="C612" s="139"/>
    </row>
    <row r="613" spans="3:3" ht="14">
      <c r="C613" s="139"/>
    </row>
    <row r="614" spans="3:3" ht="14">
      <c r="C614" s="139"/>
    </row>
    <row r="615" spans="3:3" ht="14">
      <c r="C615" s="139"/>
    </row>
    <row r="616" spans="3:3" ht="14">
      <c r="C616" s="139"/>
    </row>
    <row r="617" spans="3:3" ht="14">
      <c r="C617" s="139"/>
    </row>
    <row r="618" spans="3:3" ht="14">
      <c r="C618" s="139"/>
    </row>
    <row r="619" spans="3:3" ht="14">
      <c r="C619" s="139"/>
    </row>
    <row r="620" spans="3:3" ht="14">
      <c r="C620" s="139"/>
    </row>
    <row r="621" spans="3:3" ht="14">
      <c r="C621" s="139"/>
    </row>
    <row r="622" spans="3:3" ht="14">
      <c r="C622" s="139"/>
    </row>
    <row r="623" spans="3:3" ht="14">
      <c r="C623" s="139"/>
    </row>
    <row r="624" spans="3:3" ht="14">
      <c r="C624" s="139"/>
    </row>
    <row r="625" spans="3:3" ht="14">
      <c r="C625" s="139"/>
    </row>
    <row r="626" spans="3:3" ht="14">
      <c r="C626" s="139"/>
    </row>
    <row r="627" spans="3:3" ht="14">
      <c r="C627" s="139"/>
    </row>
    <row r="628" spans="3:3" ht="14">
      <c r="C628" s="139"/>
    </row>
    <row r="629" spans="3:3" ht="14">
      <c r="C629" s="139"/>
    </row>
    <row r="630" spans="3:3" ht="14">
      <c r="C630" s="139"/>
    </row>
    <row r="631" spans="3:3" ht="14">
      <c r="C631" s="139"/>
    </row>
    <row r="632" spans="3:3" ht="14">
      <c r="C632" s="139"/>
    </row>
    <row r="633" spans="3:3" ht="14">
      <c r="C633" s="139"/>
    </row>
    <row r="634" spans="3:3" ht="14">
      <c r="C634" s="139"/>
    </row>
    <row r="635" spans="3:3" ht="14">
      <c r="C635" s="139"/>
    </row>
    <row r="636" spans="3:3" ht="14">
      <c r="C636" s="139"/>
    </row>
    <row r="637" spans="3:3" ht="14">
      <c r="C637" s="139"/>
    </row>
    <row r="638" spans="3:3" ht="14">
      <c r="C638" s="139"/>
    </row>
    <row r="639" spans="3:3" ht="14">
      <c r="C639" s="139"/>
    </row>
    <row r="640" spans="3:3" ht="14">
      <c r="C640" s="139"/>
    </row>
    <row r="641" spans="3:3" ht="14">
      <c r="C641" s="139"/>
    </row>
    <row r="642" spans="3:3" ht="14">
      <c r="C642" s="139"/>
    </row>
    <row r="643" spans="3:3" ht="14">
      <c r="C643" s="139"/>
    </row>
    <row r="644" spans="3:3" ht="14">
      <c r="C644" s="139"/>
    </row>
    <row r="645" spans="3:3" ht="14">
      <c r="C645" s="139"/>
    </row>
    <row r="646" spans="3:3" ht="14">
      <c r="C646" s="139"/>
    </row>
    <row r="647" spans="3:3" ht="14">
      <c r="C647" s="139"/>
    </row>
    <row r="648" spans="3:3" ht="14">
      <c r="C648" s="139"/>
    </row>
    <row r="649" spans="3:3" ht="14">
      <c r="C649" s="139"/>
    </row>
    <row r="650" spans="3:3" ht="14">
      <c r="C650" s="139"/>
    </row>
    <row r="651" spans="3:3" ht="14">
      <c r="C651" s="139"/>
    </row>
    <row r="652" spans="3:3" ht="14">
      <c r="C652" s="139"/>
    </row>
    <row r="653" spans="3:3" ht="14">
      <c r="C653" s="139"/>
    </row>
    <row r="654" spans="3:3" ht="14">
      <c r="C654" s="139"/>
    </row>
    <row r="655" spans="3:3" ht="14">
      <c r="C655" s="139"/>
    </row>
    <row r="656" spans="3:3" ht="14">
      <c r="C656" s="139"/>
    </row>
    <row r="657" spans="3:3" ht="14">
      <c r="C657" s="139"/>
    </row>
    <row r="658" spans="3:3" ht="14">
      <c r="C658" s="139"/>
    </row>
    <row r="659" spans="3:3" ht="14">
      <c r="C659" s="139"/>
    </row>
    <row r="660" spans="3:3" ht="14">
      <c r="C660" s="139"/>
    </row>
    <row r="661" spans="3:3" ht="14">
      <c r="C661" s="139"/>
    </row>
    <row r="662" spans="3:3" ht="14">
      <c r="C662" s="139"/>
    </row>
    <row r="663" spans="3:3" ht="14">
      <c r="C663" s="139"/>
    </row>
    <row r="664" spans="3:3" ht="14">
      <c r="C664" s="139"/>
    </row>
    <row r="665" spans="3:3" ht="14">
      <c r="C665" s="139"/>
    </row>
    <row r="666" spans="3:3" ht="14">
      <c r="C666" s="139"/>
    </row>
    <row r="667" spans="3:3" ht="14">
      <c r="C667" s="139"/>
    </row>
    <row r="668" spans="3:3" ht="14">
      <c r="C668" s="139"/>
    </row>
    <row r="669" spans="3:3" ht="14">
      <c r="C669" s="139"/>
    </row>
    <row r="670" spans="3:3" ht="14">
      <c r="C670" s="139"/>
    </row>
    <row r="671" spans="3:3" ht="14">
      <c r="C671" s="139"/>
    </row>
    <row r="672" spans="3:3" ht="14">
      <c r="C672" s="139"/>
    </row>
    <row r="673" spans="3:3" ht="14">
      <c r="C673" s="139"/>
    </row>
    <row r="674" spans="3:3" ht="14">
      <c r="C674" s="139"/>
    </row>
    <row r="675" spans="3:3" ht="14">
      <c r="C675" s="139"/>
    </row>
    <row r="676" spans="3:3" ht="14">
      <c r="C676" s="139"/>
    </row>
    <row r="677" spans="3:3" ht="14">
      <c r="C677" s="139"/>
    </row>
    <row r="678" spans="3:3" ht="14">
      <c r="C678" s="139"/>
    </row>
    <row r="679" spans="3:3" ht="14">
      <c r="C679" s="139"/>
    </row>
    <row r="680" spans="3:3" ht="14">
      <c r="C680" s="139"/>
    </row>
    <row r="681" spans="3:3" ht="14">
      <c r="C681" s="139"/>
    </row>
    <row r="682" spans="3:3" ht="14">
      <c r="C682" s="139"/>
    </row>
    <row r="683" spans="3:3" ht="14">
      <c r="C683" s="139"/>
    </row>
    <row r="684" spans="3:3" ht="14">
      <c r="C684" s="139"/>
    </row>
    <row r="685" spans="3:3" ht="14">
      <c r="C685" s="139"/>
    </row>
    <row r="686" spans="3:3" ht="14">
      <c r="C686" s="139"/>
    </row>
    <row r="687" spans="3:3" ht="14">
      <c r="C687" s="139"/>
    </row>
    <row r="688" spans="3:3" ht="14">
      <c r="C688" s="139"/>
    </row>
    <row r="689" spans="3:3" ht="14">
      <c r="C689" s="139"/>
    </row>
    <row r="690" spans="3:3" ht="14">
      <c r="C690" s="139"/>
    </row>
    <row r="691" spans="3:3" ht="14">
      <c r="C691" s="139"/>
    </row>
    <row r="692" spans="3:3" ht="14">
      <c r="C692" s="139"/>
    </row>
    <row r="693" spans="3:3" ht="14">
      <c r="C693" s="139"/>
    </row>
    <row r="694" spans="3:3" ht="14">
      <c r="C694" s="139"/>
    </row>
    <row r="695" spans="3:3" ht="14">
      <c r="C695" s="139"/>
    </row>
    <row r="696" spans="3:3" ht="14">
      <c r="C696" s="139"/>
    </row>
    <row r="697" spans="3:3" ht="14">
      <c r="C697" s="139"/>
    </row>
    <row r="698" spans="3:3" ht="14">
      <c r="C698" s="139"/>
    </row>
    <row r="699" spans="3:3" ht="14">
      <c r="C699" s="139"/>
    </row>
    <row r="700" spans="3:3" ht="14">
      <c r="C700" s="139"/>
    </row>
    <row r="701" spans="3:3" ht="14">
      <c r="C701" s="139"/>
    </row>
    <row r="702" spans="3:3" ht="14">
      <c r="C702" s="139"/>
    </row>
    <row r="703" spans="3:3" ht="14">
      <c r="C703" s="139"/>
    </row>
    <row r="704" spans="3:3" ht="14">
      <c r="C704" s="139"/>
    </row>
    <row r="705" spans="3:3" ht="14">
      <c r="C705" s="139"/>
    </row>
    <row r="706" spans="3:3" ht="14">
      <c r="C706" s="139"/>
    </row>
    <row r="707" spans="3:3" ht="14">
      <c r="C707" s="139"/>
    </row>
    <row r="708" spans="3:3" ht="14">
      <c r="C708" s="139"/>
    </row>
    <row r="709" spans="3:3" ht="14">
      <c r="C709" s="139"/>
    </row>
    <row r="710" spans="3:3" ht="14">
      <c r="C710" s="139"/>
    </row>
    <row r="711" spans="3:3" ht="14">
      <c r="C711" s="139"/>
    </row>
    <row r="712" spans="3:3" ht="14">
      <c r="C712" s="139"/>
    </row>
    <row r="713" spans="3:3" ht="14">
      <c r="C713" s="139"/>
    </row>
    <row r="714" spans="3:3" ht="14">
      <c r="C714" s="139"/>
    </row>
    <row r="715" spans="3:3" ht="14">
      <c r="C715" s="139"/>
    </row>
    <row r="716" spans="3:3" ht="14">
      <c r="C716" s="139"/>
    </row>
    <row r="717" spans="3:3" ht="14">
      <c r="C717" s="139"/>
    </row>
    <row r="718" spans="3:3" ht="14">
      <c r="C718" s="139"/>
    </row>
    <row r="719" spans="3:3" ht="14">
      <c r="C719" s="139"/>
    </row>
    <row r="720" spans="3:3" ht="14">
      <c r="C720" s="139"/>
    </row>
    <row r="721" spans="3:3" ht="14">
      <c r="C721" s="139"/>
    </row>
    <row r="722" spans="3:3" ht="14">
      <c r="C722" s="139"/>
    </row>
    <row r="723" spans="3:3" ht="14">
      <c r="C723" s="139"/>
    </row>
    <row r="724" spans="3:3" ht="14">
      <c r="C724" s="139"/>
    </row>
    <row r="725" spans="3:3" ht="14">
      <c r="C725" s="139"/>
    </row>
    <row r="726" spans="3:3" ht="14">
      <c r="C726" s="139"/>
    </row>
    <row r="727" spans="3:3" ht="14">
      <c r="C727" s="139"/>
    </row>
    <row r="728" spans="3:3" ht="14">
      <c r="C728" s="139"/>
    </row>
    <row r="729" spans="3:3" ht="14">
      <c r="C729" s="139"/>
    </row>
    <row r="730" spans="3:3" ht="14">
      <c r="C730" s="139"/>
    </row>
    <row r="731" spans="3:3" ht="14">
      <c r="C731" s="139"/>
    </row>
    <row r="732" spans="3:3" ht="14">
      <c r="C732" s="139"/>
    </row>
    <row r="733" spans="3:3" ht="14">
      <c r="C733" s="139"/>
    </row>
    <row r="734" spans="3:3" ht="14">
      <c r="C734" s="139"/>
    </row>
    <row r="735" spans="3:3" ht="14">
      <c r="C735" s="139"/>
    </row>
    <row r="736" spans="3:3" ht="14">
      <c r="C736" s="139"/>
    </row>
    <row r="737" spans="3:3" ht="14">
      <c r="C737" s="139"/>
    </row>
    <row r="738" spans="3:3" ht="14">
      <c r="C738" s="139"/>
    </row>
    <row r="739" spans="3:3" ht="14">
      <c r="C739" s="139"/>
    </row>
    <row r="740" spans="3:3" ht="14">
      <c r="C740" s="139"/>
    </row>
    <row r="741" spans="3:3" ht="14">
      <c r="C741" s="139"/>
    </row>
    <row r="742" spans="3:3" ht="14">
      <c r="C742" s="139"/>
    </row>
    <row r="743" spans="3:3" ht="14">
      <c r="C743" s="139"/>
    </row>
    <row r="744" spans="3:3" ht="14">
      <c r="C744" s="139"/>
    </row>
    <row r="745" spans="3:3" ht="14">
      <c r="C745" s="139"/>
    </row>
    <row r="746" spans="3:3" ht="14">
      <c r="C746" s="139"/>
    </row>
    <row r="747" spans="3:3" ht="14">
      <c r="C747" s="139"/>
    </row>
    <row r="748" spans="3:3" ht="14">
      <c r="C748" s="139"/>
    </row>
    <row r="749" spans="3:3" ht="14">
      <c r="C749" s="139"/>
    </row>
    <row r="750" spans="3:3" ht="14">
      <c r="C750" s="139"/>
    </row>
    <row r="751" spans="3:3" ht="14">
      <c r="C751" s="139"/>
    </row>
    <row r="752" spans="3:3" ht="14">
      <c r="C752" s="139"/>
    </row>
    <row r="753" spans="3:3" ht="14">
      <c r="C753" s="139"/>
    </row>
    <row r="754" spans="3:3" ht="14">
      <c r="C754" s="139"/>
    </row>
    <row r="755" spans="3:3" ht="14">
      <c r="C755" s="139"/>
    </row>
    <row r="756" spans="3:3" ht="14">
      <c r="C756" s="139"/>
    </row>
    <row r="757" spans="3:3" ht="14">
      <c r="C757" s="139"/>
    </row>
    <row r="758" spans="3:3" ht="14">
      <c r="C758" s="139"/>
    </row>
    <row r="759" spans="3:3" ht="14">
      <c r="C759" s="139"/>
    </row>
    <row r="760" spans="3:3" ht="14">
      <c r="C760" s="139"/>
    </row>
    <row r="761" spans="3:3" ht="14">
      <c r="C761" s="139"/>
    </row>
    <row r="762" spans="3:3" ht="14">
      <c r="C762" s="139"/>
    </row>
    <row r="763" spans="3:3" ht="14">
      <c r="C763" s="139"/>
    </row>
    <row r="764" spans="3:3" ht="14">
      <c r="C764" s="139"/>
    </row>
    <row r="765" spans="3:3" ht="14">
      <c r="C765" s="139"/>
    </row>
    <row r="766" spans="3:3" ht="14">
      <c r="C766" s="139"/>
    </row>
    <row r="767" spans="3:3" ht="14">
      <c r="C767" s="139"/>
    </row>
    <row r="768" spans="3:3" ht="14">
      <c r="C768" s="139"/>
    </row>
    <row r="769" spans="3:3" ht="14">
      <c r="C769" s="139"/>
    </row>
    <row r="770" spans="3:3" ht="14">
      <c r="C770" s="139"/>
    </row>
    <row r="771" spans="3:3" ht="14">
      <c r="C771" s="139"/>
    </row>
    <row r="772" spans="3:3" ht="14">
      <c r="C772" s="139"/>
    </row>
    <row r="773" spans="3:3" ht="14">
      <c r="C773" s="139"/>
    </row>
    <row r="774" spans="3:3" ht="14">
      <c r="C774" s="139"/>
    </row>
    <row r="775" spans="3:3" ht="14">
      <c r="C775" s="139"/>
    </row>
    <row r="776" spans="3:3" ht="14">
      <c r="C776" s="139"/>
    </row>
    <row r="777" spans="3:3" ht="14">
      <c r="C777" s="139"/>
    </row>
    <row r="778" spans="3:3" ht="14">
      <c r="C778" s="139"/>
    </row>
    <row r="779" spans="3:3" ht="14">
      <c r="C779" s="139"/>
    </row>
    <row r="780" spans="3:3" ht="14">
      <c r="C780" s="139"/>
    </row>
    <row r="781" spans="3:3" ht="14">
      <c r="C781" s="139"/>
    </row>
    <row r="782" spans="3:3" ht="14">
      <c r="C782" s="139"/>
    </row>
    <row r="783" spans="3:3" ht="14">
      <c r="C783" s="139"/>
    </row>
    <row r="784" spans="3:3" ht="14">
      <c r="C784" s="139"/>
    </row>
    <row r="785" spans="3:3" ht="14">
      <c r="C785" s="139"/>
    </row>
    <row r="786" spans="3:3" ht="14">
      <c r="C786" s="139"/>
    </row>
    <row r="787" spans="3:3" ht="14">
      <c r="C787" s="139"/>
    </row>
    <row r="788" spans="3:3" ht="14">
      <c r="C788" s="139"/>
    </row>
    <row r="789" spans="3:3" ht="14">
      <c r="C789" s="139"/>
    </row>
    <row r="790" spans="3:3" ht="14">
      <c r="C790" s="139"/>
    </row>
    <row r="791" spans="3:3" ht="14">
      <c r="C791" s="139"/>
    </row>
    <row r="792" spans="3:3" ht="14">
      <c r="C792" s="139"/>
    </row>
    <row r="793" spans="3:3" ht="14">
      <c r="C793" s="139"/>
    </row>
    <row r="794" spans="3:3" ht="14">
      <c r="C794" s="139"/>
    </row>
    <row r="795" spans="3:3" ht="14">
      <c r="C795" s="139"/>
    </row>
    <row r="796" spans="3:3" ht="14">
      <c r="C796" s="139"/>
    </row>
    <row r="797" spans="3:3" ht="14">
      <c r="C797" s="139"/>
    </row>
    <row r="798" spans="3:3" ht="14">
      <c r="C798" s="139"/>
    </row>
    <row r="799" spans="3:3" ht="14">
      <c r="C799" s="139"/>
    </row>
    <row r="800" spans="3:3" ht="14">
      <c r="C800" s="139"/>
    </row>
    <row r="801" spans="3:3" ht="14">
      <c r="C801" s="139"/>
    </row>
    <row r="802" spans="3:3" ht="14">
      <c r="C802" s="139"/>
    </row>
    <row r="803" spans="3:3" ht="14">
      <c r="C803" s="139"/>
    </row>
    <row r="804" spans="3:3" ht="14">
      <c r="C804" s="139"/>
    </row>
    <row r="805" spans="3:3" ht="14">
      <c r="C805" s="139"/>
    </row>
    <row r="806" spans="3:3" ht="14">
      <c r="C806" s="139"/>
    </row>
    <row r="807" spans="3:3" ht="14">
      <c r="C807" s="139"/>
    </row>
    <row r="808" spans="3:3" ht="14">
      <c r="C808" s="139"/>
    </row>
    <row r="809" spans="3:3" ht="14">
      <c r="C809" s="139"/>
    </row>
    <row r="810" spans="3:3" ht="14">
      <c r="C810" s="139"/>
    </row>
    <row r="811" spans="3:3" ht="14">
      <c r="C811" s="139"/>
    </row>
    <row r="812" spans="3:3" ht="14">
      <c r="C812" s="139"/>
    </row>
    <row r="813" spans="3:3" ht="14">
      <c r="C813" s="139"/>
    </row>
    <row r="814" spans="3:3" ht="14">
      <c r="C814" s="139"/>
    </row>
    <row r="815" spans="3:3" ht="14">
      <c r="C815" s="139"/>
    </row>
    <row r="816" spans="3:3" ht="14">
      <c r="C816" s="139"/>
    </row>
    <row r="817" spans="3:3" ht="14">
      <c r="C817" s="139"/>
    </row>
    <row r="818" spans="3:3" ht="14">
      <c r="C818" s="139"/>
    </row>
    <row r="819" spans="3:3" ht="14">
      <c r="C819" s="139"/>
    </row>
    <row r="820" spans="3:3" ht="14">
      <c r="C820" s="139"/>
    </row>
    <row r="821" spans="3:3" ht="14">
      <c r="C821" s="139"/>
    </row>
    <row r="822" spans="3:3" ht="14">
      <c r="C822" s="139"/>
    </row>
    <row r="823" spans="3:3" ht="14">
      <c r="C823" s="139"/>
    </row>
    <row r="824" spans="3:3" ht="14">
      <c r="C824" s="139"/>
    </row>
    <row r="825" spans="3:3" ht="14">
      <c r="C825" s="139"/>
    </row>
    <row r="826" spans="3:3" ht="14">
      <c r="C826" s="139"/>
    </row>
    <row r="827" spans="3:3" ht="14">
      <c r="C827" s="139"/>
    </row>
    <row r="828" spans="3:3" ht="14">
      <c r="C828" s="139"/>
    </row>
    <row r="829" spans="3:3" ht="14">
      <c r="C829" s="139"/>
    </row>
    <row r="830" spans="3:3" ht="14">
      <c r="C830" s="139"/>
    </row>
    <row r="831" spans="3:3" ht="14">
      <c r="C831" s="139"/>
    </row>
    <row r="832" spans="3:3" ht="14">
      <c r="C832" s="139"/>
    </row>
    <row r="833" spans="3:3" ht="14">
      <c r="C833" s="139"/>
    </row>
    <row r="834" spans="3:3" ht="14">
      <c r="C834" s="139"/>
    </row>
    <row r="835" spans="3:3" ht="14">
      <c r="C835" s="139"/>
    </row>
    <row r="836" spans="3:3" ht="14">
      <c r="C836" s="139"/>
    </row>
    <row r="837" spans="3:3" ht="14">
      <c r="C837" s="139"/>
    </row>
    <row r="838" spans="3:3" ht="14">
      <c r="C838" s="139"/>
    </row>
    <row r="839" spans="3:3" ht="14">
      <c r="C839" s="139"/>
    </row>
    <row r="840" spans="3:3" ht="14">
      <c r="C840" s="139"/>
    </row>
    <row r="841" spans="3:3" ht="14">
      <c r="C841" s="139"/>
    </row>
    <row r="842" spans="3:3" ht="14">
      <c r="C842" s="139"/>
    </row>
    <row r="843" spans="3:3" ht="14">
      <c r="C843" s="139"/>
    </row>
    <row r="844" spans="3:3" ht="14">
      <c r="C844" s="139"/>
    </row>
    <row r="845" spans="3:3" ht="14">
      <c r="C845" s="139"/>
    </row>
    <row r="846" spans="3:3" ht="14">
      <c r="C846" s="139"/>
    </row>
    <row r="847" spans="3:3" ht="14">
      <c r="C847" s="139"/>
    </row>
    <row r="848" spans="3:3" ht="14">
      <c r="C848" s="139"/>
    </row>
    <row r="849" spans="3:3" ht="14">
      <c r="C849" s="139"/>
    </row>
    <row r="850" spans="3:3" ht="14">
      <c r="C850" s="139"/>
    </row>
    <row r="851" spans="3:3" ht="14">
      <c r="C851" s="139"/>
    </row>
    <row r="852" spans="3:3" ht="14">
      <c r="C852" s="139"/>
    </row>
    <row r="853" spans="3:3" ht="14">
      <c r="C853" s="139"/>
    </row>
    <row r="854" spans="3:3" ht="14">
      <c r="C854" s="139"/>
    </row>
    <row r="855" spans="3:3" ht="14">
      <c r="C855" s="139"/>
    </row>
    <row r="856" spans="3:3" ht="14">
      <c r="C856" s="139"/>
    </row>
    <row r="857" spans="3:3" ht="14">
      <c r="C857" s="139"/>
    </row>
    <row r="858" spans="3:3" ht="14">
      <c r="C858" s="139"/>
    </row>
    <row r="859" spans="3:3" ht="14">
      <c r="C859" s="139"/>
    </row>
    <row r="860" spans="3:3" ht="14">
      <c r="C860" s="139"/>
    </row>
    <row r="861" spans="3:3" ht="14">
      <c r="C861" s="139"/>
    </row>
    <row r="862" spans="3:3" ht="14">
      <c r="C862" s="139"/>
    </row>
    <row r="863" spans="3:3" ht="14">
      <c r="C863" s="139"/>
    </row>
    <row r="864" spans="3:3" ht="14">
      <c r="C864" s="139"/>
    </row>
    <row r="865" spans="3:3" ht="14">
      <c r="C865" s="139"/>
    </row>
    <row r="866" spans="3:3" ht="14">
      <c r="C866" s="139"/>
    </row>
    <row r="867" spans="3:3" ht="14">
      <c r="C867" s="139"/>
    </row>
    <row r="868" spans="3:3" ht="14">
      <c r="C868" s="139"/>
    </row>
    <row r="869" spans="3:3" ht="14">
      <c r="C869" s="139"/>
    </row>
    <row r="870" spans="3:3" ht="14">
      <c r="C870" s="139"/>
    </row>
    <row r="871" spans="3:3" ht="14">
      <c r="C871" s="139"/>
    </row>
    <row r="872" spans="3:3" ht="14">
      <c r="C872" s="139"/>
    </row>
    <row r="873" spans="3:3" ht="14">
      <c r="C873" s="139"/>
    </row>
    <row r="874" spans="3:3" ht="14">
      <c r="C874" s="139"/>
    </row>
    <row r="875" spans="3:3" ht="14">
      <c r="C875" s="139"/>
    </row>
    <row r="876" spans="3:3" ht="14">
      <c r="C876" s="139"/>
    </row>
    <row r="877" spans="3:3" ht="14">
      <c r="C877" s="139"/>
    </row>
    <row r="878" spans="3:3" ht="14">
      <c r="C878" s="139"/>
    </row>
    <row r="879" spans="3:3" ht="14">
      <c r="C879" s="139"/>
    </row>
    <row r="880" spans="3:3" ht="14">
      <c r="C880" s="139"/>
    </row>
    <row r="881" spans="3:3" ht="14">
      <c r="C881" s="139"/>
    </row>
    <row r="882" spans="3:3" ht="14">
      <c r="C882" s="139"/>
    </row>
    <row r="883" spans="3:3" ht="14">
      <c r="C883" s="139"/>
    </row>
    <row r="884" spans="3:3" ht="14">
      <c r="C884" s="139"/>
    </row>
    <row r="885" spans="3:3" ht="14">
      <c r="C885" s="139"/>
    </row>
    <row r="886" spans="3:3" ht="14">
      <c r="C886" s="139"/>
    </row>
    <row r="887" spans="3:3" ht="14">
      <c r="C887" s="139"/>
    </row>
    <row r="888" spans="3:3" ht="14">
      <c r="C888" s="139"/>
    </row>
    <row r="889" spans="3:3" ht="14">
      <c r="C889" s="139"/>
    </row>
    <row r="890" spans="3:3" ht="14">
      <c r="C890" s="139"/>
    </row>
    <row r="891" spans="3:3" ht="14">
      <c r="C891" s="139"/>
    </row>
    <row r="892" spans="3:3" ht="14">
      <c r="C892" s="139"/>
    </row>
    <row r="893" spans="3:3" ht="14">
      <c r="C893" s="139"/>
    </row>
    <row r="894" spans="3:3" ht="14">
      <c r="C894" s="139"/>
    </row>
    <row r="895" spans="3:3" ht="14">
      <c r="C895" s="139"/>
    </row>
    <row r="896" spans="3:3" ht="14">
      <c r="C896" s="139"/>
    </row>
    <row r="897" spans="3:3" ht="14">
      <c r="C897" s="139"/>
    </row>
    <row r="898" spans="3:3" ht="14">
      <c r="C898" s="139"/>
    </row>
    <row r="899" spans="3:3" ht="14">
      <c r="C899" s="139"/>
    </row>
    <row r="900" spans="3:3" ht="14">
      <c r="C900" s="139"/>
    </row>
    <row r="901" spans="3:3" ht="14">
      <c r="C901" s="139"/>
    </row>
    <row r="902" spans="3:3" ht="14">
      <c r="C902" s="139"/>
    </row>
    <row r="903" spans="3:3" ht="14">
      <c r="C903" s="139"/>
    </row>
    <row r="904" spans="3:3" ht="14">
      <c r="C904" s="139"/>
    </row>
    <row r="905" spans="3:3" ht="14">
      <c r="C905" s="139"/>
    </row>
    <row r="906" spans="3:3" ht="14">
      <c r="C906" s="139"/>
    </row>
    <row r="907" spans="3:3" ht="14">
      <c r="C907" s="139"/>
    </row>
    <row r="908" spans="3:3" ht="14">
      <c r="C908" s="139"/>
    </row>
    <row r="909" spans="3:3" ht="14">
      <c r="C909" s="139"/>
    </row>
    <row r="910" spans="3:3" ht="14">
      <c r="C910" s="139"/>
    </row>
    <row r="911" spans="3:3" ht="14">
      <c r="C911" s="139"/>
    </row>
    <row r="912" spans="3:3" ht="14">
      <c r="C912" s="139"/>
    </row>
    <row r="913" spans="3:3" ht="14">
      <c r="C913" s="139"/>
    </row>
    <row r="914" spans="3:3" ht="14">
      <c r="C914" s="139"/>
    </row>
    <row r="915" spans="3:3" ht="14">
      <c r="C915" s="139"/>
    </row>
    <row r="916" spans="3:3" ht="14">
      <c r="C916" s="139"/>
    </row>
    <row r="917" spans="3:3" ht="14">
      <c r="C917" s="139"/>
    </row>
    <row r="918" spans="3:3" ht="14">
      <c r="C918" s="139"/>
    </row>
    <row r="919" spans="3:3" ht="14">
      <c r="C919" s="139"/>
    </row>
    <row r="920" spans="3:3" ht="14">
      <c r="C920" s="139"/>
    </row>
    <row r="921" spans="3:3" ht="14">
      <c r="C921" s="139"/>
    </row>
    <row r="922" spans="3:3" ht="14">
      <c r="C922" s="139"/>
    </row>
    <row r="923" spans="3:3" ht="14">
      <c r="C923" s="139"/>
    </row>
    <row r="924" spans="3:3" ht="14">
      <c r="C924" s="139"/>
    </row>
    <row r="925" spans="3:3" ht="14">
      <c r="C925" s="139"/>
    </row>
    <row r="926" spans="3:3" ht="14">
      <c r="C926" s="139"/>
    </row>
    <row r="927" spans="3:3" ht="14">
      <c r="C927" s="139"/>
    </row>
    <row r="928" spans="3:3" ht="14">
      <c r="C928" s="139"/>
    </row>
    <row r="929" spans="3:3" ht="14">
      <c r="C929" s="139"/>
    </row>
    <row r="930" spans="3:3" ht="14">
      <c r="C930" s="139"/>
    </row>
    <row r="931" spans="3:3" ht="14">
      <c r="C931" s="139"/>
    </row>
    <row r="932" spans="3:3" ht="14">
      <c r="C932" s="139"/>
    </row>
    <row r="933" spans="3:3" ht="14">
      <c r="C933" s="139"/>
    </row>
    <row r="934" spans="3:3" ht="14">
      <c r="C934" s="139"/>
    </row>
    <row r="935" spans="3:3" ht="14">
      <c r="C935" s="139"/>
    </row>
    <row r="936" spans="3:3" ht="14">
      <c r="C936" s="139"/>
    </row>
    <row r="937" spans="3:3" ht="14">
      <c r="C937" s="139"/>
    </row>
    <row r="938" spans="3:3" ht="14">
      <c r="C938" s="139"/>
    </row>
    <row r="939" spans="3:3" ht="14">
      <c r="C939" s="139"/>
    </row>
    <row r="940" spans="3:3" ht="14">
      <c r="C940" s="139"/>
    </row>
    <row r="941" spans="3:3" ht="14">
      <c r="C941" s="139"/>
    </row>
    <row r="942" spans="3:3" ht="14">
      <c r="C942" s="139"/>
    </row>
    <row r="943" spans="3:3" ht="14">
      <c r="C943" s="139"/>
    </row>
    <row r="944" spans="3:3" ht="14">
      <c r="C944" s="139"/>
    </row>
    <row r="945" spans="3:3" ht="14">
      <c r="C945" s="139"/>
    </row>
    <row r="946" spans="3:3" ht="14">
      <c r="C946" s="139"/>
    </row>
    <row r="947" spans="3:3" ht="14">
      <c r="C947" s="139"/>
    </row>
    <row r="948" spans="3:3" ht="14">
      <c r="C948" s="139"/>
    </row>
    <row r="949" spans="3:3" ht="14">
      <c r="C949" s="139"/>
    </row>
    <row r="950" spans="3:3" ht="14">
      <c r="C950" s="139"/>
    </row>
    <row r="951" spans="3:3" ht="14">
      <c r="C951" s="139"/>
    </row>
    <row r="952" spans="3:3" ht="14">
      <c r="C952" s="139"/>
    </row>
    <row r="953" spans="3:3" ht="14">
      <c r="C953" s="139"/>
    </row>
    <row r="954" spans="3:3" ht="14">
      <c r="C954" s="139"/>
    </row>
    <row r="955" spans="3:3" ht="14">
      <c r="C955" s="139"/>
    </row>
    <row r="956" spans="3:3" ht="14">
      <c r="C956" s="139"/>
    </row>
    <row r="957" spans="3:3" ht="14">
      <c r="C957" s="139"/>
    </row>
    <row r="958" spans="3:3" ht="14">
      <c r="C958" s="139"/>
    </row>
    <row r="959" spans="3:3" ht="14">
      <c r="C959" s="139"/>
    </row>
    <row r="960" spans="3:3" ht="14">
      <c r="C960" s="139"/>
    </row>
    <row r="961" spans="3:3" ht="14">
      <c r="C961" s="139"/>
    </row>
    <row r="962" spans="3:3" ht="14">
      <c r="C962" s="139"/>
    </row>
    <row r="963" spans="3:3" ht="14">
      <c r="C963" s="139"/>
    </row>
    <row r="964" spans="3:3" ht="14">
      <c r="C964" s="139"/>
    </row>
    <row r="965" spans="3:3" ht="14">
      <c r="C965" s="139"/>
    </row>
    <row r="966" spans="3:3" ht="14">
      <c r="C966" s="139"/>
    </row>
    <row r="967" spans="3:3" ht="14">
      <c r="C967" s="139"/>
    </row>
    <row r="968" spans="3:3" ht="14">
      <c r="C968" s="139"/>
    </row>
    <row r="969" spans="3:3" ht="14">
      <c r="C969" s="139"/>
    </row>
    <row r="970" spans="3:3" ht="14">
      <c r="C970" s="139"/>
    </row>
    <row r="971" spans="3:3" ht="14">
      <c r="C971" s="139"/>
    </row>
    <row r="972" spans="3:3" ht="14">
      <c r="C972" s="139"/>
    </row>
    <row r="973" spans="3:3" ht="14">
      <c r="C973" s="139"/>
    </row>
    <row r="974" spans="3:3" ht="14">
      <c r="C974" s="139"/>
    </row>
    <row r="975" spans="3:3" ht="14">
      <c r="C975" s="139"/>
    </row>
    <row r="976" spans="3:3" ht="14">
      <c r="C976" s="139"/>
    </row>
    <row r="977" spans="3:3" ht="14">
      <c r="C977" s="139"/>
    </row>
    <row r="978" spans="3:3" ht="14">
      <c r="C978" s="139"/>
    </row>
    <row r="979" spans="3:3" ht="14">
      <c r="C979" s="139"/>
    </row>
    <row r="980" spans="3:3" ht="14">
      <c r="C980" s="139"/>
    </row>
    <row r="981" spans="3:3" ht="14">
      <c r="C981" s="139"/>
    </row>
    <row r="982" spans="3:3" ht="14">
      <c r="C982" s="139"/>
    </row>
    <row r="983" spans="3:3" ht="14">
      <c r="C983" s="139"/>
    </row>
    <row r="984" spans="3:3" ht="14">
      <c r="C984" s="139"/>
    </row>
    <row r="985" spans="3:3" ht="14">
      <c r="C985" s="139"/>
    </row>
    <row r="986" spans="3:3" ht="14">
      <c r="C986" s="139"/>
    </row>
    <row r="987" spans="3:3" ht="14">
      <c r="C987" s="139"/>
    </row>
    <row r="988" spans="3:3" ht="14">
      <c r="C988" s="139"/>
    </row>
    <row r="989" spans="3:3" ht="14">
      <c r="C989" s="139"/>
    </row>
    <row r="990" spans="3:3" ht="14">
      <c r="C990" s="139"/>
    </row>
    <row r="991" spans="3:3" ht="14">
      <c r="C991" s="139"/>
    </row>
    <row r="992" spans="3:3" ht="14">
      <c r="C992" s="139"/>
    </row>
    <row r="993" spans="3:3" ht="14">
      <c r="C993" s="139"/>
    </row>
    <row r="994" spans="3:3" ht="14">
      <c r="C994" s="139"/>
    </row>
    <row r="995" spans="3:3" ht="14">
      <c r="C995" s="139"/>
    </row>
    <row r="996" spans="3:3" ht="14">
      <c r="C996" s="139"/>
    </row>
    <row r="997" spans="3:3" ht="14">
      <c r="C997" s="139"/>
    </row>
    <row r="998" spans="3:3" ht="14">
      <c r="C998" s="139"/>
    </row>
    <row r="999" spans="3:3" ht="14">
      <c r="C999" s="139"/>
    </row>
    <row r="1000" spans="3:3" ht="14">
      <c r="C1000" s="139"/>
    </row>
    <row r="1001" spans="3:3" ht="14">
      <c r="C1001" s="139"/>
    </row>
    <row r="1002" spans="3:3" ht="14">
      <c r="C1002" s="139"/>
    </row>
  </sheetData>
  <dataValidations count="1">
    <dataValidation type="list" allowBlank="1" showErrorMessage="1" sqref="C2:C8" xr:uid="{00000000-0002-0000-0300-000000000000}">
      <formula1>"Employee,Contractor,Director"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9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3984375" defaultRowHeight="15" customHeight="1" outlineLevelCol="1"/>
  <cols>
    <col min="1" max="1" width="20.19921875" customWidth="1"/>
    <col min="2" max="13" width="12.796875" customWidth="1"/>
    <col min="14" max="23" width="11" customWidth="1"/>
    <col min="24" max="45" width="11" hidden="1" customWidth="1" outlineLevel="1"/>
    <col min="46" max="46" width="11" customWidth="1" collapsed="1"/>
  </cols>
  <sheetData>
    <row r="1" spans="1:46" ht="12.75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7"/>
    </row>
    <row r="2" spans="1:46" ht="12.75" customHeight="1">
      <c r="A2" s="175" t="s">
        <v>83</v>
      </c>
      <c r="B2" s="176">
        <v>45352</v>
      </c>
      <c r="C2" s="176">
        <v>45383</v>
      </c>
      <c r="D2" s="176">
        <v>45413</v>
      </c>
      <c r="E2" s="176">
        <v>45444</v>
      </c>
      <c r="F2" s="176">
        <v>45474</v>
      </c>
      <c r="G2" s="176">
        <v>45505</v>
      </c>
      <c r="H2" s="176">
        <v>45536</v>
      </c>
      <c r="I2" s="176">
        <v>45566</v>
      </c>
      <c r="J2" s="176">
        <v>45597</v>
      </c>
      <c r="K2" s="176">
        <v>45627</v>
      </c>
      <c r="L2" s="176">
        <v>45658</v>
      </c>
      <c r="M2" s="176">
        <v>45689</v>
      </c>
      <c r="N2" s="176">
        <v>45717</v>
      </c>
      <c r="O2" s="176">
        <v>45748</v>
      </c>
      <c r="P2" s="176">
        <v>45778</v>
      </c>
      <c r="Q2" s="176">
        <v>45809</v>
      </c>
      <c r="R2" s="176">
        <v>45839</v>
      </c>
      <c r="S2" s="176">
        <v>45870</v>
      </c>
      <c r="T2" s="176">
        <v>45901</v>
      </c>
      <c r="U2" s="176">
        <v>45931</v>
      </c>
      <c r="V2" s="176">
        <v>45962</v>
      </c>
      <c r="W2" s="176">
        <v>45992</v>
      </c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7"/>
    </row>
    <row r="3" spans="1:46" ht="12.75" customHeight="1">
      <c r="A3" s="178" t="s">
        <v>84</v>
      </c>
      <c r="B3" s="179">
        <f>'Balance Sheet'!B30</f>
        <v>-24342.65</v>
      </c>
      <c r="C3" s="179">
        <f>'Balance Sheet'!C30</f>
        <v>-27173.05</v>
      </c>
      <c r="D3" s="179">
        <f>'Balance Sheet'!D30</f>
        <v>-5060.29</v>
      </c>
      <c r="E3" s="179">
        <f>'Balance Sheet'!E30</f>
        <v>-5328.09</v>
      </c>
      <c r="F3" s="179">
        <f>'Balance Sheet'!F30</f>
        <v>-4387.09</v>
      </c>
      <c r="G3" s="179">
        <f t="shared" ref="G3:W3" si="0">F7</f>
        <v>-4387.09</v>
      </c>
      <c r="H3" s="179">
        <f t="shared" si="0"/>
        <v>-9329.09</v>
      </c>
      <c r="I3" s="179">
        <f t="shared" si="0"/>
        <v>-5832.56</v>
      </c>
      <c r="J3" s="179">
        <f t="shared" si="0"/>
        <v>-8941.23</v>
      </c>
      <c r="K3" s="179">
        <f t="shared" si="0"/>
        <v>835.86000000000149</v>
      </c>
      <c r="L3" s="179">
        <f t="shared" si="0"/>
        <v>1506.1900000000014</v>
      </c>
      <c r="M3" s="179">
        <f t="shared" si="0"/>
        <v>2411.5200000000013</v>
      </c>
      <c r="N3" s="179">
        <f t="shared" si="0"/>
        <v>2882.3300000000008</v>
      </c>
      <c r="O3" s="179">
        <f t="shared" si="0"/>
        <v>5214.33</v>
      </c>
      <c r="P3" s="179">
        <f t="shared" si="0"/>
        <v>2126.33</v>
      </c>
      <c r="Q3" s="179">
        <f t="shared" si="0"/>
        <v>-1146</v>
      </c>
      <c r="R3" s="179">
        <f t="shared" si="0"/>
        <v>796</v>
      </c>
      <c r="S3" s="179">
        <f t="shared" si="0"/>
        <v>8048</v>
      </c>
      <c r="T3" s="179">
        <f t="shared" si="0"/>
        <v>12683.999999999998</v>
      </c>
      <c r="U3" s="179">
        <f t="shared" si="0"/>
        <v>25081.199999999997</v>
      </c>
      <c r="V3" s="179">
        <f t="shared" si="0"/>
        <v>26033.199999999997</v>
      </c>
      <c r="W3" s="179">
        <f t="shared" si="0"/>
        <v>10855.199999999997</v>
      </c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80"/>
    </row>
    <row r="4" spans="1:46" ht="12.75" customHeight="1">
      <c r="A4" s="178" t="s">
        <v>85</v>
      </c>
      <c r="B4" s="181"/>
      <c r="C4" s="181"/>
      <c r="D4" s="181"/>
      <c r="E4" s="181"/>
      <c r="F4" s="181"/>
      <c r="G4" s="181">
        <f>ROUND('Consolidated P&amp;L'!G16*0.2,2)</f>
        <v>0</v>
      </c>
      <c r="H4" s="181">
        <f>ROUND('Consolidated P&amp;L'!H16*0.2,2)</f>
        <v>6505.2</v>
      </c>
      <c r="I4" s="181">
        <f>ROUND('Consolidated P&amp;L'!I16*0.2,2)</f>
        <v>0</v>
      </c>
      <c r="J4" s="181">
        <f>ROUND('Consolidated P&amp;L'!J16*0.2,2)</f>
        <v>8761.2000000000007</v>
      </c>
      <c r="K4" s="181">
        <f>ROUND('Consolidated P&amp;L'!K16*0.2,2)</f>
        <v>5590</v>
      </c>
      <c r="L4" s="181">
        <f>ROUND('Consolidated P&amp;L'!L16*0.2,2)</f>
        <v>5840</v>
      </c>
      <c r="M4" s="181">
        <f>ROUND('Consolidated P&amp;L'!M16*0.2,2)</f>
        <v>7026.67</v>
      </c>
      <c r="N4" s="181">
        <f>ROUND('Consolidated P&amp;L'!N16*0.2,2)</f>
        <v>7396.67</v>
      </c>
      <c r="O4" s="181">
        <f>ROUND('Consolidated P&amp;L'!O16*0.2,2)</f>
        <v>1976.67</v>
      </c>
      <c r="P4" s="181">
        <f>ROUND('Consolidated P&amp;L'!P16*0.2,2)</f>
        <v>7006.67</v>
      </c>
      <c r="Q4" s="181">
        <f>ROUND('Consolidated P&amp;L'!Q16*0.2,2)</f>
        <v>7006.67</v>
      </c>
      <c r="R4" s="181">
        <f>ROUND('Consolidated P&amp;L'!R16*0.2,2)</f>
        <v>12316.67</v>
      </c>
      <c r="S4" s="181">
        <f>ROUND('Consolidated P&amp;L'!S16*0.2,2)</f>
        <v>12496.67</v>
      </c>
      <c r="T4" s="181">
        <f>ROUND('Consolidated P&amp;L'!T16*0.2,2)</f>
        <v>19461.87</v>
      </c>
      <c r="U4" s="181">
        <f>ROUND('Consolidated P&amp;L'!U16*0.2,2)</f>
        <v>8016.67</v>
      </c>
      <c r="V4" s="181">
        <f>ROUND('Consolidated P&amp;L'!V16*0.2,2)</f>
        <v>16967.87</v>
      </c>
      <c r="W4" s="181">
        <f>ROUND('Consolidated P&amp;L'!W16*0.2,2)</f>
        <v>8666.67</v>
      </c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2"/>
    </row>
    <row r="5" spans="1:46" ht="12.75" customHeight="1">
      <c r="A5" s="178" t="s">
        <v>86</v>
      </c>
      <c r="B5" s="181"/>
      <c r="C5" s="181"/>
      <c r="D5" s="181"/>
      <c r="E5" s="181"/>
      <c r="F5" s="181"/>
      <c r="G5" s="181">
        <f>ROUND(-(SUM('Consolidated P&amp;L'!G19:G25)+SUM('Consolidated P&amp;L'!G38:G47)+'Consolidated P&amp;L'!G27+'Consolidated P&amp;L'!G28)*20%,2)</f>
        <v>-942</v>
      </c>
      <c r="H5" s="181">
        <f>ROUND(-(SUM('Consolidated P&amp;L'!H19:H25)+SUM('Consolidated P&amp;L'!H38:H47)+'Consolidated P&amp;L'!H27+'Consolidated P&amp;L'!H28+'Consolidated P&amp;L'!H29)*20%,2)</f>
        <v>-3008.67</v>
      </c>
      <c r="I5" s="181">
        <f>ROUND(-(SUM('Consolidated P&amp;L'!I19:I25)+SUM('Consolidated P&amp;L'!I38:I47)+'Consolidated P&amp;L'!I27+'Consolidated P&amp;L'!I28+'Consolidated P&amp;L'!I29)*20%,2)</f>
        <v>-3108.67</v>
      </c>
      <c r="J5" s="181">
        <f>ROUND(-(SUM('Consolidated P&amp;L'!J19:J25)+SUM('Consolidated P&amp;L'!J38:J47)+'Consolidated P&amp;L'!J27+'Consolidated P&amp;L'!J28+'Consolidated P&amp;L'!J29)*20%,2)</f>
        <v>-4816.67</v>
      </c>
      <c r="K5" s="181">
        <f>ROUND(-(SUM('Consolidated P&amp;L'!K19:K25)+SUM('Consolidated P&amp;L'!K38:K47)+'Consolidated P&amp;L'!K27+'Consolidated P&amp;L'!K28+'Consolidated P&amp;L'!K29)*20%,2)</f>
        <v>-4919.67</v>
      </c>
      <c r="L5" s="181">
        <f>ROUND(-(SUM('Consolidated P&amp;L'!L19:L25)+SUM('Consolidated P&amp;L'!L38:L47)+'Consolidated P&amp;L'!L27+'Consolidated P&amp;L'!L28+'Consolidated P&amp;L'!L29)*20%,2)</f>
        <v>-4934.67</v>
      </c>
      <c r="M5" s="181">
        <f>ROUND(-(SUM('Consolidated P&amp;L'!M19:M25)+SUM('Consolidated P&amp;L'!M38:M47)+'Consolidated P&amp;L'!M27+'Consolidated P&amp;L'!M28+'Consolidated P&amp;L'!M29)*20%,2)</f>
        <v>-5049.67</v>
      </c>
      <c r="N5" s="181">
        <f>ROUND(-(SUM('Consolidated P&amp;L'!N19:N25)+SUM('Consolidated P&amp;L'!N38:N47)+'Consolidated P&amp;L'!N27+'Consolidated P&amp;L'!N28+'Consolidated P&amp;L'!N29)*20%,2)</f>
        <v>-5064.67</v>
      </c>
      <c r="O5" s="181">
        <f>ROUND(-(SUM('Consolidated P&amp;L'!O19:O25)+SUM('Consolidated P&amp;L'!O38:O47)+'Consolidated P&amp;L'!O27+'Consolidated P&amp;L'!O28+'Consolidated P&amp;L'!O29)*20%,2)</f>
        <v>-5064.67</v>
      </c>
      <c r="P5" s="181">
        <f>ROUND(-(SUM('Consolidated P&amp;L'!P19:P25)+SUM('Consolidated P&amp;L'!P38:P47)+'Consolidated P&amp;L'!P27+'Consolidated P&amp;L'!P28+'Consolidated P&amp;L'!P29)*20%,2)</f>
        <v>-5064.67</v>
      </c>
      <c r="Q5" s="181">
        <f>ROUND(-(SUM('Consolidated P&amp;L'!Q19:Q25)+SUM('Consolidated P&amp;L'!Q38:Q47)+'Consolidated P&amp;L'!Q27+'Consolidated P&amp;L'!Q28+'Consolidated P&amp;L'!Q29)*20%,2)</f>
        <v>-5064.67</v>
      </c>
      <c r="R5" s="181">
        <f>ROUND(-(SUM('Consolidated P&amp;L'!R19:R25)+SUM('Consolidated P&amp;L'!R38:R47)+'Consolidated P&amp;L'!R27+'Consolidated P&amp;L'!R28+'Consolidated P&amp;L'!R29)*20%,2)</f>
        <v>-5064.67</v>
      </c>
      <c r="S5" s="181">
        <f>ROUND(-(SUM('Consolidated P&amp;L'!S19:S25)+SUM('Consolidated P&amp;L'!S38:S47)+'Consolidated P&amp;L'!S27+'Consolidated P&amp;L'!S28+'Consolidated P&amp;L'!S29)*20%,2)</f>
        <v>-7064.67</v>
      </c>
      <c r="T5" s="181">
        <f>ROUND(-(SUM('Consolidated P&amp;L'!T19:T25)+SUM('Consolidated P&amp;L'!T38:T47)+'Consolidated P&amp;L'!T27+'Consolidated P&amp;L'!T28+'Consolidated P&amp;L'!T29)*20%,2)</f>
        <v>-7064.67</v>
      </c>
      <c r="U5" s="181">
        <f>ROUND(-(SUM('Consolidated P&amp;L'!U19:U25)+SUM('Consolidated P&amp;L'!U38:U47)+'Consolidated P&amp;L'!U27+'Consolidated P&amp;L'!U28+'Consolidated P&amp;L'!U29)*20%,2)</f>
        <v>-7064.67</v>
      </c>
      <c r="V5" s="181">
        <f>ROUND(-(SUM('Consolidated P&amp;L'!V19:V25)+SUM('Consolidated P&amp;L'!V38:V47)+'Consolidated P&amp;L'!V27+'Consolidated P&amp;L'!V28+'Consolidated P&amp;L'!V29)*20%,2)</f>
        <v>-7064.67</v>
      </c>
      <c r="W5" s="181">
        <f>ROUND(-(SUM('Consolidated P&amp;L'!W19:W25)+SUM('Consolidated P&amp;L'!W38:W47)+'Consolidated P&amp;L'!W27+'Consolidated P&amp;L'!W28+'Consolidated P&amp;L'!W29)*20%,2)</f>
        <v>-7064.67</v>
      </c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2"/>
    </row>
    <row r="6" spans="1:46" ht="12.75" customHeight="1">
      <c r="A6" s="183" t="s">
        <v>87</v>
      </c>
      <c r="B6" s="184"/>
      <c r="C6" s="184"/>
      <c r="D6" s="184"/>
      <c r="E6" s="184"/>
      <c r="F6" s="184"/>
      <c r="G6" s="184">
        <f>-4000</f>
        <v>-4000</v>
      </c>
      <c r="H6" s="184"/>
      <c r="I6" s="184"/>
      <c r="J6" s="184">
        <f>-H7</f>
        <v>5832.56</v>
      </c>
      <c r="K6" s="184"/>
      <c r="L6" s="184"/>
      <c r="M6" s="184">
        <f>-K7</f>
        <v>-1506.1900000000014</v>
      </c>
      <c r="N6" s="184"/>
      <c r="O6" s="184"/>
      <c r="P6" s="184">
        <f>-N7</f>
        <v>-5214.33</v>
      </c>
      <c r="Q6" s="184"/>
      <c r="R6" s="184"/>
      <c r="S6" s="184">
        <f>-Q7</f>
        <v>-796</v>
      </c>
      <c r="T6" s="184"/>
      <c r="U6" s="184"/>
      <c r="V6" s="184">
        <f>-T7</f>
        <v>-25081.199999999997</v>
      </c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5"/>
    </row>
    <row r="7" spans="1:46" ht="12.75" customHeight="1">
      <c r="A7" s="186" t="s">
        <v>88</v>
      </c>
      <c r="B7" s="187">
        <f t="shared" ref="B7:W7" si="1">SUM(B3:B6)</f>
        <v>-24342.65</v>
      </c>
      <c r="C7" s="187">
        <f t="shared" si="1"/>
        <v>-27173.05</v>
      </c>
      <c r="D7" s="187">
        <f t="shared" si="1"/>
        <v>-5060.29</v>
      </c>
      <c r="E7" s="187">
        <f t="shared" si="1"/>
        <v>-5328.09</v>
      </c>
      <c r="F7" s="187">
        <f t="shared" si="1"/>
        <v>-4387.09</v>
      </c>
      <c r="G7" s="187">
        <f t="shared" si="1"/>
        <v>-9329.09</v>
      </c>
      <c r="H7" s="187">
        <f t="shared" si="1"/>
        <v>-5832.56</v>
      </c>
      <c r="I7" s="187">
        <f t="shared" si="1"/>
        <v>-8941.23</v>
      </c>
      <c r="J7" s="187">
        <f t="shared" si="1"/>
        <v>835.86000000000149</v>
      </c>
      <c r="K7" s="187">
        <f t="shared" si="1"/>
        <v>1506.1900000000014</v>
      </c>
      <c r="L7" s="187">
        <f t="shared" si="1"/>
        <v>2411.5200000000013</v>
      </c>
      <c r="M7" s="187">
        <f t="shared" si="1"/>
        <v>2882.3300000000008</v>
      </c>
      <c r="N7" s="187">
        <f t="shared" si="1"/>
        <v>5214.33</v>
      </c>
      <c r="O7" s="187">
        <f t="shared" si="1"/>
        <v>2126.33</v>
      </c>
      <c r="P7" s="187">
        <f t="shared" si="1"/>
        <v>-1146</v>
      </c>
      <c r="Q7" s="187">
        <f t="shared" si="1"/>
        <v>796</v>
      </c>
      <c r="R7" s="187">
        <f t="shared" si="1"/>
        <v>8048</v>
      </c>
      <c r="S7" s="187">
        <f t="shared" si="1"/>
        <v>12683.999999999998</v>
      </c>
      <c r="T7" s="187">
        <f t="shared" si="1"/>
        <v>25081.199999999997</v>
      </c>
      <c r="U7" s="187">
        <f t="shared" si="1"/>
        <v>26033.199999999997</v>
      </c>
      <c r="V7" s="187">
        <f t="shared" si="1"/>
        <v>10855.199999999997</v>
      </c>
      <c r="W7" s="187">
        <f t="shared" si="1"/>
        <v>12457.199999999995</v>
      </c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8"/>
    </row>
    <row r="8" spans="1:46" ht="12.75" customHeight="1">
      <c r="A8" s="189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1"/>
    </row>
    <row r="9" spans="1:46" ht="12.75" customHeight="1">
      <c r="A9" s="175"/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5"/>
    </row>
    <row r="10" spans="1:46" ht="12.75" customHeight="1">
      <c r="A10" s="189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7"/>
    </row>
    <row r="11" spans="1:46" ht="12.75" customHeight="1">
      <c r="A11" s="175" t="s">
        <v>89</v>
      </c>
      <c r="B11" s="192">
        <v>44986</v>
      </c>
      <c r="C11" s="198">
        <v>45017</v>
      </c>
      <c r="D11" s="198">
        <v>45047</v>
      </c>
      <c r="E11" s="198">
        <v>45078</v>
      </c>
      <c r="F11" s="198">
        <v>45108</v>
      </c>
      <c r="G11" s="198">
        <v>45139</v>
      </c>
      <c r="H11" s="198">
        <v>45170</v>
      </c>
      <c r="I11" s="198">
        <v>45200</v>
      </c>
      <c r="J11" s="198">
        <v>45231</v>
      </c>
      <c r="K11" s="198">
        <v>45261</v>
      </c>
      <c r="L11" s="198">
        <v>45292</v>
      </c>
      <c r="M11" s="198">
        <v>45323</v>
      </c>
      <c r="N11" s="198">
        <v>45324</v>
      </c>
      <c r="O11" s="198">
        <v>45325</v>
      </c>
      <c r="P11" s="198">
        <v>45326</v>
      </c>
      <c r="Q11" s="198">
        <v>45327</v>
      </c>
      <c r="R11" s="198">
        <v>45328</v>
      </c>
      <c r="S11" s="198">
        <v>45329</v>
      </c>
      <c r="T11" s="198">
        <v>45330</v>
      </c>
      <c r="U11" s="198">
        <v>45331</v>
      </c>
      <c r="V11" s="198">
        <v>45332</v>
      </c>
      <c r="W11" s="198">
        <v>45333</v>
      </c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9"/>
    </row>
    <row r="12" spans="1:46" ht="12.75" customHeight="1">
      <c r="A12" s="178" t="s">
        <v>84</v>
      </c>
      <c r="B12" s="181">
        <f>'Balance Sheet'!B11</f>
        <v>63292</v>
      </c>
      <c r="C12" s="181">
        <f>'Balance Sheet'!C11</f>
        <v>85462</v>
      </c>
      <c r="D12" s="181">
        <f>'Balance Sheet'!D11</f>
        <v>107632</v>
      </c>
      <c r="E12" s="181">
        <f>'Balance Sheet'!E11</f>
        <v>129142</v>
      </c>
      <c r="F12" s="181">
        <f>'Balance Sheet'!F11</f>
        <v>21592</v>
      </c>
      <c r="G12" s="181">
        <f t="shared" ref="G12:W12" si="2">F16</f>
        <v>21592</v>
      </c>
      <c r="H12" s="181">
        <f t="shared" si="2"/>
        <v>21592</v>
      </c>
      <c r="I12" s="181">
        <f t="shared" si="2"/>
        <v>50623.199999999997</v>
      </c>
      <c r="J12" s="181">
        <f t="shared" si="2"/>
        <v>6592</v>
      </c>
      <c r="K12" s="181">
        <f t="shared" si="2"/>
        <v>59159.199999999997</v>
      </c>
      <c r="L12" s="181">
        <f t="shared" si="2"/>
        <v>40132</v>
      </c>
      <c r="M12" s="181">
        <f t="shared" si="2"/>
        <v>41632</v>
      </c>
      <c r="N12" s="181">
        <f t="shared" si="2"/>
        <v>48752</v>
      </c>
      <c r="O12" s="181">
        <f t="shared" si="2"/>
        <v>50972</v>
      </c>
      <c r="P12" s="181">
        <f t="shared" si="2"/>
        <v>18452</v>
      </c>
      <c r="Q12" s="181">
        <f t="shared" si="2"/>
        <v>48632</v>
      </c>
      <c r="R12" s="181">
        <f t="shared" si="2"/>
        <v>48632</v>
      </c>
      <c r="S12" s="181">
        <f t="shared" si="2"/>
        <v>80492</v>
      </c>
      <c r="T12" s="181">
        <f t="shared" si="2"/>
        <v>81572</v>
      </c>
      <c r="U12" s="181">
        <f t="shared" si="2"/>
        <v>123363.20000000001</v>
      </c>
      <c r="V12" s="181">
        <f t="shared" si="2"/>
        <v>54692.000000000015</v>
      </c>
      <c r="W12" s="181">
        <f t="shared" si="2"/>
        <v>108399.20000000001</v>
      </c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2"/>
    </row>
    <row r="13" spans="1:46" ht="12.75" customHeight="1">
      <c r="A13" s="178" t="s">
        <v>90</v>
      </c>
      <c r="B13" s="181"/>
      <c r="C13" s="181"/>
      <c r="D13" s="181"/>
      <c r="E13" s="181"/>
      <c r="F13" s="181"/>
      <c r="G13" s="181">
        <f>ROUND('Consolidated P&amp;L'!G16*1.2,2)</f>
        <v>0</v>
      </c>
      <c r="H13" s="181">
        <f>ROUND('Consolidated P&amp;L'!H16*1.2,2)</f>
        <v>39031.199999999997</v>
      </c>
      <c r="I13" s="181">
        <f>ROUND('Consolidated P&amp;L'!I16*1.2,2)</f>
        <v>0</v>
      </c>
      <c r="J13" s="181">
        <f>ROUND('Consolidated P&amp;L'!J16*1.2,2)</f>
        <v>52567.199999999997</v>
      </c>
      <c r="K13" s="181">
        <f>ROUND('Consolidated P&amp;L'!K16*1.2,2)</f>
        <v>33540</v>
      </c>
      <c r="L13" s="181">
        <f>ROUND('Consolidated P&amp;L'!L16*1.2,2)</f>
        <v>35040</v>
      </c>
      <c r="M13" s="181">
        <f>ROUND('Consolidated P&amp;L'!M16*1.2,2)</f>
        <v>42160</v>
      </c>
      <c r="N13" s="181">
        <f>ROUND('Consolidated P&amp;L'!N16*1.2,2)</f>
        <v>44380</v>
      </c>
      <c r="O13" s="181">
        <f>ROUND('Consolidated P&amp;L'!O16*1.2,2)</f>
        <v>11860</v>
      </c>
      <c r="P13" s="181">
        <f>ROUND('Consolidated P&amp;L'!P16*1.2,2)</f>
        <v>42040</v>
      </c>
      <c r="Q13" s="181">
        <f>ROUND('Consolidated P&amp;L'!Q16*1.2,2)</f>
        <v>42040</v>
      </c>
      <c r="R13" s="181">
        <f>ROUND('Consolidated P&amp;L'!R16*1.2,2)</f>
        <v>73900</v>
      </c>
      <c r="S13" s="181">
        <f>ROUND('Consolidated P&amp;L'!S16*1.2,2)</f>
        <v>74980</v>
      </c>
      <c r="T13" s="181">
        <f>ROUND('Consolidated P&amp;L'!T16*1.2,2)</f>
        <v>116771.2</v>
      </c>
      <c r="U13" s="181">
        <f>ROUND('Consolidated P&amp;L'!U16*1.2,2)</f>
        <v>48100</v>
      </c>
      <c r="V13" s="181">
        <f>ROUND('Consolidated P&amp;L'!V16*1.2,2)</f>
        <v>101807.2</v>
      </c>
      <c r="W13" s="181">
        <f>ROUND('Consolidated P&amp;L'!W16*1.2,2)</f>
        <v>52000</v>
      </c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2"/>
    </row>
    <row r="14" spans="1:46" ht="12.75" customHeight="1">
      <c r="A14" s="200" t="s">
        <v>91</v>
      </c>
      <c r="B14" s="181"/>
      <c r="C14" s="181"/>
      <c r="D14" s="181"/>
      <c r="E14" s="181"/>
      <c r="F14" s="181"/>
      <c r="G14" s="181">
        <f t="shared" ref="G14:W14" si="3">-F13</f>
        <v>0</v>
      </c>
      <c r="H14" s="181">
        <f t="shared" si="3"/>
        <v>0</v>
      </c>
      <c r="I14" s="181">
        <f t="shared" si="3"/>
        <v>-39031.199999999997</v>
      </c>
      <c r="J14" s="181">
        <f t="shared" si="3"/>
        <v>0</v>
      </c>
      <c r="K14" s="181">
        <f t="shared" si="3"/>
        <v>-52567.199999999997</v>
      </c>
      <c r="L14" s="181">
        <f t="shared" si="3"/>
        <v>-33540</v>
      </c>
      <c r="M14" s="181">
        <f t="shared" si="3"/>
        <v>-35040</v>
      </c>
      <c r="N14" s="181">
        <f t="shared" si="3"/>
        <v>-42160</v>
      </c>
      <c r="O14" s="181">
        <f t="shared" si="3"/>
        <v>-44380</v>
      </c>
      <c r="P14" s="181">
        <f t="shared" si="3"/>
        <v>-11860</v>
      </c>
      <c r="Q14" s="181">
        <f t="shared" si="3"/>
        <v>-42040</v>
      </c>
      <c r="R14" s="181">
        <f t="shared" si="3"/>
        <v>-42040</v>
      </c>
      <c r="S14" s="181">
        <f t="shared" si="3"/>
        <v>-73900</v>
      </c>
      <c r="T14" s="181">
        <f t="shared" si="3"/>
        <v>-74980</v>
      </c>
      <c r="U14" s="181">
        <f t="shared" si="3"/>
        <v>-116771.2</v>
      </c>
      <c r="V14" s="181">
        <f t="shared" si="3"/>
        <v>-48100</v>
      </c>
      <c r="W14" s="181">
        <f t="shared" si="3"/>
        <v>-101807.2</v>
      </c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2"/>
    </row>
    <row r="15" spans="1:46" ht="12.75" customHeight="1">
      <c r="A15" s="183" t="s">
        <v>92</v>
      </c>
      <c r="B15" s="184"/>
      <c r="C15" s="184"/>
      <c r="D15" s="181"/>
      <c r="E15" s="184"/>
      <c r="F15" s="184"/>
      <c r="G15" s="184">
        <v>0</v>
      </c>
      <c r="H15" s="184">
        <v>-10000</v>
      </c>
      <c r="I15" s="184">
        <v>-5000</v>
      </c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5"/>
    </row>
    <row r="16" spans="1:46" ht="12.75" customHeight="1">
      <c r="A16" s="186" t="s">
        <v>88</v>
      </c>
      <c r="B16" s="187">
        <f t="shared" ref="B16:W16" si="4">SUM(B12:B15)</f>
        <v>63292</v>
      </c>
      <c r="C16" s="187">
        <f t="shared" si="4"/>
        <v>85462</v>
      </c>
      <c r="D16" s="187">
        <f t="shared" si="4"/>
        <v>107632</v>
      </c>
      <c r="E16" s="187">
        <f t="shared" si="4"/>
        <v>129142</v>
      </c>
      <c r="F16" s="187">
        <f t="shared" si="4"/>
        <v>21592</v>
      </c>
      <c r="G16" s="187">
        <f t="shared" si="4"/>
        <v>21592</v>
      </c>
      <c r="H16" s="187">
        <f t="shared" si="4"/>
        <v>50623.199999999997</v>
      </c>
      <c r="I16" s="187">
        <f t="shared" si="4"/>
        <v>6592</v>
      </c>
      <c r="J16" s="187">
        <f t="shared" si="4"/>
        <v>59159.199999999997</v>
      </c>
      <c r="K16" s="187">
        <f t="shared" si="4"/>
        <v>40132</v>
      </c>
      <c r="L16" s="187">
        <f t="shared" si="4"/>
        <v>41632</v>
      </c>
      <c r="M16" s="187">
        <f t="shared" si="4"/>
        <v>48752</v>
      </c>
      <c r="N16" s="187">
        <f t="shared" si="4"/>
        <v>50972</v>
      </c>
      <c r="O16" s="187">
        <f t="shared" si="4"/>
        <v>18452</v>
      </c>
      <c r="P16" s="187">
        <f t="shared" si="4"/>
        <v>48632</v>
      </c>
      <c r="Q16" s="187">
        <f t="shared" si="4"/>
        <v>48632</v>
      </c>
      <c r="R16" s="187">
        <f t="shared" si="4"/>
        <v>80492</v>
      </c>
      <c r="S16" s="187">
        <f t="shared" si="4"/>
        <v>81572</v>
      </c>
      <c r="T16" s="187">
        <f t="shared" si="4"/>
        <v>123363.20000000001</v>
      </c>
      <c r="U16" s="187">
        <f t="shared" si="4"/>
        <v>54692.000000000015</v>
      </c>
      <c r="V16" s="187">
        <f t="shared" si="4"/>
        <v>108399.20000000001</v>
      </c>
      <c r="W16" s="187">
        <f t="shared" si="4"/>
        <v>58592.000000000015</v>
      </c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8"/>
    </row>
    <row r="17" spans="1:46" ht="12.75" customHeight="1">
      <c r="A17" s="189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1"/>
    </row>
    <row r="18" spans="1:46" ht="12.75" customHeight="1">
      <c r="A18" s="189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7"/>
    </row>
    <row r="19" spans="1:46" ht="12.75" customHeight="1">
      <c r="A19" s="175" t="s">
        <v>93</v>
      </c>
      <c r="B19" s="192">
        <v>44986</v>
      </c>
      <c r="C19" s="198">
        <v>45017</v>
      </c>
      <c r="D19" s="198">
        <v>45047</v>
      </c>
      <c r="E19" s="198">
        <v>45078</v>
      </c>
      <c r="F19" s="198">
        <v>45108</v>
      </c>
      <c r="G19" s="198">
        <v>45139</v>
      </c>
      <c r="H19" s="198">
        <v>45170</v>
      </c>
      <c r="I19" s="198">
        <v>45200</v>
      </c>
      <c r="J19" s="198">
        <v>45231</v>
      </c>
      <c r="K19" s="198">
        <v>45261</v>
      </c>
      <c r="L19" s="198">
        <v>45292</v>
      </c>
      <c r="M19" s="198">
        <v>45323</v>
      </c>
      <c r="N19" s="198">
        <v>45324</v>
      </c>
      <c r="O19" s="198">
        <v>45325</v>
      </c>
      <c r="P19" s="198">
        <v>45326</v>
      </c>
      <c r="Q19" s="198">
        <v>45327</v>
      </c>
      <c r="R19" s="198">
        <v>45328</v>
      </c>
      <c r="S19" s="198">
        <v>45329</v>
      </c>
      <c r="T19" s="198">
        <v>45330</v>
      </c>
      <c r="U19" s="198">
        <v>45331</v>
      </c>
      <c r="V19" s="198">
        <v>45332</v>
      </c>
      <c r="W19" s="198">
        <v>45333</v>
      </c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9"/>
    </row>
    <row r="20" spans="1:46" ht="12.75" customHeight="1">
      <c r="A20" s="178" t="s">
        <v>84</v>
      </c>
      <c r="B20" s="181">
        <f>'Balance Sheet'!B27</f>
        <v>78309.98</v>
      </c>
      <c r="C20" s="181">
        <f>'Balance Sheet'!C27</f>
        <v>115566.38</v>
      </c>
      <c r="D20" s="181">
        <f>'Balance Sheet'!D27</f>
        <v>124836.9</v>
      </c>
      <c r="E20" s="181">
        <f>'Balance Sheet'!E27</f>
        <v>158897.03</v>
      </c>
      <c r="F20" s="181">
        <f>'Balance Sheet'!F27</f>
        <v>83451.5</v>
      </c>
      <c r="G20" s="181">
        <f t="shared" ref="G20:W20" si="5">F24</f>
        <v>83451.5</v>
      </c>
      <c r="H20" s="181">
        <f t="shared" si="5"/>
        <v>89103.5</v>
      </c>
      <c r="I20" s="181">
        <f t="shared" si="5"/>
        <v>101503.5</v>
      </c>
      <c r="J20" s="181">
        <f t="shared" si="5"/>
        <v>93603.5</v>
      </c>
      <c r="K20" s="181">
        <f t="shared" si="5"/>
        <v>99881.5</v>
      </c>
      <c r="L20" s="181">
        <f t="shared" si="5"/>
        <v>99499.5</v>
      </c>
      <c r="M20" s="181">
        <f t="shared" si="5"/>
        <v>98589.5</v>
      </c>
      <c r="N20" s="181">
        <f t="shared" si="5"/>
        <v>98279.5</v>
      </c>
      <c r="O20" s="181">
        <f t="shared" si="5"/>
        <v>97369.5</v>
      </c>
      <c r="P20" s="181">
        <f t="shared" si="5"/>
        <v>96369.5</v>
      </c>
      <c r="Q20" s="181">
        <f t="shared" si="5"/>
        <v>95369.5</v>
      </c>
      <c r="R20" s="181">
        <f t="shared" si="5"/>
        <v>94369.5</v>
      </c>
      <c r="S20" s="181">
        <f t="shared" si="5"/>
        <v>93369.5</v>
      </c>
      <c r="T20" s="181">
        <f t="shared" si="5"/>
        <v>104369.5</v>
      </c>
      <c r="U20" s="181">
        <f t="shared" si="5"/>
        <v>103369.5</v>
      </c>
      <c r="V20" s="181">
        <f t="shared" si="5"/>
        <v>102369.5</v>
      </c>
      <c r="W20" s="181">
        <f t="shared" si="5"/>
        <v>101369.5</v>
      </c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2"/>
    </row>
    <row r="21" spans="1:46" ht="12.75" customHeight="1">
      <c r="A21" s="178" t="s">
        <v>94</v>
      </c>
      <c r="B21" s="181"/>
      <c r="C21" s="181"/>
      <c r="D21" s="181"/>
      <c r="E21" s="181"/>
      <c r="F21" s="181"/>
      <c r="G21" s="181">
        <f>ROUND((SUM('Consolidated P&amp;L'!G19:G24)+'Consolidated P&amp;L'!G30+SUM('Consolidated P&amp;L'!G38:G47))*1.2,2)</f>
        <v>5652</v>
      </c>
      <c r="H21" s="181">
        <f>ROUND((SUM('Consolidated P&amp;L'!H19:H24)+'Consolidated P&amp;L'!H30+SUM('Consolidated P&amp;L'!H38:H47))*1.2,2)</f>
        <v>18052</v>
      </c>
      <c r="I21" s="181">
        <f>ROUND((SUM('Consolidated P&amp;L'!I19:I24)+'Consolidated P&amp;L'!I30+SUM('Consolidated P&amp;L'!I38:I47))*1.2,2)</f>
        <v>18652</v>
      </c>
      <c r="J21" s="181">
        <f>ROUND((SUM('Consolidated P&amp;L'!J19:J24)+'Consolidated P&amp;L'!J30+SUM('Consolidated P&amp;L'!J38:J47))*1.2,2)</f>
        <v>28900</v>
      </c>
      <c r="K21" s="181">
        <f>ROUND((SUM('Consolidated P&amp;L'!K19:K24)+'Consolidated P&amp;L'!K30+SUM('Consolidated P&amp;L'!K38:K47))*1.2,2)</f>
        <v>29518</v>
      </c>
      <c r="L21" s="181">
        <f>ROUND((SUM('Consolidated P&amp;L'!L19:L24)+'Consolidated P&amp;L'!L30+SUM('Consolidated P&amp;L'!L38:L47))*1.2,2)</f>
        <v>29608</v>
      </c>
      <c r="M21" s="181">
        <f>ROUND((SUM('Consolidated P&amp;L'!M19:M24)+'Consolidated P&amp;L'!M30+SUM('Consolidated P&amp;L'!M38:M47))*1.2,2)</f>
        <v>30298</v>
      </c>
      <c r="N21" s="181">
        <f>ROUND((SUM('Consolidated P&amp;L'!N19:N24)+'Consolidated P&amp;L'!N30+SUM('Consolidated P&amp;L'!N38:N47))*1.2,2)</f>
        <v>30388</v>
      </c>
      <c r="O21" s="181">
        <f>ROUND((SUM('Consolidated P&amp;L'!O19:O24)+'Consolidated P&amp;L'!O30+SUM('Consolidated P&amp;L'!O38:O47))*1.2,2)</f>
        <v>30388</v>
      </c>
      <c r="P21" s="181">
        <f>ROUND((SUM('Consolidated P&amp;L'!P19:P24)+'Consolidated P&amp;L'!P30+SUM('Consolidated P&amp;L'!P38:P47))*1.2,2)</f>
        <v>30388</v>
      </c>
      <c r="Q21" s="181">
        <f>ROUND((SUM('Consolidated P&amp;L'!Q19:Q24)+'Consolidated P&amp;L'!Q30+SUM('Consolidated P&amp;L'!Q38:Q47))*1.2,2)</f>
        <v>30388</v>
      </c>
      <c r="R21" s="181">
        <f>ROUND((SUM('Consolidated P&amp;L'!R19:R24)+'Consolidated P&amp;L'!R30+SUM('Consolidated P&amp;L'!R38:R47))*1.2,2)</f>
        <v>30388</v>
      </c>
      <c r="S21" s="181">
        <f>ROUND((SUM('Consolidated P&amp;L'!S19:S24)+'Consolidated P&amp;L'!S30+SUM('Consolidated P&amp;L'!S38:S47))*1.2,2)</f>
        <v>42388</v>
      </c>
      <c r="T21" s="181">
        <f>ROUND((SUM('Consolidated P&amp;L'!T19:T24)+'Consolidated P&amp;L'!T30+SUM('Consolidated P&amp;L'!T38:T47))*1.2,2)</f>
        <v>42388</v>
      </c>
      <c r="U21" s="181">
        <f>ROUND((SUM('Consolidated P&amp;L'!U19:U24)+'Consolidated P&amp;L'!U30+SUM('Consolidated P&amp;L'!U38:U47))*1.2,2)</f>
        <v>42388</v>
      </c>
      <c r="V21" s="181">
        <f>ROUND((SUM('Consolidated P&amp;L'!V19:V24)+'Consolidated P&amp;L'!V30+SUM('Consolidated P&amp;L'!V38:V47))*1.2,2)</f>
        <v>42388</v>
      </c>
      <c r="W21" s="181">
        <f>ROUND((SUM('Consolidated P&amp;L'!W19:W24)+'Consolidated P&amp;L'!W30+SUM('Consolidated P&amp;L'!W38:W47))*1.2,2)</f>
        <v>42388</v>
      </c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2"/>
    </row>
    <row r="22" spans="1:46" ht="12.75" customHeight="1">
      <c r="A22" s="200" t="s">
        <v>95</v>
      </c>
      <c r="B22" s="181"/>
      <c r="C22" s="181"/>
      <c r="D22" s="181"/>
      <c r="E22" s="181"/>
      <c r="F22" s="181"/>
      <c r="G22" s="181">
        <v>0</v>
      </c>
      <c r="H22" s="181">
        <f t="shared" ref="H22:W22" si="6">-G21</f>
        <v>-5652</v>
      </c>
      <c r="I22" s="181">
        <f t="shared" si="6"/>
        <v>-18052</v>
      </c>
      <c r="J22" s="181">
        <f t="shared" si="6"/>
        <v>-18652</v>
      </c>
      <c r="K22" s="181">
        <f t="shared" si="6"/>
        <v>-28900</v>
      </c>
      <c r="L22" s="181">
        <f t="shared" si="6"/>
        <v>-29518</v>
      </c>
      <c r="M22" s="181">
        <f t="shared" si="6"/>
        <v>-29608</v>
      </c>
      <c r="N22" s="181">
        <f t="shared" si="6"/>
        <v>-30298</v>
      </c>
      <c r="O22" s="181">
        <f t="shared" si="6"/>
        <v>-30388</v>
      </c>
      <c r="P22" s="181">
        <f t="shared" si="6"/>
        <v>-30388</v>
      </c>
      <c r="Q22" s="181">
        <f t="shared" si="6"/>
        <v>-30388</v>
      </c>
      <c r="R22" s="181">
        <f t="shared" si="6"/>
        <v>-30388</v>
      </c>
      <c r="S22" s="181">
        <f t="shared" si="6"/>
        <v>-30388</v>
      </c>
      <c r="T22" s="181">
        <f t="shared" si="6"/>
        <v>-42388</v>
      </c>
      <c r="U22" s="181">
        <f t="shared" si="6"/>
        <v>-42388</v>
      </c>
      <c r="V22" s="181">
        <f t="shared" si="6"/>
        <v>-42388</v>
      </c>
      <c r="W22" s="181">
        <f t="shared" si="6"/>
        <v>-42388</v>
      </c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2"/>
    </row>
    <row r="23" spans="1:46" ht="12.75" customHeight="1">
      <c r="A23" s="201"/>
      <c r="B23" s="184"/>
      <c r="C23" s="184"/>
      <c r="D23" s="184"/>
      <c r="E23" s="184"/>
      <c r="F23" s="184"/>
      <c r="G23" s="184"/>
      <c r="H23" s="184"/>
      <c r="I23" s="184">
        <v>-8500</v>
      </c>
      <c r="J23" s="184">
        <f>-1000-2970</f>
        <v>-3970</v>
      </c>
      <c r="K23" s="184">
        <v>-1000</v>
      </c>
      <c r="L23" s="184">
        <v>-1000</v>
      </c>
      <c r="M23" s="184">
        <v>-1000</v>
      </c>
      <c r="N23" s="184">
        <v>-1000</v>
      </c>
      <c r="O23" s="184">
        <v>-1000</v>
      </c>
      <c r="P23" s="184">
        <v>-1000</v>
      </c>
      <c r="Q23" s="184">
        <v>-1000</v>
      </c>
      <c r="R23" s="184">
        <v>-1000</v>
      </c>
      <c r="S23" s="184">
        <v>-1000</v>
      </c>
      <c r="T23" s="184">
        <v>-1000</v>
      </c>
      <c r="U23" s="184">
        <v>-1000</v>
      </c>
      <c r="V23" s="184">
        <v>-1000</v>
      </c>
      <c r="W23" s="184">
        <v>-1000</v>
      </c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5"/>
    </row>
    <row r="24" spans="1:46" ht="12.75" customHeight="1">
      <c r="A24" s="186" t="s">
        <v>88</v>
      </c>
      <c r="B24" s="187">
        <f t="shared" ref="B24:W24" si="7">SUM(B20:B23)</f>
        <v>78309.98</v>
      </c>
      <c r="C24" s="187">
        <f t="shared" si="7"/>
        <v>115566.38</v>
      </c>
      <c r="D24" s="187">
        <f t="shared" si="7"/>
        <v>124836.9</v>
      </c>
      <c r="E24" s="187">
        <f t="shared" si="7"/>
        <v>158897.03</v>
      </c>
      <c r="F24" s="187">
        <f t="shared" si="7"/>
        <v>83451.5</v>
      </c>
      <c r="G24" s="187">
        <f t="shared" si="7"/>
        <v>89103.5</v>
      </c>
      <c r="H24" s="187">
        <f t="shared" si="7"/>
        <v>101503.5</v>
      </c>
      <c r="I24" s="187">
        <f t="shared" si="7"/>
        <v>93603.5</v>
      </c>
      <c r="J24" s="187">
        <f t="shared" si="7"/>
        <v>99881.5</v>
      </c>
      <c r="K24" s="187">
        <f t="shared" si="7"/>
        <v>99499.5</v>
      </c>
      <c r="L24" s="187">
        <f t="shared" si="7"/>
        <v>98589.5</v>
      </c>
      <c r="M24" s="187">
        <f t="shared" si="7"/>
        <v>98279.5</v>
      </c>
      <c r="N24" s="187">
        <f t="shared" si="7"/>
        <v>97369.5</v>
      </c>
      <c r="O24" s="187">
        <f t="shared" si="7"/>
        <v>96369.5</v>
      </c>
      <c r="P24" s="187">
        <f t="shared" si="7"/>
        <v>95369.5</v>
      </c>
      <c r="Q24" s="187">
        <f t="shared" si="7"/>
        <v>94369.5</v>
      </c>
      <c r="R24" s="187">
        <f t="shared" si="7"/>
        <v>93369.5</v>
      </c>
      <c r="S24" s="187">
        <f t="shared" si="7"/>
        <v>104369.5</v>
      </c>
      <c r="T24" s="187">
        <f t="shared" si="7"/>
        <v>103369.5</v>
      </c>
      <c r="U24" s="187">
        <f t="shared" si="7"/>
        <v>102369.5</v>
      </c>
      <c r="V24" s="187">
        <f t="shared" si="7"/>
        <v>101369.5</v>
      </c>
      <c r="W24" s="187">
        <f t="shared" si="7"/>
        <v>100369.5</v>
      </c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8"/>
    </row>
    <row r="25" spans="1:46" ht="12.75" customHeight="1">
      <c r="A25" s="189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1"/>
    </row>
    <row r="26" spans="1:46" ht="12.75" customHeight="1">
      <c r="A26" s="189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7"/>
    </row>
    <row r="27" spans="1:46" ht="12.75" customHeight="1">
      <c r="A27" s="202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4"/>
    </row>
    <row r="28" spans="1:46" ht="12.75" customHeight="1">
      <c r="A28" s="205" t="s">
        <v>96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7"/>
    </row>
    <row r="29" spans="1:46" ht="12.75" customHeight="1">
      <c r="A29" s="19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9"/>
    </row>
    <row r="30" spans="1:46" ht="12.75" customHeight="1">
      <c r="A30" s="19" t="s">
        <v>97</v>
      </c>
      <c r="B30" s="208">
        <v>0</v>
      </c>
      <c r="C30" s="208">
        <f t="shared" ref="C30:W30" si="8">B34</f>
        <v>0</v>
      </c>
      <c r="D30" s="208">
        <f t="shared" si="8"/>
        <v>0</v>
      </c>
      <c r="E30" s="208">
        <f t="shared" si="8"/>
        <v>0</v>
      </c>
      <c r="F30" s="208">
        <f t="shared" si="8"/>
        <v>0</v>
      </c>
      <c r="G30" s="208">
        <f t="shared" si="8"/>
        <v>0</v>
      </c>
      <c r="H30" s="208">
        <f t="shared" si="8"/>
        <v>0</v>
      </c>
      <c r="I30" s="208">
        <f t="shared" si="8"/>
        <v>0</v>
      </c>
      <c r="J30" s="208">
        <f t="shared" si="8"/>
        <v>16900</v>
      </c>
      <c r="K30" s="208">
        <f t="shared" si="8"/>
        <v>35600</v>
      </c>
      <c r="L30" s="208">
        <f t="shared" si="8"/>
        <v>54300</v>
      </c>
      <c r="M30" s="208">
        <f t="shared" si="8"/>
        <v>73000</v>
      </c>
      <c r="N30" s="208">
        <f t="shared" si="8"/>
        <v>91700</v>
      </c>
      <c r="O30" s="208">
        <f t="shared" si="8"/>
        <v>91700</v>
      </c>
      <c r="P30" s="208">
        <f t="shared" si="8"/>
        <v>111500</v>
      </c>
      <c r="Q30" s="208">
        <f t="shared" si="8"/>
        <v>131300</v>
      </c>
      <c r="R30" s="208">
        <f t="shared" si="8"/>
        <v>172000</v>
      </c>
      <c r="S30" s="208">
        <f t="shared" si="8"/>
        <v>212700</v>
      </c>
      <c r="T30" s="208">
        <f t="shared" si="8"/>
        <v>254500</v>
      </c>
      <c r="U30" s="208">
        <f t="shared" si="8"/>
        <v>275400</v>
      </c>
      <c r="V30" s="208">
        <f t="shared" si="8"/>
        <v>296300</v>
      </c>
      <c r="W30" s="208">
        <f t="shared" si="8"/>
        <v>296300</v>
      </c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9"/>
    </row>
    <row r="31" spans="1:46" ht="12.75" customHeight="1">
      <c r="A31" s="19" t="s">
        <v>98</v>
      </c>
      <c r="B31" s="208">
        <v>0</v>
      </c>
      <c r="C31" s="208">
        <v>0</v>
      </c>
      <c r="D31" s="208">
        <v>0</v>
      </c>
      <c r="E31" s="208">
        <v>0</v>
      </c>
      <c r="F31" s="208">
        <v>0</v>
      </c>
      <c r="G31" s="208">
        <f>600*'Eris P&amp;L'!H6</f>
        <v>0</v>
      </c>
      <c r="H31" s="208">
        <f>600*'Eris P&amp;L'!I6</f>
        <v>0</v>
      </c>
      <c r="I31" s="208">
        <f>'Revenue summary'!E60*SUM('Revenue summary'!E57:E58)+'Revenue summary'!E13*'Revenue summary'!E58</f>
        <v>16900</v>
      </c>
      <c r="J31" s="208">
        <f>'Revenue summary'!F60*SUM('Revenue summary'!F57:F58)</f>
        <v>18700</v>
      </c>
      <c r="K31" s="208">
        <f>'Revenue summary'!G60*SUM('Revenue summary'!G57:G58)</f>
        <v>18700</v>
      </c>
      <c r="L31" s="208">
        <f>'Revenue summary'!H60*SUM('Revenue summary'!H57:H58)</f>
        <v>18700</v>
      </c>
      <c r="M31" s="208">
        <f>'Revenue summary'!I60*SUM('Revenue summary'!I57:I58)</f>
        <v>18700</v>
      </c>
      <c r="N31" s="208">
        <f>'Revenue summary'!J60*SUM('Revenue summary'!J57:J58)</f>
        <v>0</v>
      </c>
      <c r="O31" s="208">
        <f>'Revenue summary'!K60*SUM('Revenue summary'!K57:K58)</f>
        <v>19800</v>
      </c>
      <c r="P31" s="208">
        <f>'Revenue summary'!L60*SUM('Revenue summary'!L57:L58)</f>
        <v>19800</v>
      </c>
      <c r="Q31" s="208">
        <f>'Revenue summary'!M60*SUM('Revenue summary'!M57:M58)</f>
        <v>40700</v>
      </c>
      <c r="R31" s="208">
        <f>'Consolidated P&amp;L'!R5*SUM('Revenue summary'!N57:N58)</f>
        <v>40700</v>
      </c>
      <c r="S31" s="208">
        <f>'Consolidated P&amp;L'!S5*SUM('Revenue summary'!O57:O58)</f>
        <v>41800</v>
      </c>
      <c r="T31" s="208">
        <f>'Consolidated P&amp;L'!T5*SUM('Revenue summary'!P57:P58)</f>
        <v>20900</v>
      </c>
      <c r="U31" s="208">
        <f>'Consolidated P&amp;L'!U5*SUM('Revenue summary'!Q57:Q58)</f>
        <v>20900</v>
      </c>
      <c r="V31" s="208">
        <f>'Consolidated P&amp;L'!V5*SUM('Revenue summary'!R57:R58)</f>
        <v>0</v>
      </c>
      <c r="W31" s="208">
        <f>'Consolidated P&amp;L'!W5*SUM('Revenue summary'!S57:S58)</f>
        <v>0</v>
      </c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  <c r="AT31" s="209"/>
    </row>
    <row r="32" spans="1:46" ht="12.75" customHeight="1">
      <c r="A32" s="19" t="s">
        <v>32</v>
      </c>
      <c r="B32" s="208">
        <v>0</v>
      </c>
      <c r="C32" s="208">
        <v>0</v>
      </c>
      <c r="D32" s="208">
        <v>0</v>
      </c>
      <c r="E32" s="208">
        <v>0</v>
      </c>
      <c r="F32" s="208">
        <v>0</v>
      </c>
      <c r="G32" s="210">
        <v>0</v>
      </c>
      <c r="H32" s="210">
        <v>0</v>
      </c>
      <c r="I32" s="210">
        <v>0</v>
      </c>
      <c r="J32" s="210">
        <v>0</v>
      </c>
      <c r="K32" s="210">
        <v>0</v>
      </c>
      <c r="L32" s="210">
        <v>0</v>
      </c>
      <c r="M32" s="210">
        <v>0</v>
      </c>
      <c r="N32" s="210">
        <v>0</v>
      </c>
      <c r="O32" s="210">
        <v>0</v>
      </c>
      <c r="P32" s="210">
        <v>0</v>
      </c>
      <c r="Q32" s="210">
        <v>0</v>
      </c>
      <c r="R32" s="210">
        <v>0</v>
      </c>
      <c r="S32" s="210">
        <v>0</v>
      </c>
      <c r="T32" s="210">
        <v>0</v>
      </c>
      <c r="U32" s="210">
        <v>0</v>
      </c>
      <c r="V32" s="210">
        <v>0</v>
      </c>
      <c r="W32" s="210">
        <v>0</v>
      </c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1"/>
    </row>
    <row r="33" spans="1:46" ht="12.75" customHeight="1">
      <c r="A33" s="19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3"/>
    </row>
    <row r="34" spans="1:46" ht="12.75" customHeight="1">
      <c r="A34" s="214" t="s">
        <v>99</v>
      </c>
      <c r="B34" s="215">
        <f t="shared" ref="B34:W34" si="9">SUM(B30:B32)</f>
        <v>0</v>
      </c>
      <c r="C34" s="215">
        <f t="shared" si="9"/>
        <v>0</v>
      </c>
      <c r="D34" s="215">
        <f t="shared" si="9"/>
        <v>0</v>
      </c>
      <c r="E34" s="215">
        <f t="shared" si="9"/>
        <v>0</v>
      </c>
      <c r="F34" s="215">
        <f t="shared" si="9"/>
        <v>0</v>
      </c>
      <c r="G34" s="215">
        <f t="shared" si="9"/>
        <v>0</v>
      </c>
      <c r="H34" s="215">
        <f t="shared" si="9"/>
        <v>0</v>
      </c>
      <c r="I34" s="215">
        <f t="shared" si="9"/>
        <v>16900</v>
      </c>
      <c r="J34" s="215">
        <f t="shared" si="9"/>
        <v>35600</v>
      </c>
      <c r="K34" s="215">
        <f t="shared" si="9"/>
        <v>54300</v>
      </c>
      <c r="L34" s="215">
        <f t="shared" si="9"/>
        <v>73000</v>
      </c>
      <c r="M34" s="215">
        <f t="shared" si="9"/>
        <v>91700</v>
      </c>
      <c r="N34" s="215">
        <f t="shared" si="9"/>
        <v>91700</v>
      </c>
      <c r="O34" s="215">
        <f t="shared" si="9"/>
        <v>111500</v>
      </c>
      <c r="P34" s="215">
        <f t="shared" si="9"/>
        <v>131300</v>
      </c>
      <c r="Q34" s="215">
        <f t="shared" si="9"/>
        <v>172000</v>
      </c>
      <c r="R34" s="215">
        <f t="shared" si="9"/>
        <v>212700</v>
      </c>
      <c r="S34" s="215">
        <f t="shared" si="9"/>
        <v>254500</v>
      </c>
      <c r="T34" s="215">
        <f t="shared" si="9"/>
        <v>275400</v>
      </c>
      <c r="U34" s="215">
        <f t="shared" si="9"/>
        <v>296300</v>
      </c>
      <c r="V34" s="215">
        <f t="shared" si="9"/>
        <v>296300</v>
      </c>
      <c r="W34" s="215">
        <f t="shared" si="9"/>
        <v>296300</v>
      </c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6"/>
    </row>
    <row r="35" spans="1:46" ht="12.75" customHeight="1">
      <c r="A35" s="217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9"/>
    </row>
    <row r="36" spans="1:46" ht="12.75" customHeight="1">
      <c r="A36" s="205" t="s">
        <v>100</v>
      </c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7"/>
    </row>
    <row r="37" spans="1:46" ht="12.75" customHeight="1">
      <c r="A37" s="19" t="s">
        <v>84</v>
      </c>
      <c r="B37" s="208">
        <f>'Balance Sheet'!B7</f>
        <v>31202.639999999999</v>
      </c>
      <c r="C37" s="208">
        <f>'Balance Sheet'!C7</f>
        <v>16132.54</v>
      </c>
      <c r="D37" s="208">
        <f>'Balance Sheet'!D7</f>
        <v>4816.4799999999996</v>
      </c>
      <c r="E37" s="208">
        <f>'Balance Sheet'!E7</f>
        <v>512.86</v>
      </c>
      <c r="F37" s="208">
        <f>'Balance Sheet'!F7</f>
        <v>8419.76</v>
      </c>
      <c r="G37" s="208">
        <f t="shared" ref="G37:W37" si="10">F41</f>
        <v>2419.7600000000002</v>
      </c>
      <c r="H37" s="208">
        <f t="shared" si="10"/>
        <v>-1580.2399999999998</v>
      </c>
      <c r="I37" s="208">
        <f t="shared" si="10"/>
        <v>2767.76</v>
      </c>
      <c r="J37" s="208">
        <f t="shared" si="10"/>
        <v>3346.9599999999991</v>
      </c>
      <c r="K37" s="208">
        <f t="shared" si="10"/>
        <v>-32142.480000000003</v>
      </c>
      <c r="L37" s="208">
        <f t="shared" si="10"/>
        <v>-28175.280000000013</v>
      </c>
      <c r="M37" s="208">
        <f t="shared" si="10"/>
        <v>-43853.280000000013</v>
      </c>
      <c r="N37" s="208">
        <f t="shared" si="10"/>
        <v>-59627.470000000016</v>
      </c>
      <c r="O37" s="208">
        <f t="shared" si="10"/>
        <v>-48765.470000000016</v>
      </c>
      <c r="P37" s="208">
        <f t="shared" si="10"/>
        <v>-55573.470000000016</v>
      </c>
      <c r="Q37" s="208">
        <f t="shared" si="10"/>
        <v>-100115.80000000002</v>
      </c>
      <c r="R37" s="208">
        <f t="shared" si="10"/>
        <v>-130163.80000000002</v>
      </c>
      <c r="S37" s="208">
        <f t="shared" si="10"/>
        <v>-160211.80000000002</v>
      </c>
      <c r="T37" s="208">
        <f t="shared" si="10"/>
        <v>-160295.80000000002</v>
      </c>
      <c r="U37" s="208">
        <f t="shared" si="10"/>
        <v>-149603.80000000002</v>
      </c>
      <c r="V37" s="208">
        <f t="shared" si="10"/>
        <v>-97120.60000000002</v>
      </c>
      <c r="W37" s="208">
        <f t="shared" si="10"/>
        <v>-117489.80000000002</v>
      </c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9"/>
    </row>
    <row r="38" spans="1:46" ht="12.75" customHeight="1">
      <c r="A38" s="19" t="s">
        <v>95</v>
      </c>
      <c r="B38" s="210"/>
      <c r="C38" s="210"/>
      <c r="D38" s="210">
        <f t="shared" ref="D38:F38" si="11">D6+D22</f>
        <v>0</v>
      </c>
      <c r="E38" s="210">
        <f t="shared" si="11"/>
        <v>0</v>
      </c>
      <c r="F38" s="210">
        <f t="shared" si="11"/>
        <v>0</v>
      </c>
      <c r="G38" s="210">
        <f t="shared" ref="G38:H38" si="12">G6+G22-G31</f>
        <v>-4000</v>
      </c>
      <c r="H38" s="210">
        <f t="shared" si="12"/>
        <v>-5652</v>
      </c>
      <c r="I38" s="210">
        <f t="shared" ref="I38:W38" si="13">I6+I22+I23-I31</f>
        <v>-43452</v>
      </c>
      <c r="J38" s="210">
        <f t="shared" si="13"/>
        <v>-35489.440000000002</v>
      </c>
      <c r="K38" s="210">
        <f t="shared" si="13"/>
        <v>-48600</v>
      </c>
      <c r="L38" s="210">
        <f t="shared" si="13"/>
        <v>-49218</v>
      </c>
      <c r="M38" s="210">
        <f t="shared" si="13"/>
        <v>-50814.19</v>
      </c>
      <c r="N38" s="210">
        <f t="shared" si="13"/>
        <v>-31298</v>
      </c>
      <c r="O38" s="210">
        <f t="shared" si="13"/>
        <v>-51188</v>
      </c>
      <c r="P38" s="210">
        <f t="shared" si="13"/>
        <v>-56402.33</v>
      </c>
      <c r="Q38" s="210">
        <f t="shared" si="13"/>
        <v>-72088</v>
      </c>
      <c r="R38" s="210">
        <f t="shared" si="13"/>
        <v>-72088</v>
      </c>
      <c r="S38" s="210">
        <f t="shared" si="13"/>
        <v>-73984</v>
      </c>
      <c r="T38" s="210">
        <f t="shared" si="13"/>
        <v>-64288</v>
      </c>
      <c r="U38" s="210">
        <f t="shared" si="13"/>
        <v>-64288</v>
      </c>
      <c r="V38" s="210">
        <f t="shared" si="13"/>
        <v>-68469.2</v>
      </c>
      <c r="W38" s="210">
        <f t="shared" si="13"/>
        <v>-43388</v>
      </c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1"/>
    </row>
    <row r="39" spans="1:46" ht="12.75" customHeight="1">
      <c r="A39" s="19" t="s">
        <v>101</v>
      </c>
      <c r="B39" s="210"/>
      <c r="C39" s="210"/>
      <c r="D39" s="210">
        <f t="shared" ref="D39:W39" si="14">-D14-D15</f>
        <v>0</v>
      </c>
      <c r="E39" s="210">
        <f t="shared" si="14"/>
        <v>0</v>
      </c>
      <c r="F39" s="210">
        <f t="shared" si="14"/>
        <v>0</v>
      </c>
      <c r="G39" s="210">
        <f t="shared" si="14"/>
        <v>0</v>
      </c>
      <c r="H39" s="210">
        <f t="shared" si="14"/>
        <v>10000</v>
      </c>
      <c r="I39" s="210">
        <f t="shared" si="14"/>
        <v>44031.199999999997</v>
      </c>
      <c r="J39" s="210">
        <f t="shared" si="14"/>
        <v>0</v>
      </c>
      <c r="K39" s="210">
        <f t="shared" si="14"/>
        <v>52567.199999999997</v>
      </c>
      <c r="L39" s="210">
        <f t="shared" si="14"/>
        <v>33540</v>
      </c>
      <c r="M39" s="210">
        <f t="shared" si="14"/>
        <v>35040</v>
      </c>
      <c r="N39" s="210">
        <f t="shared" si="14"/>
        <v>42160</v>
      </c>
      <c r="O39" s="210">
        <f t="shared" si="14"/>
        <v>44380</v>
      </c>
      <c r="P39" s="210">
        <f t="shared" si="14"/>
        <v>11860</v>
      </c>
      <c r="Q39" s="210">
        <f t="shared" si="14"/>
        <v>42040</v>
      </c>
      <c r="R39" s="210">
        <f t="shared" si="14"/>
        <v>42040</v>
      </c>
      <c r="S39" s="210">
        <f t="shared" si="14"/>
        <v>73900</v>
      </c>
      <c r="T39" s="210">
        <f t="shared" si="14"/>
        <v>74980</v>
      </c>
      <c r="U39" s="210">
        <f t="shared" si="14"/>
        <v>116771.2</v>
      </c>
      <c r="V39" s="210">
        <f t="shared" si="14"/>
        <v>48100</v>
      </c>
      <c r="W39" s="210">
        <f t="shared" si="14"/>
        <v>101807.2</v>
      </c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1"/>
    </row>
    <row r="40" spans="1:46" ht="12.75" customHeight="1">
      <c r="A40" s="19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3"/>
    </row>
    <row r="41" spans="1:46" ht="12.75" customHeight="1">
      <c r="A41" s="220" t="s">
        <v>88</v>
      </c>
      <c r="B41" s="221">
        <f t="shared" ref="B41:E41" si="15">SUM(B37:B40)</f>
        <v>31202.639999999999</v>
      </c>
      <c r="C41" s="221">
        <f t="shared" si="15"/>
        <v>16132.54</v>
      </c>
      <c r="D41" s="221">
        <f t="shared" si="15"/>
        <v>4816.4799999999996</v>
      </c>
      <c r="E41" s="221">
        <f t="shared" si="15"/>
        <v>512.86</v>
      </c>
      <c r="F41" s="221">
        <f>SUM(F37:F40)-6000</f>
        <v>2419.7600000000002</v>
      </c>
      <c r="G41" s="221">
        <f t="shared" ref="G41:W41" si="16">SUM(G37:G40)</f>
        <v>-1580.2399999999998</v>
      </c>
      <c r="H41" s="221">
        <f t="shared" si="16"/>
        <v>2767.76</v>
      </c>
      <c r="I41" s="221">
        <f t="shared" si="16"/>
        <v>3346.9599999999991</v>
      </c>
      <c r="J41" s="221">
        <f t="shared" si="16"/>
        <v>-32142.480000000003</v>
      </c>
      <c r="K41" s="221">
        <f t="shared" si="16"/>
        <v>-28175.280000000013</v>
      </c>
      <c r="L41" s="221">
        <f t="shared" si="16"/>
        <v>-43853.280000000013</v>
      </c>
      <c r="M41" s="221">
        <f t="shared" si="16"/>
        <v>-59627.470000000016</v>
      </c>
      <c r="N41" s="221">
        <f t="shared" si="16"/>
        <v>-48765.470000000016</v>
      </c>
      <c r="O41" s="221">
        <f t="shared" si="16"/>
        <v>-55573.470000000016</v>
      </c>
      <c r="P41" s="221">
        <f t="shared" si="16"/>
        <v>-100115.80000000002</v>
      </c>
      <c r="Q41" s="221">
        <f t="shared" si="16"/>
        <v>-130163.80000000002</v>
      </c>
      <c r="R41" s="221">
        <f t="shared" si="16"/>
        <v>-160211.80000000002</v>
      </c>
      <c r="S41" s="221">
        <f t="shared" si="16"/>
        <v>-160295.80000000002</v>
      </c>
      <c r="T41" s="221">
        <f t="shared" si="16"/>
        <v>-149603.80000000002</v>
      </c>
      <c r="U41" s="221">
        <f t="shared" si="16"/>
        <v>-97120.60000000002</v>
      </c>
      <c r="V41" s="221">
        <f t="shared" si="16"/>
        <v>-117489.80000000002</v>
      </c>
      <c r="W41" s="221">
        <f t="shared" si="16"/>
        <v>-59070.60000000002</v>
      </c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2"/>
    </row>
    <row r="42" spans="1:46" ht="12.75" customHeight="1">
      <c r="A42" s="189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</row>
    <row r="43" spans="1:46" ht="12.75" customHeight="1">
      <c r="A43" s="189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</row>
    <row r="44" spans="1:46" ht="12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</row>
    <row r="45" spans="1:46" ht="12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</row>
    <row r="46" spans="1:46" ht="12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</row>
    <row r="47" spans="1:46" ht="12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</row>
    <row r="48" spans="1:46" ht="12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</row>
    <row r="49" spans="1:46" ht="12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</row>
    <row r="50" spans="1:46" ht="12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</row>
    <row r="51" spans="1:46" ht="12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</row>
    <row r="52" spans="1:46" ht="12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</row>
    <row r="53" spans="1:46" ht="12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</row>
    <row r="54" spans="1:46" ht="12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</row>
    <row r="55" spans="1:46" ht="12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</row>
    <row r="56" spans="1:46" ht="12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</row>
    <row r="57" spans="1:46" ht="12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</row>
    <row r="58" spans="1:46" ht="12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</row>
    <row r="59" spans="1:46" ht="12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</row>
    <row r="60" spans="1:46" ht="12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</row>
    <row r="61" spans="1:46" ht="12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</row>
    <row r="62" spans="1:46" ht="12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</row>
    <row r="63" spans="1:46" ht="12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</row>
    <row r="64" spans="1:46" ht="12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</row>
    <row r="65" spans="1:46" ht="12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</row>
    <row r="66" spans="1:46" ht="12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</row>
    <row r="67" spans="1:46" ht="12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</row>
    <row r="68" spans="1:46" ht="12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</row>
    <row r="69" spans="1:46" ht="12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</row>
    <row r="70" spans="1:46" ht="12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</row>
    <row r="71" spans="1:46" ht="12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</row>
    <row r="72" spans="1:46" ht="12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</row>
    <row r="73" spans="1:46" ht="12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</row>
    <row r="74" spans="1:46" ht="12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</row>
    <row r="75" spans="1:46" ht="12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</row>
    <row r="76" spans="1:46" ht="12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</row>
    <row r="77" spans="1:46" ht="12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</row>
    <row r="78" spans="1:46" ht="12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</row>
    <row r="79" spans="1:46" ht="12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</row>
    <row r="80" spans="1:46" ht="12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</row>
    <row r="81" spans="1:46" ht="12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</row>
    <row r="82" spans="1:46" ht="12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</row>
    <row r="83" spans="1:46" ht="12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</row>
    <row r="84" spans="1:46" ht="12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</row>
    <row r="85" spans="1:46" ht="12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</row>
    <row r="86" spans="1:46" ht="12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</row>
    <row r="87" spans="1:46" ht="12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</row>
    <row r="88" spans="1:46" ht="12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</row>
    <row r="89" spans="1:46" ht="12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</row>
    <row r="90" spans="1:46" ht="12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</row>
    <row r="91" spans="1:46" ht="12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</row>
    <row r="92" spans="1:46" ht="12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</row>
    <row r="93" spans="1:46" ht="12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</row>
    <row r="94" spans="1:46" ht="12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</row>
    <row r="95" spans="1:46" ht="12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</row>
    <row r="96" spans="1:46" ht="12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</row>
    <row r="97" spans="1:46" ht="12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</row>
    <row r="98" spans="1:46" ht="12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</row>
    <row r="99" spans="1:46" ht="12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</row>
    <row r="100" spans="1:46" ht="12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</row>
    <row r="101" spans="1:46" ht="12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</row>
    <row r="102" spans="1:46" ht="12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</row>
    <row r="103" spans="1:46" ht="12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</row>
    <row r="104" spans="1:46" ht="12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</row>
    <row r="105" spans="1:46" ht="12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</row>
    <row r="106" spans="1:46" ht="12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</row>
    <row r="107" spans="1:46" ht="12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</row>
    <row r="108" spans="1:46" ht="12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</row>
    <row r="109" spans="1:46" ht="12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</row>
    <row r="110" spans="1:46" ht="12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</row>
    <row r="111" spans="1:46" ht="12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</row>
    <row r="112" spans="1:46" ht="12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</row>
    <row r="113" spans="1:46" ht="12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</row>
    <row r="114" spans="1:46" ht="12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</row>
    <row r="115" spans="1:46" ht="12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</row>
    <row r="116" spans="1:46" ht="12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</row>
    <row r="117" spans="1:46" ht="12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</row>
    <row r="118" spans="1:46" ht="12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</row>
    <row r="119" spans="1:46" ht="12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</row>
    <row r="120" spans="1:46" ht="12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</row>
    <row r="121" spans="1:46" ht="12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</row>
    <row r="122" spans="1:46" ht="12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</row>
    <row r="123" spans="1:46" ht="12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</row>
    <row r="124" spans="1:46" ht="12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</row>
    <row r="125" spans="1:46" ht="12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</row>
    <row r="126" spans="1:46" ht="12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</row>
    <row r="127" spans="1:46" ht="12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</row>
    <row r="128" spans="1:46" ht="12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</row>
    <row r="129" spans="1:46" ht="12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89"/>
    </row>
    <row r="130" spans="1:46" ht="12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</row>
    <row r="131" spans="1:46" ht="12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  <c r="AQ131" s="189"/>
      <c r="AR131" s="189"/>
      <c r="AS131" s="189"/>
      <c r="AT131" s="189"/>
    </row>
    <row r="132" spans="1:46" ht="12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  <c r="AQ132" s="189"/>
      <c r="AR132" s="189"/>
      <c r="AS132" s="189"/>
      <c r="AT132" s="189"/>
    </row>
    <row r="133" spans="1:46" ht="12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</row>
    <row r="134" spans="1:46" ht="12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  <c r="AQ134" s="189"/>
      <c r="AR134" s="189"/>
      <c r="AS134" s="189"/>
      <c r="AT134" s="189"/>
    </row>
    <row r="135" spans="1:46" ht="12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  <c r="AQ135" s="189"/>
      <c r="AR135" s="189"/>
      <c r="AS135" s="189"/>
      <c r="AT135" s="189"/>
    </row>
    <row r="136" spans="1:46" ht="12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</row>
    <row r="137" spans="1:46" ht="12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89"/>
      <c r="AR137" s="189"/>
      <c r="AS137" s="189"/>
      <c r="AT137" s="189"/>
    </row>
    <row r="138" spans="1:46" ht="12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  <c r="AQ138" s="189"/>
      <c r="AR138" s="189"/>
      <c r="AS138" s="189"/>
      <c r="AT138" s="189"/>
    </row>
    <row r="139" spans="1:46" ht="12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  <c r="AQ139" s="189"/>
      <c r="AR139" s="189"/>
      <c r="AS139" s="189"/>
      <c r="AT139" s="189"/>
    </row>
    <row r="140" spans="1:46" ht="12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</row>
    <row r="141" spans="1:46" ht="12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</row>
    <row r="142" spans="1:46" ht="12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  <c r="AQ142" s="189"/>
      <c r="AR142" s="189"/>
      <c r="AS142" s="189"/>
      <c r="AT142" s="189"/>
    </row>
    <row r="143" spans="1:46" ht="12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</row>
    <row r="144" spans="1:46" ht="12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  <c r="AQ144" s="189"/>
      <c r="AR144" s="189"/>
      <c r="AS144" s="189"/>
      <c r="AT144" s="189"/>
    </row>
    <row r="145" spans="1:46" ht="12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</row>
    <row r="146" spans="1:46" ht="12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</row>
    <row r="147" spans="1:46" ht="12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</row>
    <row r="148" spans="1:46" ht="12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</row>
    <row r="149" spans="1:46" ht="12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</row>
    <row r="150" spans="1:46" ht="12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</row>
    <row r="151" spans="1:46" ht="12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</row>
    <row r="152" spans="1:46" ht="12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</row>
    <row r="153" spans="1:46" ht="12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</row>
    <row r="154" spans="1:46" ht="12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</row>
    <row r="155" spans="1:46" ht="12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</row>
    <row r="156" spans="1:46" ht="12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</row>
    <row r="157" spans="1:46" ht="12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</row>
    <row r="158" spans="1:46" ht="12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</row>
    <row r="159" spans="1:46" ht="12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</row>
    <row r="160" spans="1:46" ht="12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</row>
    <row r="161" spans="1:46" ht="12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  <c r="AQ161" s="189"/>
      <c r="AR161" s="189"/>
      <c r="AS161" s="189"/>
      <c r="AT161" s="189"/>
    </row>
    <row r="162" spans="1:46" ht="12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  <c r="AQ162" s="189"/>
      <c r="AR162" s="189"/>
      <c r="AS162" s="189"/>
      <c r="AT162" s="189"/>
    </row>
    <row r="163" spans="1:46" ht="12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</row>
    <row r="164" spans="1:46" ht="12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</row>
    <row r="165" spans="1:46" ht="12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</row>
    <row r="166" spans="1:46" ht="12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</row>
    <row r="167" spans="1:46" ht="12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</row>
    <row r="168" spans="1:46" ht="12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</row>
    <row r="169" spans="1:46" ht="12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</row>
    <row r="170" spans="1:46" ht="12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</row>
    <row r="171" spans="1:46" ht="12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</row>
    <row r="172" spans="1:46" ht="12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</row>
    <row r="173" spans="1:46" ht="12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</row>
    <row r="174" spans="1:46" ht="12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</row>
    <row r="175" spans="1:46" ht="12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  <c r="AQ175" s="189"/>
      <c r="AR175" s="189"/>
      <c r="AS175" s="189"/>
      <c r="AT175" s="189"/>
    </row>
    <row r="176" spans="1:46" ht="12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</row>
    <row r="177" spans="1:46" ht="12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</row>
    <row r="178" spans="1:46" ht="12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</row>
    <row r="179" spans="1:46" ht="12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</row>
    <row r="180" spans="1:46" ht="12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</row>
    <row r="181" spans="1:46" ht="12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</row>
    <row r="182" spans="1:46" ht="12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</row>
    <row r="183" spans="1:46" ht="12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</row>
    <row r="184" spans="1:46" ht="12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</row>
    <row r="185" spans="1:46" ht="12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</row>
    <row r="186" spans="1:46" ht="12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</row>
    <row r="187" spans="1:46" ht="12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</row>
    <row r="188" spans="1:46" ht="12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</row>
    <row r="189" spans="1:46" ht="12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</row>
    <row r="190" spans="1:46" ht="12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</row>
    <row r="191" spans="1:46" ht="12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</row>
    <row r="192" spans="1:46" ht="12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</row>
    <row r="193" spans="1:46" ht="12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  <c r="AQ193" s="189"/>
      <c r="AR193" s="189"/>
      <c r="AS193" s="189"/>
      <c r="AT193" s="189"/>
    </row>
    <row r="194" spans="1:46" ht="12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</row>
    <row r="195" spans="1:46" ht="12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</row>
    <row r="196" spans="1:46" ht="12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</row>
    <row r="197" spans="1:46" ht="12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</row>
    <row r="198" spans="1:46" ht="12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</row>
    <row r="199" spans="1:46" ht="12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</row>
    <row r="200" spans="1:46" ht="12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  <c r="AQ200" s="189"/>
      <c r="AR200" s="189"/>
      <c r="AS200" s="189"/>
      <c r="AT200" s="189"/>
    </row>
    <row r="201" spans="1:46" ht="12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89"/>
    </row>
    <row r="202" spans="1:46" ht="12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  <c r="AQ202" s="189"/>
      <c r="AR202" s="189"/>
      <c r="AS202" s="189"/>
      <c r="AT202" s="189"/>
    </row>
    <row r="203" spans="1:46" ht="12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  <c r="AQ203" s="189"/>
      <c r="AR203" s="189"/>
      <c r="AS203" s="189"/>
      <c r="AT203" s="189"/>
    </row>
    <row r="204" spans="1:46" ht="12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189"/>
      <c r="AL204" s="189"/>
      <c r="AM204" s="189"/>
      <c r="AN204" s="189"/>
      <c r="AO204" s="189"/>
      <c r="AP204" s="189"/>
      <c r="AQ204" s="189"/>
      <c r="AR204" s="189"/>
      <c r="AS204" s="189"/>
      <c r="AT204" s="189"/>
    </row>
    <row r="205" spans="1:46" ht="12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189"/>
      <c r="AL205" s="189"/>
      <c r="AM205" s="189"/>
      <c r="AN205" s="189"/>
      <c r="AO205" s="189"/>
      <c r="AP205" s="189"/>
      <c r="AQ205" s="189"/>
      <c r="AR205" s="189"/>
      <c r="AS205" s="189"/>
      <c r="AT205" s="189"/>
    </row>
    <row r="206" spans="1:46" ht="12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189"/>
      <c r="AL206" s="189"/>
      <c r="AM206" s="189"/>
      <c r="AN206" s="189"/>
      <c r="AO206" s="189"/>
      <c r="AP206" s="189"/>
      <c r="AQ206" s="189"/>
      <c r="AR206" s="189"/>
      <c r="AS206" s="189"/>
      <c r="AT206" s="189"/>
    </row>
    <row r="207" spans="1:46" ht="12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89"/>
      <c r="AN207" s="189"/>
      <c r="AO207" s="189"/>
      <c r="AP207" s="189"/>
      <c r="AQ207" s="189"/>
      <c r="AR207" s="189"/>
      <c r="AS207" s="189"/>
      <c r="AT207" s="189"/>
    </row>
    <row r="208" spans="1:46" ht="12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89"/>
      <c r="AN208" s="189"/>
      <c r="AO208" s="189"/>
      <c r="AP208" s="189"/>
      <c r="AQ208" s="189"/>
      <c r="AR208" s="189"/>
      <c r="AS208" s="189"/>
      <c r="AT208" s="189"/>
    </row>
    <row r="209" spans="1:46" ht="12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189"/>
      <c r="AL209" s="189"/>
      <c r="AM209" s="189"/>
      <c r="AN209" s="189"/>
      <c r="AO209" s="189"/>
      <c r="AP209" s="189"/>
      <c r="AQ209" s="189"/>
      <c r="AR209" s="189"/>
      <c r="AS209" s="189"/>
      <c r="AT209" s="189"/>
    </row>
    <row r="210" spans="1:46" ht="12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189"/>
      <c r="AL210" s="189"/>
      <c r="AM210" s="189"/>
      <c r="AN210" s="189"/>
      <c r="AO210" s="189"/>
      <c r="AP210" s="189"/>
      <c r="AQ210" s="189"/>
      <c r="AR210" s="189"/>
      <c r="AS210" s="189"/>
      <c r="AT210" s="189"/>
    </row>
    <row r="211" spans="1:46" ht="12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189"/>
      <c r="AL211" s="189"/>
      <c r="AM211" s="189"/>
      <c r="AN211" s="189"/>
      <c r="AO211" s="189"/>
      <c r="AP211" s="189"/>
      <c r="AQ211" s="189"/>
      <c r="AR211" s="189"/>
      <c r="AS211" s="189"/>
      <c r="AT211" s="189"/>
    </row>
    <row r="212" spans="1:46" ht="12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189"/>
      <c r="AL212" s="189"/>
      <c r="AM212" s="189"/>
      <c r="AN212" s="189"/>
      <c r="AO212" s="189"/>
      <c r="AP212" s="189"/>
      <c r="AQ212" s="189"/>
      <c r="AR212" s="189"/>
      <c r="AS212" s="189"/>
      <c r="AT212" s="189"/>
    </row>
    <row r="213" spans="1:46" ht="12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189"/>
      <c r="AL213" s="189"/>
      <c r="AM213" s="189"/>
      <c r="AN213" s="189"/>
      <c r="AO213" s="189"/>
      <c r="AP213" s="189"/>
      <c r="AQ213" s="189"/>
      <c r="AR213" s="189"/>
      <c r="AS213" s="189"/>
      <c r="AT213" s="189"/>
    </row>
    <row r="214" spans="1:46" ht="12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189"/>
      <c r="AL214" s="189"/>
      <c r="AM214" s="189"/>
      <c r="AN214" s="189"/>
      <c r="AO214" s="189"/>
      <c r="AP214" s="189"/>
      <c r="AQ214" s="189"/>
      <c r="AR214" s="189"/>
      <c r="AS214" s="189"/>
      <c r="AT214" s="189"/>
    </row>
    <row r="215" spans="1:46" ht="12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189"/>
      <c r="AL215" s="189"/>
      <c r="AM215" s="189"/>
      <c r="AN215" s="189"/>
      <c r="AO215" s="189"/>
      <c r="AP215" s="189"/>
      <c r="AQ215" s="189"/>
      <c r="AR215" s="189"/>
      <c r="AS215" s="189"/>
      <c r="AT215" s="189"/>
    </row>
    <row r="216" spans="1:46" ht="12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189"/>
      <c r="AL216" s="189"/>
      <c r="AM216" s="189"/>
      <c r="AN216" s="189"/>
      <c r="AO216" s="189"/>
      <c r="AP216" s="189"/>
      <c r="AQ216" s="189"/>
      <c r="AR216" s="189"/>
      <c r="AS216" s="189"/>
      <c r="AT216" s="189"/>
    </row>
    <row r="217" spans="1:46" ht="12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189"/>
      <c r="AL217" s="189"/>
      <c r="AM217" s="189"/>
      <c r="AN217" s="189"/>
      <c r="AO217" s="189"/>
      <c r="AP217" s="189"/>
      <c r="AQ217" s="189"/>
      <c r="AR217" s="189"/>
      <c r="AS217" s="189"/>
      <c r="AT217" s="189"/>
    </row>
    <row r="218" spans="1:46" ht="12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189"/>
      <c r="AL218" s="189"/>
      <c r="AM218" s="189"/>
      <c r="AN218" s="189"/>
      <c r="AO218" s="189"/>
      <c r="AP218" s="189"/>
      <c r="AQ218" s="189"/>
      <c r="AR218" s="189"/>
      <c r="AS218" s="189"/>
      <c r="AT218" s="189"/>
    </row>
    <row r="219" spans="1:46" ht="12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189"/>
      <c r="AL219" s="189"/>
      <c r="AM219" s="189"/>
      <c r="AN219" s="189"/>
      <c r="AO219" s="189"/>
      <c r="AP219" s="189"/>
      <c r="AQ219" s="189"/>
      <c r="AR219" s="189"/>
      <c r="AS219" s="189"/>
      <c r="AT219" s="189"/>
    </row>
    <row r="220" spans="1:46" ht="12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189"/>
      <c r="AL220" s="189"/>
      <c r="AM220" s="189"/>
      <c r="AN220" s="189"/>
      <c r="AO220" s="189"/>
      <c r="AP220" s="189"/>
      <c r="AQ220" s="189"/>
      <c r="AR220" s="189"/>
      <c r="AS220" s="189"/>
      <c r="AT220" s="189"/>
    </row>
    <row r="221" spans="1:46" ht="12.75" customHeight="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189"/>
      <c r="AL221" s="189"/>
      <c r="AM221" s="189"/>
      <c r="AN221" s="189"/>
      <c r="AO221" s="189"/>
      <c r="AP221" s="189"/>
      <c r="AQ221" s="189"/>
      <c r="AR221" s="189"/>
      <c r="AS221" s="189"/>
      <c r="AT221" s="189"/>
    </row>
    <row r="222" spans="1:46" ht="12.75" customHeight="1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189"/>
      <c r="AL222" s="189"/>
      <c r="AM222" s="189"/>
      <c r="AN222" s="189"/>
      <c r="AO222" s="189"/>
      <c r="AP222" s="189"/>
      <c r="AQ222" s="189"/>
      <c r="AR222" s="189"/>
      <c r="AS222" s="189"/>
      <c r="AT222" s="189"/>
    </row>
    <row r="223" spans="1:46" ht="12.75" customHeight="1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  <c r="AD223" s="189"/>
      <c r="AE223" s="189"/>
      <c r="AF223" s="189"/>
      <c r="AG223" s="189"/>
      <c r="AH223" s="189"/>
      <c r="AI223" s="189"/>
      <c r="AJ223" s="189"/>
      <c r="AK223" s="189"/>
      <c r="AL223" s="189"/>
      <c r="AM223" s="189"/>
      <c r="AN223" s="189"/>
      <c r="AO223" s="189"/>
      <c r="AP223" s="189"/>
      <c r="AQ223" s="189"/>
      <c r="AR223" s="189"/>
      <c r="AS223" s="189"/>
      <c r="AT223" s="189"/>
    </row>
    <row r="224" spans="1:46" ht="12.75" customHeight="1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  <c r="AD224" s="189"/>
      <c r="AE224" s="189"/>
      <c r="AF224" s="189"/>
      <c r="AG224" s="189"/>
      <c r="AH224" s="189"/>
      <c r="AI224" s="189"/>
      <c r="AJ224" s="189"/>
      <c r="AK224" s="189"/>
      <c r="AL224" s="189"/>
      <c r="AM224" s="189"/>
      <c r="AN224" s="189"/>
      <c r="AO224" s="189"/>
      <c r="AP224" s="189"/>
      <c r="AQ224" s="189"/>
      <c r="AR224" s="189"/>
      <c r="AS224" s="189"/>
      <c r="AT224" s="189"/>
    </row>
    <row r="225" spans="1:46" ht="12.75" customHeight="1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89"/>
      <c r="AF225" s="189"/>
      <c r="AG225" s="189"/>
      <c r="AH225" s="189"/>
      <c r="AI225" s="189"/>
      <c r="AJ225" s="189"/>
      <c r="AK225" s="189"/>
      <c r="AL225" s="189"/>
      <c r="AM225" s="189"/>
      <c r="AN225" s="189"/>
      <c r="AO225" s="189"/>
      <c r="AP225" s="189"/>
      <c r="AQ225" s="189"/>
      <c r="AR225" s="189"/>
      <c r="AS225" s="189"/>
      <c r="AT225" s="189"/>
    </row>
    <row r="226" spans="1:46" ht="12.75" customHeight="1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189"/>
      <c r="AH226" s="189"/>
      <c r="AI226" s="189"/>
      <c r="AJ226" s="189"/>
      <c r="AK226" s="189"/>
      <c r="AL226" s="189"/>
      <c r="AM226" s="189"/>
      <c r="AN226" s="189"/>
      <c r="AO226" s="189"/>
      <c r="AP226" s="189"/>
      <c r="AQ226" s="189"/>
      <c r="AR226" s="189"/>
      <c r="AS226" s="189"/>
      <c r="AT226" s="189"/>
    </row>
    <row r="227" spans="1:46" ht="12.75" customHeight="1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  <c r="AD227" s="189"/>
      <c r="AE227" s="189"/>
      <c r="AF227" s="189"/>
      <c r="AG227" s="189"/>
      <c r="AH227" s="189"/>
      <c r="AI227" s="189"/>
      <c r="AJ227" s="189"/>
      <c r="AK227" s="189"/>
      <c r="AL227" s="189"/>
      <c r="AM227" s="189"/>
      <c r="AN227" s="189"/>
      <c r="AO227" s="189"/>
      <c r="AP227" s="189"/>
      <c r="AQ227" s="189"/>
      <c r="AR227" s="189"/>
      <c r="AS227" s="189"/>
      <c r="AT227" s="189"/>
    </row>
    <row r="228" spans="1:46" ht="12.75" customHeight="1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  <c r="AD228" s="189"/>
      <c r="AE228" s="189"/>
      <c r="AF228" s="189"/>
      <c r="AG228" s="189"/>
      <c r="AH228" s="189"/>
      <c r="AI228" s="189"/>
      <c r="AJ228" s="189"/>
      <c r="AK228" s="189"/>
      <c r="AL228" s="189"/>
      <c r="AM228" s="189"/>
      <c r="AN228" s="189"/>
      <c r="AO228" s="189"/>
      <c r="AP228" s="189"/>
      <c r="AQ228" s="189"/>
      <c r="AR228" s="189"/>
      <c r="AS228" s="189"/>
      <c r="AT228" s="189"/>
    </row>
    <row r="229" spans="1:46" ht="12.75" customHeight="1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  <c r="AD229" s="189"/>
      <c r="AE229" s="189"/>
      <c r="AF229" s="189"/>
      <c r="AG229" s="189"/>
      <c r="AH229" s="189"/>
      <c r="AI229" s="189"/>
      <c r="AJ229" s="189"/>
      <c r="AK229" s="189"/>
      <c r="AL229" s="189"/>
      <c r="AM229" s="189"/>
      <c r="AN229" s="189"/>
      <c r="AO229" s="189"/>
      <c r="AP229" s="189"/>
      <c r="AQ229" s="189"/>
      <c r="AR229" s="189"/>
      <c r="AS229" s="189"/>
      <c r="AT229" s="189"/>
    </row>
    <row r="230" spans="1:46" ht="12.75" customHeight="1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  <c r="AD230" s="189"/>
      <c r="AE230" s="189"/>
      <c r="AF230" s="189"/>
      <c r="AG230" s="189"/>
      <c r="AH230" s="189"/>
      <c r="AI230" s="189"/>
      <c r="AJ230" s="189"/>
      <c r="AK230" s="189"/>
      <c r="AL230" s="189"/>
      <c r="AM230" s="189"/>
      <c r="AN230" s="189"/>
      <c r="AO230" s="189"/>
      <c r="AP230" s="189"/>
      <c r="AQ230" s="189"/>
      <c r="AR230" s="189"/>
      <c r="AS230" s="189"/>
      <c r="AT230" s="189"/>
    </row>
    <row r="231" spans="1:46" ht="12.75" customHeight="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  <c r="AD231" s="189"/>
      <c r="AE231" s="189"/>
      <c r="AF231" s="189"/>
      <c r="AG231" s="189"/>
      <c r="AH231" s="189"/>
      <c r="AI231" s="189"/>
      <c r="AJ231" s="189"/>
      <c r="AK231" s="189"/>
      <c r="AL231" s="189"/>
      <c r="AM231" s="189"/>
      <c r="AN231" s="189"/>
      <c r="AO231" s="189"/>
      <c r="AP231" s="189"/>
      <c r="AQ231" s="189"/>
      <c r="AR231" s="189"/>
      <c r="AS231" s="189"/>
      <c r="AT231" s="189"/>
    </row>
    <row r="232" spans="1:46" ht="12.75" customHeight="1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89"/>
      <c r="AG232" s="189"/>
      <c r="AH232" s="189"/>
      <c r="AI232" s="189"/>
      <c r="AJ232" s="189"/>
      <c r="AK232" s="189"/>
      <c r="AL232" s="189"/>
      <c r="AM232" s="189"/>
      <c r="AN232" s="189"/>
      <c r="AO232" s="189"/>
      <c r="AP232" s="189"/>
      <c r="AQ232" s="189"/>
      <c r="AR232" s="189"/>
      <c r="AS232" s="189"/>
      <c r="AT232" s="189"/>
    </row>
    <row r="233" spans="1:46" ht="12.75" customHeight="1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89"/>
      <c r="AG233" s="189"/>
      <c r="AH233" s="189"/>
      <c r="AI233" s="189"/>
      <c r="AJ233" s="189"/>
      <c r="AK233" s="189"/>
      <c r="AL233" s="189"/>
      <c r="AM233" s="189"/>
      <c r="AN233" s="189"/>
      <c r="AO233" s="189"/>
      <c r="AP233" s="189"/>
      <c r="AQ233" s="189"/>
      <c r="AR233" s="189"/>
      <c r="AS233" s="189"/>
      <c r="AT233" s="189"/>
    </row>
    <row r="234" spans="1:46" ht="12.75" customHeight="1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89"/>
      <c r="AG234" s="189"/>
      <c r="AH234" s="189"/>
      <c r="AI234" s="189"/>
      <c r="AJ234" s="189"/>
      <c r="AK234" s="189"/>
      <c r="AL234" s="189"/>
      <c r="AM234" s="189"/>
      <c r="AN234" s="189"/>
      <c r="AO234" s="189"/>
      <c r="AP234" s="189"/>
      <c r="AQ234" s="189"/>
      <c r="AR234" s="189"/>
      <c r="AS234" s="189"/>
      <c r="AT234" s="189"/>
    </row>
    <row r="235" spans="1:46" ht="12.75" customHeight="1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89"/>
      <c r="AG235" s="189"/>
      <c r="AH235" s="189"/>
      <c r="AI235" s="189"/>
      <c r="AJ235" s="189"/>
      <c r="AK235" s="189"/>
      <c r="AL235" s="189"/>
      <c r="AM235" s="189"/>
      <c r="AN235" s="189"/>
      <c r="AO235" s="189"/>
      <c r="AP235" s="189"/>
      <c r="AQ235" s="189"/>
      <c r="AR235" s="189"/>
      <c r="AS235" s="189"/>
      <c r="AT235" s="189"/>
    </row>
    <row r="236" spans="1:46" ht="12.75" customHeight="1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89"/>
      <c r="AG236" s="189"/>
      <c r="AH236" s="189"/>
      <c r="AI236" s="189"/>
      <c r="AJ236" s="189"/>
      <c r="AK236" s="189"/>
      <c r="AL236" s="189"/>
      <c r="AM236" s="189"/>
      <c r="AN236" s="189"/>
      <c r="AO236" s="189"/>
      <c r="AP236" s="189"/>
      <c r="AQ236" s="189"/>
      <c r="AR236" s="189"/>
      <c r="AS236" s="189"/>
      <c r="AT236" s="189"/>
    </row>
    <row r="237" spans="1:46" ht="12.75" customHeight="1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  <c r="AD237" s="189"/>
      <c r="AE237" s="189"/>
      <c r="AF237" s="189"/>
      <c r="AG237" s="189"/>
      <c r="AH237" s="189"/>
      <c r="AI237" s="189"/>
      <c r="AJ237" s="189"/>
      <c r="AK237" s="189"/>
      <c r="AL237" s="189"/>
      <c r="AM237" s="189"/>
      <c r="AN237" s="189"/>
      <c r="AO237" s="189"/>
      <c r="AP237" s="189"/>
      <c r="AQ237" s="189"/>
      <c r="AR237" s="189"/>
      <c r="AS237" s="189"/>
      <c r="AT237" s="189"/>
    </row>
    <row r="238" spans="1:46" ht="12.75" customHeight="1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  <c r="AD238" s="189"/>
      <c r="AE238" s="189"/>
      <c r="AF238" s="189"/>
      <c r="AG238" s="189"/>
      <c r="AH238" s="189"/>
      <c r="AI238" s="189"/>
      <c r="AJ238" s="189"/>
      <c r="AK238" s="189"/>
      <c r="AL238" s="189"/>
      <c r="AM238" s="189"/>
      <c r="AN238" s="189"/>
      <c r="AO238" s="189"/>
      <c r="AP238" s="189"/>
      <c r="AQ238" s="189"/>
      <c r="AR238" s="189"/>
      <c r="AS238" s="189"/>
      <c r="AT238" s="189"/>
    </row>
    <row r="239" spans="1:46" ht="12.75" customHeight="1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  <c r="AD239" s="189"/>
      <c r="AE239" s="189"/>
      <c r="AF239" s="189"/>
      <c r="AG239" s="189"/>
      <c r="AH239" s="189"/>
      <c r="AI239" s="189"/>
      <c r="AJ239" s="189"/>
      <c r="AK239" s="189"/>
      <c r="AL239" s="189"/>
      <c r="AM239" s="189"/>
      <c r="AN239" s="189"/>
      <c r="AO239" s="189"/>
      <c r="AP239" s="189"/>
      <c r="AQ239" s="189"/>
      <c r="AR239" s="189"/>
      <c r="AS239" s="189"/>
      <c r="AT239" s="189"/>
    </row>
    <row r="240" spans="1:46" ht="12.75" customHeight="1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  <c r="AD240" s="189"/>
      <c r="AE240" s="189"/>
      <c r="AF240" s="189"/>
      <c r="AG240" s="189"/>
      <c r="AH240" s="189"/>
      <c r="AI240" s="189"/>
      <c r="AJ240" s="189"/>
      <c r="AK240" s="189"/>
      <c r="AL240" s="189"/>
      <c r="AM240" s="189"/>
      <c r="AN240" s="189"/>
      <c r="AO240" s="189"/>
      <c r="AP240" s="189"/>
      <c r="AQ240" s="189"/>
      <c r="AR240" s="189"/>
      <c r="AS240" s="189"/>
      <c r="AT240" s="189"/>
    </row>
    <row r="241" spans="1:46" ht="12.75" customHeight="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89"/>
      <c r="AG241" s="189"/>
      <c r="AH241" s="189"/>
      <c r="AI241" s="189"/>
      <c r="AJ241" s="189"/>
      <c r="AK241" s="189"/>
      <c r="AL241" s="189"/>
      <c r="AM241" s="189"/>
      <c r="AN241" s="189"/>
      <c r="AO241" s="189"/>
      <c r="AP241" s="189"/>
      <c r="AQ241" s="189"/>
      <c r="AR241" s="189"/>
      <c r="AS241" s="189"/>
      <c r="AT241" s="189"/>
    </row>
    <row r="242" spans="1:46" ht="12.75" customHeight="1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89"/>
      <c r="AG242" s="189"/>
      <c r="AH242" s="189"/>
      <c r="AI242" s="189"/>
      <c r="AJ242" s="189"/>
      <c r="AK242" s="189"/>
      <c r="AL242" s="189"/>
      <c r="AM242" s="189"/>
      <c r="AN242" s="189"/>
      <c r="AO242" s="189"/>
      <c r="AP242" s="189"/>
      <c r="AQ242" s="189"/>
      <c r="AR242" s="189"/>
      <c r="AS242" s="189"/>
      <c r="AT242" s="189"/>
    </row>
    <row r="243" spans="1:46" ht="12.75" customHeight="1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89"/>
      <c r="AG243" s="189"/>
      <c r="AH243" s="189"/>
      <c r="AI243" s="189"/>
      <c r="AJ243" s="189"/>
      <c r="AK243" s="189"/>
      <c r="AL243" s="189"/>
      <c r="AM243" s="189"/>
      <c r="AN243" s="189"/>
      <c r="AO243" s="189"/>
      <c r="AP243" s="189"/>
      <c r="AQ243" s="189"/>
      <c r="AR243" s="189"/>
      <c r="AS243" s="189"/>
      <c r="AT243" s="189"/>
    </row>
    <row r="244" spans="1:46" ht="12.75" customHeight="1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89"/>
      <c r="AG244" s="189"/>
      <c r="AH244" s="189"/>
      <c r="AI244" s="189"/>
      <c r="AJ244" s="189"/>
      <c r="AK244" s="189"/>
      <c r="AL244" s="189"/>
      <c r="AM244" s="189"/>
      <c r="AN244" s="189"/>
      <c r="AO244" s="189"/>
      <c r="AP244" s="189"/>
      <c r="AQ244" s="189"/>
      <c r="AR244" s="189"/>
      <c r="AS244" s="189"/>
      <c r="AT244" s="189"/>
    </row>
    <row r="245" spans="1:46" ht="12.75" customHeight="1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89"/>
      <c r="AG245" s="189"/>
      <c r="AH245" s="189"/>
      <c r="AI245" s="189"/>
      <c r="AJ245" s="189"/>
      <c r="AK245" s="189"/>
      <c r="AL245" s="189"/>
      <c r="AM245" s="189"/>
      <c r="AN245" s="189"/>
      <c r="AO245" s="189"/>
      <c r="AP245" s="189"/>
      <c r="AQ245" s="189"/>
      <c r="AR245" s="189"/>
      <c r="AS245" s="189"/>
      <c r="AT245" s="189"/>
    </row>
    <row r="246" spans="1:46" ht="12.75" customHeight="1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89"/>
      <c r="AG246" s="189"/>
      <c r="AH246" s="189"/>
      <c r="AI246" s="189"/>
      <c r="AJ246" s="189"/>
      <c r="AK246" s="189"/>
      <c r="AL246" s="189"/>
      <c r="AM246" s="189"/>
      <c r="AN246" s="189"/>
      <c r="AO246" s="189"/>
      <c r="AP246" s="189"/>
      <c r="AQ246" s="189"/>
      <c r="AR246" s="189"/>
      <c r="AS246" s="189"/>
      <c r="AT246" s="189"/>
    </row>
    <row r="247" spans="1:46" ht="12.75" customHeight="1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  <c r="AD247" s="189"/>
      <c r="AE247" s="189"/>
      <c r="AF247" s="189"/>
      <c r="AG247" s="189"/>
      <c r="AH247" s="189"/>
      <c r="AI247" s="189"/>
      <c r="AJ247" s="189"/>
      <c r="AK247" s="189"/>
      <c r="AL247" s="189"/>
      <c r="AM247" s="189"/>
      <c r="AN247" s="189"/>
      <c r="AO247" s="189"/>
      <c r="AP247" s="189"/>
      <c r="AQ247" s="189"/>
      <c r="AR247" s="189"/>
      <c r="AS247" s="189"/>
      <c r="AT247" s="189"/>
    </row>
    <row r="248" spans="1:46" ht="12.75" customHeight="1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  <c r="AD248" s="189"/>
      <c r="AE248" s="189"/>
      <c r="AF248" s="189"/>
      <c r="AG248" s="189"/>
      <c r="AH248" s="189"/>
      <c r="AI248" s="189"/>
      <c r="AJ248" s="189"/>
      <c r="AK248" s="189"/>
      <c r="AL248" s="189"/>
      <c r="AM248" s="189"/>
      <c r="AN248" s="189"/>
      <c r="AO248" s="189"/>
      <c r="AP248" s="189"/>
      <c r="AQ248" s="189"/>
      <c r="AR248" s="189"/>
      <c r="AS248" s="189"/>
      <c r="AT248" s="189"/>
    </row>
    <row r="249" spans="1:46" ht="12.75" customHeight="1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89"/>
      <c r="AN249" s="189"/>
      <c r="AO249" s="189"/>
      <c r="AP249" s="189"/>
      <c r="AQ249" s="189"/>
      <c r="AR249" s="189"/>
      <c r="AS249" s="189"/>
      <c r="AT249" s="189"/>
    </row>
    <row r="250" spans="1:46" ht="12.75" customHeight="1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89"/>
      <c r="AH250" s="189"/>
      <c r="AI250" s="189"/>
      <c r="AJ250" s="189"/>
      <c r="AK250" s="189"/>
      <c r="AL250" s="189"/>
      <c r="AM250" s="189"/>
      <c r="AN250" s="189"/>
      <c r="AO250" s="189"/>
      <c r="AP250" s="189"/>
      <c r="AQ250" s="189"/>
      <c r="AR250" s="189"/>
      <c r="AS250" s="189"/>
      <c r="AT250" s="189"/>
    </row>
    <row r="251" spans="1:46" ht="12.75" customHeight="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189"/>
      <c r="AJ251" s="189"/>
      <c r="AK251" s="189"/>
      <c r="AL251" s="189"/>
      <c r="AM251" s="189"/>
      <c r="AN251" s="189"/>
      <c r="AO251" s="189"/>
      <c r="AP251" s="189"/>
      <c r="AQ251" s="189"/>
      <c r="AR251" s="189"/>
      <c r="AS251" s="189"/>
      <c r="AT251" s="189"/>
    </row>
    <row r="252" spans="1:46" ht="12.75" customHeight="1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  <c r="AD252" s="189"/>
      <c r="AE252" s="189"/>
      <c r="AF252" s="189"/>
      <c r="AG252" s="189"/>
      <c r="AH252" s="189"/>
      <c r="AI252" s="189"/>
      <c r="AJ252" s="189"/>
      <c r="AK252" s="189"/>
      <c r="AL252" s="189"/>
      <c r="AM252" s="189"/>
      <c r="AN252" s="189"/>
      <c r="AO252" s="189"/>
      <c r="AP252" s="189"/>
      <c r="AQ252" s="189"/>
      <c r="AR252" s="189"/>
      <c r="AS252" s="189"/>
      <c r="AT252" s="189"/>
    </row>
    <row r="253" spans="1:46" ht="12.75" customHeight="1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  <c r="AD253" s="189"/>
      <c r="AE253" s="189"/>
      <c r="AF253" s="189"/>
      <c r="AG253" s="189"/>
      <c r="AH253" s="189"/>
      <c r="AI253" s="189"/>
      <c r="AJ253" s="189"/>
      <c r="AK253" s="189"/>
      <c r="AL253" s="189"/>
      <c r="AM253" s="189"/>
      <c r="AN253" s="189"/>
      <c r="AO253" s="189"/>
      <c r="AP253" s="189"/>
      <c r="AQ253" s="189"/>
      <c r="AR253" s="189"/>
      <c r="AS253" s="189"/>
      <c r="AT253" s="189"/>
    </row>
    <row r="254" spans="1:46" ht="12.75" customHeight="1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89"/>
      <c r="AN254" s="189"/>
      <c r="AO254" s="189"/>
      <c r="AP254" s="189"/>
      <c r="AQ254" s="189"/>
      <c r="AR254" s="189"/>
      <c r="AS254" s="189"/>
      <c r="AT254" s="189"/>
    </row>
    <row r="255" spans="1:46" ht="12.75" customHeight="1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  <c r="AD255" s="189"/>
      <c r="AE255" s="189"/>
      <c r="AF255" s="189"/>
      <c r="AG255" s="189"/>
      <c r="AH255" s="189"/>
      <c r="AI255" s="189"/>
      <c r="AJ255" s="189"/>
      <c r="AK255" s="189"/>
      <c r="AL255" s="189"/>
      <c r="AM255" s="189"/>
      <c r="AN255" s="189"/>
      <c r="AO255" s="189"/>
      <c r="AP255" s="189"/>
      <c r="AQ255" s="189"/>
      <c r="AR255" s="189"/>
      <c r="AS255" s="189"/>
      <c r="AT255" s="189"/>
    </row>
    <row r="256" spans="1:46" ht="12.75" customHeight="1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  <c r="AD256" s="189"/>
      <c r="AE256" s="189"/>
      <c r="AF256" s="189"/>
      <c r="AG256" s="189"/>
      <c r="AH256" s="189"/>
      <c r="AI256" s="189"/>
      <c r="AJ256" s="189"/>
      <c r="AK256" s="189"/>
      <c r="AL256" s="189"/>
      <c r="AM256" s="189"/>
      <c r="AN256" s="189"/>
      <c r="AO256" s="189"/>
      <c r="AP256" s="189"/>
      <c r="AQ256" s="189"/>
      <c r="AR256" s="189"/>
      <c r="AS256" s="189"/>
      <c r="AT256" s="189"/>
    </row>
    <row r="257" spans="1:46" ht="12.75" customHeight="1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  <c r="AD257" s="189"/>
      <c r="AE257" s="189"/>
      <c r="AF257" s="189"/>
      <c r="AG257" s="189"/>
      <c r="AH257" s="189"/>
      <c r="AI257" s="189"/>
      <c r="AJ257" s="189"/>
      <c r="AK257" s="189"/>
      <c r="AL257" s="189"/>
      <c r="AM257" s="189"/>
      <c r="AN257" s="189"/>
      <c r="AO257" s="189"/>
      <c r="AP257" s="189"/>
      <c r="AQ257" s="189"/>
      <c r="AR257" s="189"/>
      <c r="AS257" s="189"/>
      <c r="AT257" s="189"/>
    </row>
    <row r="258" spans="1:46" ht="12.75" customHeight="1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  <c r="AD258" s="189"/>
      <c r="AE258" s="189"/>
      <c r="AF258" s="189"/>
      <c r="AG258" s="189"/>
      <c r="AH258" s="189"/>
      <c r="AI258" s="189"/>
      <c r="AJ258" s="189"/>
      <c r="AK258" s="189"/>
      <c r="AL258" s="189"/>
      <c r="AM258" s="189"/>
      <c r="AN258" s="189"/>
      <c r="AO258" s="189"/>
      <c r="AP258" s="189"/>
      <c r="AQ258" s="189"/>
      <c r="AR258" s="189"/>
      <c r="AS258" s="189"/>
      <c r="AT258" s="189"/>
    </row>
    <row r="259" spans="1:46" ht="12.75" customHeight="1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  <c r="AD259" s="189"/>
      <c r="AE259" s="189"/>
      <c r="AF259" s="189"/>
      <c r="AG259" s="189"/>
      <c r="AH259" s="189"/>
      <c r="AI259" s="189"/>
      <c r="AJ259" s="189"/>
      <c r="AK259" s="189"/>
      <c r="AL259" s="189"/>
      <c r="AM259" s="189"/>
      <c r="AN259" s="189"/>
      <c r="AO259" s="189"/>
      <c r="AP259" s="189"/>
      <c r="AQ259" s="189"/>
      <c r="AR259" s="189"/>
      <c r="AS259" s="189"/>
      <c r="AT259" s="189"/>
    </row>
    <row r="260" spans="1:46" ht="12.75" customHeight="1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  <c r="AD260" s="189"/>
      <c r="AE260" s="189"/>
      <c r="AF260" s="189"/>
      <c r="AG260" s="189"/>
      <c r="AH260" s="189"/>
      <c r="AI260" s="189"/>
      <c r="AJ260" s="189"/>
      <c r="AK260" s="189"/>
      <c r="AL260" s="189"/>
      <c r="AM260" s="189"/>
      <c r="AN260" s="189"/>
      <c r="AO260" s="189"/>
      <c r="AP260" s="189"/>
      <c r="AQ260" s="189"/>
      <c r="AR260" s="189"/>
      <c r="AS260" s="189"/>
      <c r="AT260" s="189"/>
    </row>
    <row r="261" spans="1:46" ht="12.75" customHeight="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  <c r="AD261" s="189"/>
      <c r="AE261" s="189"/>
      <c r="AF261" s="189"/>
      <c r="AG261" s="189"/>
      <c r="AH261" s="189"/>
      <c r="AI261" s="189"/>
      <c r="AJ261" s="189"/>
      <c r="AK261" s="189"/>
      <c r="AL261" s="189"/>
      <c r="AM261" s="189"/>
      <c r="AN261" s="189"/>
      <c r="AO261" s="189"/>
      <c r="AP261" s="189"/>
      <c r="AQ261" s="189"/>
      <c r="AR261" s="189"/>
      <c r="AS261" s="189"/>
      <c r="AT261" s="189"/>
    </row>
    <row r="262" spans="1:46" ht="12.75" customHeight="1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  <c r="AD262" s="189"/>
      <c r="AE262" s="189"/>
      <c r="AF262" s="189"/>
      <c r="AG262" s="189"/>
      <c r="AH262" s="189"/>
      <c r="AI262" s="189"/>
      <c r="AJ262" s="189"/>
      <c r="AK262" s="189"/>
      <c r="AL262" s="189"/>
      <c r="AM262" s="189"/>
      <c r="AN262" s="189"/>
      <c r="AO262" s="189"/>
      <c r="AP262" s="189"/>
      <c r="AQ262" s="189"/>
      <c r="AR262" s="189"/>
      <c r="AS262" s="189"/>
      <c r="AT262" s="189"/>
    </row>
    <row r="263" spans="1:46" ht="12.75" customHeight="1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  <c r="AD263" s="189"/>
      <c r="AE263" s="189"/>
      <c r="AF263" s="189"/>
      <c r="AG263" s="189"/>
      <c r="AH263" s="189"/>
      <c r="AI263" s="189"/>
      <c r="AJ263" s="189"/>
      <c r="AK263" s="189"/>
      <c r="AL263" s="189"/>
      <c r="AM263" s="189"/>
      <c r="AN263" s="189"/>
      <c r="AO263" s="189"/>
      <c r="AP263" s="189"/>
      <c r="AQ263" s="189"/>
      <c r="AR263" s="189"/>
      <c r="AS263" s="189"/>
      <c r="AT263" s="189"/>
    </row>
    <row r="264" spans="1:46" ht="12.75" customHeight="1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  <c r="AD264" s="189"/>
      <c r="AE264" s="189"/>
      <c r="AF264" s="189"/>
      <c r="AG264" s="189"/>
      <c r="AH264" s="189"/>
      <c r="AI264" s="189"/>
      <c r="AJ264" s="189"/>
      <c r="AK264" s="189"/>
      <c r="AL264" s="189"/>
      <c r="AM264" s="189"/>
      <c r="AN264" s="189"/>
      <c r="AO264" s="189"/>
      <c r="AP264" s="189"/>
      <c r="AQ264" s="189"/>
      <c r="AR264" s="189"/>
      <c r="AS264" s="189"/>
      <c r="AT264" s="189"/>
    </row>
    <row r="265" spans="1:46" ht="12.75" customHeight="1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  <c r="AD265" s="189"/>
      <c r="AE265" s="189"/>
      <c r="AF265" s="189"/>
      <c r="AG265" s="189"/>
      <c r="AH265" s="189"/>
      <c r="AI265" s="189"/>
      <c r="AJ265" s="189"/>
      <c r="AK265" s="189"/>
      <c r="AL265" s="189"/>
      <c r="AM265" s="189"/>
      <c r="AN265" s="189"/>
      <c r="AO265" s="189"/>
      <c r="AP265" s="189"/>
      <c r="AQ265" s="189"/>
      <c r="AR265" s="189"/>
      <c r="AS265" s="189"/>
      <c r="AT265" s="189"/>
    </row>
    <row r="266" spans="1:46" ht="12.75" customHeight="1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  <c r="AD266" s="189"/>
      <c r="AE266" s="189"/>
      <c r="AF266" s="189"/>
      <c r="AG266" s="189"/>
      <c r="AH266" s="189"/>
      <c r="AI266" s="189"/>
      <c r="AJ266" s="189"/>
      <c r="AK266" s="189"/>
      <c r="AL266" s="189"/>
      <c r="AM266" s="189"/>
      <c r="AN266" s="189"/>
      <c r="AO266" s="189"/>
      <c r="AP266" s="189"/>
      <c r="AQ266" s="189"/>
      <c r="AR266" s="189"/>
      <c r="AS266" s="189"/>
      <c r="AT266" s="189"/>
    </row>
    <row r="267" spans="1:46" ht="12.75" customHeight="1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  <c r="AJ267" s="189"/>
      <c r="AK267" s="189"/>
      <c r="AL267" s="189"/>
      <c r="AM267" s="189"/>
      <c r="AN267" s="189"/>
      <c r="AO267" s="189"/>
      <c r="AP267" s="189"/>
      <c r="AQ267" s="189"/>
      <c r="AR267" s="189"/>
      <c r="AS267" s="189"/>
      <c r="AT267" s="189"/>
    </row>
    <row r="268" spans="1:46" ht="12.75" customHeight="1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  <c r="AD268" s="189"/>
      <c r="AE268" s="189"/>
      <c r="AF268" s="189"/>
      <c r="AG268" s="189"/>
      <c r="AH268" s="189"/>
      <c r="AI268" s="189"/>
      <c r="AJ268" s="189"/>
      <c r="AK268" s="189"/>
      <c r="AL268" s="189"/>
      <c r="AM268" s="189"/>
      <c r="AN268" s="189"/>
      <c r="AO268" s="189"/>
      <c r="AP268" s="189"/>
      <c r="AQ268" s="189"/>
      <c r="AR268" s="189"/>
      <c r="AS268" s="189"/>
      <c r="AT268" s="189"/>
    </row>
    <row r="269" spans="1:46" ht="12.75" customHeight="1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89"/>
      <c r="AL269" s="189"/>
      <c r="AM269" s="189"/>
      <c r="AN269" s="189"/>
      <c r="AO269" s="189"/>
      <c r="AP269" s="189"/>
      <c r="AQ269" s="189"/>
      <c r="AR269" s="189"/>
      <c r="AS269" s="189"/>
      <c r="AT269" s="189"/>
    </row>
    <row r="270" spans="1:46" ht="12.75" customHeight="1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89"/>
      <c r="AQ270" s="189"/>
      <c r="AR270" s="189"/>
      <c r="AS270" s="189"/>
      <c r="AT270" s="189"/>
    </row>
    <row r="271" spans="1:46" ht="12.75" customHeight="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  <c r="AD271" s="189"/>
      <c r="AE271" s="189"/>
      <c r="AF271" s="189"/>
      <c r="AG271" s="189"/>
      <c r="AH271" s="189"/>
      <c r="AI271" s="189"/>
      <c r="AJ271" s="189"/>
      <c r="AK271" s="189"/>
      <c r="AL271" s="189"/>
      <c r="AM271" s="189"/>
      <c r="AN271" s="189"/>
      <c r="AO271" s="189"/>
      <c r="AP271" s="189"/>
      <c r="AQ271" s="189"/>
      <c r="AR271" s="189"/>
      <c r="AS271" s="189"/>
      <c r="AT271" s="189"/>
    </row>
    <row r="272" spans="1:46" ht="12.75" customHeight="1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  <c r="AD272" s="189"/>
      <c r="AE272" s="189"/>
      <c r="AF272" s="189"/>
      <c r="AG272" s="189"/>
      <c r="AH272" s="189"/>
      <c r="AI272" s="189"/>
      <c r="AJ272" s="189"/>
      <c r="AK272" s="189"/>
      <c r="AL272" s="189"/>
      <c r="AM272" s="189"/>
      <c r="AN272" s="189"/>
      <c r="AO272" s="189"/>
      <c r="AP272" s="189"/>
      <c r="AQ272" s="189"/>
      <c r="AR272" s="189"/>
      <c r="AS272" s="189"/>
      <c r="AT272" s="189"/>
    </row>
    <row r="273" spans="1:46" ht="12.75" customHeight="1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  <c r="AD273" s="189"/>
      <c r="AE273" s="189"/>
      <c r="AF273" s="189"/>
      <c r="AG273" s="189"/>
      <c r="AH273" s="189"/>
      <c r="AI273" s="189"/>
      <c r="AJ273" s="189"/>
      <c r="AK273" s="189"/>
      <c r="AL273" s="189"/>
      <c r="AM273" s="189"/>
      <c r="AN273" s="189"/>
      <c r="AO273" s="189"/>
      <c r="AP273" s="189"/>
      <c r="AQ273" s="189"/>
      <c r="AR273" s="189"/>
      <c r="AS273" s="189"/>
      <c r="AT273" s="189"/>
    </row>
    <row r="274" spans="1:46" ht="12.75" customHeight="1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  <c r="AD274" s="189"/>
      <c r="AE274" s="189"/>
      <c r="AF274" s="189"/>
      <c r="AG274" s="189"/>
      <c r="AH274" s="189"/>
      <c r="AI274" s="189"/>
      <c r="AJ274" s="189"/>
      <c r="AK274" s="189"/>
      <c r="AL274" s="189"/>
      <c r="AM274" s="189"/>
      <c r="AN274" s="189"/>
      <c r="AO274" s="189"/>
      <c r="AP274" s="189"/>
      <c r="AQ274" s="189"/>
      <c r="AR274" s="189"/>
      <c r="AS274" s="189"/>
      <c r="AT274" s="189"/>
    </row>
    <row r="275" spans="1:46" ht="12.75" customHeight="1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  <c r="AD275" s="189"/>
      <c r="AE275" s="189"/>
      <c r="AF275" s="189"/>
      <c r="AG275" s="189"/>
      <c r="AH275" s="189"/>
      <c r="AI275" s="189"/>
      <c r="AJ275" s="189"/>
      <c r="AK275" s="189"/>
      <c r="AL275" s="189"/>
      <c r="AM275" s="189"/>
      <c r="AN275" s="189"/>
      <c r="AO275" s="189"/>
      <c r="AP275" s="189"/>
      <c r="AQ275" s="189"/>
      <c r="AR275" s="189"/>
      <c r="AS275" s="189"/>
      <c r="AT275" s="189"/>
    </row>
    <row r="276" spans="1:46" ht="12.75" customHeight="1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  <c r="AD276" s="189"/>
      <c r="AE276" s="189"/>
      <c r="AF276" s="189"/>
      <c r="AG276" s="189"/>
      <c r="AH276" s="189"/>
      <c r="AI276" s="189"/>
      <c r="AJ276" s="189"/>
      <c r="AK276" s="189"/>
      <c r="AL276" s="189"/>
      <c r="AM276" s="189"/>
      <c r="AN276" s="189"/>
      <c r="AO276" s="189"/>
      <c r="AP276" s="189"/>
      <c r="AQ276" s="189"/>
      <c r="AR276" s="189"/>
      <c r="AS276" s="189"/>
      <c r="AT276" s="189"/>
    </row>
    <row r="277" spans="1:46" ht="12.75" customHeight="1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  <c r="AD277" s="189"/>
      <c r="AE277" s="189"/>
      <c r="AF277" s="189"/>
      <c r="AG277" s="189"/>
      <c r="AH277" s="189"/>
      <c r="AI277" s="189"/>
      <c r="AJ277" s="189"/>
      <c r="AK277" s="189"/>
      <c r="AL277" s="189"/>
      <c r="AM277" s="189"/>
      <c r="AN277" s="189"/>
      <c r="AO277" s="189"/>
      <c r="AP277" s="189"/>
      <c r="AQ277" s="189"/>
      <c r="AR277" s="189"/>
      <c r="AS277" s="189"/>
      <c r="AT277" s="189"/>
    </row>
    <row r="278" spans="1:46" ht="12.75" customHeight="1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  <c r="AD278" s="189"/>
      <c r="AE278" s="189"/>
      <c r="AF278" s="189"/>
      <c r="AG278" s="189"/>
      <c r="AH278" s="189"/>
      <c r="AI278" s="189"/>
      <c r="AJ278" s="189"/>
      <c r="AK278" s="189"/>
      <c r="AL278" s="189"/>
      <c r="AM278" s="189"/>
      <c r="AN278" s="189"/>
      <c r="AO278" s="189"/>
      <c r="AP278" s="189"/>
      <c r="AQ278" s="189"/>
      <c r="AR278" s="189"/>
      <c r="AS278" s="189"/>
      <c r="AT278" s="189"/>
    </row>
    <row r="279" spans="1:46" ht="12.75" customHeight="1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  <c r="AD279" s="189"/>
      <c r="AE279" s="189"/>
      <c r="AF279" s="189"/>
      <c r="AG279" s="189"/>
      <c r="AH279" s="189"/>
      <c r="AI279" s="189"/>
      <c r="AJ279" s="189"/>
      <c r="AK279" s="189"/>
      <c r="AL279" s="189"/>
      <c r="AM279" s="189"/>
      <c r="AN279" s="189"/>
      <c r="AO279" s="189"/>
      <c r="AP279" s="189"/>
      <c r="AQ279" s="189"/>
      <c r="AR279" s="189"/>
      <c r="AS279" s="189"/>
      <c r="AT279" s="189"/>
    </row>
    <row r="280" spans="1:46" ht="12.75" customHeight="1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  <c r="AE280" s="189"/>
      <c r="AF280" s="189"/>
      <c r="AG280" s="189"/>
      <c r="AH280" s="189"/>
      <c r="AI280" s="189"/>
      <c r="AJ280" s="189"/>
      <c r="AK280" s="189"/>
      <c r="AL280" s="189"/>
      <c r="AM280" s="189"/>
      <c r="AN280" s="189"/>
      <c r="AO280" s="189"/>
      <c r="AP280" s="189"/>
      <c r="AQ280" s="189"/>
      <c r="AR280" s="189"/>
      <c r="AS280" s="189"/>
      <c r="AT280" s="189"/>
    </row>
    <row r="281" spans="1:46" ht="12.75" customHeight="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  <c r="AH281" s="189"/>
      <c r="AI281" s="189"/>
      <c r="AJ281" s="189"/>
      <c r="AK281" s="189"/>
      <c r="AL281" s="189"/>
      <c r="AM281" s="189"/>
      <c r="AN281" s="189"/>
      <c r="AO281" s="189"/>
      <c r="AP281" s="189"/>
      <c r="AQ281" s="189"/>
      <c r="AR281" s="189"/>
      <c r="AS281" s="189"/>
      <c r="AT281" s="189"/>
    </row>
    <row r="282" spans="1:46" ht="12.75" customHeight="1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89"/>
      <c r="AE282" s="189"/>
      <c r="AF282" s="189"/>
      <c r="AG282" s="189"/>
      <c r="AH282" s="189"/>
      <c r="AI282" s="189"/>
      <c r="AJ282" s="189"/>
      <c r="AK282" s="189"/>
      <c r="AL282" s="189"/>
      <c r="AM282" s="189"/>
      <c r="AN282" s="189"/>
      <c r="AO282" s="189"/>
      <c r="AP282" s="189"/>
      <c r="AQ282" s="189"/>
      <c r="AR282" s="189"/>
      <c r="AS282" s="189"/>
      <c r="AT282" s="189"/>
    </row>
    <row r="283" spans="1:46" ht="12.75" customHeight="1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89"/>
      <c r="AF283" s="189"/>
      <c r="AG283" s="189"/>
      <c r="AH283" s="189"/>
      <c r="AI283" s="189"/>
      <c r="AJ283" s="189"/>
      <c r="AK283" s="189"/>
      <c r="AL283" s="189"/>
      <c r="AM283" s="189"/>
      <c r="AN283" s="189"/>
      <c r="AO283" s="189"/>
      <c r="AP283" s="189"/>
      <c r="AQ283" s="189"/>
      <c r="AR283" s="189"/>
      <c r="AS283" s="189"/>
      <c r="AT283" s="189"/>
    </row>
    <row r="284" spans="1:46" ht="12.7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  <c r="AH284" s="189"/>
      <c r="AI284" s="189"/>
      <c r="AJ284" s="189"/>
      <c r="AK284" s="189"/>
      <c r="AL284" s="189"/>
      <c r="AM284" s="189"/>
      <c r="AN284" s="189"/>
      <c r="AO284" s="189"/>
      <c r="AP284" s="189"/>
      <c r="AQ284" s="189"/>
      <c r="AR284" s="189"/>
      <c r="AS284" s="189"/>
      <c r="AT284" s="189"/>
    </row>
    <row r="285" spans="1:46" ht="12.75" customHeight="1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  <c r="AD285" s="189"/>
      <c r="AE285" s="189"/>
      <c r="AF285" s="189"/>
      <c r="AG285" s="189"/>
      <c r="AH285" s="189"/>
      <c r="AI285" s="189"/>
      <c r="AJ285" s="189"/>
      <c r="AK285" s="189"/>
      <c r="AL285" s="189"/>
      <c r="AM285" s="189"/>
      <c r="AN285" s="189"/>
      <c r="AO285" s="189"/>
      <c r="AP285" s="189"/>
      <c r="AQ285" s="189"/>
      <c r="AR285" s="189"/>
      <c r="AS285" s="189"/>
      <c r="AT285" s="189"/>
    </row>
    <row r="286" spans="1:46" ht="12.75" customHeight="1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  <c r="AD286" s="189"/>
      <c r="AE286" s="189"/>
      <c r="AF286" s="189"/>
      <c r="AG286" s="189"/>
      <c r="AH286" s="189"/>
      <c r="AI286" s="189"/>
      <c r="AJ286" s="189"/>
      <c r="AK286" s="189"/>
      <c r="AL286" s="189"/>
      <c r="AM286" s="189"/>
      <c r="AN286" s="189"/>
      <c r="AO286" s="189"/>
      <c r="AP286" s="189"/>
      <c r="AQ286" s="189"/>
      <c r="AR286" s="189"/>
      <c r="AS286" s="189"/>
      <c r="AT286" s="189"/>
    </row>
    <row r="287" spans="1:46" ht="12.75" customHeight="1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  <c r="AC287" s="189"/>
      <c r="AD287" s="189"/>
      <c r="AE287" s="189"/>
      <c r="AF287" s="189"/>
      <c r="AG287" s="189"/>
      <c r="AH287" s="189"/>
      <c r="AI287" s="189"/>
      <c r="AJ287" s="189"/>
      <c r="AK287" s="189"/>
      <c r="AL287" s="189"/>
      <c r="AM287" s="189"/>
      <c r="AN287" s="189"/>
      <c r="AO287" s="189"/>
      <c r="AP287" s="189"/>
      <c r="AQ287" s="189"/>
      <c r="AR287" s="189"/>
      <c r="AS287" s="189"/>
      <c r="AT287" s="189"/>
    </row>
    <row r="288" spans="1:46" ht="12.75" customHeight="1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  <c r="AC288" s="189"/>
      <c r="AD288" s="189"/>
      <c r="AE288" s="189"/>
      <c r="AF288" s="189"/>
      <c r="AG288" s="189"/>
      <c r="AH288" s="189"/>
      <c r="AI288" s="189"/>
      <c r="AJ288" s="189"/>
      <c r="AK288" s="189"/>
      <c r="AL288" s="189"/>
      <c r="AM288" s="189"/>
      <c r="AN288" s="189"/>
      <c r="AO288" s="189"/>
      <c r="AP288" s="189"/>
      <c r="AQ288" s="189"/>
      <c r="AR288" s="189"/>
      <c r="AS288" s="189"/>
      <c r="AT288" s="189"/>
    </row>
    <row r="289" spans="1:46" ht="12.75" customHeight="1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  <c r="AD289" s="189"/>
      <c r="AE289" s="189"/>
      <c r="AF289" s="189"/>
      <c r="AG289" s="189"/>
      <c r="AH289" s="189"/>
      <c r="AI289" s="189"/>
      <c r="AJ289" s="189"/>
      <c r="AK289" s="189"/>
      <c r="AL289" s="189"/>
      <c r="AM289" s="189"/>
      <c r="AN289" s="189"/>
      <c r="AO289" s="189"/>
      <c r="AP289" s="189"/>
      <c r="AQ289" s="189"/>
      <c r="AR289" s="189"/>
      <c r="AS289" s="189"/>
      <c r="AT289" s="189"/>
    </row>
    <row r="290" spans="1:46" ht="12.75" customHeight="1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  <c r="AD290" s="189"/>
      <c r="AE290" s="189"/>
      <c r="AF290" s="189"/>
      <c r="AG290" s="189"/>
      <c r="AH290" s="189"/>
      <c r="AI290" s="189"/>
      <c r="AJ290" s="189"/>
      <c r="AK290" s="189"/>
      <c r="AL290" s="189"/>
      <c r="AM290" s="189"/>
      <c r="AN290" s="189"/>
      <c r="AO290" s="189"/>
      <c r="AP290" s="189"/>
      <c r="AQ290" s="189"/>
      <c r="AR290" s="189"/>
      <c r="AS290" s="189"/>
      <c r="AT290" s="189"/>
    </row>
    <row r="291" spans="1:46" ht="12.75" customHeight="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  <c r="AC291" s="189"/>
      <c r="AD291" s="189"/>
      <c r="AE291" s="189"/>
      <c r="AF291" s="189"/>
      <c r="AG291" s="189"/>
      <c r="AH291" s="189"/>
      <c r="AI291" s="189"/>
      <c r="AJ291" s="189"/>
      <c r="AK291" s="189"/>
      <c r="AL291" s="189"/>
      <c r="AM291" s="189"/>
      <c r="AN291" s="189"/>
      <c r="AO291" s="189"/>
      <c r="AP291" s="189"/>
      <c r="AQ291" s="189"/>
      <c r="AR291" s="189"/>
      <c r="AS291" s="189"/>
      <c r="AT291" s="189"/>
    </row>
    <row r="292" spans="1:46" ht="12.75" customHeight="1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  <c r="AC292" s="189"/>
      <c r="AD292" s="189"/>
      <c r="AE292" s="189"/>
      <c r="AF292" s="189"/>
      <c r="AG292" s="189"/>
      <c r="AH292" s="189"/>
      <c r="AI292" s="189"/>
      <c r="AJ292" s="189"/>
      <c r="AK292" s="189"/>
      <c r="AL292" s="189"/>
      <c r="AM292" s="189"/>
      <c r="AN292" s="189"/>
      <c r="AO292" s="189"/>
      <c r="AP292" s="189"/>
      <c r="AQ292" s="189"/>
      <c r="AR292" s="189"/>
      <c r="AS292" s="189"/>
      <c r="AT292" s="189"/>
    </row>
    <row r="293" spans="1:46" ht="12.75" customHeight="1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  <c r="AD293" s="189"/>
      <c r="AE293" s="189"/>
      <c r="AF293" s="189"/>
      <c r="AG293" s="189"/>
      <c r="AH293" s="189"/>
      <c r="AI293" s="189"/>
      <c r="AJ293" s="189"/>
      <c r="AK293" s="189"/>
      <c r="AL293" s="189"/>
      <c r="AM293" s="189"/>
      <c r="AN293" s="189"/>
      <c r="AO293" s="189"/>
      <c r="AP293" s="189"/>
      <c r="AQ293" s="189"/>
      <c r="AR293" s="189"/>
      <c r="AS293" s="189"/>
      <c r="AT293" s="189"/>
    </row>
    <row r="294" spans="1:46" ht="12.75" customHeight="1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  <c r="AD294" s="189"/>
      <c r="AE294" s="189"/>
      <c r="AF294" s="189"/>
      <c r="AG294" s="189"/>
      <c r="AH294" s="189"/>
      <c r="AI294" s="189"/>
      <c r="AJ294" s="189"/>
      <c r="AK294" s="189"/>
      <c r="AL294" s="189"/>
      <c r="AM294" s="189"/>
      <c r="AN294" s="189"/>
      <c r="AO294" s="189"/>
      <c r="AP294" s="189"/>
      <c r="AQ294" s="189"/>
      <c r="AR294" s="189"/>
      <c r="AS294" s="189"/>
      <c r="AT294" s="189"/>
    </row>
    <row r="295" spans="1:46" ht="12.75" customHeight="1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  <c r="AD295" s="189"/>
      <c r="AE295" s="189"/>
      <c r="AF295" s="189"/>
      <c r="AG295" s="189"/>
      <c r="AH295" s="189"/>
      <c r="AI295" s="189"/>
      <c r="AJ295" s="189"/>
      <c r="AK295" s="189"/>
      <c r="AL295" s="189"/>
      <c r="AM295" s="189"/>
      <c r="AN295" s="189"/>
      <c r="AO295" s="189"/>
      <c r="AP295" s="189"/>
      <c r="AQ295" s="189"/>
      <c r="AR295" s="189"/>
      <c r="AS295" s="189"/>
      <c r="AT295" s="189"/>
    </row>
    <row r="296" spans="1:46" ht="12.75" customHeight="1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  <c r="AD296" s="189"/>
      <c r="AE296" s="189"/>
      <c r="AF296" s="189"/>
      <c r="AG296" s="189"/>
      <c r="AH296" s="189"/>
      <c r="AI296" s="189"/>
      <c r="AJ296" s="189"/>
      <c r="AK296" s="189"/>
      <c r="AL296" s="189"/>
      <c r="AM296" s="189"/>
      <c r="AN296" s="189"/>
      <c r="AO296" s="189"/>
      <c r="AP296" s="189"/>
      <c r="AQ296" s="189"/>
      <c r="AR296" s="189"/>
      <c r="AS296" s="189"/>
      <c r="AT296" s="189"/>
    </row>
    <row r="297" spans="1:46" ht="12.75" customHeight="1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  <c r="AD297" s="189"/>
      <c r="AE297" s="189"/>
      <c r="AF297" s="189"/>
      <c r="AG297" s="189"/>
      <c r="AH297" s="189"/>
      <c r="AI297" s="189"/>
      <c r="AJ297" s="189"/>
      <c r="AK297" s="189"/>
      <c r="AL297" s="189"/>
      <c r="AM297" s="189"/>
      <c r="AN297" s="189"/>
      <c r="AO297" s="189"/>
      <c r="AP297" s="189"/>
      <c r="AQ297" s="189"/>
      <c r="AR297" s="189"/>
      <c r="AS297" s="189"/>
      <c r="AT297" s="189"/>
    </row>
    <row r="298" spans="1:46" ht="12.75" customHeight="1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  <c r="AC298" s="189"/>
      <c r="AD298" s="189"/>
      <c r="AE298" s="189"/>
      <c r="AF298" s="189"/>
      <c r="AG298" s="189"/>
      <c r="AH298" s="189"/>
      <c r="AI298" s="189"/>
      <c r="AJ298" s="189"/>
      <c r="AK298" s="189"/>
      <c r="AL298" s="189"/>
      <c r="AM298" s="189"/>
      <c r="AN298" s="189"/>
      <c r="AO298" s="189"/>
      <c r="AP298" s="189"/>
      <c r="AQ298" s="189"/>
      <c r="AR298" s="189"/>
      <c r="AS298" s="189"/>
      <c r="AT298" s="189"/>
    </row>
    <row r="299" spans="1:46" ht="12.75" customHeight="1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  <c r="AC299" s="189"/>
      <c r="AD299" s="189"/>
      <c r="AE299" s="189"/>
      <c r="AF299" s="189"/>
      <c r="AG299" s="189"/>
      <c r="AH299" s="189"/>
      <c r="AI299" s="189"/>
      <c r="AJ299" s="189"/>
      <c r="AK299" s="189"/>
      <c r="AL299" s="189"/>
      <c r="AM299" s="189"/>
      <c r="AN299" s="189"/>
      <c r="AO299" s="189"/>
      <c r="AP299" s="189"/>
      <c r="AQ299" s="189"/>
      <c r="AR299" s="189"/>
      <c r="AS299" s="189"/>
      <c r="AT299" s="189"/>
    </row>
    <row r="300" spans="1:46" ht="12.75" customHeight="1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  <c r="AD300" s="189"/>
      <c r="AE300" s="189"/>
      <c r="AF300" s="189"/>
      <c r="AG300" s="189"/>
      <c r="AH300" s="189"/>
      <c r="AI300" s="189"/>
      <c r="AJ300" s="189"/>
      <c r="AK300" s="189"/>
      <c r="AL300" s="189"/>
      <c r="AM300" s="189"/>
      <c r="AN300" s="189"/>
      <c r="AO300" s="189"/>
      <c r="AP300" s="189"/>
      <c r="AQ300" s="189"/>
      <c r="AR300" s="189"/>
      <c r="AS300" s="189"/>
      <c r="AT300" s="189"/>
    </row>
    <row r="301" spans="1:46" ht="12.75" customHeight="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  <c r="AC301" s="189"/>
      <c r="AD301" s="189"/>
      <c r="AE301" s="189"/>
      <c r="AF301" s="189"/>
      <c r="AG301" s="189"/>
      <c r="AH301" s="189"/>
      <c r="AI301" s="189"/>
      <c r="AJ301" s="189"/>
      <c r="AK301" s="189"/>
      <c r="AL301" s="189"/>
      <c r="AM301" s="189"/>
      <c r="AN301" s="189"/>
      <c r="AO301" s="189"/>
      <c r="AP301" s="189"/>
      <c r="AQ301" s="189"/>
      <c r="AR301" s="189"/>
      <c r="AS301" s="189"/>
      <c r="AT301" s="189"/>
    </row>
    <row r="302" spans="1:46" ht="12.75" customHeight="1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  <c r="AD302" s="189"/>
      <c r="AE302" s="189"/>
      <c r="AF302" s="189"/>
      <c r="AG302" s="189"/>
      <c r="AH302" s="189"/>
      <c r="AI302" s="189"/>
      <c r="AJ302" s="189"/>
      <c r="AK302" s="189"/>
      <c r="AL302" s="189"/>
      <c r="AM302" s="189"/>
      <c r="AN302" s="189"/>
      <c r="AO302" s="189"/>
      <c r="AP302" s="189"/>
      <c r="AQ302" s="189"/>
      <c r="AR302" s="189"/>
      <c r="AS302" s="189"/>
      <c r="AT302" s="189"/>
    </row>
    <row r="303" spans="1:46" ht="12.75" customHeight="1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  <c r="AC303" s="189"/>
      <c r="AD303" s="189"/>
      <c r="AE303" s="189"/>
      <c r="AF303" s="189"/>
      <c r="AG303" s="189"/>
      <c r="AH303" s="189"/>
      <c r="AI303" s="189"/>
      <c r="AJ303" s="189"/>
      <c r="AK303" s="189"/>
      <c r="AL303" s="189"/>
      <c r="AM303" s="189"/>
      <c r="AN303" s="189"/>
      <c r="AO303" s="189"/>
      <c r="AP303" s="189"/>
      <c r="AQ303" s="189"/>
      <c r="AR303" s="189"/>
      <c r="AS303" s="189"/>
      <c r="AT303" s="189"/>
    </row>
    <row r="304" spans="1:46" ht="12.75" customHeight="1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  <c r="AD304" s="189"/>
      <c r="AE304" s="189"/>
      <c r="AF304" s="189"/>
      <c r="AG304" s="189"/>
      <c r="AH304" s="189"/>
      <c r="AI304" s="189"/>
      <c r="AJ304" s="189"/>
      <c r="AK304" s="189"/>
      <c r="AL304" s="189"/>
      <c r="AM304" s="189"/>
      <c r="AN304" s="189"/>
      <c r="AO304" s="189"/>
      <c r="AP304" s="189"/>
      <c r="AQ304" s="189"/>
      <c r="AR304" s="189"/>
      <c r="AS304" s="189"/>
      <c r="AT304" s="189"/>
    </row>
    <row r="305" spans="1:46" ht="12.75" customHeight="1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  <c r="AC305" s="189"/>
      <c r="AD305" s="189"/>
      <c r="AE305" s="189"/>
      <c r="AF305" s="189"/>
      <c r="AG305" s="189"/>
      <c r="AH305" s="189"/>
      <c r="AI305" s="189"/>
      <c r="AJ305" s="189"/>
      <c r="AK305" s="189"/>
      <c r="AL305" s="189"/>
      <c r="AM305" s="189"/>
      <c r="AN305" s="189"/>
      <c r="AO305" s="189"/>
      <c r="AP305" s="189"/>
      <c r="AQ305" s="189"/>
      <c r="AR305" s="189"/>
      <c r="AS305" s="189"/>
      <c r="AT305" s="189"/>
    </row>
    <row r="306" spans="1:46" ht="12.75" customHeight="1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  <c r="AD306" s="189"/>
      <c r="AE306" s="189"/>
      <c r="AF306" s="189"/>
      <c r="AG306" s="189"/>
      <c r="AH306" s="189"/>
      <c r="AI306" s="189"/>
      <c r="AJ306" s="189"/>
      <c r="AK306" s="189"/>
      <c r="AL306" s="189"/>
      <c r="AM306" s="189"/>
      <c r="AN306" s="189"/>
      <c r="AO306" s="189"/>
      <c r="AP306" s="189"/>
      <c r="AQ306" s="189"/>
      <c r="AR306" s="189"/>
      <c r="AS306" s="189"/>
      <c r="AT306" s="189"/>
    </row>
    <row r="307" spans="1:46" ht="12.75" customHeight="1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  <c r="AD307" s="189"/>
      <c r="AE307" s="189"/>
      <c r="AF307" s="189"/>
      <c r="AG307" s="189"/>
      <c r="AH307" s="189"/>
      <c r="AI307" s="189"/>
      <c r="AJ307" s="189"/>
      <c r="AK307" s="189"/>
      <c r="AL307" s="189"/>
      <c r="AM307" s="189"/>
      <c r="AN307" s="189"/>
      <c r="AO307" s="189"/>
      <c r="AP307" s="189"/>
      <c r="AQ307" s="189"/>
      <c r="AR307" s="189"/>
      <c r="AS307" s="189"/>
      <c r="AT307" s="189"/>
    </row>
    <row r="308" spans="1:46" ht="12.75" customHeight="1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  <c r="AH308" s="189"/>
      <c r="AI308" s="189"/>
      <c r="AJ308" s="189"/>
      <c r="AK308" s="189"/>
      <c r="AL308" s="189"/>
      <c r="AM308" s="189"/>
      <c r="AN308" s="189"/>
      <c r="AO308" s="189"/>
      <c r="AP308" s="189"/>
      <c r="AQ308" s="189"/>
      <c r="AR308" s="189"/>
      <c r="AS308" s="189"/>
      <c r="AT308" s="189"/>
    </row>
    <row r="309" spans="1:46" ht="12.75" customHeight="1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  <c r="AC309" s="189"/>
      <c r="AD309" s="189"/>
      <c r="AE309" s="189"/>
      <c r="AF309" s="189"/>
      <c r="AG309" s="189"/>
      <c r="AH309" s="189"/>
      <c r="AI309" s="189"/>
      <c r="AJ309" s="189"/>
      <c r="AK309" s="189"/>
      <c r="AL309" s="189"/>
      <c r="AM309" s="189"/>
      <c r="AN309" s="189"/>
      <c r="AO309" s="189"/>
      <c r="AP309" s="189"/>
      <c r="AQ309" s="189"/>
      <c r="AR309" s="189"/>
      <c r="AS309" s="189"/>
      <c r="AT309" s="189"/>
    </row>
    <row r="310" spans="1:46" ht="12.75" customHeight="1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  <c r="AD310" s="189"/>
      <c r="AE310" s="189"/>
      <c r="AF310" s="189"/>
      <c r="AG310" s="189"/>
      <c r="AH310" s="189"/>
      <c r="AI310" s="189"/>
      <c r="AJ310" s="189"/>
      <c r="AK310" s="189"/>
      <c r="AL310" s="189"/>
      <c r="AM310" s="189"/>
      <c r="AN310" s="189"/>
      <c r="AO310" s="189"/>
      <c r="AP310" s="189"/>
      <c r="AQ310" s="189"/>
      <c r="AR310" s="189"/>
      <c r="AS310" s="189"/>
      <c r="AT310" s="189"/>
    </row>
    <row r="311" spans="1:46" ht="12.75" customHeight="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  <c r="AC311" s="189"/>
      <c r="AD311" s="189"/>
      <c r="AE311" s="189"/>
      <c r="AF311" s="189"/>
      <c r="AG311" s="189"/>
      <c r="AH311" s="189"/>
      <c r="AI311" s="189"/>
      <c r="AJ311" s="189"/>
      <c r="AK311" s="189"/>
      <c r="AL311" s="189"/>
      <c r="AM311" s="189"/>
      <c r="AN311" s="189"/>
      <c r="AO311" s="189"/>
      <c r="AP311" s="189"/>
      <c r="AQ311" s="189"/>
      <c r="AR311" s="189"/>
      <c r="AS311" s="189"/>
      <c r="AT311" s="189"/>
    </row>
    <row r="312" spans="1:46" ht="12.75" customHeight="1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  <c r="AC312" s="189"/>
      <c r="AD312" s="189"/>
      <c r="AE312" s="189"/>
      <c r="AF312" s="189"/>
      <c r="AG312" s="189"/>
      <c r="AH312" s="189"/>
      <c r="AI312" s="189"/>
      <c r="AJ312" s="189"/>
      <c r="AK312" s="189"/>
      <c r="AL312" s="189"/>
      <c r="AM312" s="189"/>
      <c r="AN312" s="189"/>
      <c r="AO312" s="189"/>
      <c r="AP312" s="189"/>
      <c r="AQ312" s="189"/>
      <c r="AR312" s="189"/>
      <c r="AS312" s="189"/>
      <c r="AT312" s="189"/>
    </row>
    <row r="313" spans="1:46" ht="12.75" customHeight="1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  <c r="AD313" s="189"/>
      <c r="AE313" s="189"/>
      <c r="AF313" s="189"/>
      <c r="AG313" s="189"/>
      <c r="AH313" s="189"/>
      <c r="AI313" s="189"/>
      <c r="AJ313" s="189"/>
      <c r="AK313" s="189"/>
      <c r="AL313" s="189"/>
      <c r="AM313" s="189"/>
      <c r="AN313" s="189"/>
      <c r="AO313" s="189"/>
      <c r="AP313" s="189"/>
      <c r="AQ313" s="189"/>
      <c r="AR313" s="189"/>
      <c r="AS313" s="189"/>
      <c r="AT313" s="189"/>
    </row>
    <row r="314" spans="1:46" ht="12.7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  <c r="AD314" s="189"/>
      <c r="AE314" s="189"/>
      <c r="AF314" s="189"/>
      <c r="AG314" s="189"/>
      <c r="AH314" s="189"/>
      <c r="AI314" s="189"/>
      <c r="AJ314" s="189"/>
      <c r="AK314" s="189"/>
      <c r="AL314" s="189"/>
      <c r="AM314" s="189"/>
      <c r="AN314" s="189"/>
      <c r="AO314" s="189"/>
      <c r="AP314" s="189"/>
      <c r="AQ314" s="189"/>
      <c r="AR314" s="189"/>
      <c r="AS314" s="189"/>
      <c r="AT314" s="189"/>
    </row>
    <row r="315" spans="1:46" ht="12.75" customHeight="1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  <c r="AD315" s="189"/>
      <c r="AE315" s="189"/>
      <c r="AF315" s="189"/>
      <c r="AG315" s="189"/>
      <c r="AH315" s="189"/>
      <c r="AI315" s="189"/>
      <c r="AJ315" s="189"/>
      <c r="AK315" s="189"/>
      <c r="AL315" s="189"/>
      <c r="AM315" s="189"/>
      <c r="AN315" s="189"/>
      <c r="AO315" s="189"/>
      <c r="AP315" s="189"/>
      <c r="AQ315" s="189"/>
      <c r="AR315" s="189"/>
      <c r="AS315" s="189"/>
      <c r="AT315" s="189"/>
    </row>
    <row r="316" spans="1:46" ht="12.75" customHeight="1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  <c r="AC316" s="189"/>
      <c r="AD316" s="189"/>
      <c r="AE316" s="189"/>
      <c r="AF316" s="189"/>
      <c r="AG316" s="189"/>
      <c r="AH316" s="189"/>
      <c r="AI316" s="189"/>
      <c r="AJ316" s="189"/>
      <c r="AK316" s="189"/>
      <c r="AL316" s="189"/>
      <c r="AM316" s="189"/>
      <c r="AN316" s="189"/>
      <c r="AO316" s="189"/>
      <c r="AP316" s="189"/>
      <c r="AQ316" s="189"/>
      <c r="AR316" s="189"/>
      <c r="AS316" s="189"/>
      <c r="AT316" s="189"/>
    </row>
    <row r="317" spans="1:46" ht="12.75" customHeight="1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  <c r="AD317" s="189"/>
      <c r="AE317" s="189"/>
      <c r="AF317" s="189"/>
      <c r="AG317" s="189"/>
      <c r="AH317" s="189"/>
      <c r="AI317" s="189"/>
      <c r="AJ317" s="189"/>
      <c r="AK317" s="189"/>
      <c r="AL317" s="189"/>
      <c r="AM317" s="189"/>
      <c r="AN317" s="189"/>
      <c r="AO317" s="189"/>
      <c r="AP317" s="189"/>
      <c r="AQ317" s="189"/>
      <c r="AR317" s="189"/>
      <c r="AS317" s="189"/>
      <c r="AT317" s="189"/>
    </row>
    <row r="318" spans="1:46" ht="12.75" customHeight="1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  <c r="AC318" s="189"/>
      <c r="AD318" s="189"/>
      <c r="AE318" s="189"/>
      <c r="AF318" s="189"/>
      <c r="AG318" s="189"/>
      <c r="AH318" s="189"/>
      <c r="AI318" s="189"/>
      <c r="AJ318" s="189"/>
      <c r="AK318" s="189"/>
      <c r="AL318" s="189"/>
      <c r="AM318" s="189"/>
      <c r="AN318" s="189"/>
      <c r="AO318" s="189"/>
      <c r="AP318" s="189"/>
      <c r="AQ318" s="189"/>
      <c r="AR318" s="189"/>
      <c r="AS318" s="189"/>
      <c r="AT318" s="189"/>
    </row>
    <row r="319" spans="1:46" ht="12.75" customHeight="1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  <c r="AD319" s="189"/>
      <c r="AE319" s="189"/>
      <c r="AF319" s="189"/>
      <c r="AG319" s="189"/>
      <c r="AH319" s="189"/>
      <c r="AI319" s="189"/>
      <c r="AJ319" s="189"/>
      <c r="AK319" s="189"/>
      <c r="AL319" s="189"/>
      <c r="AM319" s="189"/>
      <c r="AN319" s="189"/>
      <c r="AO319" s="189"/>
      <c r="AP319" s="189"/>
      <c r="AQ319" s="189"/>
      <c r="AR319" s="189"/>
      <c r="AS319" s="189"/>
      <c r="AT319" s="189"/>
    </row>
    <row r="320" spans="1:46" ht="12.75" customHeight="1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  <c r="AD320" s="189"/>
      <c r="AE320" s="189"/>
      <c r="AF320" s="189"/>
      <c r="AG320" s="189"/>
      <c r="AH320" s="189"/>
      <c r="AI320" s="189"/>
      <c r="AJ320" s="189"/>
      <c r="AK320" s="189"/>
      <c r="AL320" s="189"/>
      <c r="AM320" s="189"/>
      <c r="AN320" s="189"/>
      <c r="AO320" s="189"/>
      <c r="AP320" s="189"/>
      <c r="AQ320" s="189"/>
      <c r="AR320" s="189"/>
      <c r="AS320" s="189"/>
      <c r="AT320" s="189"/>
    </row>
    <row r="321" spans="1:46" ht="12.75" customHeight="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  <c r="AC321" s="189"/>
      <c r="AD321" s="189"/>
      <c r="AE321" s="189"/>
      <c r="AF321" s="189"/>
      <c r="AG321" s="189"/>
      <c r="AH321" s="189"/>
      <c r="AI321" s="189"/>
      <c r="AJ321" s="189"/>
      <c r="AK321" s="189"/>
      <c r="AL321" s="189"/>
      <c r="AM321" s="189"/>
      <c r="AN321" s="189"/>
      <c r="AO321" s="189"/>
      <c r="AP321" s="189"/>
      <c r="AQ321" s="189"/>
      <c r="AR321" s="189"/>
      <c r="AS321" s="189"/>
      <c r="AT321" s="189"/>
    </row>
    <row r="322" spans="1:46" ht="12.75" customHeight="1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  <c r="AC322" s="189"/>
      <c r="AD322" s="189"/>
      <c r="AE322" s="189"/>
      <c r="AF322" s="189"/>
      <c r="AG322" s="189"/>
      <c r="AH322" s="189"/>
      <c r="AI322" s="189"/>
      <c r="AJ322" s="189"/>
      <c r="AK322" s="189"/>
      <c r="AL322" s="189"/>
      <c r="AM322" s="189"/>
      <c r="AN322" s="189"/>
      <c r="AO322" s="189"/>
      <c r="AP322" s="189"/>
      <c r="AQ322" s="189"/>
      <c r="AR322" s="189"/>
      <c r="AS322" s="189"/>
      <c r="AT322" s="189"/>
    </row>
    <row r="323" spans="1:46" ht="12.75" customHeight="1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  <c r="AC323" s="189"/>
      <c r="AD323" s="189"/>
      <c r="AE323" s="189"/>
      <c r="AF323" s="189"/>
      <c r="AG323" s="189"/>
      <c r="AH323" s="189"/>
      <c r="AI323" s="189"/>
      <c r="AJ323" s="189"/>
      <c r="AK323" s="189"/>
      <c r="AL323" s="189"/>
      <c r="AM323" s="189"/>
      <c r="AN323" s="189"/>
      <c r="AO323" s="189"/>
      <c r="AP323" s="189"/>
      <c r="AQ323" s="189"/>
      <c r="AR323" s="189"/>
      <c r="AS323" s="189"/>
      <c r="AT323" s="189"/>
    </row>
    <row r="324" spans="1:46" ht="12.75" customHeight="1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  <c r="AC324" s="189"/>
      <c r="AD324" s="189"/>
      <c r="AE324" s="189"/>
      <c r="AF324" s="189"/>
      <c r="AG324" s="189"/>
      <c r="AH324" s="189"/>
      <c r="AI324" s="189"/>
      <c r="AJ324" s="189"/>
      <c r="AK324" s="189"/>
      <c r="AL324" s="189"/>
      <c r="AM324" s="189"/>
      <c r="AN324" s="189"/>
      <c r="AO324" s="189"/>
      <c r="AP324" s="189"/>
      <c r="AQ324" s="189"/>
      <c r="AR324" s="189"/>
      <c r="AS324" s="189"/>
      <c r="AT324" s="189"/>
    </row>
    <row r="325" spans="1:46" ht="12.75" customHeight="1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  <c r="AC325" s="189"/>
      <c r="AD325" s="189"/>
      <c r="AE325" s="189"/>
      <c r="AF325" s="189"/>
      <c r="AG325" s="189"/>
      <c r="AH325" s="189"/>
      <c r="AI325" s="189"/>
      <c r="AJ325" s="189"/>
      <c r="AK325" s="189"/>
      <c r="AL325" s="189"/>
      <c r="AM325" s="189"/>
      <c r="AN325" s="189"/>
      <c r="AO325" s="189"/>
      <c r="AP325" s="189"/>
      <c r="AQ325" s="189"/>
      <c r="AR325" s="189"/>
      <c r="AS325" s="189"/>
      <c r="AT325" s="189"/>
    </row>
    <row r="326" spans="1:46" ht="12.75" customHeight="1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  <c r="AD326" s="189"/>
      <c r="AE326" s="189"/>
      <c r="AF326" s="189"/>
      <c r="AG326" s="189"/>
      <c r="AH326" s="189"/>
      <c r="AI326" s="189"/>
      <c r="AJ326" s="189"/>
      <c r="AK326" s="189"/>
      <c r="AL326" s="189"/>
      <c r="AM326" s="189"/>
      <c r="AN326" s="189"/>
      <c r="AO326" s="189"/>
      <c r="AP326" s="189"/>
      <c r="AQ326" s="189"/>
      <c r="AR326" s="189"/>
      <c r="AS326" s="189"/>
      <c r="AT326" s="189"/>
    </row>
    <row r="327" spans="1:46" ht="12.75" customHeight="1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  <c r="AC327" s="189"/>
      <c r="AD327" s="189"/>
      <c r="AE327" s="189"/>
      <c r="AF327" s="189"/>
      <c r="AG327" s="189"/>
      <c r="AH327" s="189"/>
      <c r="AI327" s="189"/>
      <c r="AJ327" s="189"/>
      <c r="AK327" s="189"/>
      <c r="AL327" s="189"/>
      <c r="AM327" s="189"/>
      <c r="AN327" s="189"/>
      <c r="AO327" s="189"/>
      <c r="AP327" s="189"/>
      <c r="AQ327" s="189"/>
      <c r="AR327" s="189"/>
      <c r="AS327" s="189"/>
      <c r="AT327" s="189"/>
    </row>
    <row r="328" spans="1:46" ht="12.75" customHeight="1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  <c r="AD328" s="189"/>
      <c r="AE328" s="189"/>
      <c r="AF328" s="189"/>
      <c r="AG328" s="189"/>
      <c r="AH328" s="189"/>
      <c r="AI328" s="189"/>
      <c r="AJ328" s="189"/>
      <c r="AK328" s="189"/>
      <c r="AL328" s="189"/>
      <c r="AM328" s="189"/>
      <c r="AN328" s="189"/>
      <c r="AO328" s="189"/>
      <c r="AP328" s="189"/>
      <c r="AQ328" s="189"/>
      <c r="AR328" s="189"/>
      <c r="AS328" s="189"/>
      <c r="AT328" s="189"/>
    </row>
    <row r="329" spans="1:46" ht="12.75" customHeight="1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  <c r="AD329" s="189"/>
      <c r="AE329" s="189"/>
      <c r="AF329" s="189"/>
      <c r="AG329" s="189"/>
      <c r="AH329" s="189"/>
      <c r="AI329" s="189"/>
      <c r="AJ329" s="189"/>
      <c r="AK329" s="189"/>
      <c r="AL329" s="189"/>
      <c r="AM329" s="189"/>
      <c r="AN329" s="189"/>
      <c r="AO329" s="189"/>
      <c r="AP329" s="189"/>
      <c r="AQ329" s="189"/>
      <c r="AR329" s="189"/>
      <c r="AS329" s="189"/>
      <c r="AT329" s="189"/>
    </row>
    <row r="330" spans="1:46" ht="12.75" customHeight="1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  <c r="AC330" s="189"/>
      <c r="AD330" s="189"/>
      <c r="AE330" s="189"/>
      <c r="AF330" s="189"/>
      <c r="AG330" s="189"/>
      <c r="AH330" s="189"/>
      <c r="AI330" s="189"/>
      <c r="AJ330" s="189"/>
      <c r="AK330" s="189"/>
      <c r="AL330" s="189"/>
      <c r="AM330" s="189"/>
      <c r="AN330" s="189"/>
      <c r="AO330" s="189"/>
      <c r="AP330" s="189"/>
      <c r="AQ330" s="189"/>
      <c r="AR330" s="189"/>
      <c r="AS330" s="189"/>
      <c r="AT330" s="189"/>
    </row>
    <row r="331" spans="1:46" ht="12.75" customHeight="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  <c r="AD331" s="189"/>
      <c r="AE331" s="189"/>
      <c r="AF331" s="189"/>
      <c r="AG331" s="189"/>
      <c r="AH331" s="189"/>
      <c r="AI331" s="189"/>
      <c r="AJ331" s="189"/>
      <c r="AK331" s="189"/>
      <c r="AL331" s="189"/>
      <c r="AM331" s="189"/>
      <c r="AN331" s="189"/>
      <c r="AO331" s="189"/>
      <c r="AP331" s="189"/>
      <c r="AQ331" s="189"/>
      <c r="AR331" s="189"/>
      <c r="AS331" s="189"/>
      <c r="AT331" s="189"/>
    </row>
    <row r="332" spans="1:46" ht="12.75" customHeight="1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  <c r="AC332" s="189"/>
      <c r="AD332" s="189"/>
      <c r="AE332" s="189"/>
      <c r="AF332" s="189"/>
      <c r="AG332" s="189"/>
      <c r="AH332" s="189"/>
      <c r="AI332" s="189"/>
      <c r="AJ332" s="189"/>
      <c r="AK332" s="189"/>
      <c r="AL332" s="189"/>
      <c r="AM332" s="189"/>
      <c r="AN332" s="189"/>
      <c r="AO332" s="189"/>
      <c r="AP332" s="189"/>
      <c r="AQ332" s="189"/>
      <c r="AR332" s="189"/>
      <c r="AS332" s="189"/>
      <c r="AT332" s="189"/>
    </row>
    <row r="333" spans="1:46" ht="12.75" customHeight="1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  <c r="AC333" s="189"/>
      <c r="AD333" s="189"/>
      <c r="AE333" s="189"/>
      <c r="AF333" s="189"/>
      <c r="AG333" s="189"/>
      <c r="AH333" s="189"/>
      <c r="AI333" s="189"/>
      <c r="AJ333" s="189"/>
      <c r="AK333" s="189"/>
      <c r="AL333" s="189"/>
      <c r="AM333" s="189"/>
      <c r="AN333" s="189"/>
      <c r="AO333" s="189"/>
      <c r="AP333" s="189"/>
      <c r="AQ333" s="189"/>
      <c r="AR333" s="189"/>
      <c r="AS333" s="189"/>
      <c r="AT333" s="189"/>
    </row>
    <row r="334" spans="1:46" ht="12.75" customHeight="1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  <c r="AC334" s="189"/>
      <c r="AD334" s="189"/>
      <c r="AE334" s="189"/>
      <c r="AF334" s="189"/>
      <c r="AG334" s="189"/>
      <c r="AH334" s="189"/>
      <c r="AI334" s="189"/>
      <c r="AJ334" s="189"/>
      <c r="AK334" s="189"/>
      <c r="AL334" s="189"/>
      <c r="AM334" s="189"/>
      <c r="AN334" s="189"/>
      <c r="AO334" s="189"/>
      <c r="AP334" s="189"/>
      <c r="AQ334" s="189"/>
      <c r="AR334" s="189"/>
      <c r="AS334" s="189"/>
      <c r="AT334" s="189"/>
    </row>
    <row r="335" spans="1:46" ht="12.75" customHeight="1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  <c r="AC335" s="189"/>
      <c r="AD335" s="189"/>
      <c r="AE335" s="189"/>
      <c r="AF335" s="189"/>
      <c r="AG335" s="189"/>
      <c r="AH335" s="189"/>
      <c r="AI335" s="189"/>
      <c r="AJ335" s="189"/>
      <c r="AK335" s="189"/>
      <c r="AL335" s="189"/>
      <c r="AM335" s="189"/>
      <c r="AN335" s="189"/>
      <c r="AO335" s="189"/>
      <c r="AP335" s="189"/>
      <c r="AQ335" s="189"/>
      <c r="AR335" s="189"/>
      <c r="AS335" s="189"/>
      <c r="AT335" s="189"/>
    </row>
    <row r="336" spans="1:46" ht="12.75" customHeight="1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  <c r="AC336" s="189"/>
      <c r="AD336" s="189"/>
      <c r="AE336" s="189"/>
      <c r="AF336" s="189"/>
      <c r="AG336" s="189"/>
      <c r="AH336" s="189"/>
      <c r="AI336" s="189"/>
      <c r="AJ336" s="189"/>
      <c r="AK336" s="189"/>
      <c r="AL336" s="189"/>
      <c r="AM336" s="189"/>
      <c r="AN336" s="189"/>
      <c r="AO336" s="189"/>
      <c r="AP336" s="189"/>
      <c r="AQ336" s="189"/>
      <c r="AR336" s="189"/>
      <c r="AS336" s="189"/>
      <c r="AT336" s="189"/>
    </row>
    <row r="337" spans="1:46" ht="12.75" customHeight="1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  <c r="AC337" s="189"/>
      <c r="AD337" s="189"/>
      <c r="AE337" s="189"/>
      <c r="AF337" s="189"/>
      <c r="AG337" s="189"/>
      <c r="AH337" s="189"/>
      <c r="AI337" s="189"/>
      <c r="AJ337" s="189"/>
      <c r="AK337" s="189"/>
      <c r="AL337" s="189"/>
      <c r="AM337" s="189"/>
      <c r="AN337" s="189"/>
      <c r="AO337" s="189"/>
      <c r="AP337" s="189"/>
      <c r="AQ337" s="189"/>
      <c r="AR337" s="189"/>
      <c r="AS337" s="189"/>
      <c r="AT337" s="189"/>
    </row>
    <row r="338" spans="1:46" ht="12.75" customHeight="1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  <c r="AC338" s="189"/>
      <c r="AD338" s="189"/>
      <c r="AE338" s="189"/>
      <c r="AF338" s="189"/>
      <c r="AG338" s="189"/>
      <c r="AH338" s="189"/>
      <c r="AI338" s="189"/>
      <c r="AJ338" s="189"/>
      <c r="AK338" s="189"/>
      <c r="AL338" s="189"/>
      <c r="AM338" s="189"/>
      <c r="AN338" s="189"/>
      <c r="AO338" s="189"/>
      <c r="AP338" s="189"/>
      <c r="AQ338" s="189"/>
      <c r="AR338" s="189"/>
      <c r="AS338" s="189"/>
      <c r="AT338" s="189"/>
    </row>
    <row r="339" spans="1:46" ht="12.75" customHeight="1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  <c r="AC339" s="189"/>
      <c r="AD339" s="189"/>
      <c r="AE339" s="189"/>
      <c r="AF339" s="189"/>
      <c r="AG339" s="189"/>
      <c r="AH339" s="189"/>
      <c r="AI339" s="189"/>
      <c r="AJ339" s="189"/>
      <c r="AK339" s="189"/>
      <c r="AL339" s="189"/>
      <c r="AM339" s="189"/>
      <c r="AN339" s="189"/>
      <c r="AO339" s="189"/>
      <c r="AP339" s="189"/>
      <c r="AQ339" s="189"/>
      <c r="AR339" s="189"/>
      <c r="AS339" s="189"/>
      <c r="AT339" s="189"/>
    </row>
    <row r="340" spans="1:46" ht="12.75" customHeigh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  <c r="AC340" s="189"/>
      <c r="AD340" s="189"/>
      <c r="AE340" s="189"/>
      <c r="AF340" s="189"/>
      <c r="AG340" s="189"/>
      <c r="AH340" s="189"/>
      <c r="AI340" s="189"/>
      <c r="AJ340" s="189"/>
      <c r="AK340" s="189"/>
      <c r="AL340" s="189"/>
      <c r="AM340" s="189"/>
      <c r="AN340" s="189"/>
      <c r="AO340" s="189"/>
      <c r="AP340" s="189"/>
      <c r="AQ340" s="189"/>
      <c r="AR340" s="189"/>
      <c r="AS340" s="189"/>
      <c r="AT340" s="189"/>
    </row>
    <row r="341" spans="1:46" ht="12.75" customHeight="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  <c r="AC341" s="189"/>
      <c r="AD341" s="189"/>
      <c r="AE341" s="189"/>
      <c r="AF341" s="189"/>
      <c r="AG341" s="189"/>
      <c r="AH341" s="189"/>
      <c r="AI341" s="189"/>
      <c r="AJ341" s="189"/>
      <c r="AK341" s="189"/>
      <c r="AL341" s="189"/>
      <c r="AM341" s="189"/>
      <c r="AN341" s="189"/>
      <c r="AO341" s="189"/>
      <c r="AP341" s="189"/>
      <c r="AQ341" s="189"/>
      <c r="AR341" s="189"/>
      <c r="AS341" s="189"/>
      <c r="AT341" s="189"/>
    </row>
    <row r="342" spans="1:46" ht="12.75" customHeight="1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  <c r="AC342" s="189"/>
      <c r="AD342" s="189"/>
      <c r="AE342" s="189"/>
      <c r="AF342" s="189"/>
      <c r="AG342" s="189"/>
      <c r="AH342" s="189"/>
      <c r="AI342" s="189"/>
      <c r="AJ342" s="189"/>
      <c r="AK342" s="189"/>
      <c r="AL342" s="189"/>
      <c r="AM342" s="189"/>
      <c r="AN342" s="189"/>
      <c r="AO342" s="189"/>
      <c r="AP342" s="189"/>
      <c r="AQ342" s="189"/>
      <c r="AR342" s="189"/>
      <c r="AS342" s="189"/>
      <c r="AT342" s="189"/>
    </row>
    <row r="343" spans="1:46" ht="12.75" customHeight="1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  <c r="AC343" s="189"/>
      <c r="AD343" s="189"/>
      <c r="AE343" s="189"/>
      <c r="AF343" s="189"/>
      <c r="AG343" s="189"/>
      <c r="AH343" s="189"/>
      <c r="AI343" s="189"/>
      <c r="AJ343" s="189"/>
      <c r="AK343" s="189"/>
      <c r="AL343" s="189"/>
      <c r="AM343" s="189"/>
      <c r="AN343" s="189"/>
      <c r="AO343" s="189"/>
      <c r="AP343" s="189"/>
      <c r="AQ343" s="189"/>
      <c r="AR343" s="189"/>
      <c r="AS343" s="189"/>
      <c r="AT343" s="189"/>
    </row>
    <row r="344" spans="1:46" ht="12.75" customHeight="1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  <c r="AC344" s="189"/>
      <c r="AD344" s="189"/>
      <c r="AE344" s="189"/>
      <c r="AF344" s="189"/>
      <c r="AG344" s="189"/>
      <c r="AH344" s="189"/>
      <c r="AI344" s="189"/>
      <c r="AJ344" s="189"/>
      <c r="AK344" s="189"/>
      <c r="AL344" s="189"/>
      <c r="AM344" s="189"/>
      <c r="AN344" s="189"/>
      <c r="AO344" s="189"/>
      <c r="AP344" s="189"/>
      <c r="AQ344" s="189"/>
      <c r="AR344" s="189"/>
      <c r="AS344" s="189"/>
      <c r="AT344" s="189"/>
    </row>
    <row r="345" spans="1:46" ht="12.75" customHeight="1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  <c r="AC345" s="189"/>
      <c r="AD345" s="189"/>
      <c r="AE345" s="189"/>
      <c r="AF345" s="189"/>
      <c r="AG345" s="189"/>
      <c r="AH345" s="189"/>
      <c r="AI345" s="189"/>
      <c r="AJ345" s="189"/>
      <c r="AK345" s="189"/>
      <c r="AL345" s="189"/>
      <c r="AM345" s="189"/>
      <c r="AN345" s="189"/>
      <c r="AO345" s="189"/>
      <c r="AP345" s="189"/>
      <c r="AQ345" s="189"/>
      <c r="AR345" s="189"/>
      <c r="AS345" s="189"/>
      <c r="AT345" s="189"/>
    </row>
    <row r="346" spans="1:46" ht="12.75" customHeight="1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  <c r="AC346" s="189"/>
      <c r="AD346" s="189"/>
      <c r="AE346" s="189"/>
      <c r="AF346" s="189"/>
      <c r="AG346" s="189"/>
      <c r="AH346" s="189"/>
      <c r="AI346" s="189"/>
      <c r="AJ346" s="189"/>
      <c r="AK346" s="189"/>
      <c r="AL346" s="189"/>
      <c r="AM346" s="189"/>
      <c r="AN346" s="189"/>
      <c r="AO346" s="189"/>
      <c r="AP346" s="189"/>
      <c r="AQ346" s="189"/>
      <c r="AR346" s="189"/>
      <c r="AS346" s="189"/>
      <c r="AT346" s="189"/>
    </row>
    <row r="347" spans="1:46" ht="12.75" customHeight="1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  <c r="AC347" s="189"/>
      <c r="AD347" s="189"/>
      <c r="AE347" s="189"/>
      <c r="AF347" s="189"/>
      <c r="AG347" s="189"/>
      <c r="AH347" s="189"/>
      <c r="AI347" s="189"/>
      <c r="AJ347" s="189"/>
      <c r="AK347" s="189"/>
      <c r="AL347" s="189"/>
      <c r="AM347" s="189"/>
      <c r="AN347" s="189"/>
      <c r="AO347" s="189"/>
      <c r="AP347" s="189"/>
      <c r="AQ347" s="189"/>
      <c r="AR347" s="189"/>
      <c r="AS347" s="189"/>
      <c r="AT347" s="189"/>
    </row>
    <row r="348" spans="1:46" ht="12.75" customHeight="1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  <c r="AC348" s="189"/>
      <c r="AD348" s="189"/>
      <c r="AE348" s="189"/>
      <c r="AF348" s="189"/>
      <c r="AG348" s="189"/>
      <c r="AH348" s="189"/>
      <c r="AI348" s="189"/>
      <c r="AJ348" s="189"/>
      <c r="AK348" s="189"/>
      <c r="AL348" s="189"/>
      <c r="AM348" s="189"/>
      <c r="AN348" s="189"/>
      <c r="AO348" s="189"/>
      <c r="AP348" s="189"/>
      <c r="AQ348" s="189"/>
      <c r="AR348" s="189"/>
      <c r="AS348" s="189"/>
      <c r="AT348" s="189"/>
    </row>
    <row r="349" spans="1:46" ht="12.75" customHeight="1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  <c r="AC349" s="189"/>
      <c r="AD349" s="189"/>
      <c r="AE349" s="189"/>
      <c r="AF349" s="189"/>
      <c r="AG349" s="189"/>
      <c r="AH349" s="189"/>
      <c r="AI349" s="189"/>
      <c r="AJ349" s="189"/>
      <c r="AK349" s="189"/>
      <c r="AL349" s="189"/>
      <c r="AM349" s="189"/>
      <c r="AN349" s="189"/>
      <c r="AO349" s="189"/>
      <c r="AP349" s="189"/>
      <c r="AQ349" s="189"/>
      <c r="AR349" s="189"/>
      <c r="AS349" s="189"/>
      <c r="AT349" s="189"/>
    </row>
    <row r="350" spans="1:46" ht="12.75" customHeight="1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  <c r="AC350" s="189"/>
      <c r="AD350" s="189"/>
      <c r="AE350" s="189"/>
      <c r="AF350" s="189"/>
      <c r="AG350" s="189"/>
      <c r="AH350" s="189"/>
      <c r="AI350" s="189"/>
      <c r="AJ350" s="189"/>
      <c r="AK350" s="189"/>
      <c r="AL350" s="189"/>
      <c r="AM350" s="189"/>
      <c r="AN350" s="189"/>
      <c r="AO350" s="189"/>
      <c r="AP350" s="189"/>
      <c r="AQ350" s="189"/>
      <c r="AR350" s="189"/>
      <c r="AS350" s="189"/>
      <c r="AT350" s="189"/>
    </row>
    <row r="351" spans="1:46" ht="12.75" customHeight="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  <c r="AC351" s="189"/>
      <c r="AD351" s="189"/>
      <c r="AE351" s="189"/>
      <c r="AF351" s="189"/>
      <c r="AG351" s="189"/>
      <c r="AH351" s="189"/>
      <c r="AI351" s="189"/>
      <c r="AJ351" s="189"/>
      <c r="AK351" s="189"/>
      <c r="AL351" s="189"/>
      <c r="AM351" s="189"/>
      <c r="AN351" s="189"/>
      <c r="AO351" s="189"/>
      <c r="AP351" s="189"/>
      <c r="AQ351" s="189"/>
      <c r="AR351" s="189"/>
      <c r="AS351" s="189"/>
      <c r="AT351" s="189"/>
    </row>
    <row r="352" spans="1:46" ht="12.75" customHeight="1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  <c r="AC352" s="189"/>
      <c r="AD352" s="189"/>
      <c r="AE352" s="189"/>
      <c r="AF352" s="189"/>
      <c r="AG352" s="189"/>
      <c r="AH352" s="189"/>
      <c r="AI352" s="189"/>
      <c r="AJ352" s="189"/>
      <c r="AK352" s="189"/>
      <c r="AL352" s="189"/>
      <c r="AM352" s="189"/>
      <c r="AN352" s="189"/>
      <c r="AO352" s="189"/>
      <c r="AP352" s="189"/>
      <c r="AQ352" s="189"/>
      <c r="AR352" s="189"/>
      <c r="AS352" s="189"/>
      <c r="AT352" s="189"/>
    </row>
    <row r="353" spans="1:46" ht="12.75" customHeight="1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  <c r="AC353" s="189"/>
      <c r="AD353" s="189"/>
      <c r="AE353" s="189"/>
      <c r="AF353" s="189"/>
      <c r="AG353" s="189"/>
      <c r="AH353" s="189"/>
      <c r="AI353" s="189"/>
      <c r="AJ353" s="189"/>
      <c r="AK353" s="189"/>
      <c r="AL353" s="189"/>
      <c r="AM353" s="189"/>
      <c r="AN353" s="189"/>
      <c r="AO353" s="189"/>
      <c r="AP353" s="189"/>
      <c r="AQ353" s="189"/>
      <c r="AR353" s="189"/>
      <c r="AS353" s="189"/>
      <c r="AT353" s="189"/>
    </row>
    <row r="354" spans="1:46" ht="12.75" customHeight="1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89"/>
      <c r="AH354" s="189"/>
      <c r="AI354" s="189"/>
      <c r="AJ354" s="189"/>
      <c r="AK354" s="189"/>
      <c r="AL354" s="189"/>
      <c r="AM354" s="189"/>
      <c r="AN354" s="189"/>
      <c r="AO354" s="189"/>
      <c r="AP354" s="189"/>
      <c r="AQ354" s="189"/>
      <c r="AR354" s="189"/>
      <c r="AS354" s="189"/>
      <c r="AT354" s="189"/>
    </row>
    <row r="355" spans="1:46" ht="12.75" customHeight="1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  <c r="AC355" s="189"/>
      <c r="AD355" s="189"/>
      <c r="AE355" s="189"/>
      <c r="AF355" s="189"/>
      <c r="AG355" s="189"/>
      <c r="AH355" s="189"/>
      <c r="AI355" s="189"/>
      <c r="AJ355" s="189"/>
      <c r="AK355" s="189"/>
      <c r="AL355" s="189"/>
      <c r="AM355" s="189"/>
      <c r="AN355" s="189"/>
      <c r="AO355" s="189"/>
      <c r="AP355" s="189"/>
      <c r="AQ355" s="189"/>
      <c r="AR355" s="189"/>
      <c r="AS355" s="189"/>
      <c r="AT355" s="189"/>
    </row>
    <row r="356" spans="1:46" ht="12.75" customHeight="1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  <c r="AC356" s="189"/>
      <c r="AD356" s="189"/>
      <c r="AE356" s="189"/>
      <c r="AF356" s="189"/>
      <c r="AG356" s="189"/>
      <c r="AH356" s="189"/>
      <c r="AI356" s="189"/>
      <c r="AJ356" s="189"/>
      <c r="AK356" s="189"/>
      <c r="AL356" s="189"/>
      <c r="AM356" s="189"/>
      <c r="AN356" s="189"/>
      <c r="AO356" s="189"/>
      <c r="AP356" s="189"/>
      <c r="AQ356" s="189"/>
      <c r="AR356" s="189"/>
      <c r="AS356" s="189"/>
      <c r="AT356" s="189"/>
    </row>
    <row r="357" spans="1:46" ht="12.75" customHeight="1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  <c r="AC357" s="189"/>
      <c r="AD357" s="189"/>
      <c r="AE357" s="189"/>
      <c r="AF357" s="189"/>
      <c r="AG357" s="189"/>
      <c r="AH357" s="189"/>
      <c r="AI357" s="189"/>
      <c r="AJ357" s="189"/>
      <c r="AK357" s="189"/>
      <c r="AL357" s="189"/>
      <c r="AM357" s="189"/>
      <c r="AN357" s="189"/>
      <c r="AO357" s="189"/>
      <c r="AP357" s="189"/>
      <c r="AQ357" s="189"/>
      <c r="AR357" s="189"/>
      <c r="AS357" s="189"/>
      <c r="AT357" s="189"/>
    </row>
    <row r="358" spans="1:46" ht="12.75" customHeight="1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  <c r="AC358" s="189"/>
      <c r="AD358" s="189"/>
      <c r="AE358" s="189"/>
      <c r="AF358" s="189"/>
      <c r="AG358" s="189"/>
      <c r="AH358" s="189"/>
      <c r="AI358" s="189"/>
      <c r="AJ358" s="189"/>
      <c r="AK358" s="189"/>
      <c r="AL358" s="189"/>
      <c r="AM358" s="189"/>
      <c r="AN358" s="189"/>
      <c r="AO358" s="189"/>
      <c r="AP358" s="189"/>
      <c r="AQ358" s="189"/>
      <c r="AR358" s="189"/>
      <c r="AS358" s="189"/>
      <c r="AT358" s="189"/>
    </row>
    <row r="359" spans="1:46" ht="12.75" customHeight="1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  <c r="AC359" s="189"/>
      <c r="AD359" s="189"/>
      <c r="AE359" s="189"/>
      <c r="AF359" s="189"/>
      <c r="AG359" s="189"/>
      <c r="AH359" s="189"/>
      <c r="AI359" s="189"/>
      <c r="AJ359" s="189"/>
      <c r="AK359" s="189"/>
      <c r="AL359" s="189"/>
      <c r="AM359" s="189"/>
      <c r="AN359" s="189"/>
      <c r="AO359" s="189"/>
      <c r="AP359" s="189"/>
      <c r="AQ359" s="189"/>
      <c r="AR359" s="189"/>
      <c r="AS359" s="189"/>
      <c r="AT359" s="189"/>
    </row>
    <row r="360" spans="1:46" ht="12.75" customHeight="1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  <c r="AD360" s="189"/>
      <c r="AE360" s="189"/>
      <c r="AF360" s="189"/>
      <c r="AG360" s="189"/>
      <c r="AH360" s="189"/>
      <c r="AI360" s="189"/>
      <c r="AJ360" s="189"/>
      <c r="AK360" s="189"/>
      <c r="AL360" s="189"/>
      <c r="AM360" s="189"/>
      <c r="AN360" s="189"/>
      <c r="AO360" s="189"/>
      <c r="AP360" s="189"/>
      <c r="AQ360" s="189"/>
      <c r="AR360" s="189"/>
      <c r="AS360" s="189"/>
      <c r="AT360" s="189"/>
    </row>
    <row r="361" spans="1:46" ht="12.75" customHeight="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  <c r="AC361" s="189"/>
      <c r="AD361" s="189"/>
      <c r="AE361" s="189"/>
      <c r="AF361" s="189"/>
      <c r="AG361" s="189"/>
      <c r="AH361" s="189"/>
      <c r="AI361" s="189"/>
      <c r="AJ361" s="189"/>
      <c r="AK361" s="189"/>
      <c r="AL361" s="189"/>
      <c r="AM361" s="189"/>
      <c r="AN361" s="189"/>
      <c r="AO361" s="189"/>
      <c r="AP361" s="189"/>
      <c r="AQ361" s="189"/>
      <c r="AR361" s="189"/>
      <c r="AS361" s="189"/>
      <c r="AT361" s="189"/>
    </row>
    <row r="362" spans="1:46" ht="12.75" customHeight="1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  <c r="AC362" s="189"/>
      <c r="AD362" s="189"/>
      <c r="AE362" s="189"/>
      <c r="AF362" s="189"/>
      <c r="AG362" s="189"/>
      <c r="AH362" s="189"/>
      <c r="AI362" s="189"/>
      <c r="AJ362" s="189"/>
      <c r="AK362" s="189"/>
      <c r="AL362" s="189"/>
      <c r="AM362" s="189"/>
      <c r="AN362" s="189"/>
      <c r="AO362" s="189"/>
      <c r="AP362" s="189"/>
      <c r="AQ362" s="189"/>
      <c r="AR362" s="189"/>
      <c r="AS362" s="189"/>
      <c r="AT362" s="189"/>
    </row>
    <row r="363" spans="1:46" ht="12.75" customHeight="1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  <c r="AC363" s="189"/>
      <c r="AD363" s="189"/>
      <c r="AE363" s="189"/>
      <c r="AF363" s="189"/>
      <c r="AG363" s="189"/>
      <c r="AH363" s="189"/>
      <c r="AI363" s="189"/>
      <c r="AJ363" s="189"/>
      <c r="AK363" s="189"/>
      <c r="AL363" s="189"/>
      <c r="AM363" s="189"/>
      <c r="AN363" s="189"/>
      <c r="AO363" s="189"/>
      <c r="AP363" s="189"/>
      <c r="AQ363" s="189"/>
      <c r="AR363" s="189"/>
      <c r="AS363" s="189"/>
      <c r="AT363" s="189"/>
    </row>
    <row r="364" spans="1:46" ht="12.75" customHeight="1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  <c r="AC364" s="189"/>
      <c r="AD364" s="189"/>
      <c r="AE364" s="189"/>
      <c r="AF364" s="189"/>
      <c r="AG364" s="189"/>
      <c r="AH364" s="189"/>
      <c r="AI364" s="189"/>
      <c r="AJ364" s="189"/>
      <c r="AK364" s="189"/>
      <c r="AL364" s="189"/>
      <c r="AM364" s="189"/>
      <c r="AN364" s="189"/>
      <c r="AO364" s="189"/>
      <c r="AP364" s="189"/>
      <c r="AQ364" s="189"/>
      <c r="AR364" s="189"/>
      <c r="AS364" s="189"/>
      <c r="AT364" s="189"/>
    </row>
    <row r="365" spans="1:46" ht="12.75" customHeight="1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  <c r="AC365" s="189"/>
      <c r="AD365" s="189"/>
      <c r="AE365" s="189"/>
      <c r="AF365" s="189"/>
      <c r="AG365" s="189"/>
      <c r="AH365" s="189"/>
      <c r="AI365" s="189"/>
      <c r="AJ365" s="189"/>
      <c r="AK365" s="189"/>
      <c r="AL365" s="189"/>
      <c r="AM365" s="189"/>
      <c r="AN365" s="189"/>
      <c r="AO365" s="189"/>
      <c r="AP365" s="189"/>
      <c r="AQ365" s="189"/>
      <c r="AR365" s="189"/>
      <c r="AS365" s="189"/>
      <c r="AT365" s="189"/>
    </row>
    <row r="366" spans="1:46" ht="12.75" customHeight="1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  <c r="AC366" s="189"/>
      <c r="AD366" s="189"/>
      <c r="AE366" s="189"/>
      <c r="AF366" s="189"/>
      <c r="AG366" s="189"/>
      <c r="AH366" s="189"/>
      <c r="AI366" s="189"/>
      <c r="AJ366" s="189"/>
      <c r="AK366" s="189"/>
      <c r="AL366" s="189"/>
      <c r="AM366" s="189"/>
      <c r="AN366" s="189"/>
      <c r="AO366" s="189"/>
      <c r="AP366" s="189"/>
      <c r="AQ366" s="189"/>
      <c r="AR366" s="189"/>
      <c r="AS366" s="189"/>
      <c r="AT366" s="189"/>
    </row>
    <row r="367" spans="1:46" ht="12.75" customHeight="1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  <c r="AC367" s="189"/>
      <c r="AD367" s="189"/>
      <c r="AE367" s="189"/>
      <c r="AF367" s="189"/>
      <c r="AG367" s="189"/>
      <c r="AH367" s="189"/>
      <c r="AI367" s="189"/>
      <c r="AJ367" s="189"/>
      <c r="AK367" s="189"/>
      <c r="AL367" s="189"/>
      <c r="AM367" s="189"/>
      <c r="AN367" s="189"/>
      <c r="AO367" s="189"/>
      <c r="AP367" s="189"/>
      <c r="AQ367" s="189"/>
      <c r="AR367" s="189"/>
      <c r="AS367" s="189"/>
      <c r="AT367" s="189"/>
    </row>
    <row r="368" spans="1:46" ht="12.75" customHeight="1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  <c r="AC368" s="189"/>
      <c r="AD368" s="189"/>
      <c r="AE368" s="189"/>
      <c r="AF368" s="189"/>
      <c r="AG368" s="189"/>
      <c r="AH368" s="189"/>
      <c r="AI368" s="189"/>
      <c r="AJ368" s="189"/>
      <c r="AK368" s="189"/>
      <c r="AL368" s="189"/>
      <c r="AM368" s="189"/>
      <c r="AN368" s="189"/>
      <c r="AO368" s="189"/>
      <c r="AP368" s="189"/>
      <c r="AQ368" s="189"/>
      <c r="AR368" s="189"/>
      <c r="AS368" s="189"/>
      <c r="AT368" s="189"/>
    </row>
    <row r="369" spans="1:46" ht="12.75" customHeight="1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  <c r="AC369" s="189"/>
      <c r="AD369" s="189"/>
      <c r="AE369" s="189"/>
      <c r="AF369" s="189"/>
      <c r="AG369" s="189"/>
      <c r="AH369" s="189"/>
      <c r="AI369" s="189"/>
      <c r="AJ369" s="189"/>
      <c r="AK369" s="189"/>
      <c r="AL369" s="189"/>
      <c r="AM369" s="189"/>
      <c r="AN369" s="189"/>
      <c r="AO369" s="189"/>
      <c r="AP369" s="189"/>
      <c r="AQ369" s="189"/>
      <c r="AR369" s="189"/>
      <c r="AS369" s="189"/>
      <c r="AT369" s="189"/>
    </row>
    <row r="370" spans="1:46" ht="12.75" customHeight="1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  <c r="AC370" s="189"/>
      <c r="AD370" s="189"/>
      <c r="AE370" s="189"/>
      <c r="AF370" s="189"/>
      <c r="AG370" s="189"/>
      <c r="AH370" s="189"/>
      <c r="AI370" s="189"/>
      <c r="AJ370" s="189"/>
      <c r="AK370" s="189"/>
      <c r="AL370" s="189"/>
      <c r="AM370" s="189"/>
      <c r="AN370" s="189"/>
      <c r="AO370" s="189"/>
      <c r="AP370" s="189"/>
      <c r="AQ370" s="189"/>
      <c r="AR370" s="189"/>
      <c r="AS370" s="189"/>
      <c r="AT370" s="189"/>
    </row>
    <row r="371" spans="1:46" ht="12.75" customHeight="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  <c r="AC371" s="189"/>
      <c r="AD371" s="189"/>
      <c r="AE371" s="189"/>
      <c r="AF371" s="189"/>
      <c r="AG371" s="189"/>
      <c r="AH371" s="189"/>
      <c r="AI371" s="189"/>
      <c r="AJ371" s="189"/>
      <c r="AK371" s="189"/>
      <c r="AL371" s="189"/>
      <c r="AM371" s="189"/>
      <c r="AN371" s="189"/>
      <c r="AO371" s="189"/>
      <c r="AP371" s="189"/>
      <c r="AQ371" s="189"/>
      <c r="AR371" s="189"/>
      <c r="AS371" s="189"/>
      <c r="AT371" s="189"/>
    </row>
    <row r="372" spans="1:46" ht="12.75" customHeight="1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  <c r="AC372" s="189"/>
      <c r="AD372" s="189"/>
      <c r="AE372" s="189"/>
      <c r="AF372" s="189"/>
      <c r="AG372" s="189"/>
      <c r="AH372" s="189"/>
      <c r="AI372" s="189"/>
      <c r="AJ372" s="189"/>
      <c r="AK372" s="189"/>
      <c r="AL372" s="189"/>
      <c r="AM372" s="189"/>
      <c r="AN372" s="189"/>
      <c r="AO372" s="189"/>
      <c r="AP372" s="189"/>
      <c r="AQ372" s="189"/>
      <c r="AR372" s="189"/>
      <c r="AS372" s="189"/>
      <c r="AT372" s="189"/>
    </row>
    <row r="373" spans="1:46" ht="12.75" customHeight="1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89"/>
      <c r="AN373" s="189"/>
      <c r="AO373" s="189"/>
      <c r="AP373" s="189"/>
      <c r="AQ373" s="189"/>
      <c r="AR373" s="189"/>
      <c r="AS373" s="189"/>
      <c r="AT373" s="189"/>
    </row>
    <row r="374" spans="1:46" ht="12.75" customHeight="1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  <c r="AC374" s="189"/>
      <c r="AD374" s="189"/>
      <c r="AE374" s="189"/>
      <c r="AF374" s="189"/>
      <c r="AG374" s="189"/>
      <c r="AH374" s="189"/>
      <c r="AI374" s="189"/>
      <c r="AJ374" s="189"/>
      <c r="AK374" s="189"/>
      <c r="AL374" s="189"/>
      <c r="AM374" s="189"/>
      <c r="AN374" s="189"/>
      <c r="AO374" s="189"/>
      <c r="AP374" s="189"/>
      <c r="AQ374" s="189"/>
      <c r="AR374" s="189"/>
      <c r="AS374" s="189"/>
      <c r="AT374" s="189"/>
    </row>
    <row r="375" spans="1:46" ht="12.7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89"/>
      <c r="AN375" s="189"/>
      <c r="AO375" s="189"/>
      <c r="AP375" s="189"/>
      <c r="AQ375" s="189"/>
      <c r="AR375" s="189"/>
      <c r="AS375" s="189"/>
      <c r="AT375" s="189"/>
    </row>
    <row r="376" spans="1:46" ht="12.75" customHeight="1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  <c r="AC376" s="189"/>
      <c r="AD376" s="189"/>
      <c r="AE376" s="189"/>
      <c r="AF376" s="189"/>
      <c r="AG376" s="189"/>
      <c r="AH376" s="189"/>
      <c r="AI376" s="189"/>
      <c r="AJ376" s="189"/>
      <c r="AK376" s="189"/>
      <c r="AL376" s="189"/>
      <c r="AM376" s="189"/>
      <c r="AN376" s="189"/>
      <c r="AO376" s="189"/>
      <c r="AP376" s="189"/>
      <c r="AQ376" s="189"/>
      <c r="AR376" s="189"/>
      <c r="AS376" s="189"/>
      <c r="AT376" s="189"/>
    </row>
    <row r="377" spans="1:46" ht="12.75" customHeight="1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  <c r="AC377" s="189"/>
      <c r="AD377" s="189"/>
      <c r="AE377" s="189"/>
      <c r="AF377" s="189"/>
      <c r="AG377" s="189"/>
      <c r="AH377" s="189"/>
      <c r="AI377" s="189"/>
      <c r="AJ377" s="189"/>
      <c r="AK377" s="189"/>
      <c r="AL377" s="189"/>
      <c r="AM377" s="189"/>
      <c r="AN377" s="189"/>
      <c r="AO377" s="189"/>
      <c r="AP377" s="189"/>
      <c r="AQ377" s="189"/>
      <c r="AR377" s="189"/>
      <c r="AS377" s="189"/>
      <c r="AT377" s="189"/>
    </row>
    <row r="378" spans="1:46" ht="12.75" customHeight="1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  <c r="AC378" s="189"/>
      <c r="AD378" s="189"/>
      <c r="AE378" s="189"/>
      <c r="AF378" s="189"/>
      <c r="AG378" s="189"/>
      <c r="AH378" s="189"/>
      <c r="AI378" s="189"/>
      <c r="AJ378" s="189"/>
      <c r="AK378" s="189"/>
      <c r="AL378" s="189"/>
      <c r="AM378" s="189"/>
      <c r="AN378" s="189"/>
      <c r="AO378" s="189"/>
      <c r="AP378" s="189"/>
      <c r="AQ378" s="189"/>
      <c r="AR378" s="189"/>
      <c r="AS378" s="189"/>
      <c r="AT378" s="189"/>
    </row>
    <row r="379" spans="1:46" ht="12.75" customHeight="1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189"/>
      <c r="AJ379" s="189"/>
      <c r="AK379" s="189"/>
      <c r="AL379" s="189"/>
      <c r="AM379" s="189"/>
      <c r="AN379" s="189"/>
      <c r="AO379" s="189"/>
      <c r="AP379" s="189"/>
      <c r="AQ379" s="189"/>
      <c r="AR379" s="189"/>
      <c r="AS379" s="189"/>
      <c r="AT379" s="189"/>
    </row>
    <row r="380" spans="1:46" ht="12.75" customHeight="1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  <c r="AC380" s="189"/>
      <c r="AD380" s="189"/>
      <c r="AE380" s="189"/>
      <c r="AF380" s="189"/>
      <c r="AG380" s="189"/>
      <c r="AH380" s="189"/>
      <c r="AI380" s="189"/>
      <c r="AJ380" s="189"/>
      <c r="AK380" s="189"/>
      <c r="AL380" s="189"/>
      <c r="AM380" s="189"/>
      <c r="AN380" s="189"/>
      <c r="AO380" s="189"/>
      <c r="AP380" s="189"/>
      <c r="AQ380" s="189"/>
      <c r="AR380" s="189"/>
      <c r="AS380" s="189"/>
      <c r="AT380" s="189"/>
    </row>
    <row r="381" spans="1:46" ht="12.75" customHeight="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  <c r="AC381" s="189"/>
      <c r="AD381" s="189"/>
      <c r="AE381" s="189"/>
      <c r="AF381" s="189"/>
      <c r="AG381" s="189"/>
      <c r="AH381" s="189"/>
      <c r="AI381" s="189"/>
      <c r="AJ381" s="189"/>
      <c r="AK381" s="189"/>
      <c r="AL381" s="189"/>
      <c r="AM381" s="189"/>
      <c r="AN381" s="189"/>
      <c r="AO381" s="189"/>
      <c r="AP381" s="189"/>
      <c r="AQ381" s="189"/>
      <c r="AR381" s="189"/>
      <c r="AS381" s="189"/>
      <c r="AT381" s="189"/>
    </row>
    <row r="382" spans="1:46" ht="12.75" customHeight="1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  <c r="AC382" s="189"/>
      <c r="AD382" s="189"/>
      <c r="AE382" s="189"/>
      <c r="AF382" s="189"/>
      <c r="AG382" s="189"/>
      <c r="AH382" s="189"/>
      <c r="AI382" s="189"/>
      <c r="AJ382" s="189"/>
      <c r="AK382" s="189"/>
      <c r="AL382" s="189"/>
      <c r="AM382" s="189"/>
      <c r="AN382" s="189"/>
      <c r="AO382" s="189"/>
      <c r="AP382" s="189"/>
      <c r="AQ382" s="189"/>
      <c r="AR382" s="189"/>
      <c r="AS382" s="189"/>
      <c r="AT382" s="189"/>
    </row>
    <row r="383" spans="1:46" ht="12.75" customHeight="1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  <c r="AC383" s="189"/>
      <c r="AD383" s="189"/>
      <c r="AE383" s="189"/>
      <c r="AF383" s="189"/>
      <c r="AG383" s="189"/>
      <c r="AH383" s="189"/>
      <c r="AI383" s="189"/>
      <c r="AJ383" s="189"/>
      <c r="AK383" s="189"/>
      <c r="AL383" s="189"/>
      <c r="AM383" s="189"/>
      <c r="AN383" s="189"/>
      <c r="AO383" s="189"/>
      <c r="AP383" s="189"/>
      <c r="AQ383" s="189"/>
      <c r="AR383" s="189"/>
      <c r="AS383" s="189"/>
      <c r="AT383" s="189"/>
    </row>
    <row r="384" spans="1:46" ht="12.75" customHeight="1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  <c r="AC384" s="189"/>
      <c r="AD384" s="189"/>
      <c r="AE384" s="189"/>
      <c r="AF384" s="189"/>
      <c r="AG384" s="189"/>
      <c r="AH384" s="189"/>
      <c r="AI384" s="189"/>
      <c r="AJ384" s="189"/>
      <c r="AK384" s="189"/>
      <c r="AL384" s="189"/>
      <c r="AM384" s="189"/>
      <c r="AN384" s="189"/>
      <c r="AO384" s="189"/>
      <c r="AP384" s="189"/>
      <c r="AQ384" s="189"/>
      <c r="AR384" s="189"/>
      <c r="AS384" s="189"/>
      <c r="AT384" s="189"/>
    </row>
    <row r="385" spans="1:46" ht="12.75" customHeight="1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  <c r="AC385" s="189"/>
      <c r="AD385" s="189"/>
      <c r="AE385" s="189"/>
      <c r="AF385" s="189"/>
      <c r="AG385" s="189"/>
      <c r="AH385" s="189"/>
      <c r="AI385" s="189"/>
      <c r="AJ385" s="189"/>
      <c r="AK385" s="189"/>
      <c r="AL385" s="189"/>
      <c r="AM385" s="189"/>
      <c r="AN385" s="189"/>
      <c r="AO385" s="189"/>
      <c r="AP385" s="189"/>
      <c r="AQ385" s="189"/>
      <c r="AR385" s="189"/>
      <c r="AS385" s="189"/>
      <c r="AT385" s="189"/>
    </row>
    <row r="386" spans="1:46" ht="12.75" customHeight="1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89"/>
      <c r="AD386" s="189"/>
      <c r="AE386" s="189"/>
      <c r="AF386" s="189"/>
      <c r="AG386" s="189"/>
      <c r="AH386" s="189"/>
      <c r="AI386" s="189"/>
      <c r="AJ386" s="189"/>
      <c r="AK386" s="189"/>
      <c r="AL386" s="189"/>
      <c r="AM386" s="189"/>
      <c r="AN386" s="189"/>
      <c r="AO386" s="189"/>
      <c r="AP386" s="189"/>
      <c r="AQ386" s="189"/>
      <c r="AR386" s="189"/>
      <c r="AS386" s="189"/>
      <c r="AT386" s="189"/>
    </row>
    <row r="387" spans="1:46" ht="12.75" customHeight="1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  <c r="AC387" s="189"/>
      <c r="AD387" s="189"/>
      <c r="AE387" s="189"/>
      <c r="AF387" s="189"/>
      <c r="AG387" s="189"/>
      <c r="AH387" s="189"/>
      <c r="AI387" s="189"/>
      <c r="AJ387" s="189"/>
      <c r="AK387" s="189"/>
      <c r="AL387" s="189"/>
      <c r="AM387" s="189"/>
      <c r="AN387" s="189"/>
      <c r="AO387" s="189"/>
      <c r="AP387" s="189"/>
      <c r="AQ387" s="189"/>
      <c r="AR387" s="189"/>
      <c r="AS387" s="189"/>
      <c r="AT387" s="189"/>
    </row>
    <row r="388" spans="1:46" ht="12.75" customHeight="1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  <c r="AC388" s="189"/>
      <c r="AD388" s="189"/>
      <c r="AE388" s="189"/>
      <c r="AF388" s="189"/>
      <c r="AG388" s="189"/>
      <c r="AH388" s="189"/>
      <c r="AI388" s="189"/>
      <c r="AJ388" s="189"/>
      <c r="AK388" s="189"/>
      <c r="AL388" s="189"/>
      <c r="AM388" s="189"/>
      <c r="AN388" s="189"/>
      <c r="AO388" s="189"/>
      <c r="AP388" s="189"/>
      <c r="AQ388" s="189"/>
      <c r="AR388" s="189"/>
      <c r="AS388" s="189"/>
      <c r="AT388" s="189"/>
    </row>
    <row r="389" spans="1:46" ht="12.75" customHeight="1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  <c r="AC389" s="189"/>
      <c r="AD389" s="189"/>
      <c r="AE389" s="189"/>
      <c r="AF389" s="189"/>
      <c r="AG389" s="189"/>
      <c r="AH389" s="189"/>
      <c r="AI389" s="189"/>
      <c r="AJ389" s="189"/>
      <c r="AK389" s="189"/>
      <c r="AL389" s="189"/>
      <c r="AM389" s="189"/>
      <c r="AN389" s="189"/>
      <c r="AO389" s="189"/>
      <c r="AP389" s="189"/>
      <c r="AQ389" s="189"/>
      <c r="AR389" s="189"/>
      <c r="AS389" s="189"/>
      <c r="AT389" s="189"/>
    </row>
    <row r="390" spans="1:46" ht="12.75" customHeight="1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  <c r="AC390" s="189"/>
      <c r="AD390" s="189"/>
      <c r="AE390" s="189"/>
      <c r="AF390" s="189"/>
      <c r="AG390" s="189"/>
      <c r="AH390" s="189"/>
      <c r="AI390" s="189"/>
      <c r="AJ390" s="189"/>
      <c r="AK390" s="189"/>
      <c r="AL390" s="189"/>
      <c r="AM390" s="189"/>
      <c r="AN390" s="189"/>
      <c r="AO390" s="189"/>
      <c r="AP390" s="189"/>
      <c r="AQ390" s="189"/>
      <c r="AR390" s="189"/>
      <c r="AS390" s="189"/>
      <c r="AT390" s="189"/>
    </row>
    <row r="391" spans="1:46" ht="12.75" customHeight="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  <c r="AC391" s="189"/>
      <c r="AD391" s="189"/>
      <c r="AE391" s="189"/>
      <c r="AF391" s="189"/>
      <c r="AG391" s="189"/>
      <c r="AH391" s="189"/>
      <c r="AI391" s="189"/>
      <c r="AJ391" s="189"/>
      <c r="AK391" s="189"/>
      <c r="AL391" s="189"/>
      <c r="AM391" s="189"/>
      <c r="AN391" s="189"/>
      <c r="AO391" s="189"/>
      <c r="AP391" s="189"/>
      <c r="AQ391" s="189"/>
      <c r="AR391" s="189"/>
      <c r="AS391" s="189"/>
      <c r="AT391" s="189"/>
    </row>
    <row r="392" spans="1:46" ht="12.75" customHeight="1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89"/>
      <c r="AN392" s="189"/>
      <c r="AO392" s="189"/>
      <c r="AP392" s="189"/>
      <c r="AQ392" s="189"/>
      <c r="AR392" s="189"/>
      <c r="AS392" s="189"/>
      <c r="AT392" s="189"/>
    </row>
    <row r="393" spans="1:46" ht="12.75" customHeight="1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89"/>
      <c r="AN393" s="189"/>
      <c r="AO393" s="189"/>
      <c r="AP393" s="189"/>
      <c r="AQ393" s="189"/>
      <c r="AR393" s="189"/>
      <c r="AS393" s="189"/>
      <c r="AT393" s="189"/>
    </row>
    <row r="394" spans="1:46" ht="12.75" customHeight="1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89"/>
      <c r="AN394" s="189"/>
      <c r="AO394" s="189"/>
      <c r="AP394" s="189"/>
      <c r="AQ394" s="189"/>
      <c r="AR394" s="189"/>
      <c r="AS394" s="189"/>
      <c r="AT394" s="189"/>
    </row>
    <row r="395" spans="1:46" ht="12.75" customHeight="1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89"/>
      <c r="AN395" s="189"/>
      <c r="AO395" s="189"/>
      <c r="AP395" s="189"/>
      <c r="AQ395" s="189"/>
      <c r="AR395" s="189"/>
      <c r="AS395" s="189"/>
      <c r="AT395" s="189"/>
    </row>
    <row r="396" spans="1:46" ht="12.75" customHeight="1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  <c r="AO396" s="189"/>
      <c r="AP396" s="189"/>
      <c r="AQ396" s="189"/>
      <c r="AR396" s="189"/>
      <c r="AS396" s="189"/>
      <c r="AT396" s="189"/>
    </row>
    <row r="397" spans="1:46" ht="12.75" customHeight="1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  <c r="AO397" s="189"/>
      <c r="AP397" s="189"/>
      <c r="AQ397" s="189"/>
      <c r="AR397" s="189"/>
      <c r="AS397" s="189"/>
      <c r="AT397" s="189"/>
    </row>
    <row r="398" spans="1:46" ht="12.75" customHeight="1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89"/>
      <c r="AN398" s="189"/>
      <c r="AO398" s="189"/>
      <c r="AP398" s="189"/>
      <c r="AQ398" s="189"/>
      <c r="AR398" s="189"/>
      <c r="AS398" s="189"/>
      <c r="AT398" s="189"/>
    </row>
    <row r="399" spans="1:46" ht="12.75" customHeight="1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89"/>
      <c r="AR399" s="189"/>
      <c r="AS399" s="189"/>
      <c r="AT399" s="189"/>
    </row>
    <row r="400" spans="1:46" ht="12.75" customHeight="1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  <c r="AQ400" s="189"/>
      <c r="AR400" s="189"/>
      <c r="AS400" s="189"/>
      <c r="AT400" s="189"/>
    </row>
    <row r="401" spans="1:46" ht="12.75" customHeight="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89"/>
      <c r="AN401" s="189"/>
      <c r="AO401" s="189"/>
      <c r="AP401" s="189"/>
      <c r="AQ401" s="189"/>
      <c r="AR401" s="189"/>
      <c r="AS401" s="189"/>
      <c r="AT401" s="189"/>
    </row>
    <row r="402" spans="1:46" ht="12.75" customHeight="1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89"/>
      <c r="AN402" s="189"/>
      <c r="AO402" s="189"/>
      <c r="AP402" s="189"/>
      <c r="AQ402" s="189"/>
      <c r="AR402" s="189"/>
      <c r="AS402" s="189"/>
      <c r="AT402" s="189"/>
    </row>
    <row r="403" spans="1:46" ht="12.7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  <c r="AQ403" s="189"/>
      <c r="AR403" s="189"/>
      <c r="AS403" s="189"/>
      <c r="AT403" s="189"/>
    </row>
    <row r="404" spans="1:46" ht="12.75" customHeight="1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89"/>
      <c r="AN404" s="189"/>
      <c r="AO404" s="189"/>
      <c r="AP404" s="189"/>
      <c r="AQ404" s="189"/>
      <c r="AR404" s="189"/>
      <c r="AS404" s="189"/>
      <c r="AT404" s="189"/>
    </row>
    <row r="405" spans="1:46" ht="12.75" customHeight="1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89"/>
      <c r="AD405" s="189"/>
      <c r="AE405" s="189"/>
      <c r="AF405" s="189"/>
      <c r="AG405" s="189"/>
      <c r="AH405" s="189"/>
      <c r="AI405" s="189"/>
      <c r="AJ405" s="189"/>
      <c r="AK405" s="189"/>
      <c r="AL405" s="189"/>
      <c r="AM405" s="189"/>
      <c r="AN405" s="189"/>
      <c r="AO405" s="189"/>
      <c r="AP405" s="189"/>
      <c r="AQ405" s="189"/>
      <c r="AR405" s="189"/>
      <c r="AS405" s="189"/>
      <c r="AT405" s="189"/>
    </row>
    <row r="406" spans="1:46" ht="12.75" customHeight="1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89"/>
      <c r="AD406" s="189"/>
      <c r="AE406" s="189"/>
      <c r="AF406" s="189"/>
      <c r="AG406" s="189"/>
      <c r="AH406" s="189"/>
      <c r="AI406" s="189"/>
      <c r="AJ406" s="189"/>
      <c r="AK406" s="189"/>
      <c r="AL406" s="189"/>
      <c r="AM406" s="189"/>
      <c r="AN406" s="189"/>
      <c r="AO406" s="189"/>
      <c r="AP406" s="189"/>
      <c r="AQ406" s="189"/>
      <c r="AR406" s="189"/>
      <c r="AS406" s="189"/>
      <c r="AT406" s="189"/>
    </row>
    <row r="407" spans="1:46" ht="12.75" customHeight="1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89"/>
      <c r="AN407" s="189"/>
      <c r="AO407" s="189"/>
      <c r="AP407" s="189"/>
      <c r="AQ407" s="189"/>
      <c r="AR407" s="189"/>
      <c r="AS407" s="189"/>
      <c r="AT407" s="189"/>
    </row>
    <row r="408" spans="1:46" ht="12.75" customHeight="1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89"/>
      <c r="AN408" s="189"/>
      <c r="AO408" s="189"/>
      <c r="AP408" s="189"/>
      <c r="AQ408" s="189"/>
      <c r="AR408" s="189"/>
      <c r="AS408" s="189"/>
      <c r="AT408" s="189"/>
    </row>
    <row r="409" spans="1:46" ht="12.75" customHeight="1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89"/>
      <c r="AN409" s="189"/>
      <c r="AO409" s="189"/>
      <c r="AP409" s="189"/>
      <c r="AQ409" s="189"/>
      <c r="AR409" s="189"/>
      <c r="AS409" s="189"/>
      <c r="AT409" s="189"/>
    </row>
    <row r="410" spans="1:46" ht="12.75" customHeight="1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89"/>
      <c r="AN410" s="189"/>
      <c r="AO410" s="189"/>
      <c r="AP410" s="189"/>
      <c r="AQ410" s="189"/>
      <c r="AR410" s="189"/>
      <c r="AS410" s="189"/>
      <c r="AT410" s="189"/>
    </row>
    <row r="411" spans="1:46" ht="12.75" customHeight="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89"/>
      <c r="AN411" s="189"/>
      <c r="AO411" s="189"/>
      <c r="AP411" s="189"/>
      <c r="AQ411" s="189"/>
      <c r="AR411" s="189"/>
      <c r="AS411" s="189"/>
      <c r="AT411" s="189"/>
    </row>
    <row r="412" spans="1:46" ht="12.75" customHeight="1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89"/>
      <c r="AN412" s="189"/>
      <c r="AO412" s="189"/>
      <c r="AP412" s="189"/>
      <c r="AQ412" s="189"/>
      <c r="AR412" s="189"/>
      <c r="AS412" s="189"/>
      <c r="AT412" s="189"/>
    </row>
    <row r="413" spans="1:46" ht="12.75" customHeight="1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89"/>
      <c r="AN413" s="189"/>
      <c r="AO413" s="189"/>
      <c r="AP413" s="189"/>
      <c r="AQ413" s="189"/>
      <c r="AR413" s="189"/>
      <c r="AS413" s="189"/>
      <c r="AT413" s="189"/>
    </row>
    <row r="414" spans="1:46" ht="12.75" customHeight="1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89"/>
      <c r="AN414" s="189"/>
      <c r="AO414" s="189"/>
      <c r="AP414" s="189"/>
      <c r="AQ414" s="189"/>
      <c r="AR414" s="189"/>
      <c r="AS414" s="189"/>
      <c r="AT414" s="189"/>
    </row>
    <row r="415" spans="1:46" ht="12.75" customHeight="1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89"/>
      <c r="AN415" s="189"/>
      <c r="AO415" s="189"/>
      <c r="AP415" s="189"/>
      <c r="AQ415" s="189"/>
      <c r="AR415" s="189"/>
      <c r="AS415" s="189"/>
      <c r="AT415" s="189"/>
    </row>
    <row r="416" spans="1:46" ht="12.75" customHeight="1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  <c r="AC416" s="189"/>
      <c r="AD416" s="189"/>
      <c r="AE416" s="189"/>
      <c r="AF416" s="189"/>
      <c r="AG416" s="189"/>
      <c r="AH416" s="189"/>
      <c r="AI416" s="189"/>
      <c r="AJ416" s="189"/>
      <c r="AK416" s="189"/>
      <c r="AL416" s="189"/>
      <c r="AM416" s="189"/>
      <c r="AN416" s="189"/>
      <c r="AO416" s="189"/>
      <c r="AP416" s="189"/>
      <c r="AQ416" s="189"/>
      <c r="AR416" s="189"/>
      <c r="AS416" s="189"/>
      <c r="AT416" s="189"/>
    </row>
    <row r="417" spans="1:46" ht="12.75" customHeight="1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  <c r="AC417" s="189"/>
      <c r="AD417" s="189"/>
      <c r="AE417" s="189"/>
      <c r="AF417" s="189"/>
      <c r="AG417" s="189"/>
      <c r="AH417" s="189"/>
      <c r="AI417" s="189"/>
      <c r="AJ417" s="189"/>
      <c r="AK417" s="189"/>
      <c r="AL417" s="189"/>
      <c r="AM417" s="189"/>
      <c r="AN417" s="189"/>
      <c r="AO417" s="189"/>
      <c r="AP417" s="189"/>
      <c r="AQ417" s="189"/>
      <c r="AR417" s="189"/>
      <c r="AS417" s="189"/>
      <c r="AT417" s="189"/>
    </row>
    <row r="418" spans="1:46" ht="12.75" customHeight="1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89"/>
      <c r="AQ418" s="189"/>
      <c r="AR418" s="189"/>
      <c r="AS418" s="189"/>
      <c r="AT418" s="189"/>
    </row>
    <row r="419" spans="1:46" ht="12.75" customHeight="1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89"/>
      <c r="AF419" s="189"/>
      <c r="AG419" s="189"/>
      <c r="AH419" s="189"/>
      <c r="AI419" s="189"/>
      <c r="AJ419" s="189"/>
      <c r="AK419" s="189"/>
      <c r="AL419" s="189"/>
      <c r="AM419" s="189"/>
      <c r="AN419" s="189"/>
      <c r="AO419" s="189"/>
      <c r="AP419" s="189"/>
      <c r="AQ419" s="189"/>
      <c r="AR419" s="189"/>
      <c r="AS419" s="189"/>
      <c r="AT419" s="189"/>
    </row>
    <row r="420" spans="1:46" ht="12.75" customHeight="1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89"/>
      <c r="AI420" s="189"/>
      <c r="AJ420" s="189"/>
      <c r="AK420" s="189"/>
      <c r="AL420" s="189"/>
      <c r="AM420" s="189"/>
      <c r="AN420" s="189"/>
      <c r="AO420" s="189"/>
      <c r="AP420" s="189"/>
      <c r="AQ420" s="189"/>
      <c r="AR420" s="189"/>
      <c r="AS420" s="189"/>
      <c r="AT420" s="189"/>
    </row>
    <row r="421" spans="1:46" ht="12.75" customHeight="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  <c r="AC421" s="189"/>
      <c r="AD421" s="189"/>
      <c r="AE421" s="189"/>
      <c r="AF421" s="189"/>
      <c r="AG421" s="189"/>
      <c r="AH421" s="189"/>
      <c r="AI421" s="189"/>
      <c r="AJ421" s="189"/>
      <c r="AK421" s="189"/>
      <c r="AL421" s="189"/>
      <c r="AM421" s="189"/>
      <c r="AN421" s="189"/>
      <c r="AO421" s="189"/>
      <c r="AP421" s="189"/>
      <c r="AQ421" s="189"/>
      <c r="AR421" s="189"/>
      <c r="AS421" s="189"/>
      <c r="AT421" s="189"/>
    </row>
    <row r="422" spans="1:46" ht="12.75" customHeight="1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189"/>
      <c r="AH422" s="189"/>
      <c r="AI422" s="189"/>
      <c r="AJ422" s="189"/>
      <c r="AK422" s="189"/>
      <c r="AL422" s="189"/>
      <c r="AM422" s="189"/>
      <c r="AN422" s="189"/>
      <c r="AO422" s="189"/>
      <c r="AP422" s="189"/>
      <c r="AQ422" s="189"/>
      <c r="AR422" s="189"/>
      <c r="AS422" s="189"/>
      <c r="AT422" s="189"/>
    </row>
    <row r="423" spans="1:46" ht="12.75" customHeight="1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189"/>
      <c r="AH423" s="189"/>
      <c r="AI423" s="189"/>
      <c r="AJ423" s="189"/>
      <c r="AK423" s="189"/>
      <c r="AL423" s="189"/>
      <c r="AM423" s="189"/>
      <c r="AN423" s="189"/>
      <c r="AO423" s="189"/>
      <c r="AP423" s="189"/>
      <c r="AQ423" s="189"/>
      <c r="AR423" s="189"/>
      <c r="AS423" s="189"/>
      <c r="AT423" s="189"/>
    </row>
    <row r="424" spans="1:46" ht="12.75" customHeight="1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  <c r="AC424" s="189"/>
      <c r="AD424" s="189"/>
      <c r="AE424" s="189"/>
      <c r="AF424" s="189"/>
      <c r="AG424" s="189"/>
      <c r="AH424" s="189"/>
      <c r="AI424" s="189"/>
      <c r="AJ424" s="189"/>
      <c r="AK424" s="189"/>
      <c r="AL424" s="189"/>
      <c r="AM424" s="189"/>
      <c r="AN424" s="189"/>
      <c r="AO424" s="189"/>
      <c r="AP424" s="189"/>
      <c r="AQ424" s="189"/>
      <c r="AR424" s="189"/>
      <c r="AS424" s="189"/>
      <c r="AT424" s="189"/>
    </row>
    <row r="425" spans="1:46" ht="12.75" customHeight="1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  <c r="AC425" s="189"/>
      <c r="AD425" s="189"/>
      <c r="AE425" s="189"/>
      <c r="AF425" s="189"/>
      <c r="AG425" s="189"/>
      <c r="AH425" s="189"/>
      <c r="AI425" s="189"/>
      <c r="AJ425" s="189"/>
      <c r="AK425" s="189"/>
      <c r="AL425" s="189"/>
      <c r="AM425" s="189"/>
      <c r="AN425" s="189"/>
      <c r="AO425" s="189"/>
      <c r="AP425" s="189"/>
      <c r="AQ425" s="189"/>
      <c r="AR425" s="189"/>
      <c r="AS425" s="189"/>
      <c r="AT425" s="189"/>
    </row>
    <row r="426" spans="1:46" ht="12.75" customHeight="1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  <c r="AC426" s="189"/>
      <c r="AD426" s="189"/>
      <c r="AE426" s="189"/>
      <c r="AF426" s="189"/>
      <c r="AG426" s="189"/>
      <c r="AH426" s="189"/>
      <c r="AI426" s="189"/>
      <c r="AJ426" s="189"/>
      <c r="AK426" s="189"/>
      <c r="AL426" s="189"/>
      <c r="AM426" s="189"/>
      <c r="AN426" s="189"/>
      <c r="AO426" s="189"/>
      <c r="AP426" s="189"/>
      <c r="AQ426" s="189"/>
      <c r="AR426" s="189"/>
      <c r="AS426" s="189"/>
      <c r="AT426" s="189"/>
    </row>
    <row r="427" spans="1:46" ht="12.75" customHeight="1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  <c r="AC427" s="189"/>
      <c r="AD427" s="189"/>
      <c r="AE427" s="189"/>
      <c r="AF427" s="189"/>
      <c r="AG427" s="189"/>
      <c r="AH427" s="189"/>
      <c r="AI427" s="189"/>
      <c r="AJ427" s="189"/>
      <c r="AK427" s="189"/>
      <c r="AL427" s="189"/>
      <c r="AM427" s="189"/>
      <c r="AN427" s="189"/>
      <c r="AO427" s="189"/>
      <c r="AP427" s="189"/>
      <c r="AQ427" s="189"/>
      <c r="AR427" s="189"/>
      <c r="AS427" s="189"/>
      <c r="AT427" s="189"/>
    </row>
    <row r="428" spans="1:46" ht="12.75" customHeight="1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  <c r="AC428" s="189"/>
      <c r="AD428" s="189"/>
      <c r="AE428" s="189"/>
      <c r="AF428" s="189"/>
      <c r="AG428" s="189"/>
      <c r="AH428" s="189"/>
      <c r="AI428" s="189"/>
      <c r="AJ428" s="189"/>
      <c r="AK428" s="189"/>
      <c r="AL428" s="189"/>
      <c r="AM428" s="189"/>
      <c r="AN428" s="189"/>
      <c r="AO428" s="189"/>
      <c r="AP428" s="189"/>
      <c r="AQ428" s="189"/>
      <c r="AR428" s="189"/>
      <c r="AS428" s="189"/>
      <c r="AT428" s="189"/>
    </row>
    <row r="429" spans="1:46" ht="12.75" customHeight="1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189"/>
      <c r="AE429" s="189"/>
      <c r="AF429" s="189"/>
      <c r="AG429" s="189"/>
      <c r="AH429" s="189"/>
      <c r="AI429" s="189"/>
      <c r="AJ429" s="189"/>
      <c r="AK429" s="189"/>
      <c r="AL429" s="189"/>
      <c r="AM429" s="189"/>
      <c r="AN429" s="189"/>
      <c r="AO429" s="189"/>
      <c r="AP429" s="189"/>
      <c r="AQ429" s="189"/>
      <c r="AR429" s="189"/>
      <c r="AS429" s="189"/>
      <c r="AT429" s="189"/>
    </row>
    <row r="430" spans="1:46" ht="12.75" customHeight="1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  <c r="AC430" s="189"/>
      <c r="AD430" s="189"/>
      <c r="AE430" s="189"/>
      <c r="AF430" s="189"/>
      <c r="AG430" s="189"/>
      <c r="AH430" s="189"/>
      <c r="AI430" s="189"/>
      <c r="AJ430" s="189"/>
      <c r="AK430" s="189"/>
      <c r="AL430" s="189"/>
      <c r="AM430" s="189"/>
      <c r="AN430" s="189"/>
      <c r="AO430" s="189"/>
      <c r="AP430" s="189"/>
      <c r="AQ430" s="189"/>
      <c r="AR430" s="189"/>
      <c r="AS430" s="189"/>
      <c r="AT430" s="189"/>
    </row>
    <row r="431" spans="1:46" ht="12.75" customHeight="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189"/>
      <c r="AH431" s="189"/>
      <c r="AI431" s="189"/>
      <c r="AJ431" s="189"/>
      <c r="AK431" s="189"/>
      <c r="AL431" s="189"/>
      <c r="AM431" s="189"/>
      <c r="AN431" s="189"/>
      <c r="AO431" s="189"/>
      <c r="AP431" s="189"/>
      <c r="AQ431" s="189"/>
      <c r="AR431" s="189"/>
      <c r="AS431" s="189"/>
      <c r="AT431" s="189"/>
    </row>
    <row r="432" spans="1:46" ht="12.75" customHeight="1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189"/>
      <c r="AH432" s="189"/>
      <c r="AI432" s="189"/>
      <c r="AJ432" s="189"/>
      <c r="AK432" s="189"/>
      <c r="AL432" s="189"/>
      <c r="AM432" s="189"/>
      <c r="AN432" s="189"/>
      <c r="AO432" s="189"/>
      <c r="AP432" s="189"/>
      <c r="AQ432" s="189"/>
      <c r="AR432" s="189"/>
      <c r="AS432" s="189"/>
      <c r="AT432" s="189"/>
    </row>
    <row r="433" spans="1:46" ht="12.75" customHeight="1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  <c r="AC433" s="189"/>
      <c r="AD433" s="189"/>
      <c r="AE433" s="189"/>
      <c r="AF433" s="189"/>
      <c r="AG433" s="189"/>
      <c r="AH433" s="189"/>
      <c r="AI433" s="189"/>
      <c r="AJ433" s="189"/>
      <c r="AK433" s="189"/>
      <c r="AL433" s="189"/>
      <c r="AM433" s="189"/>
      <c r="AN433" s="189"/>
      <c r="AO433" s="189"/>
      <c r="AP433" s="189"/>
      <c r="AQ433" s="189"/>
      <c r="AR433" s="189"/>
      <c r="AS433" s="189"/>
      <c r="AT433" s="189"/>
    </row>
    <row r="434" spans="1:46" ht="12.75" customHeight="1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  <c r="AC434" s="189"/>
      <c r="AD434" s="189"/>
      <c r="AE434" s="189"/>
      <c r="AF434" s="189"/>
      <c r="AG434" s="189"/>
      <c r="AH434" s="189"/>
      <c r="AI434" s="189"/>
      <c r="AJ434" s="189"/>
      <c r="AK434" s="189"/>
      <c r="AL434" s="189"/>
      <c r="AM434" s="189"/>
      <c r="AN434" s="189"/>
      <c r="AO434" s="189"/>
      <c r="AP434" s="189"/>
      <c r="AQ434" s="189"/>
      <c r="AR434" s="189"/>
      <c r="AS434" s="189"/>
      <c r="AT434" s="189"/>
    </row>
    <row r="435" spans="1:46" ht="12.75" customHeight="1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  <c r="AC435" s="189"/>
      <c r="AD435" s="189"/>
      <c r="AE435" s="189"/>
      <c r="AF435" s="189"/>
      <c r="AG435" s="189"/>
      <c r="AH435" s="189"/>
      <c r="AI435" s="189"/>
      <c r="AJ435" s="189"/>
      <c r="AK435" s="189"/>
      <c r="AL435" s="189"/>
      <c r="AM435" s="189"/>
      <c r="AN435" s="189"/>
      <c r="AO435" s="189"/>
      <c r="AP435" s="189"/>
      <c r="AQ435" s="189"/>
      <c r="AR435" s="189"/>
      <c r="AS435" s="189"/>
      <c r="AT435" s="189"/>
    </row>
    <row r="436" spans="1:46" ht="12.75" customHeight="1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89"/>
      <c r="AN436" s="189"/>
      <c r="AO436" s="189"/>
      <c r="AP436" s="189"/>
      <c r="AQ436" s="189"/>
      <c r="AR436" s="189"/>
      <c r="AS436" s="189"/>
      <c r="AT436" s="189"/>
    </row>
    <row r="437" spans="1:46" ht="12.75" customHeight="1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  <c r="AC437" s="189"/>
      <c r="AD437" s="189"/>
      <c r="AE437" s="189"/>
      <c r="AF437" s="189"/>
      <c r="AG437" s="189"/>
      <c r="AH437" s="189"/>
      <c r="AI437" s="189"/>
      <c r="AJ437" s="189"/>
      <c r="AK437" s="189"/>
      <c r="AL437" s="189"/>
      <c r="AM437" s="189"/>
      <c r="AN437" s="189"/>
      <c r="AO437" s="189"/>
      <c r="AP437" s="189"/>
      <c r="AQ437" s="189"/>
      <c r="AR437" s="189"/>
      <c r="AS437" s="189"/>
      <c r="AT437" s="189"/>
    </row>
    <row r="438" spans="1:46" ht="12.75" customHeight="1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  <c r="AC438" s="189"/>
      <c r="AD438" s="189"/>
      <c r="AE438" s="189"/>
      <c r="AF438" s="189"/>
      <c r="AG438" s="189"/>
      <c r="AH438" s="189"/>
      <c r="AI438" s="189"/>
      <c r="AJ438" s="189"/>
      <c r="AK438" s="189"/>
      <c r="AL438" s="189"/>
      <c r="AM438" s="189"/>
      <c r="AN438" s="189"/>
      <c r="AO438" s="189"/>
      <c r="AP438" s="189"/>
      <c r="AQ438" s="189"/>
      <c r="AR438" s="189"/>
      <c r="AS438" s="189"/>
      <c r="AT438" s="189"/>
    </row>
    <row r="439" spans="1:46" ht="12.75" customHeight="1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  <c r="AC439" s="189"/>
      <c r="AD439" s="189"/>
      <c r="AE439" s="189"/>
      <c r="AF439" s="189"/>
      <c r="AG439" s="189"/>
      <c r="AH439" s="189"/>
      <c r="AI439" s="189"/>
      <c r="AJ439" s="189"/>
      <c r="AK439" s="189"/>
      <c r="AL439" s="189"/>
      <c r="AM439" s="189"/>
      <c r="AN439" s="189"/>
      <c r="AO439" s="189"/>
      <c r="AP439" s="189"/>
      <c r="AQ439" s="189"/>
      <c r="AR439" s="189"/>
      <c r="AS439" s="189"/>
      <c r="AT439" s="189"/>
    </row>
    <row r="440" spans="1:46" ht="12.75" customHeight="1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  <c r="AC440" s="189"/>
      <c r="AD440" s="189"/>
      <c r="AE440" s="189"/>
      <c r="AF440" s="189"/>
      <c r="AG440" s="189"/>
      <c r="AH440" s="189"/>
      <c r="AI440" s="189"/>
      <c r="AJ440" s="189"/>
      <c r="AK440" s="189"/>
      <c r="AL440" s="189"/>
      <c r="AM440" s="189"/>
      <c r="AN440" s="189"/>
      <c r="AO440" s="189"/>
      <c r="AP440" s="189"/>
      <c r="AQ440" s="189"/>
      <c r="AR440" s="189"/>
      <c r="AS440" s="189"/>
      <c r="AT440" s="189"/>
    </row>
    <row r="441" spans="1:46" ht="12.75" customHeight="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  <c r="AC441" s="189"/>
      <c r="AD441" s="189"/>
      <c r="AE441" s="189"/>
      <c r="AF441" s="189"/>
      <c r="AG441" s="189"/>
      <c r="AH441" s="189"/>
      <c r="AI441" s="189"/>
      <c r="AJ441" s="189"/>
      <c r="AK441" s="189"/>
      <c r="AL441" s="189"/>
      <c r="AM441" s="189"/>
      <c r="AN441" s="189"/>
      <c r="AO441" s="189"/>
      <c r="AP441" s="189"/>
      <c r="AQ441" s="189"/>
      <c r="AR441" s="189"/>
      <c r="AS441" s="189"/>
      <c r="AT441" s="189"/>
    </row>
    <row r="442" spans="1:46" ht="12.75" customHeight="1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189"/>
      <c r="AI442" s="189"/>
      <c r="AJ442" s="189"/>
      <c r="AK442" s="189"/>
      <c r="AL442" s="189"/>
      <c r="AM442" s="189"/>
      <c r="AN442" s="189"/>
      <c r="AO442" s="189"/>
      <c r="AP442" s="189"/>
      <c r="AQ442" s="189"/>
      <c r="AR442" s="189"/>
      <c r="AS442" s="189"/>
      <c r="AT442" s="189"/>
    </row>
    <row r="443" spans="1:46" ht="12.75" customHeight="1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189"/>
      <c r="AI443" s="189"/>
      <c r="AJ443" s="189"/>
      <c r="AK443" s="189"/>
      <c r="AL443" s="189"/>
      <c r="AM443" s="189"/>
      <c r="AN443" s="189"/>
      <c r="AO443" s="189"/>
      <c r="AP443" s="189"/>
      <c r="AQ443" s="189"/>
      <c r="AR443" s="189"/>
      <c r="AS443" s="189"/>
      <c r="AT443" s="189"/>
    </row>
    <row r="444" spans="1:46" ht="12.75" customHeight="1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189"/>
      <c r="AI444" s="189"/>
      <c r="AJ444" s="189"/>
      <c r="AK444" s="189"/>
      <c r="AL444" s="189"/>
      <c r="AM444" s="189"/>
      <c r="AN444" s="189"/>
      <c r="AO444" s="189"/>
      <c r="AP444" s="189"/>
      <c r="AQ444" s="189"/>
      <c r="AR444" s="189"/>
      <c r="AS444" s="189"/>
      <c r="AT444" s="189"/>
    </row>
    <row r="445" spans="1:46" ht="12.75" customHeight="1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189"/>
      <c r="AH445" s="189"/>
      <c r="AI445" s="189"/>
      <c r="AJ445" s="189"/>
      <c r="AK445" s="189"/>
      <c r="AL445" s="189"/>
      <c r="AM445" s="189"/>
      <c r="AN445" s="189"/>
      <c r="AO445" s="189"/>
      <c r="AP445" s="189"/>
      <c r="AQ445" s="189"/>
      <c r="AR445" s="189"/>
      <c r="AS445" s="189"/>
      <c r="AT445" s="189"/>
    </row>
    <row r="446" spans="1:46" ht="12.75" customHeight="1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189"/>
      <c r="AI446" s="189"/>
      <c r="AJ446" s="189"/>
      <c r="AK446" s="189"/>
      <c r="AL446" s="189"/>
      <c r="AM446" s="189"/>
      <c r="AN446" s="189"/>
      <c r="AO446" s="189"/>
      <c r="AP446" s="189"/>
      <c r="AQ446" s="189"/>
      <c r="AR446" s="189"/>
      <c r="AS446" s="189"/>
      <c r="AT446" s="189"/>
    </row>
    <row r="447" spans="1:46" ht="12.75" customHeight="1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189"/>
      <c r="AI447" s="189"/>
      <c r="AJ447" s="189"/>
      <c r="AK447" s="189"/>
      <c r="AL447" s="189"/>
      <c r="AM447" s="189"/>
      <c r="AN447" s="189"/>
      <c r="AO447" s="189"/>
      <c r="AP447" s="189"/>
      <c r="AQ447" s="189"/>
      <c r="AR447" s="189"/>
      <c r="AS447" s="189"/>
      <c r="AT447" s="189"/>
    </row>
    <row r="448" spans="1:46" ht="12.75" customHeight="1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189"/>
      <c r="AI448" s="189"/>
      <c r="AJ448" s="189"/>
      <c r="AK448" s="189"/>
      <c r="AL448" s="189"/>
      <c r="AM448" s="189"/>
      <c r="AN448" s="189"/>
      <c r="AO448" s="189"/>
      <c r="AP448" s="189"/>
      <c r="AQ448" s="189"/>
      <c r="AR448" s="189"/>
      <c r="AS448" s="189"/>
      <c r="AT448" s="189"/>
    </row>
    <row r="449" spans="1:46" ht="12.75" customHeight="1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189"/>
      <c r="AI449" s="189"/>
      <c r="AJ449" s="189"/>
      <c r="AK449" s="189"/>
      <c r="AL449" s="189"/>
      <c r="AM449" s="189"/>
      <c r="AN449" s="189"/>
      <c r="AO449" s="189"/>
      <c r="AP449" s="189"/>
      <c r="AQ449" s="189"/>
      <c r="AR449" s="189"/>
      <c r="AS449" s="189"/>
      <c r="AT449" s="189"/>
    </row>
    <row r="450" spans="1:46" ht="12.75" customHeight="1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189"/>
      <c r="AH450" s="189"/>
      <c r="AI450" s="189"/>
      <c r="AJ450" s="189"/>
      <c r="AK450" s="189"/>
      <c r="AL450" s="189"/>
      <c r="AM450" s="189"/>
      <c r="AN450" s="189"/>
      <c r="AO450" s="189"/>
      <c r="AP450" s="189"/>
      <c r="AQ450" s="189"/>
      <c r="AR450" s="189"/>
      <c r="AS450" s="189"/>
      <c r="AT450" s="189"/>
    </row>
    <row r="451" spans="1:46" ht="12.75" customHeight="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189"/>
      <c r="AH451" s="189"/>
      <c r="AI451" s="189"/>
      <c r="AJ451" s="189"/>
      <c r="AK451" s="189"/>
      <c r="AL451" s="189"/>
      <c r="AM451" s="189"/>
      <c r="AN451" s="189"/>
      <c r="AO451" s="189"/>
      <c r="AP451" s="189"/>
      <c r="AQ451" s="189"/>
      <c r="AR451" s="189"/>
      <c r="AS451" s="189"/>
      <c r="AT451" s="189"/>
    </row>
    <row r="452" spans="1:46" ht="12.75" customHeight="1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  <c r="AC452" s="189"/>
      <c r="AD452" s="189"/>
      <c r="AE452" s="189"/>
      <c r="AF452" s="189"/>
      <c r="AG452" s="189"/>
      <c r="AH452" s="189"/>
      <c r="AI452" s="189"/>
      <c r="AJ452" s="189"/>
      <c r="AK452" s="189"/>
      <c r="AL452" s="189"/>
      <c r="AM452" s="189"/>
      <c r="AN452" s="189"/>
      <c r="AO452" s="189"/>
      <c r="AP452" s="189"/>
      <c r="AQ452" s="189"/>
      <c r="AR452" s="189"/>
      <c r="AS452" s="189"/>
      <c r="AT452" s="189"/>
    </row>
    <row r="453" spans="1:46" ht="12.75" customHeight="1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189"/>
      <c r="AH453" s="189"/>
      <c r="AI453" s="189"/>
      <c r="AJ453" s="189"/>
      <c r="AK453" s="189"/>
      <c r="AL453" s="189"/>
      <c r="AM453" s="189"/>
      <c r="AN453" s="189"/>
      <c r="AO453" s="189"/>
      <c r="AP453" s="189"/>
      <c r="AQ453" s="189"/>
      <c r="AR453" s="189"/>
      <c r="AS453" s="189"/>
      <c r="AT453" s="189"/>
    </row>
    <row r="454" spans="1:46" ht="12.75" customHeight="1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  <c r="AC454" s="189"/>
      <c r="AD454" s="189"/>
      <c r="AE454" s="189"/>
      <c r="AF454" s="189"/>
      <c r="AG454" s="189"/>
      <c r="AH454" s="189"/>
      <c r="AI454" s="189"/>
      <c r="AJ454" s="189"/>
      <c r="AK454" s="189"/>
      <c r="AL454" s="189"/>
      <c r="AM454" s="189"/>
      <c r="AN454" s="189"/>
      <c r="AO454" s="189"/>
      <c r="AP454" s="189"/>
      <c r="AQ454" s="189"/>
      <c r="AR454" s="189"/>
      <c r="AS454" s="189"/>
      <c r="AT454" s="189"/>
    </row>
    <row r="455" spans="1:46" ht="12.75" customHeight="1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189"/>
      <c r="AH455" s="189"/>
      <c r="AI455" s="189"/>
      <c r="AJ455" s="189"/>
      <c r="AK455" s="189"/>
      <c r="AL455" s="189"/>
      <c r="AM455" s="189"/>
      <c r="AN455" s="189"/>
      <c r="AO455" s="189"/>
      <c r="AP455" s="189"/>
      <c r="AQ455" s="189"/>
      <c r="AR455" s="189"/>
      <c r="AS455" s="189"/>
      <c r="AT455" s="189"/>
    </row>
    <row r="456" spans="1:46" ht="12.75" customHeight="1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  <c r="AC456" s="189"/>
      <c r="AD456" s="189"/>
      <c r="AE456" s="189"/>
      <c r="AF456" s="189"/>
      <c r="AG456" s="189"/>
      <c r="AH456" s="189"/>
      <c r="AI456" s="189"/>
      <c r="AJ456" s="189"/>
      <c r="AK456" s="189"/>
      <c r="AL456" s="189"/>
      <c r="AM456" s="189"/>
      <c r="AN456" s="189"/>
      <c r="AO456" s="189"/>
      <c r="AP456" s="189"/>
      <c r="AQ456" s="189"/>
      <c r="AR456" s="189"/>
      <c r="AS456" s="189"/>
      <c r="AT456" s="189"/>
    </row>
    <row r="457" spans="1:46" ht="12.75" customHeight="1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189"/>
      <c r="AH457" s="189"/>
      <c r="AI457" s="189"/>
      <c r="AJ457" s="189"/>
      <c r="AK457" s="189"/>
      <c r="AL457" s="189"/>
      <c r="AM457" s="189"/>
      <c r="AN457" s="189"/>
      <c r="AO457" s="189"/>
      <c r="AP457" s="189"/>
      <c r="AQ457" s="189"/>
      <c r="AR457" s="189"/>
      <c r="AS457" s="189"/>
      <c r="AT457" s="189"/>
    </row>
    <row r="458" spans="1:46" ht="12.75" customHeight="1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189"/>
      <c r="AH458" s="189"/>
      <c r="AI458" s="189"/>
      <c r="AJ458" s="189"/>
      <c r="AK458" s="189"/>
      <c r="AL458" s="189"/>
      <c r="AM458" s="189"/>
      <c r="AN458" s="189"/>
      <c r="AO458" s="189"/>
      <c r="AP458" s="189"/>
      <c r="AQ458" s="189"/>
      <c r="AR458" s="189"/>
      <c r="AS458" s="189"/>
      <c r="AT458" s="189"/>
    </row>
    <row r="459" spans="1:46" ht="12.75" customHeight="1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189"/>
      <c r="AH459" s="189"/>
      <c r="AI459" s="189"/>
      <c r="AJ459" s="189"/>
      <c r="AK459" s="189"/>
      <c r="AL459" s="189"/>
      <c r="AM459" s="189"/>
      <c r="AN459" s="189"/>
      <c r="AO459" s="189"/>
      <c r="AP459" s="189"/>
      <c r="AQ459" s="189"/>
      <c r="AR459" s="189"/>
      <c r="AS459" s="189"/>
      <c r="AT459" s="189"/>
    </row>
    <row r="460" spans="1:46" ht="12.75" customHeight="1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  <c r="AC460" s="189"/>
      <c r="AD460" s="189"/>
      <c r="AE460" s="189"/>
      <c r="AF460" s="189"/>
      <c r="AG460" s="189"/>
      <c r="AH460" s="189"/>
      <c r="AI460" s="189"/>
      <c r="AJ460" s="189"/>
      <c r="AK460" s="189"/>
      <c r="AL460" s="189"/>
      <c r="AM460" s="189"/>
      <c r="AN460" s="189"/>
      <c r="AO460" s="189"/>
      <c r="AP460" s="189"/>
      <c r="AQ460" s="189"/>
      <c r="AR460" s="189"/>
      <c r="AS460" s="189"/>
      <c r="AT460" s="189"/>
    </row>
    <row r="461" spans="1:46" ht="12.75" customHeight="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189"/>
      <c r="AH461" s="189"/>
      <c r="AI461" s="189"/>
      <c r="AJ461" s="189"/>
      <c r="AK461" s="189"/>
      <c r="AL461" s="189"/>
      <c r="AM461" s="189"/>
      <c r="AN461" s="189"/>
      <c r="AO461" s="189"/>
      <c r="AP461" s="189"/>
      <c r="AQ461" s="189"/>
      <c r="AR461" s="189"/>
      <c r="AS461" s="189"/>
      <c r="AT461" s="189"/>
    </row>
    <row r="462" spans="1:46" ht="12.75" customHeight="1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  <c r="AC462" s="189"/>
      <c r="AD462" s="189"/>
      <c r="AE462" s="189"/>
      <c r="AF462" s="189"/>
      <c r="AG462" s="189"/>
      <c r="AH462" s="189"/>
      <c r="AI462" s="189"/>
      <c r="AJ462" s="189"/>
      <c r="AK462" s="189"/>
      <c r="AL462" s="189"/>
      <c r="AM462" s="189"/>
      <c r="AN462" s="189"/>
      <c r="AO462" s="189"/>
      <c r="AP462" s="189"/>
      <c r="AQ462" s="189"/>
      <c r="AR462" s="189"/>
      <c r="AS462" s="189"/>
      <c r="AT462" s="189"/>
    </row>
    <row r="463" spans="1:46" ht="12.75" customHeight="1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  <c r="AC463" s="189"/>
      <c r="AD463" s="189"/>
      <c r="AE463" s="189"/>
      <c r="AF463" s="189"/>
      <c r="AG463" s="189"/>
      <c r="AH463" s="189"/>
      <c r="AI463" s="189"/>
      <c r="AJ463" s="189"/>
      <c r="AK463" s="189"/>
      <c r="AL463" s="189"/>
      <c r="AM463" s="189"/>
      <c r="AN463" s="189"/>
      <c r="AO463" s="189"/>
      <c r="AP463" s="189"/>
      <c r="AQ463" s="189"/>
      <c r="AR463" s="189"/>
      <c r="AS463" s="189"/>
      <c r="AT463" s="189"/>
    </row>
    <row r="464" spans="1:46" ht="12.75" customHeight="1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  <c r="AC464" s="189"/>
      <c r="AD464" s="189"/>
      <c r="AE464" s="189"/>
      <c r="AF464" s="189"/>
      <c r="AG464" s="189"/>
      <c r="AH464" s="189"/>
      <c r="AI464" s="189"/>
      <c r="AJ464" s="189"/>
      <c r="AK464" s="189"/>
      <c r="AL464" s="189"/>
      <c r="AM464" s="189"/>
      <c r="AN464" s="189"/>
      <c r="AO464" s="189"/>
      <c r="AP464" s="189"/>
      <c r="AQ464" s="189"/>
      <c r="AR464" s="189"/>
      <c r="AS464" s="189"/>
      <c r="AT464" s="189"/>
    </row>
    <row r="465" spans="1:46" ht="12.75" customHeight="1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  <c r="AC465" s="189"/>
      <c r="AD465" s="189"/>
      <c r="AE465" s="189"/>
      <c r="AF465" s="189"/>
      <c r="AG465" s="189"/>
      <c r="AH465" s="189"/>
      <c r="AI465" s="189"/>
      <c r="AJ465" s="189"/>
      <c r="AK465" s="189"/>
      <c r="AL465" s="189"/>
      <c r="AM465" s="189"/>
      <c r="AN465" s="189"/>
      <c r="AO465" s="189"/>
      <c r="AP465" s="189"/>
      <c r="AQ465" s="189"/>
      <c r="AR465" s="189"/>
      <c r="AS465" s="189"/>
      <c r="AT465" s="189"/>
    </row>
    <row r="466" spans="1:46" ht="12.7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  <c r="AD466" s="189"/>
      <c r="AE466" s="189"/>
      <c r="AF466" s="189"/>
      <c r="AG466" s="189"/>
      <c r="AH466" s="189"/>
      <c r="AI466" s="189"/>
      <c r="AJ466" s="189"/>
      <c r="AK466" s="189"/>
      <c r="AL466" s="189"/>
      <c r="AM466" s="189"/>
      <c r="AN466" s="189"/>
      <c r="AO466" s="189"/>
      <c r="AP466" s="189"/>
      <c r="AQ466" s="189"/>
      <c r="AR466" s="189"/>
      <c r="AS466" s="189"/>
      <c r="AT466" s="189"/>
    </row>
    <row r="467" spans="1:46" ht="12.75" customHeight="1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  <c r="AC467" s="189"/>
      <c r="AD467" s="189"/>
      <c r="AE467" s="189"/>
      <c r="AF467" s="189"/>
      <c r="AG467" s="189"/>
      <c r="AH467" s="189"/>
      <c r="AI467" s="189"/>
      <c r="AJ467" s="189"/>
      <c r="AK467" s="189"/>
      <c r="AL467" s="189"/>
      <c r="AM467" s="189"/>
      <c r="AN467" s="189"/>
      <c r="AO467" s="189"/>
      <c r="AP467" s="189"/>
      <c r="AQ467" s="189"/>
      <c r="AR467" s="189"/>
      <c r="AS467" s="189"/>
      <c r="AT467" s="189"/>
    </row>
    <row r="468" spans="1:46" ht="12.75" customHeight="1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  <c r="AC468" s="189"/>
      <c r="AD468" s="189"/>
      <c r="AE468" s="189"/>
      <c r="AF468" s="189"/>
      <c r="AG468" s="189"/>
      <c r="AH468" s="189"/>
      <c r="AI468" s="189"/>
      <c r="AJ468" s="189"/>
      <c r="AK468" s="189"/>
      <c r="AL468" s="189"/>
      <c r="AM468" s="189"/>
      <c r="AN468" s="189"/>
      <c r="AO468" s="189"/>
      <c r="AP468" s="189"/>
      <c r="AQ468" s="189"/>
      <c r="AR468" s="189"/>
      <c r="AS468" s="189"/>
      <c r="AT468" s="189"/>
    </row>
    <row r="469" spans="1:46" ht="12.75" customHeight="1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  <c r="AC469" s="189"/>
      <c r="AD469" s="189"/>
      <c r="AE469" s="189"/>
      <c r="AF469" s="189"/>
      <c r="AG469" s="189"/>
      <c r="AH469" s="189"/>
      <c r="AI469" s="189"/>
      <c r="AJ469" s="189"/>
      <c r="AK469" s="189"/>
      <c r="AL469" s="189"/>
      <c r="AM469" s="189"/>
      <c r="AN469" s="189"/>
      <c r="AO469" s="189"/>
      <c r="AP469" s="189"/>
      <c r="AQ469" s="189"/>
      <c r="AR469" s="189"/>
      <c r="AS469" s="189"/>
      <c r="AT469" s="189"/>
    </row>
    <row r="470" spans="1:46" ht="12.75" customHeight="1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  <c r="AC470" s="189"/>
      <c r="AD470" s="189"/>
      <c r="AE470" s="189"/>
      <c r="AF470" s="189"/>
      <c r="AG470" s="189"/>
      <c r="AH470" s="189"/>
      <c r="AI470" s="189"/>
      <c r="AJ470" s="189"/>
      <c r="AK470" s="189"/>
      <c r="AL470" s="189"/>
      <c r="AM470" s="189"/>
      <c r="AN470" s="189"/>
      <c r="AO470" s="189"/>
      <c r="AP470" s="189"/>
      <c r="AQ470" s="189"/>
      <c r="AR470" s="189"/>
      <c r="AS470" s="189"/>
      <c r="AT470" s="189"/>
    </row>
    <row r="471" spans="1:46" ht="12.75" customHeight="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  <c r="AC471" s="189"/>
      <c r="AD471" s="189"/>
      <c r="AE471" s="189"/>
      <c r="AF471" s="189"/>
      <c r="AG471" s="189"/>
      <c r="AH471" s="189"/>
      <c r="AI471" s="189"/>
      <c r="AJ471" s="189"/>
      <c r="AK471" s="189"/>
      <c r="AL471" s="189"/>
      <c r="AM471" s="189"/>
      <c r="AN471" s="189"/>
      <c r="AO471" s="189"/>
      <c r="AP471" s="189"/>
      <c r="AQ471" s="189"/>
      <c r="AR471" s="189"/>
      <c r="AS471" s="189"/>
      <c r="AT471" s="189"/>
    </row>
    <row r="472" spans="1:46" ht="12.75" customHeight="1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89"/>
      <c r="AN472" s="189"/>
      <c r="AO472" s="189"/>
      <c r="AP472" s="189"/>
      <c r="AQ472" s="189"/>
      <c r="AR472" s="189"/>
      <c r="AS472" s="189"/>
      <c r="AT472" s="189"/>
    </row>
    <row r="473" spans="1:46" ht="12.75" customHeight="1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89"/>
      <c r="AN473" s="189"/>
      <c r="AO473" s="189"/>
      <c r="AP473" s="189"/>
      <c r="AQ473" s="189"/>
      <c r="AR473" s="189"/>
      <c r="AS473" s="189"/>
      <c r="AT473" s="189"/>
    </row>
    <row r="474" spans="1:46" ht="12.75" customHeight="1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89"/>
      <c r="AN474" s="189"/>
      <c r="AO474" s="189"/>
      <c r="AP474" s="189"/>
      <c r="AQ474" s="189"/>
      <c r="AR474" s="189"/>
      <c r="AS474" s="189"/>
      <c r="AT474" s="189"/>
    </row>
    <row r="475" spans="1:46" ht="12.75" customHeight="1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89"/>
      <c r="AN475" s="189"/>
      <c r="AO475" s="189"/>
      <c r="AP475" s="189"/>
      <c r="AQ475" s="189"/>
      <c r="AR475" s="189"/>
      <c r="AS475" s="189"/>
      <c r="AT475" s="189"/>
    </row>
    <row r="476" spans="1:46" ht="12.75" customHeight="1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  <c r="AC476" s="189"/>
      <c r="AD476" s="189"/>
      <c r="AE476" s="189"/>
      <c r="AF476" s="189"/>
      <c r="AG476" s="189"/>
      <c r="AH476" s="189"/>
      <c r="AI476" s="189"/>
      <c r="AJ476" s="189"/>
      <c r="AK476" s="189"/>
      <c r="AL476" s="189"/>
      <c r="AM476" s="189"/>
      <c r="AN476" s="189"/>
      <c r="AO476" s="189"/>
      <c r="AP476" s="189"/>
      <c r="AQ476" s="189"/>
      <c r="AR476" s="189"/>
      <c r="AS476" s="189"/>
      <c r="AT476" s="189"/>
    </row>
    <row r="477" spans="1:46" ht="12.75" customHeight="1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  <c r="AC477" s="189"/>
      <c r="AD477" s="189"/>
      <c r="AE477" s="189"/>
      <c r="AF477" s="189"/>
      <c r="AG477" s="189"/>
      <c r="AH477" s="189"/>
      <c r="AI477" s="189"/>
      <c r="AJ477" s="189"/>
      <c r="AK477" s="189"/>
      <c r="AL477" s="189"/>
      <c r="AM477" s="189"/>
      <c r="AN477" s="189"/>
      <c r="AO477" s="189"/>
      <c r="AP477" s="189"/>
      <c r="AQ477" s="189"/>
      <c r="AR477" s="189"/>
      <c r="AS477" s="189"/>
      <c r="AT477" s="189"/>
    </row>
    <row r="478" spans="1:46" ht="12.75" customHeight="1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  <c r="AC478" s="189"/>
      <c r="AD478" s="189"/>
      <c r="AE478" s="189"/>
      <c r="AF478" s="189"/>
      <c r="AG478" s="189"/>
      <c r="AH478" s="189"/>
      <c r="AI478" s="189"/>
      <c r="AJ478" s="189"/>
      <c r="AK478" s="189"/>
      <c r="AL478" s="189"/>
      <c r="AM478" s="189"/>
      <c r="AN478" s="189"/>
      <c r="AO478" s="189"/>
      <c r="AP478" s="189"/>
      <c r="AQ478" s="189"/>
      <c r="AR478" s="189"/>
      <c r="AS478" s="189"/>
      <c r="AT478" s="189"/>
    </row>
    <row r="479" spans="1:46" ht="12.75" customHeight="1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  <c r="AC479" s="189"/>
      <c r="AD479" s="189"/>
      <c r="AE479" s="189"/>
      <c r="AF479" s="189"/>
      <c r="AG479" s="189"/>
      <c r="AH479" s="189"/>
      <c r="AI479" s="189"/>
      <c r="AJ479" s="189"/>
      <c r="AK479" s="189"/>
      <c r="AL479" s="189"/>
      <c r="AM479" s="189"/>
      <c r="AN479" s="189"/>
      <c r="AO479" s="189"/>
      <c r="AP479" s="189"/>
      <c r="AQ479" s="189"/>
      <c r="AR479" s="189"/>
      <c r="AS479" s="189"/>
      <c r="AT479" s="189"/>
    </row>
    <row r="480" spans="1:46" ht="12.75" customHeight="1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  <c r="AC480" s="189"/>
      <c r="AD480" s="189"/>
      <c r="AE480" s="189"/>
      <c r="AF480" s="189"/>
      <c r="AG480" s="189"/>
      <c r="AH480" s="189"/>
      <c r="AI480" s="189"/>
      <c r="AJ480" s="189"/>
      <c r="AK480" s="189"/>
      <c r="AL480" s="189"/>
      <c r="AM480" s="189"/>
      <c r="AN480" s="189"/>
      <c r="AO480" s="189"/>
      <c r="AP480" s="189"/>
      <c r="AQ480" s="189"/>
      <c r="AR480" s="189"/>
      <c r="AS480" s="189"/>
      <c r="AT480" s="189"/>
    </row>
    <row r="481" spans="1:46" ht="12.75" customHeight="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  <c r="AC481" s="189"/>
      <c r="AD481" s="189"/>
      <c r="AE481" s="189"/>
      <c r="AF481" s="189"/>
      <c r="AG481" s="189"/>
      <c r="AH481" s="189"/>
      <c r="AI481" s="189"/>
      <c r="AJ481" s="189"/>
      <c r="AK481" s="189"/>
      <c r="AL481" s="189"/>
      <c r="AM481" s="189"/>
      <c r="AN481" s="189"/>
      <c r="AO481" s="189"/>
      <c r="AP481" s="189"/>
      <c r="AQ481" s="189"/>
      <c r="AR481" s="189"/>
      <c r="AS481" s="189"/>
      <c r="AT481" s="189"/>
    </row>
    <row r="482" spans="1:46" ht="12.75" customHeight="1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  <c r="AC482" s="189"/>
      <c r="AD482" s="189"/>
      <c r="AE482" s="189"/>
      <c r="AF482" s="189"/>
      <c r="AG482" s="189"/>
      <c r="AH482" s="189"/>
      <c r="AI482" s="189"/>
      <c r="AJ482" s="189"/>
      <c r="AK482" s="189"/>
      <c r="AL482" s="189"/>
      <c r="AM482" s="189"/>
      <c r="AN482" s="189"/>
      <c r="AO482" s="189"/>
      <c r="AP482" s="189"/>
      <c r="AQ482" s="189"/>
      <c r="AR482" s="189"/>
      <c r="AS482" s="189"/>
      <c r="AT482" s="189"/>
    </row>
    <row r="483" spans="1:46" ht="12.75" customHeight="1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  <c r="AC483" s="189"/>
      <c r="AD483" s="189"/>
      <c r="AE483" s="189"/>
      <c r="AF483" s="189"/>
      <c r="AG483" s="189"/>
      <c r="AH483" s="189"/>
      <c r="AI483" s="189"/>
      <c r="AJ483" s="189"/>
      <c r="AK483" s="189"/>
      <c r="AL483" s="189"/>
      <c r="AM483" s="189"/>
      <c r="AN483" s="189"/>
      <c r="AO483" s="189"/>
      <c r="AP483" s="189"/>
      <c r="AQ483" s="189"/>
      <c r="AR483" s="189"/>
      <c r="AS483" s="189"/>
      <c r="AT483" s="189"/>
    </row>
    <row r="484" spans="1:46" ht="12.75" customHeight="1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  <c r="AC484" s="189"/>
      <c r="AD484" s="189"/>
      <c r="AE484" s="189"/>
      <c r="AF484" s="189"/>
      <c r="AG484" s="189"/>
      <c r="AH484" s="189"/>
      <c r="AI484" s="189"/>
      <c r="AJ484" s="189"/>
      <c r="AK484" s="189"/>
      <c r="AL484" s="189"/>
      <c r="AM484" s="189"/>
      <c r="AN484" s="189"/>
      <c r="AO484" s="189"/>
      <c r="AP484" s="189"/>
      <c r="AQ484" s="189"/>
      <c r="AR484" s="189"/>
      <c r="AS484" s="189"/>
      <c r="AT484" s="189"/>
    </row>
    <row r="485" spans="1:46" ht="12.75" customHeight="1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  <c r="AC485" s="189"/>
      <c r="AD485" s="189"/>
      <c r="AE485" s="189"/>
      <c r="AF485" s="189"/>
      <c r="AG485" s="189"/>
      <c r="AH485" s="189"/>
      <c r="AI485" s="189"/>
      <c r="AJ485" s="189"/>
      <c r="AK485" s="189"/>
      <c r="AL485" s="189"/>
      <c r="AM485" s="189"/>
      <c r="AN485" s="189"/>
      <c r="AO485" s="189"/>
      <c r="AP485" s="189"/>
      <c r="AQ485" s="189"/>
      <c r="AR485" s="189"/>
      <c r="AS485" s="189"/>
      <c r="AT485" s="189"/>
    </row>
    <row r="486" spans="1:46" ht="12.75" customHeight="1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  <c r="AC486" s="189"/>
      <c r="AD486" s="189"/>
      <c r="AE486" s="189"/>
      <c r="AF486" s="189"/>
      <c r="AG486" s="189"/>
      <c r="AH486" s="189"/>
      <c r="AI486" s="189"/>
      <c r="AJ486" s="189"/>
      <c r="AK486" s="189"/>
      <c r="AL486" s="189"/>
      <c r="AM486" s="189"/>
      <c r="AN486" s="189"/>
      <c r="AO486" s="189"/>
      <c r="AP486" s="189"/>
      <c r="AQ486" s="189"/>
      <c r="AR486" s="189"/>
      <c r="AS486" s="189"/>
      <c r="AT486" s="189"/>
    </row>
    <row r="487" spans="1:46" ht="12.75" customHeight="1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  <c r="AC487" s="189"/>
      <c r="AD487" s="189"/>
      <c r="AE487" s="189"/>
      <c r="AF487" s="189"/>
      <c r="AG487" s="189"/>
      <c r="AH487" s="189"/>
      <c r="AI487" s="189"/>
      <c r="AJ487" s="189"/>
      <c r="AK487" s="189"/>
      <c r="AL487" s="189"/>
      <c r="AM487" s="189"/>
      <c r="AN487" s="189"/>
      <c r="AO487" s="189"/>
      <c r="AP487" s="189"/>
      <c r="AQ487" s="189"/>
      <c r="AR487" s="189"/>
      <c r="AS487" s="189"/>
      <c r="AT487" s="189"/>
    </row>
    <row r="488" spans="1:46" ht="12.75" customHeight="1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  <c r="AC488" s="189"/>
      <c r="AD488" s="189"/>
      <c r="AE488" s="189"/>
      <c r="AF488" s="189"/>
      <c r="AG488" s="189"/>
      <c r="AH488" s="189"/>
      <c r="AI488" s="189"/>
      <c r="AJ488" s="189"/>
      <c r="AK488" s="189"/>
      <c r="AL488" s="189"/>
      <c r="AM488" s="189"/>
      <c r="AN488" s="189"/>
      <c r="AO488" s="189"/>
      <c r="AP488" s="189"/>
      <c r="AQ488" s="189"/>
      <c r="AR488" s="189"/>
      <c r="AS488" s="189"/>
      <c r="AT488" s="189"/>
    </row>
    <row r="489" spans="1:46" ht="12.75" customHeight="1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  <c r="AC489" s="189"/>
      <c r="AD489" s="189"/>
      <c r="AE489" s="189"/>
      <c r="AF489" s="189"/>
      <c r="AG489" s="189"/>
      <c r="AH489" s="189"/>
      <c r="AI489" s="189"/>
      <c r="AJ489" s="189"/>
      <c r="AK489" s="189"/>
      <c r="AL489" s="189"/>
      <c r="AM489" s="189"/>
      <c r="AN489" s="189"/>
      <c r="AO489" s="189"/>
      <c r="AP489" s="189"/>
      <c r="AQ489" s="189"/>
      <c r="AR489" s="189"/>
      <c r="AS489" s="189"/>
      <c r="AT489" s="189"/>
    </row>
    <row r="490" spans="1:46" ht="12.75" customHeight="1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  <c r="AD490" s="189"/>
      <c r="AE490" s="189"/>
      <c r="AF490" s="189"/>
      <c r="AG490" s="189"/>
      <c r="AH490" s="189"/>
      <c r="AI490" s="189"/>
      <c r="AJ490" s="189"/>
      <c r="AK490" s="189"/>
      <c r="AL490" s="189"/>
      <c r="AM490" s="189"/>
      <c r="AN490" s="189"/>
      <c r="AO490" s="189"/>
      <c r="AP490" s="189"/>
      <c r="AQ490" s="189"/>
      <c r="AR490" s="189"/>
      <c r="AS490" s="189"/>
      <c r="AT490" s="189"/>
    </row>
    <row r="491" spans="1:46" ht="12.75" customHeight="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  <c r="AC491" s="189"/>
      <c r="AD491" s="189"/>
      <c r="AE491" s="189"/>
      <c r="AF491" s="189"/>
      <c r="AG491" s="189"/>
      <c r="AH491" s="189"/>
      <c r="AI491" s="189"/>
      <c r="AJ491" s="189"/>
      <c r="AK491" s="189"/>
      <c r="AL491" s="189"/>
      <c r="AM491" s="189"/>
      <c r="AN491" s="189"/>
      <c r="AO491" s="189"/>
      <c r="AP491" s="189"/>
      <c r="AQ491" s="189"/>
      <c r="AR491" s="189"/>
      <c r="AS491" s="189"/>
      <c r="AT491" s="189"/>
    </row>
    <row r="492" spans="1:46" ht="12.75" customHeight="1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  <c r="AC492" s="189"/>
      <c r="AD492" s="189"/>
      <c r="AE492" s="189"/>
      <c r="AF492" s="189"/>
      <c r="AG492" s="189"/>
      <c r="AH492" s="189"/>
      <c r="AI492" s="189"/>
      <c r="AJ492" s="189"/>
      <c r="AK492" s="189"/>
      <c r="AL492" s="189"/>
      <c r="AM492" s="189"/>
      <c r="AN492" s="189"/>
      <c r="AO492" s="189"/>
      <c r="AP492" s="189"/>
      <c r="AQ492" s="189"/>
      <c r="AR492" s="189"/>
      <c r="AS492" s="189"/>
      <c r="AT492" s="189"/>
    </row>
    <row r="493" spans="1:46" ht="12.75" customHeight="1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  <c r="AC493" s="189"/>
      <c r="AD493" s="189"/>
      <c r="AE493" s="189"/>
      <c r="AF493" s="189"/>
      <c r="AG493" s="189"/>
      <c r="AH493" s="189"/>
      <c r="AI493" s="189"/>
      <c r="AJ493" s="189"/>
      <c r="AK493" s="189"/>
      <c r="AL493" s="189"/>
      <c r="AM493" s="189"/>
      <c r="AN493" s="189"/>
      <c r="AO493" s="189"/>
      <c r="AP493" s="189"/>
      <c r="AQ493" s="189"/>
      <c r="AR493" s="189"/>
      <c r="AS493" s="189"/>
      <c r="AT493" s="189"/>
    </row>
    <row r="494" spans="1:46" ht="12.75" customHeight="1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  <c r="AC494" s="189"/>
      <c r="AD494" s="189"/>
      <c r="AE494" s="189"/>
      <c r="AF494" s="189"/>
      <c r="AG494" s="189"/>
      <c r="AH494" s="189"/>
      <c r="AI494" s="189"/>
      <c r="AJ494" s="189"/>
      <c r="AK494" s="189"/>
      <c r="AL494" s="189"/>
      <c r="AM494" s="189"/>
      <c r="AN494" s="189"/>
      <c r="AO494" s="189"/>
      <c r="AP494" s="189"/>
      <c r="AQ494" s="189"/>
      <c r="AR494" s="189"/>
      <c r="AS494" s="189"/>
      <c r="AT494" s="189"/>
    </row>
    <row r="495" spans="1:46" ht="12.75" customHeight="1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  <c r="AC495" s="189"/>
      <c r="AD495" s="189"/>
      <c r="AE495" s="189"/>
      <c r="AF495" s="189"/>
      <c r="AG495" s="189"/>
      <c r="AH495" s="189"/>
      <c r="AI495" s="189"/>
      <c r="AJ495" s="189"/>
      <c r="AK495" s="189"/>
      <c r="AL495" s="189"/>
      <c r="AM495" s="189"/>
      <c r="AN495" s="189"/>
      <c r="AO495" s="189"/>
      <c r="AP495" s="189"/>
      <c r="AQ495" s="189"/>
      <c r="AR495" s="189"/>
      <c r="AS495" s="189"/>
      <c r="AT495" s="189"/>
    </row>
    <row r="496" spans="1:46" ht="12.75" customHeight="1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  <c r="AC496" s="189"/>
      <c r="AD496" s="189"/>
      <c r="AE496" s="189"/>
      <c r="AF496" s="189"/>
      <c r="AG496" s="189"/>
      <c r="AH496" s="189"/>
      <c r="AI496" s="189"/>
      <c r="AJ496" s="189"/>
      <c r="AK496" s="189"/>
      <c r="AL496" s="189"/>
      <c r="AM496" s="189"/>
      <c r="AN496" s="189"/>
      <c r="AO496" s="189"/>
      <c r="AP496" s="189"/>
      <c r="AQ496" s="189"/>
      <c r="AR496" s="189"/>
      <c r="AS496" s="189"/>
      <c r="AT496" s="189"/>
    </row>
    <row r="497" spans="1:46" ht="12.75" customHeight="1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  <c r="AC497" s="189"/>
      <c r="AD497" s="189"/>
      <c r="AE497" s="189"/>
      <c r="AF497" s="189"/>
      <c r="AG497" s="189"/>
      <c r="AH497" s="189"/>
      <c r="AI497" s="189"/>
      <c r="AJ497" s="189"/>
      <c r="AK497" s="189"/>
      <c r="AL497" s="189"/>
      <c r="AM497" s="189"/>
      <c r="AN497" s="189"/>
      <c r="AO497" s="189"/>
      <c r="AP497" s="189"/>
      <c r="AQ497" s="189"/>
      <c r="AR497" s="189"/>
      <c r="AS497" s="189"/>
      <c r="AT497" s="189"/>
    </row>
    <row r="498" spans="1:46" ht="12.75" customHeight="1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  <c r="AC498" s="189"/>
      <c r="AD498" s="189"/>
      <c r="AE498" s="189"/>
      <c r="AF498" s="189"/>
      <c r="AG498" s="189"/>
      <c r="AH498" s="189"/>
      <c r="AI498" s="189"/>
      <c r="AJ498" s="189"/>
      <c r="AK498" s="189"/>
      <c r="AL498" s="189"/>
      <c r="AM498" s="189"/>
      <c r="AN498" s="189"/>
      <c r="AO498" s="189"/>
      <c r="AP498" s="189"/>
      <c r="AQ498" s="189"/>
      <c r="AR498" s="189"/>
      <c r="AS498" s="189"/>
      <c r="AT498" s="189"/>
    </row>
    <row r="499" spans="1:46" ht="12.75" customHeight="1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  <c r="AC499" s="189"/>
      <c r="AD499" s="189"/>
      <c r="AE499" s="189"/>
      <c r="AF499" s="189"/>
      <c r="AG499" s="189"/>
      <c r="AH499" s="189"/>
      <c r="AI499" s="189"/>
      <c r="AJ499" s="189"/>
      <c r="AK499" s="189"/>
      <c r="AL499" s="189"/>
      <c r="AM499" s="189"/>
      <c r="AN499" s="189"/>
      <c r="AO499" s="189"/>
      <c r="AP499" s="189"/>
      <c r="AQ499" s="189"/>
      <c r="AR499" s="189"/>
      <c r="AS499" s="189"/>
      <c r="AT499" s="189"/>
    </row>
    <row r="500" spans="1:46" ht="12.75" customHeight="1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  <c r="AC500" s="189"/>
      <c r="AD500" s="189"/>
      <c r="AE500" s="189"/>
      <c r="AF500" s="189"/>
      <c r="AG500" s="189"/>
      <c r="AH500" s="189"/>
      <c r="AI500" s="189"/>
      <c r="AJ500" s="189"/>
      <c r="AK500" s="189"/>
      <c r="AL500" s="189"/>
      <c r="AM500" s="189"/>
      <c r="AN500" s="189"/>
      <c r="AO500" s="189"/>
      <c r="AP500" s="189"/>
      <c r="AQ500" s="189"/>
      <c r="AR500" s="189"/>
      <c r="AS500" s="189"/>
      <c r="AT500" s="189"/>
    </row>
    <row r="501" spans="1:46" ht="12.75" customHeight="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  <c r="AC501" s="189"/>
      <c r="AD501" s="189"/>
      <c r="AE501" s="189"/>
      <c r="AF501" s="189"/>
      <c r="AG501" s="189"/>
      <c r="AH501" s="189"/>
      <c r="AI501" s="189"/>
      <c r="AJ501" s="189"/>
      <c r="AK501" s="189"/>
      <c r="AL501" s="189"/>
      <c r="AM501" s="189"/>
      <c r="AN501" s="189"/>
      <c r="AO501" s="189"/>
      <c r="AP501" s="189"/>
      <c r="AQ501" s="189"/>
      <c r="AR501" s="189"/>
      <c r="AS501" s="189"/>
      <c r="AT501" s="189"/>
    </row>
    <row r="502" spans="1:46" ht="12.75" customHeight="1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  <c r="AC502" s="189"/>
      <c r="AD502" s="189"/>
      <c r="AE502" s="189"/>
      <c r="AF502" s="189"/>
      <c r="AG502" s="189"/>
      <c r="AH502" s="189"/>
      <c r="AI502" s="189"/>
      <c r="AJ502" s="189"/>
      <c r="AK502" s="189"/>
      <c r="AL502" s="189"/>
      <c r="AM502" s="189"/>
      <c r="AN502" s="189"/>
      <c r="AO502" s="189"/>
      <c r="AP502" s="189"/>
      <c r="AQ502" s="189"/>
      <c r="AR502" s="189"/>
      <c r="AS502" s="189"/>
      <c r="AT502" s="189"/>
    </row>
    <row r="503" spans="1:46" ht="12.75" customHeight="1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  <c r="AC503" s="189"/>
      <c r="AD503" s="189"/>
      <c r="AE503" s="189"/>
      <c r="AF503" s="189"/>
      <c r="AG503" s="189"/>
      <c r="AH503" s="189"/>
      <c r="AI503" s="189"/>
      <c r="AJ503" s="189"/>
      <c r="AK503" s="189"/>
      <c r="AL503" s="189"/>
      <c r="AM503" s="189"/>
      <c r="AN503" s="189"/>
      <c r="AO503" s="189"/>
      <c r="AP503" s="189"/>
      <c r="AQ503" s="189"/>
      <c r="AR503" s="189"/>
      <c r="AS503" s="189"/>
      <c r="AT503" s="189"/>
    </row>
    <row r="504" spans="1:46" ht="12.75" customHeight="1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  <c r="AC504" s="189"/>
      <c r="AD504" s="189"/>
      <c r="AE504" s="189"/>
      <c r="AF504" s="189"/>
      <c r="AG504" s="189"/>
      <c r="AH504" s="189"/>
      <c r="AI504" s="189"/>
      <c r="AJ504" s="189"/>
      <c r="AK504" s="189"/>
      <c r="AL504" s="189"/>
      <c r="AM504" s="189"/>
      <c r="AN504" s="189"/>
      <c r="AO504" s="189"/>
      <c r="AP504" s="189"/>
      <c r="AQ504" s="189"/>
      <c r="AR504" s="189"/>
      <c r="AS504" s="189"/>
      <c r="AT504" s="189"/>
    </row>
    <row r="505" spans="1:46" ht="12.75" customHeight="1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  <c r="AC505" s="189"/>
      <c r="AD505" s="189"/>
      <c r="AE505" s="189"/>
      <c r="AF505" s="189"/>
      <c r="AG505" s="189"/>
      <c r="AH505" s="189"/>
      <c r="AI505" s="189"/>
      <c r="AJ505" s="189"/>
      <c r="AK505" s="189"/>
      <c r="AL505" s="189"/>
      <c r="AM505" s="189"/>
      <c r="AN505" s="189"/>
      <c r="AO505" s="189"/>
      <c r="AP505" s="189"/>
      <c r="AQ505" s="189"/>
      <c r="AR505" s="189"/>
      <c r="AS505" s="189"/>
      <c r="AT505" s="189"/>
    </row>
    <row r="506" spans="1:46" ht="12.75" customHeight="1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  <c r="AC506" s="189"/>
      <c r="AD506" s="189"/>
      <c r="AE506" s="189"/>
      <c r="AF506" s="189"/>
      <c r="AG506" s="189"/>
      <c r="AH506" s="189"/>
      <c r="AI506" s="189"/>
      <c r="AJ506" s="189"/>
      <c r="AK506" s="189"/>
      <c r="AL506" s="189"/>
      <c r="AM506" s="189"/>
      <c r="AN506" s="189"/>
      <c r="AO506" s="189"/>
      <c r="AP506" s="189"/>
      <c r="AQ506" s="189"/>
      <c r="AR506" s="189"/>
      <c r="AS506" s="189"/>
      <c r="AT506" s="189"/>
    </row>
    <row r="507" spans="1:46" ht="12.75" customHeight="1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189"/>
      <c r="AJ507" s="189"/>
      <c r="AK507" s="189"/>
      <c r="AL507" s="189"/>
      <c r="AM507" s="189"/>
      <c r="AN507" s="189"/>
      <c r="AO507" s="189"/>
      <c r="AP507" s="189"/>
      <c r="AQ507" s="189"/>
      <c r="AR507" s="189"/>
      <c r="AS507" s="189"/>
      <c r="AT507" s="189"/>
    </row>
    <row r="508" spans="1:46" ht="12.75" customHeight="1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  <c r="AC508" s="189"/>
      <c r="AD508" s="189"/>
      <c r="AE508" s="189"/>
      <c r="AF508" s="189"/>
      <c r="AG508" s="189"/>
      <c r="AH508" s="189"/>
      <c r="AI508" s="189"/>
      <c r="AJ508" s="189"/>
      <c r="AK508" s="189"/>
      <c r="AL508" s="189"/>
      <c r="AM508" s="189"/>
      <c r="AN508" s="189"/>
      <c r="AO508" s="189"/>
      <c r="AP508" s="189"/>
      <c r="AQ508" s="189"/>
      <c r="AR508" s="189"/>
      <c r="AS508" s="189"/>
      <c r="AT508" s="189"/>
    </row>
    <row r="509" spans="1:46" ht="12.75" customHeight="1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  <c r="AC509" s="189"/>
      <c r="AD509" s="189"/>
      <c r="AE509" s="189"/>
      <c r="AF509" s="189"/>
      <c r="AG509" s="189"/>
      <c r="AH509" s="189"/>
      <c r="AI509" s="189"/>
      <c r="AJ509" s="189"/>
      <c r="AK509" s="189"/>
      <c r="AL509" s="189"/>
      <c r="AM509" s="189"/>
      <c r="AN509" s="189"/>
      <c r="AO509" s="189"/>
      <c r="AP509" s="189"/>
      <c r="AQ509" s="189"/>
      <c r="AR509" s="189"/>
      <c r="AS509" s="189"/>
      <c r="AT509" s="189"/>
    </row>
    <row r="510" spans="1:46" ht="12.75" customHeight="1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  <c r="AD510" s="189"/>
      <c r="AE510" s="189"/>
      <c r="AF510" s="189"/>
      <c r="AG510" s="189"/>
      <c r="AH510" s="189"/>
      <c r="AI510" s="189"/>
      <c r="AJ510" s="189"/>
      <c r="AK510" s="189"/>
      <c r="AL510" s="189"/>
      <c r="AM510" s="189"/>
      <c r="AN510" s="189"/>
      <c r="AO510" s="189"/>
      <c r="AP510" s="189"/>
      <c r="AQ510" s="189"/>
      <c r="AR510" s="189"/>
      <c r="AS510" s="189"/>
      <c r="AT510" s="189"/>
    </row>
    <row r="511" spans="1:46" ht="12.75" customHeight="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  <c r="AH511" s="189"/>
      <c r="AI511" s="189"/>
      <c r="AJ511" s="189"/>
      <c r="AK511" s="189"/>
      <c r="AL511" s="189"/>
      <c r="AM511" s="189"/>
      <c r="AN511" s="189"/>
      <c r="AO511" s="189"/>
      <c r="AP511" s="189"/>
      <c r="AQ511" s="189"/>
      <c r="AR511" s="189"/>
      <c r="AS511" s="189"/>
      <c r="AT511" s="189"/>
    </row>
    <row r="512" spans="1:46" ht="12.75" customHeight="1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  <c r="AC512" s="189"/>
      <c r="AD512" s="189"/>
      <c r="AE512" s="189"/>
      <c r="AF512" s="189"/>
      <c r="AG512" s="189"/>
      <c r="AH512" s="189"/>
      <c r="AI512" s="189"/>
      <c r="AJ512" s="189"/>
      <c r="AK512" s="189"/>
      <c r="AL512" s="189"/>
      <c r="AM512" s="189"/>
      <c r="AN512" s="189"/>
      <c r="AO512" s="189"/>
      <c r="AP512" s="189"/>
      <c r="AQ512" s="189"/>
      <c r="AR512" s="189"/>
      <c r="AS512" s="189"/>
      <c r="AT512" s="189"/>
    </row>
    <row r="513" spans="1:46" ht="12.75" customHeight="1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  <c r="AC513" s="189"/>
      <c r="AD513" s="189"/>
      <c r="AE513" s="189"/>
      <c r="AF513" s="189"/>
      <c r="AG513" s="189"/>
      <c r="AH513" s="189"/>
      <c r="AI513" s="189"/>
      <c r="AJ513" s="189"/>
      <c r="AK513" s="189"/>
      <c r="AL513" s="189"/>
      <c r="AM513" s="189"/>
      <c r="AN513" s="189"/>
      <c r="AO513" s="189"/>
      <c r="AP513" s="189"/>
      <c r="AQ513" s="189"/>
      <c r="AR513" s="189"/>
      <c r="AS513" s="189"/>
      <c r="AT513" s="189"/>
    </row>
    <row r="514" spans="1:46" ht="12.75" customHeight="1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  <c r="AC514" s="189"/>
      <c r="AD514" s="189"/>
      <c r="AE514" s="189"/>
      <c r="AF514" s="189"/>
      <c r="AG514" s="189"/>
      <c r="AH514" s="189"/>
      <c r="AI514" s="189"/>
      <c r="AJ514" s="189"/>
      <c r="AK514" s="189"/>
      <c r="AL514" s="189"/>
      <c r="AM514" s="189"/>
      <c r="AN514" s="189"/>
      <c r="AO514" s="189"/>
      <c r="AP514" s="189"/>
      <c r="AQ514" s="189"/>
      <c r="AR514" s="189"/>
      <c r="AS514" s="189"/>
      <c r="AT514" s="189"/>
    </row>
    <row r="515" spans="1:46" ht="12.75" customHeight="1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  <c r="AC515" s="189"/>
      <c r="AD515" s="189"/>
      <c r="AE515" s="189"/>
      <c r="AF515" s="189"/>
      <c r="AG515" s="189"/>
      <c r="AH515" s="189"/>
      <c r="AI515" s="189"/>
      <c r="AJ515" s="189"/>
      <c r="AK515" s="189"/>
      <c r="AL515" s="189"/>
      <c r="AM515" s="189"/>
      <c r="AN515" s="189"/>
      <c r="AO515" s="189"/>
      <c r="AP515" s="189"/>
      <c r="AQ515" s="189"/>
      <c r="AR515" s="189"/>
      <c r="AS515" s="189"/>
      <c r="AT515" s="189"/>
    </row>
    <row r="516" spans="1:46" ht="12.75" customHeight="1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  <c r="AC516" s="189"/>
      <c r="AD516" s="189"/>
      <c r="AE516" s="189"/>
      <c r="AF516" s="189"/>
      <c r="AG516" s="189"/>
      <c r="AH516" s="189"/>
      <c r="AI516" s="189"/>
      <c r="AJ516" s="189"/>
      <c r="AK516" s="189"/>
      <c r="AL516" s="189"/>
      <c r="AM516" s="189"/>
      <c r="AN516" s="189"/>
      <c r="AO516" s="189"/>
      <c r="AP516" s="189"/>
      <c r="AQ516" s="189"/>
      <c r="AR516" s="189"/>
      <c r="AS516" s="189"/>
      <c r="AT516" s="189"/>
    </row>
    <row r="517" spans="1:46" ht="12.75" customHeight="1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  <c r="AC517" s="189"/>
      <c r="AD517" s="189"/>
      <c r="AE517" s="189"/>
      <c r="AF517" s="189"/>
      <c r="AG517" s="189"/>
      <c r="AH517" s="189"/>
      <c r="AI517" s="189"/>
      <c r="AJ517" s="189"/>
      <c r="AK517" s="189"/>
      <c r="AL517" s="189"/>
      <c r="AM517" s="189"/>
      <c r="AN517" s="189"/>
      <c r="AO517" s="189"/>
      <c r="AP517" s="189"/>
      <c r="AQ517" s="189"/>
      <c r="AR517" s="189"/>
      <c r="AS517" s="189"/>
      <c r="AT517" s="189"/>
    </row>
    <row r="518" spans="1:46" ht="12.75" customHeight="1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  <c r="AC518" s="189"/>
      <c r="AD518" s="189"/>
      <c r="AE518" s="189"/>
      <c r="AF518" s="189"/>
      <c r="AG518" s="189"/>
      <c r="AH518" s="189"/>
      <c r="AI518" s="189"/>
      <c r="AJ518" s="189"/>
      <c r="AK518" s="189"/>
      <c r="AL518" s="189"/>
      <c r="AM518" s="189"/>
      <c r="AN518" s="189"/>
      <c r="AO518" s="189"/>
      <c r="AP518" s="189"/>
      <c r="AQ518" s="189"/>
      <c r="AR518" s="189"/>
      <c r="AS518" s="189"/>
      <c r="AT518" s="189"/>
    </row>
    <row r="519" spans="1:46" ht="12.75" customHeight="1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  <c r="AC519" s="189"/>
      <c r="AD519" s="189"/>
      <c r="AE519" s="189"/>
      <c r="AF519" s="189"/>
      <c r="AG519" s="189"/>
      <c r="AH519" s="189"/>
      <c r="AI519" s="189"/>
      <c r="AJ519" s="189"/>
      <c r="AK519" s="189"/>
      <c r="AL519" s="189"/>
      <c r="AM519" s="189"/>
      <c r="AN519" s="189"/>
      <c r="AO519" s="189"/>
      <c r="AP519" s="189"/>
      <c r="AQ519" s="189"/>
      <c r="AR519" s="189"/>
      <c r="AS519" s="189"/>
      <c r="AT519" s="189"/>
    </row>
    <row r="520" spans="1:46" ht="12.75" customHeight="1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  <c r="AC520" s="189"/>
      <c r="AD520" s="189"/>
      <c r="AE520" s="189"/>
      <c r="AF520" s="189"/>
      <c r="AG520" s="189"/>
      <c r="AH520" s="189"/>
      <c r="AI520" s="189"/>
      <c r="AJ520" s="189"/>
      <c r="AK520" s="189"/>
      <c r="AL520" s="189"/>
      <c r="AM520" s="189"/>
      <c r="AN520" s="189"/>
      <c r="AO520" s="189"/>
      <c r="AP520" s="189"/>
      <c r="AQ520" s="189"/>
      <c r="AR520" s="189"/>
      <c r="AS520" s="189"/>
      <c r="AT520" s="189"/>
    </row>
    <row r="521" spans="1:46" ht="12.75" customHeight="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  <c r="AC521" s="189"/>
      <c r="AD521" s="189"/>
      <c r="AE521" s="189"/>
      <c r="AF521" s="189"/>
      <c r="AG521" s="189"/>
      <c r="AH521" s="189"/>
      <c r="AI521" s="189"/>
      <c r="AJ521" s="189"/>
      <c r="AK521" s="189"/>
      <c r="AL521" s="189"/>
      <c r="AM521" s="189"/>
      <c r="AN521" s="189"/>
      <c r="AO521" s="189"/>
      <c r="AP521" s="189"/>
      <c r="AQ521" s="189"/>
      <c r="AR521" s="189"/>
      <c r="AS521" s="189"/>
      <c r="AT521" s="189"/>
    </row>
    <row r="522" spans="1:46" ht="12.75" customHeight="1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  <c r="AC522" s="189"/>
      <c r="AD522" s="189"/>
      <c r="AE522" s="189"/>
      <c r="AF522" s="189"/>
      <c r="AG522" s="189"/>
      <c r="AH522" s="189"/>
      <c r="AI522" s="189"/>
      <c r="AJ522" s="189"/>
      <c r="AK522" s="189"/>
      <c r="AL522" s="189"/>
      <c r="AM522" s="189"/>
      <c r="AN522" s="189"/>
      <c r="AO522" s="189"/>
      <c r="AP522" s="189"/>
      <c r="AQ522" s="189"/>
      <c r="AR522" s="189"/>
      <c r="AS522" s="189"/>
      <c r="AT522" s="189"/>
    </row>
    <row r="523" spans="1:46" ht="12.75" customHeight="1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  <c r="AC523" s="189"/>
      <c r="AD523" s="189"/>
      <c r="AE523" s="189"/>
      <c r="AF523" s="189"/>
      <c r="AG523" s="189"/>
      <c r="AH523" s="189"/>
      <c r="AI523" s="189"/>
      <c r="AJ523" s="189"/>
      <c r="AK523" s="189"/>
      <c r="AL523" s="189"/>
      <c r="AM523" s="189"/>
      <c r="AN523" s="189"/>
      <c r="AO523" s="189"/>
      <c r="AP523" s="189"/>
      <c r="AQ523" s="189"/>
      <c r="AR523" s="189"/>
      <c r="AS523" s="189"/>
      <c r="AT523" s="189"/>
    </row>
    <row r="524" spans="1:46" ht="12.75" customHeight="1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  <c r="AC524" s="189"/>
      <c r="AD524" s="189"/>
      <c r="AE524" s="189"/>
      <c r="AF524" s="189"/>
      <c r="AG524" s="189"/>
      <c r="AH524" s="189"/>
      <c r="AI524" s="189"/>
      <c r="AJ524" s="189"/>
      <c r="AK524" s="189"/>
      <c r="AL524" s="189"/>
      <c r="AM524" s="189"/>
      <c r="AN524" s="189"/>
      <c r="AO524" s="189"/>
      <c r="AP524" s="189"/>
      <c r="AQ524" s="189"/>
      <c r="AR524" s="189"/>
      <c r="AS524" s="189"/>
      <c r="AT524" s="189"/>
    </row>
    <row r="525" spans="1:46" ht="12.75" customHeight="1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  <c r="AC525" s="189"/>
      <c r="AD525" s="189"/>
      <c r="AE525" s="189"/>
      <c r="AF525" s="189"/>
      <c r="AG525" s="189"/>
      <c r="AH525" s="189"/>
      <c r="AI525" s="189"/>
      <c r="AJ525" s="189"/>
      <c r="AK525" s="189"/>
      <c r="AL525" s="189"/>
      <c r="AM525" s="189"/>
      <c r="AN525" s="189"/>
      <c r="AO525" s="189"/>
      <c r="AP525" s="189"/>
      <c r="AQ525" s="189"/>
      <c r="AR525" s="189"/>
      <c r="AS525" s="189"/>
      <c r="AT525" s="189"/>
    </row>
    <row r="526" spans="1:46" ht="12.75" customHeight="1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  <c r="AC526" s="189"/>
      <c r="AD526" s="189"/>
      <c r="AE526" s="189"/>
      <c r="AF526" s="189"/>
      <c r="AG526" s="189"/>
      <c r="AH526" s="189"/>
      <c r="AI526" s="189"/>
      <c r="AJ526" s="189"/>
      <c r="AK526" s="189"/>
      <c r="AL526" s="189"/>
      <c r="AM526" s="189"/>
      <c r="AN526" s="189"/>
      <c r="AO526" s="189"/>
      <c r="AP526" s="189"/>
      <c r="AQ526" s="189"/>
      <c r="AR526" s="189"/>
      <c r="AS526" s="189"/>
      <c r="AT526" s="189"/>
    </row>
    <row r="527" spans="1:46" ht="12.75" customHeight="1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  <c r="AC527" s="189"/>
      <c r="AD527" s="189"/>
      <c r="AE527" s="189"/>
      <c r="AF527" s="189"/>
      <c r="AG527" s="189"/>
      <c r="AH527" s="189"/>
      <c r="AI527" s="189"/>
      <c r="AJ527" s="189"/>
      <c r="AK527" s="189"/>
      <c r="AL527" s="189"/>
      <c r="AM527" s="189"/>
      <c r="AN527" s="189"/>
      <c r="AO527" s="189"/>
      <c r="AP527" s="189"/>
      <c r="AQ527" s="189"/>
      <c r="AR527" s="189"/>
      <c r="AS527" s="189"/>
      <c r="AT527" s="189"/>
    </row>
    <row r="528" spans="1:46" ht="12.75" customHeight="1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  <c r="AC528" s="189"/>
      <c r="AD528" s="189"/>
      <c r="AE528" s="189"/>
      <c r="AF528" s="189"/>
      <c r="AG528" s="189"/>
      <c r="AH528" s="189"/>
      <c r="AI528" s="189"/>
      <c r="AJ528" s="189"/>
      <c r="AK528" s="189"/>
      <c r="AL528" s="189"/>
      <c r="AM528" s="189"/>
      <c r="AN528" s="189"/>
      <c r="AO528" s="189"/>
      <c r="AP528" s="189"/>
      <c r="AQ528" s="189"/>
      <c r="AR528" s="189"/>
      <c r="AS528" s="189"/>
      <c r="AT528" s="189"/>
    </row>
    <row r="529" spans="1:46" ht="12.75" customHeight="1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  <c r="AC529" s="189"/>
      <c r="AD529" s="189"/>
      <c r="AE529" s="189"/>
      <c r="AF529" s="189"/>
      <c r="AG529" s="189"/>
      <c r="AH529" s="189"/>
      <c r="AI529" s="189"/>
      <c r="AJ529" s="189"/>
      <c r="AK529" s="189"/>
      <c r="AL529" s="189"/>
      <c r="AM529" s="189"/>
      <c r="AN529" s="189"/>
      <c r="AO529" s="189"/>
      <c r="AP529" s="189"/>
      <c r="AQ529" s="189"/>
      <c r="AR529" s="189"/>
      <c r="AS529" s="189"/>
      <c r="AT529" s="189"/>
    </row>
    <row r="530" spans="1:46" ht="12.75" customHeight="1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  <c r="AC530" s="189"/>
      <c r="AD530" s="189"/>
      <c r="AE530" s="189"/>
      <c r="AF530" s="189"/>
      <c r="AG530" s="189"/>
      <c r="AH530" s="189"/>
      <c r="AI530" s="189"/>
      <c r="AJ530" s="189"/>
      <c r="AK530" s="189"/>
      <c r="AL530" s="189"/>
      <c r="AM530" s="189"/>
      <c r="AN530" s="189"/>
      <c r="AO530" s="189"/>
      <c r="AP530" s="189"/>
      <c r="AQ530" s="189"/>
      <c r="AR530" s="189"/>
      <c r="AS530" s="189"/>
      <c r="AT530" s="189"/>
    </row>
    <row r="531" spans="1:46" ht="12.75" customHeight="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  <c r="AD531" s="189"/>
      <c r="AE531" s="189"/>
      <c r="AF531" s="189"/>
      <c r="AG531" s="189"/>
      <c r="AH531" s="189"/>
      <c r="AI531" s="189"/>
      <c r="AJ531" s="189"/>
      <c r="AK531" s="189"/>
      <c r="AL531" s="189"/>
      <c r="AM531" s="189"/>
      <c r="AN531" s="189"/>
      <c r="AO531" s="189"/>
      <c r="AP531" s="189"/>
      <c r="AQ531" s="189"/>
      <c r="AR531" s="189"/>
      <c r="AS531" s="189"/>
      <c r="AT531" s="189"/>
    </row>
    <row r="532" spans="1:46" ht="12.75" customHeight="1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  <c r="AC532" s="189"/>
      <c r="AD532" s="189"/>
      <c r="AE532" s="189"/>
      <c r="AF532" s="189"/>
      <c r="AG532" s="189"/>
      <c r="AH532" s="189"/>
      <c r="AI532" s="189"/>
      <c r="AJ532" s="189"/>
      <c r="AK532" s="189"/>
      <c r="AL532" s="189"/>
      <c r="AM532" s="189"/>
      <c r="AN532" s="189"/>
      <c r="AO532" s="189"/>
      <c r="AP532" s="189"/>
      <c r="AQ532" s="189"/>
      <c r="AR532" s="189"/>
      <c r="AS532" s="189"/>
      <c r="AT532" s="189"/>
    </row>
    <row r="533" spans="1:46" ht="12.75" customHeight="1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  <c r="AC533" s="189"/>
      <c r="AD533" s="189"/>
      <c r="AE533" s="189"/>
      <c r="AF533" s="189"/>
      <c r="AG533" s="189"/>
      <c r="AH533" s="189"/>
      <c r="AI533" s="189"/>
      <c r="AJ533" s="189"/>
      <c r="AK533" s="189"/>
      <c r="AL533" s="189"/>
      <c r="AM533" s="189"/>
      <c r="AN533" s="189"/>
      <c r="AO533" s="189"/>
      <c r="AP533" s="189"/>
      <c r="AQ533" s="189"/>
      <c r="AR533" s="189"/>
      <c r="AS533" s="189"/>
      <c r="AT533" s="189"/>
    </row>
    <row r="534" spans="1:46" ht="12.75" customHeight="1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  <c r="AC534" s="189"/>
      <c r="AD534" s="189"/>
      <c r="AE534" s="189"/>
      <c r="AF534" s="189"/>
      <c r="AG534" s="189"/>
      <c r="AH534" s="189"/>
      <c r="AI534" s="189"/>
      <c r="AJ534" s="189"/>
      <c r="AK534" s="189"/>
      <c r="AL534" s="189"/>
      <c r="AM534" s="189"/>
      <c r="AN534" s="189"/>
      <c r="AO534" s="189"/>
      <c r="AP534" s="189"/>
      <c r="AQ534" s="189"/>
      <c r="AR534" s="189"/>
      <c r="AS534" s="189"/>
      <c r="AT534" s="189"/>
    </row>
    <row r="535" spans="1:46" ht="12.75" customHeight="1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  <c r="AC535" s="189"/>
      <c r="AD535" s="189"/>
      <c r="AE535" s="189"/>
      <c r="AF535" s="189"/>
      <c r="AG535" s="189"/>
      <c r="AH535" s="189"/>
      <c r="AI535" s="189"/>
      <c r="AJ535" s="189"/>
      <c r="AK535" s="189"/>
      <c r="AL535" s="189"/>
      <c r="AM535" s="189"/>
      <c r="AN535" s="189"/>
      <c r="AO535" s="189"/>
      <c r="AP535" s="189"/>
      <c r="AQ535" s="189"/>
      <c r="AR535" s="189"/>
      <c r="AS535" s="189"/>
      <c r="AT535" s="189"/>
    </row>
    <row r="536" spans="1:46" ht="12.75" customHeight="1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  <c r="AC536" s="189"/>
      <c r="AD536" s="189"/>
      <c r="AE536" s="189"/>
      <c r="AF536" s="189"/>
      <c r="AG536" s="189"/>
      <c r="AH536" s="189"/>
      <c r="AI536" s="189"/>
      <c r="AJ536" s="189"/>
      <c r="AK536" s="189"/>
      <c r="AL536" s="189"/>
      <c r="AM536" s="189"/>
      <c r="AN536" s="189"/>
      <c r="AO536" s="189"/>
      <c r="AP536" s="189"/>
      <c r="AQ536" s="189"/>
      <c r="AR536" s="189"/>
      <c r="AS536" s="189"/>
      <c r="AT536" s="189"/>
    </row>
    <row r="537" spans="1:46" ht="12.75" customHeight="1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  <c r="AD537" s="189"/>
      <c r="AE537" s="189"/>
      <c r="AF537" s="189"/>
      <c r="AG537" s="189"/>
      <c r="AH537" s="189"/>
      <c r="AI537" s="189"/>
      <c r="AJ537" s="189"/>
      <c r="AK537" s="189"/>
      <c r="AL537" s="189"/>
      <c r="AM537" s="189"/>
      <c r="AN537" s="189"/>
      <c r="AO537" s="189"/>
      <c r="AP537" s="189"/>
      <c r="AQ537" s="189"/>
      <c r="AR537" s="189"/>
      <c r="AS537" s="189"/>
      <c r="AT537" s="189"/>
    </row>
    <row r="538" spans="1:46" ht="12.75" customHeight="1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  <c r="AC538" s="189"/>
      <c r="AD538" s="189"/>
      <c r="AE538" s="189"/>
      <c r="AF538" s="189"/>
      <c r="AG538" s="189"/>
      <c r="AH538" s="189"/>
      <c r="AI538" s="189"/>
      <c r="AJ538" s="189"/>
      <c r="AK538" s="189"/>
      <c r="AL538" s="189"/>
      <c r="AM538" s="189"/>
      <c r="AN538" s="189"/>
      <c r="AO538" s="189"/>
      <c r="AP538" s="189"/>
      <c r="AQ538" s="189"/>
      <c r="AR538" s="189"/>
      <c r="AS538" s="189"/>
      <c r="AT538" s="189"/>
    </row>
    <row r="539" spans="1:46" ht="12.75" customHeight="1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  <c r="AC539" s="189"/>
      <c r="AD539" s="189"/>
      <c r="AE539" s="189"/>
      <c r="AF539" s="189"/>
      <c r="AG539" s="189"/>
      <c r="AH539" s="189"/>
      <c r="AI539" s="189"/>
      <c r="AJ539" s="189"/>
      <c r="AK539" s="189"/>
      <c r="AL539" s="189"/>
      <c r="AM539" s="189"/>
      <c r="AN539" s="189"/>
      <c r="AO539" s="189"/>
      <c r="AP539" s="189"/>
      <c r="AQ539" s="189"/>
      <c r="AR539" s="189"/>
      <c r="AS539" s="189"/>
      <c r="AT539" s="189"/>
    </row>
    <row r="540" spans="1:46" ht="12.75" customHeight="1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  <c r="AC540" s="189"/>
      <c r="AD540" s="189"/>
      <c r="AE540" s="189"/>
      <c r="AF540" s="189"/>
      <c r="AG540" s="189"/>
      <c r="AH540" s="189"/>
      <c r="AI540" s="189"/>
      <c r="AJ540" s="189"/>
      <c r="AK540" s="189"/>
      <c r="AL540" s="189"/>
      <c r="AM540" s="189"/>
      <c r="AN540" s="189"/>
      <c r="AO540" s="189"/>
      <c r="AP540" s="189"/>
      <c r="AQ540" s="189"/>
      <c r="AR540" s="189"/>
      <c r="AS540" s="189"/>
      <c r="AT540" s="189"/>
    </row>
    <row r="541" spans="1:46" ht="12.75" customHeight="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  <c r="AC541" s="189"/>
      <c r="AD541" s="189"/>
      <c r="AE541" s="189"/>
      <c r="AF541" s="189"/>
      <c r="AG541" s="189"/>
      <c r="AH541" s="189"/>
      <c r="AI541" s="189"/>
      <c r="AJ541" s="189"/>
      <c r="AK541" s="189"/>
      <c r="AL541" s="189"/>
      <c r="AM541" s="189"/>
      <c r="AN541" s="189"/>
      <c r="AO541" s="189"/>
      <c r="AP541" s="189"/>
      <c r="AQ541" s="189"/>
      <c r="AR541" s="189"/>
      <c r="AS541" s="189"/>
      <c r="AT541" s="189"/>
    </row>
    <row r="542" spans="1:46" ht="12.75" customHeight="1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  <c r="AC542" s="189"/>
      <c r="AD542" s="189"/>
      <c r="AE542" s="189"/>
      <c r="AF542" s="189"/>
      <c r="AG542" s="189"/>
      <c r="AH542" s="189"/>
      <c r="AI542" s="189"/>
      <c r="AJ542" s="189"/>
      <c r="AK542" s="189"/>
      <c r="AL542" s="189"/>
      <c r="AM542" s="189"/>
      <c r="AN542" s="189"/>
      <c r="AO542" s="189"/>
      <c r="AP542" s="189"/>
      <c r="AQ542" s="189"/>
      <c r="AR542" s="189"/>
      <c r="AS542" s="189"/>
      <c r="AT542" s="189"/>
    </row>
    <row r="543" spans="1:46" ht="12.75" customHeight="1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  <c r="AC543" s="189"/>
      <c r="AD543" s="189"/>
      <c r="AE543" s="189"/>
      <c r="AF543" s="189"/>
      <c r="AG543" s="189"/>
      <c r="AH543" s="189"/>
      <c r="AI543" s="189"/>
      <c r="AJ543" s="189"/>
      <c r="AK543" s="189"/>
      <c r="AL543" s="189"/>
      <c r="AM543" s="189"/>
      <c r="AN543" s="189"/>
      <c r="AO543" s="189"/>
      <c r="AP543" s="189"/>
      <c r="AQ543" s="189"/>
      <c r="AR543" s="189"/>
      <c r="AS543" s="189"/>
      <c r="AT543" s="189"/>
    </row>
    <row r="544" spans="1:46" ht="12.75" customHeight="1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  <c r="AC544" s="189"/>
      <c r="AD544" s="189"/>
      <c r="AE544" s="189"/>
      <c r="AF544" s="189"/>
      <c r="AG544" s="189"/>
      <c r="AH544" s="189"/>
      <c r="AI544" s="189"/>
      <c r="AJ544" s="189"/>
      <c r="AK544" s="189"/>
      <c r="AL544" s="189"/>
      <c r="AM544" s="189"/>
      <c r="AN544" s="189"/>
      <c r="AO544" s="189"/>
      <c r="AP544" s="189"/>
      <c r="AQ544" s="189"/>
      <c r="AR544" s="189"/>
      <c r="AS544" s="189"/>
      <c r="AT544" s="189"/>
    </row>
    <row r="545" spans="1:46" ht="12.75" customHeight="1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  <c r="AC545" s="189"/>
      <c r="AD545" s="189"/>
      <c r="AE545" s="189"/>
      <c r="AF545" s="189"/>
      <c r="AG545" s="189"/>
      <c r="AH545" s="189"/>
      <c r="AI545" s="189"/>
      <c r="AJ545" s="189"/>
      <c r="AK545" s="189"/>
      <c r="AL545" s="189"/>
      <c r="AM545" s="189"/>
      <c r="AN545" s="189"/>
      <c r="AO545" s="189"/>
      <c r="AP545" s="189"/>
      <c r="AQ545" s="189"/>
      <c r="AR545" s="189"/>
      <c r="AS545" s="189"/>
      <c r="AT545" s="189"/>
    </row>
    <row r="546" spans="1:46" ht="12.75" customHeight="1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  <c r="AC546" s="189"/>
      <c r="AD546" s="189"/>
      <c r="AE546" s="189"/>
      <c r="AF546" s="189"/>
      <c r="AG546" s="189"/>
      <c r="AH546" s="189"/>
      <c r="AI546" s="189"/>
      <c r="AJ546" s="189"/>
      <c r="AK546" s="189"/>
      <c r="AL546" s="189"/>
      <c r="AM546" s="189"/>
      <c r="AN546" s="189"/>
      <c r="AO546" s="189"/>
      <c r="AP546" s="189"/>
      <c r="AQ546" s="189"/>
      <c r="AR546" s="189"/>
      <c r="AS546" s="189"/>
      <c r="AT546" s="189"/>
    </row>
    <row r="547" spans="1:46" ht="12.75" customHeight="1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  <c r="AC547" s="189"/>
      <c r="AD547" s="189"/>
      <c r="AE547" s="189"/>
      <c r="AF547" s="189"/>
      <c r="AG547" s="189"/>
      <c r="AH547" s="189"/>
      <c r="AI547" s="189"/>
      <c r="AJ547" s="189"/>
      <c r="AK547" s="189"/>
      <c r="AL547" s="189"/>
      <c r="AM547" s="189"/>
      <c r="AN547" s="189"/>
      <c r="AO547" s="189"/>
      <c r="AP547" s="189"/>
      <c r="AQ547" s="189"/>
      <c r="AR547" s="189"/>
      <c r="AS547" s="189"/>
      <c r="AT547" s="189"/>
    </row>
    <row r="548" spans="1:46" ht="12.75" customHeight="1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  <c r="AC548" s="189"/>
      <c r="AD548" s="189"/>
      <c r="AE548" s="189"/>
      <c r="AF548" s="189"/>
      <c r="AG548" s="189"/>
      <c r="AH548" s="189"/>
      <c r="AI548" s="189"/>
      <c r="AJ548" s="189"/>
      <c r="AK548" s="189"/>
      <c r="AL548" s="189"/>
      <c r="AM548" s="189"/>
      <c r="AN548" s="189"/>
      <c r="AO548" s="189"/>
      <c r="AP548" s="189"/>
      <c r="AQ548" s="189"/>
      <c r="AR548" s="189"/>
      <c r="AS548" s="189"/>
      <c r="AT548" s="189"/>
    </row>
    <row r="549" spans="1:46" ht="12.75" customHeight="1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  <c r="AC549" s="189"/>
      <c r="AD549" s="189"/>
      <c r="AE549" s="189"/>
      <c r="AF549" s="189"/>
      <c r="AG549" s="189"/>
      <c r="AH549" s="189"/>
      <c r="AI549" s="189"/>
      <c r="AJ549" s="189"/>
      <c r="AK549" s="189"/>
      <c r="AL549" s="189"/>
      <c r="AM549" s="189"/>
      <c r="AN549" s="189"/>
      <c r="AO549" s="189"/>
      <c r="AP549" s="189"/>
      <c r="AQ549" s="189"/>
      <c r="AR549" s="189"/>
      <c r="AS549" s="189"/>
      <c r="AT549" s="189"/>
    </row>
    <row r="550" spans="1:46" ht="12.75" customHeight="1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  <c r="AC550" s="189"/>
      <c r="AD550" s="189"/>
      <c r="AE550" s="189"/>
      <c r="AF550" s="189"/>
      <c r="AG550" s="189"/>
      <c r="AH550" s="189"/>
      <c r="AI550" s="189"/>
      <c r="AJ550" s="189"/>
      <c r="AK550" s="189"/>
      <c r="AL550" s="189"/>
      <c r="AM550" s="189"/>
      <c r="AN550" s="189"/>
      <c r="AO550" s="189"/>
      <c r="AP550" s="189"/>
      <c r="AQ550" s="189"/>
      <c r="AR550" s="189"/>
      <c r="AS550" s="189"/>
      <c r="AT550" s="189"/>
    </row>
    <row r="551" spans="1:46" ht="12.75" customHeight="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  <c r="AC551" s="189"/>
      <c r="AD551" s="189"/>
      <c r="AE551" s="189"/>
      <c r="AF551" s="189"/>
      <c r="AG551" s="189"/>
      <c r="AH551" s="189"/>
      <c r="AI551" s="189"/>
      <c r="AJ551" s="189"/>
      <c r="AK551" s="189"/>
      <c r="AL551" s="189"/>
      <c r="AM551" s="189"/>
      <c r="AN551" s="189"/>
      <c r="AO551" s="189"/>
      <c r="AP551" s="189"/>
      <c r="AQ551" s="189"/>
      <c r="AR551" s="189"/>
      <c r="AS551" s="189"/>
      <c r="AT551" s="189"/>
    </row>
    <row r="552" spans="1:46" ht="12.75" customHeight="1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  <c r="AC552" s="189"/>
      <c r="AD552" s="189"/>
      <c r="AE552" s="189"/>
      <c r="AF552" s="189"/>
      <c r="AG552" s="189"/>
      <c r="AH552" s="189"/>
      <c r="AI552" s="189"/>
      <c r="AJ552" s="189"/>
      <c r="AK552" s="189"/>
      <c r="AL552" s="189"/>
      <c r="AM552" s="189"/>
      <c r="AN552" s="189"/>
      <c r="AO552" s="189"/>
      <c r="AP552" s="189"/>
      <c r="AQ552" s="189"/>
      <c r="AR552" s="189"/>
      <c r="AS552" s="189"/>
      <c r="AT552" s="189"/>
    </row>
    <row r="553" spans="1:46" ht="12.75" customHeight="1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  <c r="AC553" s="189"/>
      <c r="AD553" s="189"/>
      <c r="AE553" s="189"/>
      <c r="AF553" s="189"/>
      <c r="AG553" s="189"/>
      <c r="AH553" s="189"/>
      <c r="AI553" s="189"/>
      <c r="AJ553" s="189"/>
      <c r="AK553" s="189"/>
      <c r="AL553" s="189"/>
      <c r="AM553" s="189"/>
      <c r="AN553" s="189"/>
      <c r="AO553" s="189"/>
      <c r="AP553" s="189"/>
      <c r="AQ553" s="189"/>
      <c r="AR553" s="189"/>
      <c r="AS553" s="189"/>
      <c r="AT553" s="189"/>
    </row>
    <row r="554" spans="1:46" ht="12.75" customHeight="1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  <c r="AC554" s="189"/>
      <c r="AD554" s="189"/>
      <c r="AE554" s="189"/>
      <c r="AF554" s="189"/>
      <c r="AG554" s="189"/>
      <c r="AH554" s="189"/>
      <c r="AI554" s="189"/>
      <c r="AJ554" s="189"/>
      <c r="AK554" s="189"/>
      <c r="AL554" s="189"/>
      <c r="AM554" s="189"/>
      <c r="AN554" s="189"/>
      <c r="AO554" s="189"/>
      <c r="AP554" s="189"/>
      <c r="AQ554" s="189"/>
      <c r="AR554" s="189"/>
      <c r="AS554" s="189"/>
      <c r="AT554" s="189"/>
    </row>
    <row r="555" spans="1:46" ht="12.75" customHeight="1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  <c r="AC555" s="189"/>
      <c r="AD555" s="189"/>
      <c r="AE555" s="189"/>
      <c r="AF555" s="189"/>
      <c r="AG555" s="189"/>
      <c r="AH555" s="189"/>
      <c r="AI555" s="189"/>
      <c r="AJ555" s="189"/>
      <c r="AK555" s="189"/>
      <c r="AL555" s="189"/>
      <c r="AM555" s="189"/>
      <c r="AN555" s="189"/>
      <c r="AO555" s="189"/>
      <c r="AP555" s="189"/>
      <c r="AQ555" s="189"/>
      <c r="AR555" s="189"/>
      <c r="AS555" s="189"/>
      <c r="AT555" s="189"/>
    </row>
    <row r="556" spans="1:46" ht="12.75" customHeight="1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  <c r="AC556" s="189"/>
      <c r="AD556" s="189"/>
      <c r="AE556" s="189"/>
      <c r="AF556" s="189"/>
      <c r="AG556" s="189"/>
      <c r="AH556" s="189"/>
      <c r="AI556" s="189"/>
      <c r="AJ556" s="189"/>
      <c r="AK556" s="189"/>
      <c r="AL556" s="189"/>
      <c r="AM556" s="189"/>
      <c r="AN556" s="189"/>
      <c r="AO556" s="189"/>
      <c r="AP556" s="189"/>
      <c r="AQ556" s="189"/>
      <c r="AR556" s="189"/>
      <c r="AS556" s="189"/>
      <c r="AT556" s="189"/>
    </row>
    <row r="557" spans="1:46" ht="12.75" customHeight="1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  <c r="AC557" s="189"/>
      <c r="AD557" s="189"/>
      <c r="AE557" s="189"/>
      <c r="AF557" s="189"/>
      <c r="AG557" s="189"/>
      <c r="AH557" s="189"/>
      <c r="AI557" s="189"/>
      <c r="AJ557" s="189"/>
      <c r="AK557" s="189"/>
      <c r="AL557" s="189"/>
      <c r="AM557" s="189"/>
      <c r="AN557" s="189"/>
      <c r="AO557" s="189"/>
      <c r="AP557" s="189"/>
      <c r="AQ557" s="189"/>
      <c r="AR557" s="189"/>
      <c r="AS557" s="189"/>
      <c r="AT557" s="189"/>
    </row>
    <row r="558" spans="1:46" ht="12.75" customHeight="1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  <c r="AC558" s="189"/>
      <c r="AD558" s="189"/>
      <c r="AE558" s="189"/>
      <c r="AF558" s="189"/>
      <c r="AG558" s="189"/>
      <c r="AH558" s="189"/>
      <c r="AI558" s="189"/>
      <c r="AJ558" s="189"/>
      <c r="AK558" s="189"/>
      <c r="AL558" s="189"/>
      <c r="AM558" s="189"/>
      <c r="AN558" s="189"/>
      <c r="AO558" s="189"/>
      <c r="AP558" s="189"/>
      <c r="AQ558" s="189"/>
      <c r="AR558" s="189"/>
      <c r="AS558" s="189"/>
      <c r="AT558" s="189"/>
    </row>
    <row r="559" spans="1:46" ht="12.75" customHeight="1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  <c r="AC559" s="189"/>
      <c r="AD559" s="189"/>
      <c r="AE559" s="189"/>
      <c r="AF559" s="189"/>
      <c r="AG559" s="189"/>
      <c r="AH559" s="189"/>
      <c r="AI559" s="189"/>
      <c r="AJ559" s="189"/>
      <c r="AK559" s="189"/>
      <c r="AL559" s="189"/>
      <c r="AM559" s="189"/>
      <c r="AN559" s="189"/>
      <c r="AO559" s="189"/>
      <c r="AP559" s="189"/>
      <c r="AQ559" s="189"/>
      <c r="AR559" s="189"/>
      <c r="AS559" s="189"/>
      <c r="AT559" s="189"/>
    </row>
    <row r="560" spans="1:46" ht="12.75" customHeight="1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  <c r="AC560" s="189"/>
      <c r="AD560" s="189"/>
      <c r="AE560" s="189"/>
      <c r="AF560" s="189"/>
      <c r="AG560" s="189"/>
      <c r="AH560" s="189"/>
      <c r="AI560" s="189"/>
      <c r="AJ560" s="189"/>
      <c r="AK560" s="189"/>
      <c r="AL560" s="189"/>
      <c r="AM560" s="189"/>
      <c r="AN560" s="189"/>
      <c r="AO560" s="189"/>
      <c r="AP560" s="189"/>
      <c r="AQ560" s="189"/>
      <c r="AR560" s="189"/>
      <c r="AS560" s="189"/>
      <c r="AT560" s="189"/>
    </row>
    <row r="561" spans="1:46" ht="12.75" customHeight="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  <c r="AC561" s="189"/>
      <c r="AD561" s="189"/>
      <c r="AE561" s="189"/>
      <c r="AF561" s="189"/>
      <c r="AG561" s="189"/>
      <c r="AH561" s="189"/>
      <c r="AI561" s="189"/>
      <c r="AJ561" s="189"/>
      <c r="AK561" s="189"/>
      <c r="AL561" s="189"/>
      <c r="AM561" s="189"/>
      <c r="AN561" s="189"/>
      <c r="AO561" s="189"/>
      <c r="AP561" s="189"/>
      <c r="AQ561" s="189"/>
      <c r="AR561" s="189"/>
      <c r="AS561" s="189"/>
      <c r="AT561" s="189"/>
    </row>
    <row r="562" spans="1:46" ht="12.75" customHeight="1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  <c r="AC562" s="189"/>
      <c r="AD562" s="189"/>
      <c r="AE562" s="189"/>
      <c r="AF562" s="189"/>
      <c r="AG562" s="189"/>
      <c r="AH562" s="189"/>
      <c r="AI562" s="189"/>
      <c r="AJ562" s="189"/>
      <c r="AK562" s="189"/>
      <c r="AL562" s="189"/>
      <c r="AM562" s="189"/>
      <c r="AN562" s="189"/>
      <c r="AO562" s="189"/>
      <c r="AP562" s="189"/>
      <c r="AQ562" s="189"/>
      <c r="AR562" s="189"/>
      <c r="AS562" s="189"/>
      <c r="AT562" s="189"/>
    </row>
    <row r="563" spans="1:46" ht="12.75" customHeight="1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  <c r="AC563" s="189"/>
      <c r="AD563" s="189"/>
      <c r="AE563" s="189"/>
      <c r="AF563" s="189"/>
      <c r="AG563" s="189"/>
      <c r="AH563" s="189"/>
      <c r="AI563" s="189"/>
      <c r="AJ563" s="189"/>
      <c r="AK563" s="189"/>
      <c r="AL563" s="189"/>
      <c r="AM563" s="189"/>
      <c r="AN563" s="189"/>
      <c r="AO563" s="189"/>
      <c r="AP563" s="189"/>
      <c r="AQ563" s="189"/>
      <c r="AR563" s="189"/>
      <c r="AS563" s="189"/>
      <c r="AT563" s="189"/>
    </row>
    <row r="564" spans="1:46" ht="12.75" customHeight="1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  <c r="AC564" s="189"/>
      <c r="AD564" s="189"/>
      <c r="AE564" s="189"/>
      <c r="AF564" s="189"/>
      <c r="AG564" s="189"/>
      <c r="AH564" s="189"/>
      <c r="AI564" s="189"/>
      <c r="AJ564" s="189"/>
      <c r="AK564" s="189"/>
      <c r="AL564" s="189"/>
      <c r="AM564" s="189"/>
      <c r="AN564" s="189"/>
      <c r="AO564" s="189"/>
      <c r="AP564" s="189"/>
      <c r="AQ564" s="189"/>
      <c r="AR564" s="189"/>
      <c r="AS564" s="189"/>
      <c r="AT564" s="189"/>
    </row>
    <row r="565" spans="1:46" ht="12.75" customHeight="1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  <c r="AC565" s="189"/>
      <c r="AD565" s="189"/>
      <c r="AE565" s="189"/>
      <c r="AF565" s="189"/>
      <c r="AG565" s="189"/>
      <c r="AH565" s="189"/>
      <c r="AI565" s="189"/>
      <c r="AJ565" s="189"/>
      <c r="AK565" s="189"/>
      <c r="AL565" s="189"/>
      <c r="AM565" s="189"/>
      <c r="AN565" s="189"/>
      <c r="AO565" s="189"/>
      <c r="AP565" s="189"/>
      <c r="AQ565" s="189"/>
      <c r="AR565" s="189"/>
      <c r="AS565" s="189"/>
      <c r="AT565" s="189"/>
    </row>
    <row r="566" spans="1:46" ht="12.75" customHeight="1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  <c r="AC566" s="189"/>
      <c r="AD566" s="189"/>
      <c r="AE566" s="189"/>
      <c r="AF566" s="189"/>
      <c r="AG566" s="189"/>
      <c r="AH566" s="189"/>
      <c r="AI566" s="189"/>
      <c r="AJ566" s="189"/>
      <c r="AK566" s="189"/>
      <c r="AL566" s="189"/>
      <c r="AM566" s="189"/>
      <c r="AN566" s="189"/>
      <c r="AO566" s="189"/>
      <c r="AP566" s="189"/>
      <c r="AQ566" s="189"/>
      <c r="AR566" s="189"/>
      <c r="AS566" s="189"/>
      <c r="AT566" s="189"/>
    </row>
    <row r="567" spans="1:46" ht="12.75" customHeight="1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  <c r="AD567" s="189"/>
      <c r="AE567" s="189"/>
      <c r="AF567" s="189"/>
      <c r="AG567" s="189"/>
      <c r="AH567" s="189"/>
      <c r="AI567" s="189"/>
      <c r="AJ567" s="189"/>
      <c r="AK567" s="189"/>
      <c r="AL567" s="189"/>
      <c r="AM567" s="189"/>
      <c r="AN567" s="189"/>
      <c r="AO567" s="189"/>
      <c r="AP567" s="189"/>
      <c r="AQ567" s="189"/>
      <c r="AR567" s="189"/>
      <c r="AS567" s="189"/>
      <c r="AT567" s="189"/>
    </row>
    <row r="568" spans="1:46" ht="12.75" customHeight="1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  <c r="AD568" s="189"/>
      <c r="AE568" s="189"/>
      <c r="AF568" s="189"/>
      <c r="AG568" s="189"/>
      <c r="AH568" s="189"/>
      <c r="AI568" s="189"/>
      <c r="AJ568" s="189"/>
      <c r="AK568" s="189"/>
      <c r="AL568" s="189"/>
      <c r="AM568" s="189"/>
      <c r="AN568" s="189"/>
      <c r="AO568" s="189"/>
      <c r="AP568" s="189"/>
      <c r="AQ568" s="189"/>
      <c r="AR568" s="189"/>
      <c r="AS568" s="189"/>
      <c r="AT568" s="189"/>
    </row>
    <row r="569" spans="1:46" ht="12.75" customHeight="1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  <c r="AD569" s="189"/>
      <c r="AE569" s="189"/>
      <c r="AF569" s="189"/>
      <c r="AG569" s="189"/>
      <c r="AH569" s="189"/>
      <c r="AI569" s="189"/>
      <c r="AJ569" s="189"/>
      <c r="AK569" s="189"/>
      <c r="AL569" s="189"/>
      <c r="AM569" s="189"/>
      <c r="AN569" s="189"/>
      <c r="AO569" s="189"/>
      <c r="AP569" s="189"/>
      <c r="AQ569" s="189"/>
      <c r="AR569" s="189"/>
      <c r="AS569" s="189"/>
      <c r="AT569" s="189"/>
    </row>
    <row r="570" spans="1:46" ht="12.75" customHeight="1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  <c r="AD570" s="189"/>
      <c r="AE570" s="189"/>
      <c r="AF570" s="189"/>
      <c r="AG570" s="189"/>
      <c r="AH570" s="189"/>
      <c r="AI570" s="189"/>
      <c r="AJ570" s="189"/>
      <c r="AK570" s="189"/>
      <c r="AL570" s="189"/>
      <c r="AM570" s="189"/>
      <c r="AN570" s="189"/>
      <c r="AO570" s="189"/>
      <c r="AP570" s="189"/>
      <c r="AQ570" s="189"/>
      <c r="AR570" s="189"/>
      <c r="AS570" s="189"/>
      <c r="AT570" s="189"/>
    </row>
    <row r="571" spans="1:46" ht="12.75" customHeight="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  <c r="AD571" s="189"/>
      <c r="AE571" s="189"/>
      <c r="AF571" s="189"/>
      <c r="AG571" s="189"/>
      <c r="AH571" s="189"/>
      <c r="AI571" s="189"/>
      <c r="AJ571" s="189"/>
      <c r="AK571" s="189"/>
      <c r="AL571" s="189"/>
      <c r="AM571" s="189"/>
      <c r="AN571" s="189"/>
      <c r="AO571" s="189"/>
      <c r="AP571" s="189"/>
      <c r="AQ571" s="189"/>
      <c r="AR571" s="189"/>
      <c r="AS571" s="189"/>
      <c r="AT571" s="189"/>
    </row>
    <row r="572" spans="1:46" ht="12.75" customHeight="1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  <c r="AD572" s="189"/>
      <c r="AE572" s="189"/>
      <c r="AF572" s="189"/>
      <c r="AG572" s="189"/>
      <c r="AH572" s="189"/>
      <c r="AI572" s="189"/>
      <c r="AJ572" s="189"/>
      <c r="AK572" s="189"/>
      <c r="AL572" s="189"/>
      <c r="AM572" s="189"/>
      <c r="AN572" s="189"/>
      <c r="AO572" s="189"/>
      <c r="AP572" s="189"/>
      <c r="AQ572" s="189"/>
      <c r="AR572" s="189"/>
      <c r="AS572" s="189"/>
      <c r="AT572" s="189"/>
    </row>
    <row r="573" spans="1:46" ht="12.75" customHeight="1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  <c r="AD573" s="189"/>
      <c r="AE573" s="189"/>
      <c r="AF573" s="189"/>
      <c r="AG573" s="189"/>
      <c r="AH573" s="189"/>
      <c r="AI573" s="189"/>
      <c r="AJ573" s="189"/>
      <c r="AK573" s="189"/>
      <c r="AL573" s="189"/>
      <c r="AM573" s="189"/>
      <c r="AN573" s="189"/>
      <c r="AO573" s="189"/>
      <c r="AP573" s="189"/>
      <c r="AQ573" s="189"/>
      <c r="AR573" s="189"/>
      <c r="AS573" s="189"/>
      <c r="AT573" s="189"/>
    </row>
    <row r="574" spans="1:46" ht="12.75" customHeight="1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  <c r="AD574" s="189"/>
      <c r="AE574" s="189"/>
      <c r="AF574" s="189"/>
      <c r="AG574" s="189"/>
      <c r="AH574" s="189"/>
      <c r="AI574" s="189"/>
      <c r="AJ574" s="189"/>
      <c r="AK574" s="189"/>
      <c r="AL574" s="189"/>
      <c r="AM574" s="189"/>
      <c r="AN574" s="189"/>
      <c r="AO574" s="189"/>
      <c r="AP574" s="189"/>
      <c r="AQ574" s="189"/>
      <c r="AR574" s="189"/>
      <c r="AS574" s="189"/>
      <c r="AT574" s="189"/>
    </row>
    <row r="575" spans="1:46" ht="12.75" customHeight="1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  <c r="AD575" s="189"/>
      <c r="AE575" s="189"/>
      <c r="AF575" s="189"/>
      <c r="AG575" s="189"/>
      <c r="AH575" s="189"/>
      <c r="AI575" s="189"/>
      <c r="AJ575" s="189"/>
      <c r="AK575" s="189"/>
      <c r="AL575" s="189"/>
      <c r="AM575" s="189"/>
      <c r="AN575" s="189"/>
      <c r="AO575" s="189"/>
      <c r="AP575" s="189"/>
      <c r="AQ575" s="189"/>
      <c r="AR575" s="189"/>
      <c r="AS575" s="189"/>
      <c r="AT575" s="189"/>
    </row>
    <row r="576" spans="1:46" ht="12.75" customHeight="1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  <c r="AD576" s="189"/>
      <c r="AE576" s="189"/>
      <c r="AF576" s="189"/>
      <c r="AG576" s="189"/>
      <c r="AH576" s="189"/>
      <c r="AI576" s="189"/>
      <c r="AJ576" s="189"/>
      <c r="AK576" s="189"/>
      <c r="AL576" s="189"/>
      <c r="AM576" s="189"/>
      <c r="AN576" s="189"/>
      <c r="AO576" s="189"/>
      <c r="AP576" s="189"/>
      <c r="AQ576" s="189"/>
      <c r="AR576" s="189"/>
      <c r="AS576" s="189"/>
      <c r="AT576" s="189"/>
    </row>
    <row r="577" spans="1:46" ht="12.75" customHeight="1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  <c r="AD577" s="189"/>
      <c r="AE577" s="189"/>
      <c r="AF577" s="189"/>
      <c r="AG577" s="189"/>
      <c r="AH577" s="189"/>
      <c r="AI577" s="189"/>
      <c r="AJ577" s="189"/>
      <c r="AK577" s="189"/>
      <c r="AL577" s="189"/>
      <c r="AM577" s="189"/>
      <c r="AN577" s="189"/>
      <c r="AO577" s="189"/>
      <c r="AP577" s="189"/>
      <c r="AQ577" s="189"/>
      <c r="AR577" s="189"/>
      <c r="AS577" s="189"/>
      <c r="AT577" s="189"/>
    </row>
    <row r="578" spans="1:46" ht="12.75" customHeight="1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  <c r="AD578" s="189"/>
      <c r="AE578" s="189"/>
      <c r="AF578" s="189"/>
      <c r="AG578" s="189"/>
      <c r="AH578" s="189"/>
      <c r="AI578" s="189"/>
      <c r="AJ578" s="189"/>
      <c r="AK578" s="189"/>
      <c r="AL578" s="189"/>
      <c r="AM578" s="189"/>
      <c r="AN578" s="189"/>
      <c r="AO578" s="189"/>
      <c r="AP578" s="189"/>
      <c r="AQ578" s="189"/>
      <c r="AR578" s="189"/>
      <c r="AS578" s="189"/>
      <c r="AT578" s="189"/>
    </row>
    <row r="579" spans="1:46" ht="12.75" customHeight="1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  <c r="AD579" s="189"/>
      <c r="AE579" s="189"/>
      <c r="AF579" s="189"/>
      <c r="AG579" s="189"/>
      <c r="AH579" s="189"/>
      <c r="AI579" s="189"/>
      <c r="AJ579" s="189"/>
      <c r="AK579" s="189"/>
      <c r="AL579" s="189"/>
      <c r="AM579" s="189"/>
      <c r="AN579" s="189"/>
      <c r="AO579" s="189"/>
      <c r="AP579" s="189"/>
      <c r="AQ579" s="189"/>
      <c r="AR579" s="189"/>
      <c r="AS579" s="189"/>
      <c r="AT579" s="189"/>
    </row>
    <row r="580" spans="1:46" ht="12.75" customHeight="1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  <c r="AD580" s="189"/>
      <c r="AE580" s="189"/>
      <c r="AF580" s="189"/>
      <c r="AG580" s="189"/>
      <c r="AH580" s="189"/>
      <c r="AI580" s="189"/>
      <c r="AJ580" s="189"/>
      <c r="AK580" s="189"/>
      <c r="AL580" s="189"/>
      <c r="AM580" s="189"/>
      <c r="AN580" s="189"/>
      <c r="AO580" s="189"/>
      <c r="AP580" s="189"/>
      <c r="AQ580" s="189"/>
      <c r="AR580" s="189"/>
      <c r="AS580" s="189"/>
      <c r="AT580" s="189"/>
    </row>
    <row r="581" spans="1:46" ht="12.75" customHeight="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  <c r="AD581" s="189"/>
      <c r="AE581" s="189"/>
      <c r="AF581" s="189"/>
      <c r="AG581" s="189"/>
      <c r="AH581" s="189"/>
      <c r="AI581" s="189"/>
      <c r="AJ581" s="189"/>
      <c r="AK581" s="189"/>
      <c r="AL581" s="189"/>
      <c r="AM581" s="189"/>
      <c r="AN581" s="189"/>
      <c r="AO581" s="189"/>
      <c r="AP581" s="189"/>
      <c r="AQ581" s="189"/>
      <c r="AR581" s="189"/>
      <c r="AS581" s="189"/>
      <c r="AT581" s="189"/>
    </row>
    <row r="582" spans="1:46" ht="12.75" customHeight="1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  <c r="AD582" s="189"/>
      <c r="AE582" s="189"/>
      <c r="AF582" s="189"/>
      <c r="AG582" s="189"/>
      <c r="AH582" s="189"/>
      <c r="AI582" s="189"/>
      <c r="AJ582" s="189"/>
      <c r="AK582" s="189"/>
      <c r="AL582" s="189"/>
      <c r="AM582" s="189"/>
      <c r="AN582" s="189"/>
      <c r="AO582" s="189"/>
      <c r="AP582" s="189"/>
      <c r="AQ582" s="189"/>
      <c r="AR582" s="189"/>
      <c r="AS582" s="189"/>
      <c r="AT582" s="189"/>
    </row>
    <row r="583" spans="1:46" ht="12.75" customHeight="1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  <c r="AD583" s="189"/>
      <c r="AE583" s="189"/>
      <c r="AF583" s="189"/>
      <c r="AG583" s="189"/>
      <c r="AH583" s="189"/>
      <c r="AI583" s="189"/>
      <c r="AJ583" s="189"/>
      <c r="AK583" s="189"/>
      <c r="AL583" s="189"/>
      <c r="AM583" s="189"/>
      <c r="AN583" s="189"/>
      <c r="AO583" s="189"/>
      <c r="AP583" s="189"/>
      <c r="AQ583" s="189"/>
      <c r="AR583" s="189"/>
      <c r="AS583" s="189"/>
      <c r="AT583" s="189"/>
    </row>
    <row r="584" spans="1:46" ht="12.75" customHeight="1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  <c r="AD584" s="189"/>
      <c r="AE584" s="189"/>
      <c r="AF584" s="189"/>
      <c r="AG584" s="189"/>
      <c r="AH584" s="189"/>
      <c r="AI584" s="189"/>
      <c r="AJ584" s="189"/>
      <c r="AK584" s="189"/>
      <c r="AL584" s="189"/>
      <c r="AM584" s="189"/>
      <c r="AN584" s="189"/>
      <c r="AO584" s="189"/>
      <c r="AP584" s="189"/>
      <c r="AQ584" s="189"/>
      <c r="AR584" s="189"/>
      <c r="AS584" s="189"/>
      <c r="AT584" s="189"/>
    </row>
    <row r="585" spans="1:46" ht="12.75" customHeight="1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  <c r="AD585" s="189"/>
      <c r="AE585" s="189"/>
      <c r="AF585" s="189"/>
      <c r="AG585" s="189"/>
      <c r="AH585" s="189"/>
      <c r="AI585" s="189"/>
      <c r="AJ585" s="189"/>
      <c r="AK585" s="189"/>
      <c r="AL585" s="189"/>
      <c r="AM585" s="189"/>
      <c r="AN585" s="189"/>
      <c r="AO585" s="189"/>
      <c r="AP585" s="189"/>
      <c r="AQ585" s="189"/>
      <c r="AR585" s="189"/>
      <c r="AS585" s="189"/>
      <c r="AT585" s="189"/>
    </row>
    <row r="586" spans="1:46" ht="12.75" customHeight="1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  <c r="AD586" s="189"/>
      <c r="AE586" s="189"/>
      <c r="AF586" s="189"/>
      <c r="AG586" s="189"/>
      <c r="AH586" s="189"/>
      <c r="AI586" s="189"/>
      <c r="AJ586" s="189"/>
      <c r="AK586" s="189"/>
      <c r="AL586" s="189"/>
      <c r="AM586" s="189"/>
      <c r="AN586" s="189"/>
      <c r="AO586" s="189"/>
      <c r="AP586" s="189"/>
      <c r="AQ586" s="189"/>
      <c r="AR586" s="189"/>
      <c r="AS586" s="189"/>
      <c r="AT586" s="189"/>
    </row>
    <row r="587" spans="1:46" ht="12.75" customHeight="1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  <c r="AD587" s="189"/>
      <c r="AE587" s="189"/>
      <c r="AF587" s="189"/>
      <c r="AG587" s="189"/>
      <c r="AH587" s="189"/>
      <c r="AI587" s="189"/>
      <c r="AJ587" s="189"/>
      <c r="AK587" s="189"/>
      <c r="AL587" s="189"/>
      <c r="AM587" s="189"/>
      <c r="AN587" s="189"/>
      <c r="AO587" s="189"/>
      <c r="AP587" s="189"/>
      <c r="AQ587" s="189"/>
      <c r="AR587" s="189"/>
      <c r="AS587" s="189"/>
      <c r="AT587" s="189"/>
    </row>
    <row r="588" spans="1:46" ht="12.7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  <c r="AJ588" s="189"/>
      <c r="AK588" s="189"/>
      <c r="AL588" s="189"/>
      <c r="AM588" s="189"/>
      <c r="AN588" s="189"/>
      <c r="AO588" s="189"/>
      <c r="AP588" s="189"/>
      <c r="AQ588" s="189"/>
      <c r="AR588" s="189"/>
      <c r="AS588" s="189"/>
      <c r="AT588" s="189"/>
    </row>
    <row r="589" spans="1:46" ht="12.75" customHeight="1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  <c r="AJ589" s="189"/>
      <c r="AK589" s="189"/>
      <c r="AL589" s="189"/>
      <c r="AM589" s="189"/>
      <c r="AN589" s="189"/>
      <c r="AO589" s="189"/>
      <c r="AP589" s="189"/>
      <c r="AQ589" s="189"/>
      <c r="AR589" s="189"/>
      <c r="AS589" s="189"/>
      <c r="AT589" s="189"/>
    </row>
    <row r="590" spans="1:46" ht="12.75" customHeight="1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  <c r="AD590" s="189"/>
      <c r="AE590" s="189"/>
      <c r="AF590" s="189"/>
      <c r="AG590" s="189"/>
      <c r="AH590" s="189"/>
      <c r="AI590" s="189"/>
      <c r="AJ590" s="189"/>
      <c r="AK590" s="189"/>
      <c r="AL590" s="189"/>
      <c r="AM590" s="189"/>
      <c r="AN590" s="189"/>
      <c r="AO590" s="189"/>
      <c r="AP590" s="189"/>
      <c r="AQ590" s="189"/>
      <c r="AR590" s="189"/>
      <c r="AS590" s="189"/>
      <c r="AT590" s="189"/>
    </row>
    <row r="591" spans="1:46" ht="12.75" customHeight="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  <c r="AD591" s="189"/>
      <c r="AE591" s="189"/>
      <c r="AF591" s="189"/>
      <c r="AG591" s="189"/>
      <c r="AH591" s="189"/>
      <c r="AI591" s="189"/>
      <c r="AJ591" s="189"/>
      <c r="AK591" s="189"/>
      <c r="AL591" s="189"/>
      <c r="AM591" s="189"/>
      <c r="AN591" s="189"/>
      <c r="AO591" s="189"/>
      <c r="AP591" s="189"/>
      <c r="AQ591" s="189"/>
      <c r="AR591" s="189"/>
      <c r="AS591" s="189"/>
      <c r="AT591" s="189"/>
    </row>
    <row r="592" spans="1:46" ht="12.75" customHeight="1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  <c r="AD592" s="189"/>
      <c r="AE592" s="189"/>
      <c r="AF592" s="189"/>
      <c r="AG592" s="189"/>
      <c r="AH592" s="189"/>
      <c r="AI592" s="189"/>
      <c r="AJ592" s="189"/>
      <c r="AK592" s="189"/>
      <c r="AL592" s="189"/>
      <c r="AM592" s="189"/>
      <c r="AN592" s="189"/>
      <c r="AO592" s="189"/>
      <c r="AP592" s="189"/>
      <c r="AQ592" s="189"/>
      <c r="AR592" s="189"/>
      <c r="AS592" s="189"/>
      <c r="AT592" s="189"/>
    </row>
    <row r="593" spans="1:46" ht="12.75" customHeight="1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  <c r="AD593" s="189"/>
      <c r="AE593" s="189"/>
      <c r="AF593" s="189"/>
      <c r="AG593" s="189"/>
      <c r="AH593" s="189"/>
      <c r="AI593" s="189"/>
      <c r="AJ593" s="189"/>
      <c r="AK593" s="189"/>
      <c r="AL593" s="189"/>
      <c r="AM593" s="189"/>
      <c r="AN593" s="189"/>
      <c r="AO593" s="189"/>
      <c r="AP593" s="189"/>
      <c r="AQ593" s="189"/>
      <c r="AR593" s="189"/>
      <c r="AS593" s="189"/>
      <c r="AT593" s="189"/>
    </row>
    <row r="594" spans="1:46" ht="12.75" customHeight="1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  <c r="AD594" s="189"/>
      <c r="AE594" s="189"/>
      <c r="AF594" s="189"/>
      <c r="AG594" s="189"/>
      <c r="AH594" s="189"/>
      <c r="AI594" s="189"/>
      <c r="AJ594" s="189"/>
      <c r="AK594" s="189"/>
      <c r="AL594" s="189"/>
      <c r="AM594" s="189"/>
      <c r="AN594" s="189"/>
      <c r="AO594" s="189"/>
      <c r="AP594" s="189"/>
      <c r="AQ594" s="189"/>
      <c r="AR594" s="189"/>
      <c r="AS594" s="189"/>
      <c r="AT594" s="189"/>
    </row>
    <row r="595" spans="1:46" ht="12.75" customHeight="1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  <c r="AD595" s="189"/>
      <c r="AE595" s="189"/>
      <c r="AF595" s="189"/>
      <c r="AG595" s="189"/>
      <c r="AH595" s="189"/>
      <c r="AI595" s="189"/>
      <c r="AJ595" s="189"/>
      <c r="AK595" s="189"/>
      <c r="AL595" s="189"/>
      <c r="AM595" s="189"/>
      <c r="AN595" s="189"/>
      <c r="AO595" s="189"/>
      <c r="AP595" s="189"/>
      <c r="AQ595" s="189"/>
      <c r="AR595" s="189"/>
      <c r="AS595" s="189"/>
      <c r="AT595" s="189"/>
    </row>
    <row r="596" spans="1:46" ht="12.75" customHeight="1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  <c r="AD596" s="189"/>
      <c r="AE596" s="189"/>
      <c r="AF596" s="189"/>
      <c r="AG596" s="189"/>
      <c r="AH596" s="189"/>
      <c r="AI596" s="189"/>
      <c r="AJ596" s="189"/>
      <c r="AK596" s="189"/>
      <c r="AL596" s="189"/>
      <c r="AM596" s="189"/>
      <c r="AN596" s="189"/>
      <c r="AO596" s="189"/>
      <c r="AP596" s="189"/>
      <c r="AQ596" s="189"/>
      <c r="AR596" s="189"/>
      <c r="AS596" s="189"/>
      <c r="AT596" s="189"/>
    </row>
    <row r="597" spans="1:46" ht="12.75" customHeight="1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  <c r="AD597" s="189"/>
      <c r="AE597" s="189"/>
      <c r="AF597" s="189"/>
      <c r="AG597" s="189"/>
      <c r="AH597" s="189"/>
      <c r="AI597" s="189"/>
      <c r="AJ597" s="189"/>
      <c r="AK597" s="189"/>
      <c r="AL597" s="189"/>
      <c r="AM597" s="189"/>
      <c r="AN597" s="189"/>
      <c r="AO597" s="189"/>
      <c r="AP597" s="189"/>
      <c r="AQ597" s="189"/>
      <c r="AR597" s="189"/>
      <c r="AS597" s="189"/>
      <c r="AT597" s="189"/>
    </row>
    <row r="598" spans="1:46" ht="12.75" customHeight="1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  <c r="AD598" s="189"/>
      <c r="AE598" s="189"/>
      <c r="AF598" s="189"/>
      <c r="AG598" s="189"/>
      <c r="AH598" s="189"/>
      <c r="AI598" s="189"/>
      <c r="AJ598" s="189"/>
      <c r="AK598" s="189"/>
      <c r="AL598" s="189"/>
      <c r="AM598" s="189"/>
      <c r="AN598" s="189"/>
      <c r="AO598" s="189"/>
      <c r="AP598" s="189"/>
      <c r="AQ598" s="189"/>
      <c r="AR598" s="189"/>
      <c r="AS598" s="189"/>
      <c r="AT598" s="189"/>
    </row>
    <row r="599" spans="1:46" ht="12.75" customHeight="1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  <c r="AD599" s="189"/>
      <c r="AE599" s="189"/>
      <c r="AF599" s="189"/>
      <c r="AG599" s="189"/>
      <c r="AH599" s="189"/>
      <c r="AI599" s="189"/>
      <c r="AJ599" s="189"/>
      <c r="AK599" s="189"/>
      <c r="AL599" s="189"/>
      <c r="AM599" s="189"/>
      <c r="AN599" s="189"/>
      <c r="AO599" s="189"/>
      <c r="AP599" s="189"/>
      <c r="AQ599" s="189"/>
      <c r="AR599" s="189"/>
      <c r="AS599" s="189"/>
      <c r="AT599" s="189"/>
    </row>
    <row r="600" spans="1:46" ht="12.75" customHeight="1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  <c r="AD600" s="189"/>
      <c r="AE600" s="189"/>
      <c r="AF600" s="189"/>
      <c r="AG600" s="189"/>
      <c r="AH600" s="189"/>
      <c r="AI600" s="189"/>
      <c r="AJ600" s="189"/>
      <c r="AK600" s="189"/>
      <c r="AL600" s="189"/>
      <c r="AM600" s="189"/>
      <c r="AN600" s="189"/>
      <c r="AO600" s="189"/>
      <c r="AP600" s="189"/>
      <c r="AQ600" s="189"/>
      <c r="AR600" s="189"/>
      <c r="AS600" s="189"/>
      <c r="AT600" s="189"/>
    </row>
    <row r="601" spans="1:46" ht="12.75" customHeight="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  <c r="AD601" s="189"/>
      <c r="AE601" s="189"/>
      <c r="AF601" s="189"/>
      <c r="AG601" s="189"/>
      <c r="AH601" s="189"/>
      <c r="AI601" s="189"/>
      <c r="AJ601" s="189"/>
      <c r="AK601" s="189"/>
      <c r="AL601" s="189"/>
      <c r="AM601" s="189"/>
      <c r="AN601" s="189"/>
      <c r="AO601" s="189"/>
      <c r="AP601" s="189"/>
      <c r="AQ601" s="189"/>
      <c r="AR601" s="189"/>
      <c r="AS601" s="189"/>
      <c r="AT601" s="189"/>
    </row>
    <row r="602" spans="1:46" ht="12.75" customHeight="1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  <c r="AD602" s="189"/>
      <c r="AE602" s="189"/>
      <c r="AF602" s="189"/>
      <c r="AG602" s="189"/>
      <c r="AH602" s="189"/>
      <c r="AI602" s="189"/>
      <c r="AJ602" s="189"/>
      <c r="AK602" s="189"/>
      <c r="AL602" s="189"/>
      <c r="AM602" s="189"/>
      <c r="AN602" s="189"/>
      <c r="AO602" s="189"/>
      <c r="AP602" s="189"/>
      <c r="AQ602" s="189"/>
      <c r="AR602" s="189"/>
      <c r="AS602" s="189"/>
      <c r="AT602" s="189"/>
    </row>
    <row r="603" spans="1:46" ht="12.75" customHeight="1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  <c r="AD603" s="189"/>
      <c r="AE603" s="189"/>
      <c r="AF603" s="189"/>
      <c r="AG603" s="189"/>
      <c r="AH603" s="189"/>
      <c r="AI603" s="189"/>
      <c r="AJ603" s="189"/>
      <c r="AK603" s="189"/>
      <c r="AL603" s="189"/>
      <c r="AM603" s="189"/>
      <c r="AN603" s="189"/>
      <c r="AO603" s="189"/>
      <c r="AP603" s="189"/>
      <c r="AQ603" s="189"/>
      <c r="AR603" s="189"/>
      <c r="AS603" s="189"/>
      <c r="AT603" s="189"/>
    </row>
    <row r="604" spans="1:46" ht="12.75" customHeight="1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  <c r="AD604" s="189"/>
      <c r="AE604" s="189"/>
      <c r="AF604" s="189"/>
      <c r="AG604" s="189"/>
      <c r="AH604" s="189"/>
      <c r="AI604" s="189"/>
      <c r="AJ604" s="189"/>
      <c r="AK604" s="189"/>
      <c r="AL604" s="189"/>
      <c r="AM604" s="189"/>
      <c r="AN604" s="189"/>
      <c r="AO604" s="189"/>
      <c r="AP604" s="189"/>
      <c r="AQ604" s="189"/>
      <c r="AR604" s="189"/>
      <c r="AS604" s="189"/>
      <c r="AT604" s="189"/>
    </row>
    <row r="605" spans="1:46" ht="12.75" customHeight="1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  <c r="AD605" s="189"/>
      <c r="AE605" s="189"/>
      <c r="AF605" s="189"/>
      <c r="AG605" s="189"/>
      <c r="AH605" s="189"/>
      <c r="AI605" s="189"/>
      <c r="AJ605" s="189"/>
      <c r="AK605" s="189"/>
      <c r="AL605" s="189"/>
      <c r="AM605" s="189"/>
      <c r="AN605" s="189"/>
      <c r="AO605" s="189"/>
      <c r="AP605" s="189"/>
      <c r="AQ605" s="189"/>
      <c r="AR605" s="189"/>
      <c r="AS605" s="189"/>
      <c r="AT605" s="189"/>
    </row>
    <row r="606" spans="1:46" ht="12.75" customHeight="1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  <c r="AD606" s="189"/>
      <c r="AE606" s="189"/>
      <c r="AF606" s="189"/>
      <c r="AG606" s="189"/>
      <c r="AH606" s="189"/>
      <c r="AI606" s="189"/>
      <c r="AJ606" s="189"/>
      <c r="AK606" s="189"/>
      <c r="AL606" s="189"/>
      <c r="AM606" s="189"/>
      <c r="AN606" s="189"/>
      <c r="AO606" s="189"/>
      <c r="AP606" s="189"/>
      <c r="AQ606" s="189"/>
      <c r="AR606" s="189"/>
      <c r="AS606" s="189"/>
      <c r="AT606" s="189"/>
    </row>
    <row r="607" spans="1:46" ht="12.75" customHeight="1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  <c r="AD607" s="189"/>
      <c r="AE607" s="189"/>
      <c r="AF607" s="189"/>
      <c r="AG607" s="189"/>
      <c r="AH607" s="189"/>
      <c r="AI607" s="189"/>
      <c r="AJ607" s="189"/>
      <c r="AK607" s="189"/>
      <c r="AL607" s="189"/>
      <c r="AM607" s="189"/>
      <c r="AN607" s="189"/>
      <c r="AO607" s="189"/>
      <c r="AP607" s="189"/>
      <c r="AQ607" s="189"/>
      <c r="AR607" s="189"/>
      <c r="AS607" s="189"/>
      <c r="AT607" s="189"/>
    </row>
    <row r="608" spans="1:46" ht="12.75" customHeight="1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  <c r="AD608" s="189"/>
      <c r="AE608" s="189"/>
      <c r="AF608" s="189"/>
      <c r="AG608" s="189"/>
      <c r="AH608" s="189"/>
      <c r="AI608" s="189"/>
      <c r="AJ608" s="189"/>
      <c r="AK608" s="189"/>
      <c r="AL608" s="189"/>
      <c r="AM608" s="189"/>
      <c r="AN608" s="189"/>
      <c r="AO608" s="189"/>
      <c r="AP608" s="189"/>
      <c r="AQ608" s="189"/>
      <c r="AR608" s="189"/>
      <c r="AS608" s="189"/>
      <c r="AT608" s="189"/>
    </row>
    <row r="609" spans="1:46" ht="12.75" customHeight="1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  <c r="AD609" s="189"/>
      <c r="AE609" s="189"/>
      <c r="AF609" s="189"/>
      <c r="AG609" s="189"/>
      <c r="AH609" s="189"/>
      <c r="AI609" s="189"/>
      <c r="AJ609" s="189"/>
      <c r="AK609" s="189"/>
      <c r="AL609" s="189"/>
      <c r="AM609" s="189"/>
      <c r="AN609" s="189"/>
      <c r="AO609" s="189"/>
      <c r="AP609" s="189"/>
      <c r="AQ609" s="189"/>
      <c r="AR609" s="189"/>
      <c r="AS609" s="189"/>
      <c r="AT609" s="189"/>
    </row>
    <row r="610" spans="1:46" ht="12.75" customHeight="1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  <c r="AD610" s="189"/>
      <c r="AE610" s="189"/>
      <c r="AF610" s="189"/>
      <c r="AG610" s="189"/>
      <c r="AH610" s="189"/>
      <c r="AI610" s="189"/>
      <c r="AJ610" s="189"/>
      <c r="AK610" s="189"/>
      <c r="AL610" s="189"/>
      <c r="AM610" s="189"/>
      <c r="AN610" s="189"/>
      <c r="AO610" s="189"/>
      <c r="AP610" s="189"/>
      <c r="AQ610" s="189"/>
      <c r="AR610" s="189"/>
      <c r="AS610" s="189"/>
      <c r="AT610" s="189"/>
    </row>
    <row r="611" spans="1:46" ht="12.75" customHeight="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  <c r="AD611" s="189"/>
      <c r="AE611" s="189"/>
      <c r="AF611" s="189"/>
      <c r="AG611" s="189"/>
      <c r="AH611" s="189"/>
      <c r="AI611" s="189"/>
      <c r="AJ611" s="189"/>
      <c r="AK611" s="189"/>
      <c r="AL611" s="189"/>
      <c r="AM611" s="189"/>
      <c r="AN611" s="189"/>
      <c r="AO611" s="189"/>
      <c r="AP611" s="189"/>
      <c r="AQ611" s="189"/>
      <c r="AR611" s="189"/>
      <c r="AS611" s="189"/>
      <c r="AT611" s="189"/>
    </row>
    <row r="612" spans="1:46" ht="12.75" customHeight="1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  <c r="AD612" s="189"/>
      <c r="AE612" s="189"/>
      <c r="AF612" s="189"/>
      <c r="AG612" s="189"/>
      <c r="AH612" s="189"/>
      <c r="AI612" s="189"/>
      <c r="AJ612" s="189"/>
      <c r="AK612" s="189"/>
      <c r="AL612" s="189"/>
      <c r="AM612" s="189"/>
      <c r="AN612" s="189"/>
      <c r="AO612" s="189"/>
      <c r="AP612" s="189"/>
      <c r="AQ612" s="189"/>
      <c r="AR612" s="189"/>
      <c r="AS612" s="189"/>
      <c r="AT612" s="189"/>
    </row>
    <row r="613" spans="1:46" ht="12.75" customHeight="1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  <c r="AD613" s="189"/>
      <c r="AE613" s="189"/>
      <c r="AF613" s="189"/>
      <c r="AG613" s="189"/>
      <c r="AH613" s="189"/>
      <c r="AI613" s="189"/>
      <c r="AJ613" s="189"/>
      <c r="AK613" s="189"/>
      <c r="AL613" s="189"/>
      <c r="AM613" s="189"/>
      <c r="AN613" s="189"/>
      <c r="AO613" s="189"/>
      <c r="AP613" s="189"/>
      <c r="AQ613" s="189"/>
      <c r="AR613" s="189"/>
      <c r="AS613" s="189"/>
      <c r="AT613" s="189"/>
    </row>
    <row r="614" spans="1:46" ht="12.75" customHeight="1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  <c r="AD614" s="189"/>
      <c r="AE614" s="189"/>
      <c r="AF614" s="189"/>
      <c r="AG614" s="189"/>
      <c r="AH614" s="189"/>
      <c r="AI614" s="189"/>
      <c r="AJ614" s="189"/>
      <c r="AK614" s="189"/>
      <c r="AL614" s="189"/>
      <c r="AM614" s="189"/>
      <c r="AN614" s="189"/>
      <c r="AO614" s="189"/>
      <c r="AP614" s="189"/>
      <c r="AQ614" s="189"/>
      <c r="AR614" s="189"/>
      <c r="AS614" s="189"/>
      <c r="AT614" s="189"/>
    </row>
    <row r="615" spans="1:46" ht="12.75" customHeight="1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  <c r="AD615" s="189"/>
      <c r="AE615" s="189"/>
      <c r="AF615" s="189"/>
      <c r="AG615" s="189"/>
      <c r="AH615" s="189"/>
      <c r="AI615" s="189"/>
      <c r="AJ615" s="189"/>
      <c r="AK615" s="189"/>
      <c r="AL615" s="189"/>
      <c r="AM615" s="189"/>
      <c r="AN615" s="189"/>
      <c r="AO615" s="189"/>
      <c r="AP615" s="189"/>
      <c r="AQ615" s="189"/>
      <c r="AR615" s="189"/>
      <c r="AS615" s="189"/>
      <c r="AT615" s="189"/>
    </row>
    <row r="616" spans="1:46" ht="12.75" customHeight="1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  <c r="AD616" s="189"/>
      <c r="AE616" s="189"/>
      <c r="AF616" s="189"/>
      <c r="AG616" s="189"/>
      <c r="AH616" s="189"/>
      <c r="AI616" s="189"/>
      <c r="AJ616" s="189"/>
      <c r="AK616" s="189"/>
      <c r="AL616" s="189"/>
      <c r="AM616" s="189"/>
      <c r="AN616" s="189"/>
      <c r="AO616" s="189"/>
      <c r="AP616" s="189"/>
      <c r="AQ616" s="189"/>
      <c r="AR616" s="189"/>
      <c r="AS616" s="189"/>
      <c r="AT616" s="189"/>
    </row>
    <row r="617" spans="1:46" ht="12.75" customHeight="1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  <c r="AD617" s="189"/>
      <c r="AE617" s="189"/>
      <c r="AF617" s="189"/>
      <c r="AG617" s="189"/>
      <c r="AH617" s="189"/>
      <c r="AI617" s="189"/>
      <c r="AJ617" s="189"/>
      <c r="AK617" s="189"/>
      <c r="AL617" s="189"/>
      <c r="AM617" s="189"/>
      <c r="AN617" s="189"/>
      <c r="AO617" s="189"/>
      <c r="AP617" s="189"/>
      <c r="AQ617" s="189"/>
      <c r="AR617" s="189"/>
      <c r="AS617" s="189"/>
      <c r="AT617" s="189"/>
    </row>
    <row r="618" spans="1:46" ht="12.75" customHeight="1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  <c r="AD618" s="189"/>
      <c r="AE618" s="189"/>
      <c r="AF618" s="189"/>
      <c r="AG618" s="189"/>
      <c r="AH618" s="189"/>
      <c r="AI618" s="189"/>
      <c r="AJ618" s="189"/>
      <c r="AK618" s="189"/>
      <c r="AL618" s="189"/>
      <c r="AM618" s="189"/>
      <c r="AN618" s="189"/>
      <c r="AO618" s="189"/>
      <c r="AP618" s="189"/>
      <c r="AQ618" s="189"/>
      <c r="AR618" s="189"/>
      <c r="AS618" s="189"/>
      <c r="AT618" s="189"/>
    </row>
    <row r="619" spans="1:46" ht="12.75" customHeight="1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  <c r="AD619" s="189"/>
      <c r="AE619" s="189"/>
      <c r="AF619" s="189"/>
      <c r="AG619" s="189"/>
      <c r="AH619" s="189"/>
      <c r="AI619" s="189"/>
      <c r="AJ619" s="189"/>
      <c r="AK619" s="189"/>
      <c r="AL619" s="189"/>
      <c r="AM619" s="189"/>
      <c r="AN619" s="189"/>
      <c r="AO619" s="189"/>
      <c r="AP619" s="189"/>
      <c r="AQ619" s="189"/>
      <c r="AR619" s="189"/>
      <c r="AS619" s="189"/>
      <c r="AT619" s="189"/>
    </row>
    <row r="620" spans="1:46" ht="12.75" customHeight="1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  <c r="AD620" s="189"/>
      <c r="AE620" s="189"/>
      <c r="AF620" s="189"/>
      <c r="AG620" s="189"/>
      <c r="AH620" s="189"/>
      <c r="AI620" s="189"/>
      <c r="AJ620" s="189"/>
      <c r="AK620" s="189"/>
      <c r="AL620" s="189"/>
      <c r="AM620" s="189"/>
      <c r="AN620" s="189"/>
      <c r="AO620" s="189"/>
      <c r="AP620" s="189"/>
      <c r="AQ620" s="189"/>
      <c r="AR620" s="189"/>
      <c r="AS620" s="189"/>
      <c r="AT620" s="189"/>
    </row>
    <row r="621" spans="1:46" ht="12.75" customHeight="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  <c r="AD621" s="189"/>
      <c r="AE621" s="189"/>
      <c r="AF621" s="189"/>
      <c r="AG621" s="189"/>
      <c r="AH621" s="189"/>
      <c r="AI621" s="189"/>
      <c r="AJ621" s="189"/>
      <c r="AK621" s="189"/>
      <c r="AL621" s="189"/>
      <c r="AM621" s="189"/>
      <c r="AN621" s="189"/>
      <c r="AO621" s="189"/>
      <c r="AP621" s="189"/>
      <c r="AQ621" s="189"/>
      <c r="AR621" s="189"/>
      <c r="AS621" s="189"/>
      <c r="AT621" s="189"/>
    </row>
    <row r="622" spans="1:46" ht="12.75" customHeight="1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  <c r="AD622" s="189"/>
      <c r="AE622" s="189"/>
      <c r="AF622" s="189"/>
      <c r="AG622" s="189"/>
      <c r="AH622" s="189"/>
      <c r="AI622" s="189"/>
      <c r="AJ622" s="189"/>
      <c r="AK622" s="189"/>
      <c r="AL622" s="189"/>
      <c r="AM622" s="189"/>
      <c r="AN622" s="189"/>
      <c r="AO622" s="189"/>
      <c r="AP622" s="189"/>
      <c r="AQ622" s="189"/>
      <c r="AR622" s="189"/>
      <c r="AS622" s="189"/>
      <c r="AT622" s="189"/>
    </row>
    <row r="623" spans="1:46" ht="12.75" customHeight="1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  <c r="AD623" s="189"/>
      <c r="AE623" s="189"/>
      <c r="AF623" s="189"/>
      <c r="AG623" s="189"/>
      <c r="AH623" s="189"/>
      <c r="AI623" s="189"/>
      <c r="AJ623" s="189"/>
      <c r="AK623" s="189"/>
      <c r="AL623" s="189"/>
      <c r="AM623" s="189"/>
      <c r="AN623" s="189"/>
      <c r="AO623" s="189"/>
      <c r="AP623" s="189"/>
      <c r="AQ623" s="189"/>
      <c r="AR623" s="189"/>
      <c r="AS623" s="189"/>
      <c r="AT623" s="189"/>
    </row>
    <row r="624" spans="1:46" ht="12.75" customHeight="1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  <c r="AD624" s="189"/>
      <c r="AE624" s="189"/>
      <c r="AF624" s="189"/>
      <c r="AG624" s="189"/>
      <c r="AH624" s="189"/>
      <c r="AI624" s="189"/>
      <c r="AJ624" s="189"/>
      <c r="AK624" s="189"/>
      <c r="AL624" s="189"/>
      <c r="AM624" s="189"/>
      <c r="AN624" s="189"/>
      <c r="AO624" s="189"/>
      <c r="AP624" s="189"/>
      <c r="AQ624" s="189"/>
      <c r="AR624" s="189"/>
      <c r="AS624" s="189"/>
      <c r="AT624" s="189"/>
    </row>
    <row r="625" spans="1:46" ht="12.75" customHeight="1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  <c r="AD625" s="189"/>
      <c r="AE625" s="189"/>
      <c r="AF625" s="189"/>
      <c r="AG625" s="189"/>
      <c r="AH625" s="189"/>
      <c r="AI625" s="189"/>
      <c r="AJ625" s="189"/>
      <c r="AK625" s="189"/>
      <c r="AL625" s="189"/>
      <c r="AM625" s="189"/>
      <c r="AN625" s="189"/>
      <c r="AO625" s="189"/>
      <c r="AP625" s="189"/>
      <c r="AQ625" s="189"/>
      <c r="AR625" s="189"/>
      <c r="AS625" s="189"/>
      <c r="AT625" s="189"/>
    </row>
    <row r="626" spans="1:46" ht="12.75" customHeight="1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  <c r="AD626" s="189"/>
      <c r="AE626" s="189"/>
      <c r="AF626" s="189"/>
      <c r="AG626" s="189"/>
      <c r="AH626" s="189"/>
      <c r="AI626" s="189"/>
      <c r="AJ626" s="189"/>
      <c r="AK626" s="189"/>
      <c r="AL626" s="189"/>
      <c r="AM626" s="189"/>
      <c r="AN626" s="189"/>
      <c r="AO626" s="189"/>
      <c r="AP626" s="189"/>
      <c r="AQ626" s="189"/>
      <c r="AR626" s="189"/>
      <c r="AS626" s="189"/>
      <c r="AT626" s="189"/>
    </row>
    <row r="627" spans="1:46" ht="12.75" customHeight="1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  <c r="AD627" s="189"/>
      <c r="AE627" s="189"/>
      <c r="AF627" s="189"/>
      <c r="AG627" s="189"/>
      <c r="AH627" s="189"/>
      <c r="AI627" s="189"/>
      <c r="AJ627" s="189"/>
      <c r="AK627" s="189"/>
      <c r="AL627" s="189"/>
      <c r="AM627" s="189"/>
      <c r="AN627" s="189"/>
      <c r="AO627" s="189"/>
      <c r="AP627" s="189"/>
      <c r="AQ627" s="189"/>
      <c r="AR627" s="189"/>
      <c r="AS627" s="189"/>
      <c r="AT627" s="189"/>
    </row>
    <row r="628" spans="1:46" ht="12.75" customHeight="1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  <c r="AD628" s="189"/>
      <c r="AE628" s="189"/>
      <c r="AF628" s="189"/>
      <c r="AG628" s="189"/>
      <c r="AH628" s="189"/>
      <c r="AI628" s="189"/>
      <c r="AJ628" s="189"/>
      <c r="AK628" s="189"/>
      <c r="AL628" s="189"/>
      <c r="AM628" s="189"/>
      <c r="AN628" s="189"/>
      <c r="AO628" s="189"/>
      <c r="AP628" s="189"/>
      <c r="AQ628" s="189"/>
      <c r="AR628" s="189"/>
      <c r="AS628" s="189"/>
      <c r="AT628" s="189"/>
    </row>
    <row r="629" spans="1:46" ht="12.75" customHeight="1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  <c r="AC629" s="189"/>
      <c r="AD629" s="189"/>
      <c r="AE629" s="189"/>
      <c r="AF629" s="189"/>
      <c r="AG629" s="189"/>
      <c r="AH629" s="189"/>
      <c r="AI629" s="189"/>
      <c r="AJ629" s="189"/>
      <c r="AK629" s="189"/>
      <c r="AL629" s="189"/>
      <c r="AM629" s="189"/>
      <c r="AN629" s="189"/>
      <c r="AO629" s="189"/>
      <c r="AP629" s="189"/>
      <c r="AQ629" s="189"/>
      <c r="AR629" s="189"/>
      <c r="AS629" s="189"/>
      <c r="AT629" s="189"/>
    </row>
    <row r="630" spans="1:46" ht="12.75" customHeight="1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  <c r="AC630" s="189"/>
      <c r="AD630" s="189"/>
      <c r="AE630" s="189"/>
      <c r="AF630" s="189"/>
      <c r="AG630" s="189"/>
      <c r="AH630" s="189"/>
      <c r="AI630" s="189"/>
      <c r="AJ630" s="189"/>
      <c r="AK630" s="189"/>
      <c r="AL630" s="189"/>
      <c r="AM630" s="189"/>
      <c r="AN630" s="189"/>
      <c r="AO630" s="189"/>
      <c r="AP630" s="189"/>
      <c r="AQ630" s="189"/>
      <c r="AR630" s="189"/>
      <c r="AS630" s="189"/>
      <c r="AT630" s="189"/>
    </row>
    <row r="631" spans="1:46" ht="12.75" customHeight="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  <c r="AC631" s="189"/>
      <c r="AD631" s="189"/>
      <c r="AE631" s="189"/>
      <c r="AF631" s="189"/>
      <c r="AG631" s="189"/>
      <c r="AH631" s="189"/>
      <c r="AI631" s="189"/>
      <c r="AJ631" s="189"/>
      <c r="AK631" s="189"/>
      <c r="AL631" s="189"/>
      <c r="AM631" s="189"/>
      <c r="AN631" s="189"/>
      <c r="AO631" s="189"/>
      <c r="AP631" s="189"/>
      <c r="AQ631" s="189"/>
      <c r="AR631" s="189"/>
      <c r="AS631" s="189"/>
      <c r="AT631" s="189"/>
    </row>
    <row r="632" spans="1:46" ht="12.75" customHeight="1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  <c r="AD632" s="189"/>
      <c r="AE632" s="189"/>
      <c r="AF632" s="189"/>
      <c r="AG632" s="189"/>
      <c r="AH632" s="189"/>
      <c r="AI632" s="189"/>
      <c r="AJ632" s="189"/>
      <c r="AK632" s="189"/>
      <c r="AL632" s="189"/>
      <c r="AM632" s="189"/>
      <c r="AN632" s="189"/>
      <c r="AO632" s="189"/>
      <c r="AP632" s="189"/>
      <c r="AQ632" s="189"/>
      <c r="AR632" s="189"/>
      <c r="AS632" s="189"/>
      <c r="AT632" s="189"/>
    </row>
    <row r="633" spans="1:46" ht="12.75" customHeight="1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  <c r="AC633" s="189"/>
      <c r="AD633" s="189"/>
      <c r="AE633" s="189"/>
      <c r="AF633" s="189"/>
      <c r="AG633" s="189"/>
      <c r="AH633" s="189"/>
      <c r="AI633" s="189"/>
      <c r="AJ633" s="189"/>
      <c r="AK633" s="189"/>
      <c r="AL633" s="189"/>
      <c r="AM633" s="189"/>
      <c r="AN633" s="189"/>
      <c r="AO633" s="189"/>
      <c r="AP633" s="189"/>
      <c r="AQ633" s="189"/>
      <c r="AR633" s="189"/>
      <c r="AS633" s="189"/>
      <c r="AT633" s="189"/>
    </row>
    <row r="634" spans="1:46" ht="12.75" customHeight="1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  <c r="AC634" s="189"/>
      <c r="AD634" s="189"/>
      <c r="AE634" s="189"/>
      <c r="AF634" s="189"/>
      <c r="AG634" s="189"/>
      <c r="AH634" s="189"/>
      <c r="AI634" s="189"/>
      <c r="AJ634" s="189"/>
      <c r="AK634" s="189"/>
      <c r="AL634" s="189"/>
      <c r="AM634" s="189"/>
      <c r="AN634" s="189"/>
      <c r="AO634" s="189"/>
      <c r="AP634" s="189"/>
      <c r="AQ634" s="189"/>
      <c r="AR634" s="189"/>
      <c r="AS634" s="189"/>
      <c r="AT634" s="189"/>
    </row>
    <row r="635" spans="1:46" ht="12.75" customHeight="1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  <c r="AD635" s="189"/>
      <c r="AE635" s="189"/>
      <c r="AF635" s="189"/>
      <c r="AG635" s="189"/>
      <c r="AH635" s="189"/>
      <c r="AI635" s="189"/>
      <c r="AJ635" s="189"/>
      <c r="AK635" s="189"/>
      <c r="AL635" s="189"/>
      <c r="AM635" s="189"/>
      <c r="AN635" s="189"/>
      <c r="AO635" s="189"/>
      <c r="AP635" s="189"/>
      <c r="AQ635" s="189"/>
      <c r="AR635" s="189"/>
      <c r="AS635" s="189"/>
      <c r="AT635" s="189"/>
    </row>
    <row r="636" spans="1:46" ht="12.75" customHeight="1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  <c r="AC636" s="189"/>
      <c r="AD636" s="189"/>
      <c r="AE636" s="189"/>
      <c r="AF636" s="189"/>
      <c r="AG636" s="189"/>
      <c r="AH636" s="189"/>
      <c r="AI636" s="189"/>
      <c r="AJ636" s="189"/>
      <c r="AK636" s="189"/>
      <c r="AL636" s="189"/>
      <c r="AM636" s="189"/>
      <c r="AN636" s="189"/>
      <c r="AO636" s="189"/>
      <c r="AP636" s="189"/>
      <c r="AQ636" s="189"/>
      <c r="AR636" s="189"/>
      <c r="AS636" s="189"/>
      <c r="AT636" s="189"/>
    </row>
    <row r="637" spans="1:46" ht="12.75" customHeight="1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  <c r="AC637" s="189"/>
      <c r="AD637" s="189"/>
      <c r="AE637" s="189"/>
      <c r="AF637" s="189"/>
      <c r="AG637" s="189"/>
      <c r="AH637" s="189"/>
      <c r="AI637" s="189"/>
      <c r="AJ637" s="189"/>
      <c r="AK637" s="189"/>
      <c r="AL637" s="189"/>
      <c r="AM637" s="189"/>
      <c r="AN637" s="189"/>
      <c r="AO637" s="189"/>
      <c r="AP637" s="189"/>
      <c r="AQ637" s="189"/>
      <c r="AR637" s="189"/>
      <c r="AS637" s="189"/>
      <c r="AT637" s="189"/>
    </row>
    <row r="638" spans="1:46" ht="12.75" customHeight="1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  <c r="AC638" s="189"/>
      <c r="AD638" s="189"/>
      <c r="AE638" s="189"/>
      <c r="AF638" s="189"/>
      <c r="AG638" s="189"/>
      <c r="AH638" s="189"/>
      <c r="AI638" s="189"/>
      <c r="AJ638" s="189"/>
      <c r="AK638" s="189"/>
      <c r="AL638" s="189"/>
      <c r="AM638" s="189"/>
      <c r="AN638" s="189"/>
      <c r="AO638" s="189"/>
      <c r="AP638" s="189"/>
      <c r="AQ638" s="189"/>
      <c r="AR638" s="189"/>
      <c r="AS638" s="189"/>
      <c r="AT638" s="189"/>
    </row>
    <row r="639" spans="1:46" ht="12.75" customHeight="1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  <c r="AC639" s="189"/>
      <c r="AD639" s="189"/>
      <c r="AE639" s="189"/>
      <c r="AF639" s="189"/>
      <c r="AG639" s="189"/>
      <c r="AH639" s="189"/>
      <c r="AI639" s="189"/>
      <c r="AJ639" s="189"/>
      <c r="AK639" s="189"/>
      <c r="AL639" s="189"/>
      <c r="AM639" s="189"/>
      <c r="AN639" s="189"/>
      <c r="AO639" s="189"/>
      <c r="AP639" s="189"/>
      <c r="AQ639" s="189"/>
      <c r="AR639" s="189"/>
      <c r="AS639" s="189"/>
      <c r="AT639" s="189"/>
    </row>
    <row r="640" spans="1:46" ht="12.75" customHeight="1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  <c r="AC640" s="189"/>
      <c r="AD640" s="189"/>
      <c r="AE640" s="189"/>
      <c r="AF640" s="189"/>
      <c r="AG640" s="189"/>
      <c r="AH640" s="189"/>
      <c r="AI640" s="189"/>
      <c r="AJ640" s="189"/>
      <c r="AK640" s="189"/>
      <c r="AL640" s="189"/>
      <c r="AM640" s="189"/>
      <c r="AN640" s="189"/>
      <c r="AO640" s="189"/>
      <c r="AP640" s="189"/>
      <c r="AQ640" s="189"/>
      <c r="AR640" s="189"/>
      <c r="AS640" s="189"/>
      <c r="AT640" s="189"/>
    </row>
    <row r="641" spans="1:46" ht="12.75" customHeight="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  <c r="AC641" s="189"/>
      <c r="AD641" s="189"/>
      <c r="AE641" s="189"/>
      <c r="AF641" s="189"/>
      <c r="AG641" s="189"/>
      <c r="AH641" s="189"/>
      <c r="AI641" s="189"/>
      <c r="AJ641" s="189"/>
      <c r="AK641" s="189"/>
      <c r="AL641" s="189"/>
      <c r="AM641" s="189"/>
      <c r="AN641" s="189"/>
      <c r="AO641" s="189"/>
      <c r="AP641" s="189"/>
      <c r="AQ641" s="189"/>
      <c r="AR641" s="189"/>
      <c r="AS641" s="189"/>
      <c r="AT641" s="189"/>
    </row>
    <row r="642" spans="1:46" ht="12.75" customHeight="1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  <c r="AC642" s="189"/>
      <c r="AD642" s="189"/>
      <c r="AE642" s="189"/>
      <c r="AF642" s="189"/>
      <c r="AG642" s="189"/>
      <c r="AH642" s="189"/>
      <c r="AI642" s="189"/>
      <c r="AJ642" s="189"/>
      <c r="AK642" s="189"/>
      <c r="AL642" s="189"/>
      <c r="AM642" s="189"/>
      <c r="AN642" s="189"/>
      <c r="AO642" s="189"/>
      <c r="AP642" s="189"/>
      <c r="AQ642" s="189"/>
      <c r="AR642" s="189"/>
      <c r="AS642" s="189"/>
      <c r="AT642" s="189"/>
    </row>
    <row r="643" spans="1:46" ht="12.75" customHeight="1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  <c r="AC643" s="189"/>
      <c r="AD643" s="189"/>
      <c r="AE643" s="189"/>
      <c r="AF643" s="189"/>
      <c r="AG643" s="189"/>
      <c r="AH643" s="189"/>
      <c r="AI643" s="189"/>
      <c r="AJ643" s="189"/>
      <c r="AK643" s="189"/>
      <c r="AL643" s="189"/>
      <c r="AM643" s="189"/>
      <c r="AN643" s="189"/>
      <c r="AO643" s="189"/>
      <c r="AP643" s="189"/>
      <c r="AQ643" s="189"/>
      <c r="AR643" s="189"/>
      <c r="AS643" s="189"/>
      <c r="AT643" s="189"/>
    </row>
    <row r="644" spans="1:46" ht="12.75" customHeight="1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  <c r="AC644" s="189"/>
      <c r="AD644" s="189"/>
      <c r="AE644" s="189"/>
      <c r="AF644" s="189"/>
      <c r="AG644" s="189"/>
      <c r="AH644" s="189"/>
      <c r="AI644" s="189"/>
      <c r="AJ644" s="189"/>
      <c r="AK644" s="189"/>
      <c r="AL644" s="189"/>
      <c r="AM644" s="189"/>
      <c r="AN644" s="189"/>
      <c r="AO644" s="189"/>
      <c r="AP644" s="189"/>
      <c r="AQ644" s="189"/>
      <c r="AR644" s="189"/>
      <c r="AS644" s="189"/>
      <c r="AT644" s="189"/>
    </row>
    <row r="645" spans="1:46" ht="12.75" customHeight="1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  <c r="AC645" s="189"/>
      <c r="AD645" s="189"/>
      <c r="AE645" s="189"/>
      <c r="AF645" s="189"/>
      <c r="AG645" s="189"/>
      <c r="AH645" s="189"/>
      <c r="AI645" s="189"/>
      <c r="AJ645" s="189"/>
      <c r="AK645" s="189"/>
      <c r="AL645" s="189"/>
      <c r="AM645" s="189"/>
      <c r="AN645" s="189"/>
      <c r="AO645" s="189"/>
      <c r="AP645" s="189"/>
      <c r="AQ645" s="189"/>
      <c r="AR645" s="189"/>
      <c r="AS645" s="189"/>
      <c r="AT645" s="189"/>
    </row>
    <row r="646" spans="1:46" ht="12.75" customHeight="1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  <c r="AC646" s="189"/>
      <c r="AD646" s="189"/>
      <c r="AE646" s="189"/>
      <c r="AF646" s="189"/>
      <c r="AG646" s="189"/>
      <c r="AH646" s="189"/>
      <c r="AI646" s="189"/>
      <c r="AJ646" s="189"/>
      <c r="AK646" s="189"/>
      <c r="AL646" s="189"/>
      <c r="AM646" s="189"/>
      <c r="AN646" s="189"/>
      <c r="AO646" s="189"/>
      <c r="AP646" s="189"/>
      <c r="AQ646" s="189"/>
      <c r="AR646" s="189"/>
      <c r="AS646" s="189"/>
      <c r="AT646" s="189"/>
    </row>
    <row r="647" spans="1:46" ht="12.75" customHeight="1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  <c r="AD647" s="189"/>
      <c r="AE647" s="189"/>
      <c r="AF647" s="189"/>
      <c r="AG647" s="189"/>
      <c r="AH647" s="189"/>
      <c r="AI647" s="189"/>
      <c r="AJ647" s="189"/>
      <c r="AK647" s="189"/>
      <c r="AL647" s="189"/>
      <c r="AM647" s="189"/>
      <c r="AN647" s="189"/>
      <c r="AO647" s="189"/>
      <c r="AP647" s="189"/>
      <c r="AQ647" s="189"/>
      <c r="AR647" s="189"/>
      <c r="AS647" s="189"/>
      <c r="AT647" s="189"/>
    </row>
    <row r="648" spans="1:46" ht="12.75" customHeight="1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  <c r="AC648" s="189"/>
      <c r="AD648" s="189"/>
      <c r="AE648" s="189"/>
      <c r="AF648" s="189"/>
      <c r="AG648" s="189"/>
      <c r="AH648" s="189"/>
      <c r="AI648" s="189"/>
      <c r="AJ648" s="189"/>
      <c r="AK648" s="189"/>
      <c r="AL648" s="189"/>
      <c r="AM648" s="189"/>
      <c r="AN648" s="189"/>
      <c r="AO648" s="189"/>
      <c r="AP648" s="189"/>
      <c r="AQ648" s="189"/>
      <c r="AR648" s="189"/>
      <c r="AS648" s="189"/>
      <c r="AT648" s="189"/>
    </row>
    <row r="649" spans="1:46" ht="12.75" customHeight="1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  <c r="AC649" s="189"/>
      <c r="AD649" s="189"/>
      <c r="AE649" s="189"/>
      <c r="AF649" s="189"/>
      <c r="AG649" s="189"/>
      <c r="AH649" s="189"/>
      <c r="AI649" s="189"/>
      <c r="AJ649" s="189"/>
      <c r="AK649" s="189"/>
      <c r="AL649" s="189"/>
      <c r="AM649" s="189"/>
      <c r="AN649" s="189"/>
      <c r="AO649" s="189"/>
      <c r="AP649" s="189"/>
      <c r="AQ649" s="189"/>
      <c r="AR649" s="189"/>
      <c r="AS649" s="189"/>
      <c r="AT649" s="189"/>
    </row>
    <row r="650" spans="1:46" ht="12.75" customHeight="1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  <c r="AC650" s="189"/>
      <c r="AD650" s="189"/>
      <c r="AE650" s="189"/>
      <c r="AF650" s="189"/>
      <c r="AG650" s="189"/>
      <c r="AH650" s="189"/>
      <c r="AI650" s="189"/>
      <c r="AJ650" s="189"/>
      <c r="AK650" s="189"/>
      <c r="AL650" s="189"/>
      <c r="AM650" s="189"/>
      <c r="AN650" s="189"/>
      <c r="AO650" s="189"/>
      <c r="AP650" s="189"/>
      <c r="AQ650" s="189"/>
      <c r="AR650" s="189"/>
      <c r="AS650" s="189"/>
      <c r="AT650" s="189"/>
    </row>
    <row r="651" spans="1:46" ht="12.75" customHeight="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  <c r="AC651" s="189"/>
      <c r="AD651" s="189"/>
      <c r="AE651" s="189"/>
      <c r="AF651" s="189"/>
      <c r="AG651" s="189"/>
      <c r="AH651" s="189"/>
      <c r="AI651" s="189"/>
      <c r="AJ651" s="189"/>
      <c r="AK651" s="189"/>
      <c r="AL651" s="189"/>
      <c r="AM651" s="189"/>
      <c r="AN651" s="189"/>
      <c r="AO651" s="189"/>
      <c r="AP651" s="189"/>
      <c r="AQ651" s="189"/>
      <c r="AR651" s="189"/>
      <c r="AS651" s="189"/>
      <c r="AT651" s="189"/>
    </row>
    <row r="652" spans="1:46" ht="12.75" customHeight="1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  <c r="AC652" s="189"/>
      <c r="AD652" s="189"/>
      <c r="AE652" s="189"/>
      <c r="AF652" s="189"/>
      <c r="AG652" s="189"/>
      <c r="AH652" s="189"/>
      <c r="AI652" s="189"/>
      <c r="AJ652" s="189"/>
      <c r="AK652" s="189"/>
      <c r="AL652" s="189"/>
      <c r="AM652" s="189"/>
      <c r="AN652" s="189"/>
      <c r="AO652" s="189"/>
      <c r="AP652" s="189"/>
      <c r="AQ652" s="189"/>
      <c r="AR652" s="189"/>
      <c r="AS652" s="189"/>
      <c r="AT652" s="189"/>
    </row>
    <row r="653" spans="1:46" ht="12.75" customHeight="1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  <c r="AC653" s="189"/>
      <c r="AD653" s="189"/>
      <c r="AE653" s="189"/>
      <c r="AF653" s="189"/>
      <c r="AG653" s="189"/>
      <c r="AH653" s="189"/>
      <c r="AI653" s="189"/>
      <c r="AJ653" s="189"/>
      <c r="AK653" s="189"/>
      <c r="AL653" s="189"/>
      <c r="AM653" s="189"/>
      <c r="AN653" s="189"/>
      <c r="AO653" s="189"/>
      <c r="AP653" s="189"/>
      <c r="AQ653" s="189"/>
      <c r="AR653" s="189"/>
      <c r="AS653" s="189"/>
      <c r="AT653" s="189"/>
    </row>
    <row r="654" spans="1:46" ht="12.75" customHeight="1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  <c r="AC654" s="189"/>
      <c r="AD654" s="189"/>
      <c r="AE654" s="189"/>
      <c r="AF654" s="189"/>
      <c r="AG654" s="189"/>
      <c r="AH654" s="189"/>
      <c r="AI654" s="189"/>
      <c r="AJ654" s="189"/>
      <c r="AK654" s="189"/>
      <c r="AL654" s="189"/>
      <c r="AM654" s="189"/>
      <c r="AN654" s="189"/>
      <c r="AO654" s="189"/>
      <c r="AP654" s="189"/>
      <c r="AQ654" s="189"/>
      <c r="AR654" s="189"/>
      <c r="AS654" s="189"/>
      <c r="AT654" s="189"/>
    </row>
    <row r="655" spans="1:46" ht="12.75" customHeight="1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  <c r="AC655" s="189"/>
      <c r="AD655" s="189"/>
      <c r="AE655" s="189"/>
      <c r="AF655" s="189"/>
      <c r="AG655" s="189"/>
      <c r="AH655" s="189"/>
      <c r="AI655" s="189"/>
      <c r="AJ655" s="189"/>
      <c r="AK655" s="189"/>
      <c r="AL655" s="189"/>
      <c r="AM655" s="189"/>
      <c r="AN655" s="189"/>
      <c r="AO655" s="189"/>
      <c r="AP655" s="189"/>
      <c r="AQ655" s="189"/>
      <c r="AR655" s="189"/>
      <c r="AS655" s="189"/>
      <c r="AT655" s="189"/>
    </row>
    <row r="656" spans="1:46" ht="12.75" customHeight="1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  <c r="AC656" s="189"/>
      <c r="AD656" s="189"/>
      <c r="AE656" s="189"/>
      <c r="AF656" s="189"/>
      <c r="AG656" s="189"/>
      <c r="AH656" s="189"/>
      <c r="AI656" s="189"/>
      <c r="AJ656" s="189"/>
      <c r="AK656" s="189"/>
      <c r="AL656" s="189"/>
      <c r="AM656" s="189"/>
      <c r="AN656" s="189"/>
      <c r="AO656" s="189"/>
      <c r="AP656" s="189"/>
      <c r="AQ656" s="189"/>
      <c r="AR656" s="189"/>
      <c r="AS656" s="189"/>
      <c r="AT656" s="189"/>
    </row>
    <row r="657" spans="1:46" ht="12.75" customHeight="1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  <c r="AC657" s="189"/>
      <c r="AD657" s="189"/>
      <c r="AE657" s="189"/>
      <c r="AF657" s="189"/>
      <c r="AG657" s="189"/>
      <c r="AH657" s="189"/>
      <c r="AI657" s="189"/>
      <c r="AJ657" s="189"/>
      <c r="AK657" s="189"/>
      <c r="AL657" s="189"/>
      <c r="AM657" s="189"/>
      <c r="AN657" s="189"/>
      <c r="AO657" s="189"/>
      <c r="AP657" s="189"/>
      <c r="AQ657" s="189"/>
      <c r="AR657" s="189"/>
      <c r="AS657" s="189"/>
      <c r="AT657" s="189"/>
    </row>
    <row r="658" spans="1:46" ht="12.75" customHeight="1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  <c r="AC658" s="189"/>
      <c r="AD658" s="189"/>
      <c r="AE658" s="189"/>
      <c r="AF658" s="189"/>
      <c r="AG658" s="189"/>
      <c r="AH658" s="189"/>
      <c r="AI658" s="189"/>
      <c r="AJ658" s="189"/>
      <c r="AK658" s="189"/>
      <c r="AL658" s="189"/>
      <c r="AM658" s="189"/>
      <c r="AN658" s="189"/>
      <c r="AO658" s="189"/>
      <c r="AP658" s="189"/>
      <c r="AQ658" s="189"/>
      <c r="AR658" s="189"/>
      <c r="AS658" s="189"/>
      <c r="AT658" s="189"/>
    </row>
    <row r="659" spans="1:46" ht="12.75" customHeight="1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  <c r="AC659" s="189"/>
      <c r="AD659" s="189"/>
      <c r="AE659" s="189"/>
      <c r="AF659" s="189"/>
      <c r="AG659" s="189"/>
      <c r="AH659" s="189"/>
      <c r="AI659" s="189"/>
      <c r="AJ659" s="189"/>
      <c r="AK659" s="189"/>
      <c r="AL659" s="189"/>
      <c r="AM659" s="189"/>
      <c r="AN659" s="189"/>
      <c r="AO659" s="189"/>
      <c r="AP659" s="189"/>
      <c r="AQ659" s="189"/>
      <c r="AR659" s="189"/>
      <c r="AS659" s="189"/>
      <c r="AT659" s="189"/>
    </row>
    <row r="660" spans="1:46" ht="12.75" customHeight="1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  <c r="AC660" s="189"/>
      <c r="AD660" s="189"/>
      <c r="AE660" s="189"/>
      <c r="AF660" s="189"/>
      <c r="AG660" s="189"/>
      <c r="AH660" s="189"/>
      <c r="AI660" s="189"/>
      <c r="AJ660" s="189"/>
      <c r="AK660" s="189"/>
      <c r="AL660" s="189"/>
      <c r="AM660" s="189"/>
      <c r="AN660" s="189"/>
      <c r="AO660" s="189"/>
      <c r="AP660" s="189"/>
      <c r="AQ660" s="189"/>
      <c r="AR660" s="189"/>
      <c r="AS660" s="189"/>
      <c r="AT660" s="189"/>
    </row>
    <row r="661" spans="1:46" ht="12.75" customHeight="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  <c r="AC661" s="189"/>
      <c r="AD661" s="189"/>
      <c r="AE661" s="189"/>
      <c r="AF661" s="189"/>
      <c r="AG661" s="189"/>
      <c r="AH661" s="189"/>
      <c r="AI661" s="189"/>
      <c r="AJ661" s="189"/>
      <c r="AK661" s="189"/>
      <c r="AL661" s="189"/>
      <c r="AM661" s="189"/>
      <c r="AN661" s="189"/>
      <c r="AO661" s="189"/>
      <c r="AP661" s="189"/>
      <c r="AQ661" s="189"/>
      <c r="AR661" s="189"/>
      <c r="AS661" s="189"/>
      <c r="AT661" s="189"/>
    </row>
    <row r="662" spans="1:46" ht="12.75" customHeight="1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  <c r="AC662" s="189"/>
      <c r="AD662" s="189"/>
      <c r="AE662" s="189"/>
      <c r="AF662" s="189"/>
      <c r="AG662" s="189"/>
      <c r="AH662" s="189"/>
      <c r="AI662" s="189"/>
      <c r="AJ662" s="189"/>
      <c r="AK662" s="189"/>
      <c r="AL662" s="189"/>
      <c r="AM662" s="189"/>
      <c r="AN662" s="189"/>
      <c r="AO662" s="189"/>
      <c r="AP662" s="189"/>
      <c r="AQ662" s="189"/>
      <c r="AR662" s="189"/>
      <c r="AS662" s="189"/>
      <c r="AT662" s="189"/>
    </row>
    <row r="663" spans="1:46" ht="12.75" customHeight="1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  <c r="AC663" s="189"/>
      <c r="AD663" s="189"/>
      <c r="AE663" s="189"/>
      <c r="AF663" s="189"/>
      <c r="AG663" s="189"/>
      <c r="AH663" s="189"/>
      <c r="AI663" s="189"/>
      <c r="AJ663" s="189"/>
      <c r="AK663" s="189"/>
      <c r="AL663" s="189"/>
      <c r="AM663" s="189"/>
      <c r="AN663" s="189"/>
      <c r="AO663" s="189"/>
      <c r="AP663" s="189"/>
      <c r="AQ663" s="189"/>
      <c r="AR663" s="189"/>
      <c r="AS663" s="189"/>
      <c r="AT663" s="189"/>
    </row>
    <row r="664" spans="1:46" ht="12.75" customHeight="1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  <c r="AC664" s="189"/>
      <c r="AD664" s="189"/>
      <c r="AE664" s="189"/>
      <c r="AF664" s="189"/>
      <c r="AG664" s="189"/>
      <c r="AH664" s="189"/>
      <c r="AI664" s="189"/>
      <c r="AJ664" s="189"/>
      <c r="AK664" s="189"/>
      <c r="AL664" s="189"/>
      <c r="AM664" s="189"/>
      <c r="AN664" s="189"/>
      <c r="AO664" s="189"/>
      <c r="AP664" s="189"/>
      <c r="AQ664" s="189"/>
      <c r="AR664" s="189"/>
      <c r="AS664" s="189"/>
      <c r="AT664" s="189"/>
    </row>
    <row r="665" spans="1:46" ht="12.75" customHeight="1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  <c r="AC665" s="189"/>
      <c r="AD665" s="189"/>
      <c r="AE665" s="189"/>
      <c r="AF665" s="189"/>
      <c r="AG665" s="189"/>
      <c r="AH665" s="189"/>
      <c r="AI665" s="189"/>
      <c r="AJ665" s="189"/>
      <c r="AK665" s="189"/>
      <c r="AL665" s="189"/>
      <c r="AM665" s="189"/>
      <c r="AN665" s="189"/>
      <c r="AO665" s="189"/>
      <c r="AP665" s="189"/>
      <c r="AQ665" s="189"/>
      <c r="AR665" s="189"/>
      <c r="AS665" s="189"/>
      <c r="AT665" s="189"/>
    </row>
    <row r="666" spans="1:46" ht="12.75" customHeight="1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  <c r="AC666" s="189"/>
      <c r="AD666" s="189"/>
      <c r="AE666" s="189"/>
      <c r="AF666" s="189"/>
      <c r="AG666" s="189"/>
      <c r="AH666" s="189"/>
      <c r="AI666" s="189"/>
      <c r="AJ666" s="189"/>
      <c r="AK666" s="189"/>
      <c r="AL666" s="189"/>
      <c r="AM666" s="189"/>
      <c r="AN666" s="189"/>
      <c r="AO666" s="189"/>
      <c r="AP666" s="189"/>
      <c r="AQ666" s="189"/>
      <c r="AR666" s="189"/>
      <c r="AS666" s="189"/>
      <c r="AT666" s="189"/>
    </row>
    <row r="667" spans="1:46" ht="12.75" customHeight="1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  <c r="AC667" s="189"/>
      <c r="AD667" s="189"/>
      <c r="AE667" s="189"/>
      <c r="AF667" s="189"/>
      <c r="AG667" s="189"/>
      <c r="AH667" s="189"/>
      <c r="AI667" s="189"/>
      <c r="AJ667" s="189"/>
      <c r="AK667" s="189"/>
      <c r="AL667" s="189"/>
      <c r="AM667" s="189"/>
      <c r="AN667" s="189"/>
      <c r="AO667" s="189"/>
      <c r="AP667" s="189"/>
      <c r="AQ667" s="189"/>
      <c r="AR667" s="189"/>
      <c r="AS667" s="189"/>
      <c r="AT667" s="189"/>
    </row>
    <row r="668" spans="1:46" ht="12.75" customHeight="1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  <c r="AC668" s="189"/>
      <c r="AD668" s="189"/>
      <c r="AE668" s="189"/>
      <c r="AF668" s="189"/>
      <c r="AG668" s="189"/>
      <c r="AH668" s="189"/>
      <c r="AI668" s="189"/>
      <c r="AJ668" s="189"/>
      <c r="AK668" s="189"/>
      <c r="AL668" s="189"/>
      <c r="AM668" s="189"/>
      <c r="AN668" s="189"/>
      <c r="AO668" s="189"/>
      <c r="AP668" s="189"/>
      <c r="AQ668" s="189"/>
      <c r="AR668" s="189"/>
      <c r="AS668" s="189"/>
      <c r="AT668" s="189"/>
    </row>
    <row r="669" spans="1:46" ht="12.75" customHeight="1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  <c r="AC669" s="189"/>
      <c r="AD669" s="189"/>
      <c r="AE669" s="189"/>
      <c r="AF669" s="189"/>
      <c r="AG669" s="189"/>
      <c r="AH669" s="189"/>
      <c r="AI669" s="189"/>
      <c r="AJ669" s="189"/>
      <c r="AK669" s="189"/>
      <c r="AL669" s="189"/>
      <c r="AM669" s="189"/>
      <c r="AN669" s="189"/>
      <c r="AO669" s="189"/>
      <c r="AP669" s="189"/>
      <c r="AQ669" s="189"/>
      <c r="AR669" s="189"/>
      <c r="AS669" s="189"/>
      <c r="AT669" s="189"/>
    </row>
    <row r="670" spans="1:46" ht="12.75" customHeight="1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  <c r="AC670" s="189"/>
      <c r="AD670" s="189"/>
      <c r="AE670" s="189"/>
      <c r="AF670" s="189"/>
      <c r="AG670" s="189"/>
      <c r="AH670" s="189"/>
      <c r="AI670" s="189"/>
      <c r="AJ670" s="189"/>
      <c r="AK670" s="189"/>
      <c r="AL670" s="189"/>
      <c r="AM670" s="189"/>
      <c r="AN670" s="189"/>
      <c r="AO670" s="189"/>
      <c r="AP670" s="189"/>
      <c r="AQ670" s="189"/>
      <c r="AR670" s="189"/>
      <c r="AS670" s="189"/>
      <c r="AT670" s="189"/>
    </row>
    <row r="671" spans="1:46" ht="12.75" customHeight="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  <c r="AC671" s="189"/>
      <c r="AD671" s="189"/>
      <c r="AE671" s="189"/>
      <c r="AF671" s="189"/>
      <c r="AG671" s="189"/>
      <c r="AH671" s="189"/>
      <c r="AI671" s="189"/>
      <c r="AJ671" s="189"/>
      <c r="AK671" s="189"/>
      <c r="AL671" s="189"/>
      <c r="AM671" s="189"/>
      <c r="AN671" s="189"/>
      <c r="AO671" s="189"/>
      <c r="AP671" s="189"/>
      <c r="AQ671" s="189"/>
      <c r="AR671" s="189"/>
      <c r="AS671" s="189"/>
      <c r="AT671" s="189"/>
    </row>
    <row r="672" spans="1:46" ht="12.75" customHeight="1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  <c r="AC672" s="189"/>
      <c r="AD672" s="189"/>
      <c r="AE672" s="189"/>
      <c r="AF672" s="189"/>
      <c r="AG672" s="189"/>
      <c r="AH672" s="189"/>
      <c r="AI672" s="189"/>
      <c r="AJ672" s="189"/>
      <c r="AK672" s="189"/>
      <c r="AL672" s="189"/>
      <c r="AM672" s="189"/>
      <c r="AN672" s="189"/>
      <c r="AO672" s="189"/>
      <c r="AP672" s="189"/>
      <c r="AQ672" s="189"/>
      <c r="AR672" s="189"/>
      <c r="AS672" s="189"/>
      <c r="AT672" s="189"/>
    </row>
    <row r="673" spans="1:46" ht="12.75" customHeight="1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  <c r="AC673" s="189"/>
      <c r="AD673" s="189"/>
      <c r="AE673" s="189"/>
      <c r="AF673" s="189"/>
      <c r="AG673" s="189"/>
      <c r="AH673" s="189"/>
      <c r="AI673" s="189"/>
      <c r="AJ673" s="189"/>
      <c r="AK673" s="189"/>
      <c r="AL673" s="189"/>
      <c r="AM673" s="189"/>
      <c r="AN673" s="189"/>
      <c r="AO673" s="189"/>
      <c r="AP673" s="189"/>
      <c r="AQ673" s="189"/>
      <c r="AR673" s="189"/>
      <c r="AS673" s="189"/>
      <c r="AT673" s="189"/>
    </row>
    <row r="674" spans="1:46" ht="12.75" customHeight="1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  <c r="AC674" s="189"/>
      <c r="AD674" s="189"/>
      <c r="AE674" s="189"/>
      <c r="AF674" s="189"/>
      <c r="AG674" s="189"/>
      <c r="AH674" s="189"/>
      <c r="AI674" s="189"/>
      <c r="AJ674" s="189"/>
      <c r="AK674" s="189"/>
      <c r="AL674" s="189"/>
      <c r="AM674" s="189"/>
      <c r="AN674" s="189"/>
      <c r="AO674" s="189"/>
      <c r="AP674" s="189"/>
      <c r="AQ674" s="189"/>
      <c r="AR674" s="189"/>
      <c r="AS674" s="189"/>
      <c r="AT674" s="189"/>
    </row>
    <row r="675" spans="1:46" ht="12.75" customHeight="1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  <c r="AC675" s="189"/>
      <c r="AD675" s="189"/>
      <c r="AE675" s="189"/>
      <c r="AF675" s="189"/>
      <c r="AG675" s="189"/>
      <c r="AH675" s="189"/>
      <c r="AI675" s="189"/>
      <c r="AJ675" s="189"/>
      <c r="AK675" s="189"/>
      <c r="AL675" s="189"/>
      <c r="AM675" s="189"/>
      <c r="AN675" s="189"/>
      <c r="AO675" s="189"/>
      <c r="AP675" s="189"/>
      <c r="AQ675" s="189"/>
      <c r="AR675" s="189"/>
      <c r="AS675" s="189"/>
      <c r="AT675" s="189"/>
    </row>
    <row r="676" spans="1:46" ht="12.75" customHeight="1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  <c r="AC676" s="189"/>
      <c r="AD676" s="189"/>
      <c r="AE676" s="189"/>
      <c r="AF676" s="189"/>
      <c r="AG676" s="189"/>
      <c r="AH676" s="189"/>
      <c r="AI676" s="189"/>
      <c r="AJ676" s="189"/>
      <c r="AK676" s="189"/>
      <c r="AL676" s="189"/>
      <c r="AM676" s="189"/>
      <c r="AN676" s="189"/>
      <c r="AO676" s="189"/>
      <c r="AP676" s="189"/>
      <c r="AQ676" s="189"/>
      <c r="AR676" s="189"/>
      <c r="AS676" s="189"/>
      <c r="AT676" s="189"/>
    </row>
    <row r="677" spans="1:46" ht="12.75" customHeight="1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  <c r="AC677" s="189"/>
      <c r="AD677" s="189"/>
      <c r="AE677" s="189"/>
      <c r="AF677" s="189"/>
      <c r="AG677" s="189"/>
      <c r="AH677" s="189"/>
      <c r="AI677" s="189"/>
      <c r="AJ677" s="189"/>
      <c r="AK677" s="189"/>
      <c r="AL677" s="189"/>
      <c r="AM677" s="189"/>
      <c r="AN677" s="189"/>
      <c r="AO677" s="189"/>
      <c r="AP677" s="189"/>
      <c r="AQ677" s="189"/>
      <c r="AR677" s="189"/>
      <c r="AS677" s="189"/>
      <c r="AT677" s="189"/>
    </row>
    <row r="678" spans="1:46" ht="12.75" customHeight="1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  <c r="AC678" s="189"/>
      <c r="AD678" s="189"/>
      <c r="AE678" s="189"/>
      <c r="AF678" s="189"/>
      <c r="AG678" s="189"/>
      <c r="AH678" s="189"/>
      <c r="AI678" s="189"/>
      <c r="AJ678" s="189"/>
      <c r="AK678" s="189"/>
      <c r="AL678" s="189"/>
      <c r="AM678" s="189"/>
      <c r="AN678" s="189"/>
      <c r="AO678" s="189"/>
      <c r="AP678" s="189"/>
      <c r="AQ678" s="189"/>
      <c r="AR678" s="189"/>
      <c r="AS678" s="189"/>
      <c r="AT678" s="189"/>
    </row>
    <row r="679" spans="1:46" ht="12.75" customHeight="1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  <c r="AC679" s="189"/>
      <c r="AD679" s="189"/>
      <c r="AE679" s="189"/>
      <c r="AF679" s="189"/>
      <c r="AG679" s="189"/>
      <c r="AH679" s="189"/>
      <c r="AI679" s="189"/>
      <c r="AJ679" s="189"/>
      <c r="AK679" s="189"/>
      <c r="AL679" s="189"/>
      <c r="AM679" s="189"/>
      <c r="AN679" s="189"/>
      <c r="AO679" s="189"/>
      <c r="AP679" s="189"/>
      <c r="AQ679" s="189"/>
      <c r="AR679" s="189"/>
      <c r="AS679" s="189"/>
      <c r="AT679" s="189"/>
    </row>
    <row r="680" spans="1:46" ht="12.75" customHeight="1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  <c r="AC680" s="189"/>
      <c r="AD680" s="189"/>
      <c r="AE680" s="189"/>
      <c r="AF680" s="189"/>
      <c r="AG680" s="189"/>
      <c r="AH680" s="189"/>
      <c r="AI680" s="189"/>
      <c r="AJ680" s="189"/>
      <c r="AK680" s="189"/>
      <c r="AL680" s="189"/>
      <c r="AM680" s="189"/>
      <c r="AN680" s="189"/>
      <c r="AO680" s="189"/>
      <c r="AP680" s="189"/>
      <c r="AQ680" s="189"/>
      <c r="AR680" s="189"/>
      <c r="AS680" s="189"/>
      <c r="AT680" s="189"/>
    </row>
    <row r="681" spans="1:46" ht="12.75" customHeight="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  <c r="AC681" s="189"/>
      <c r="AD681" s="189"/>
      <c r="AE681" s="189"/>
      <c r="AF681" s="189"/>
      <c r="AG681" s="189"/>
      <c r="AH681" s="189"/>
      <c r="AI681" s="189"/>
      <c r="AJ681" s="189"/>
      <c r="AK681" s="189"/>
      <c r="AL681" s="189"/>
      <c r="AM681" s="189"/>
      <c r="AN681" s="189"/>
      <c r="AO681" s="189"/>
      <c r="AP681" s="189"/>
      <c r="AQ681" s="189"/>
      <c r="AR681" s="189"/>
      <c r="AS681" s="189"/>
      <c r="AT681" s="189"/>
    </row>
    <row r="682" spans="1:46" ht="12.75" customHeight="1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  <c r="AC682" s="189"/>
      <c r="AD682" s="189"/>
      <c r="AE682" s="189"/>
      <c r="AF682" s="189"/>
      <c r="AG682" s="189"/>
      <c r="AH682" s="189"/>
      <c r="AI682" s="189"/>
      <c r="AJ682" s="189"/>
      <c r="AK682" s="189"/>
      <c r="AL682" s="189"/>
      <c r="AM682" s="189"/>
      <c r="AN682" s="189"/>
      <c r="AO682" s="189"/>
      <c r="AP682" s="189"/>
      <c r="AQ682" s="189"/>
      <c r="AR682" s="189"/>
      <c r="AS682" s="189"/>
      <c r="AT682" s="189"/>
    </row>
    <row r="683" spans="1:46" ht="12.75" customHeight="1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  <c r="AC683" s="189"/>
      <c r="AD683" s="189"/>
      <c r="AE683" s="189"/>
      <c r="AF683" s="189"/>
      <c r="AG683" s="189"/>
      <c r="AH683" s="189"/>
      <c r="AI683" s="189"/>
      <c r="AJ683" s="189"/>
      <c r="AK683" s="189"/>
      <c r="AL683" s="189"/>
      <c r="AM683" s="189"/>
      <c r="AN683" s="189"/>
      <c r="AO683" s="189"/>
      <c r="AP683" s="189"/>
      <c r="AQ683" s="189"/>
      <c r="AR683" s="189"/>
      <c r="AS683" s="189"/>
      <c r="AT683" s="189"/>
    </row>
    <row r="684" spans="1:46" ht="12.75" customHeight="1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  <c r="AC684" s="189"/>
      <c r="AD684" s="189"/>
      <c r="AE684" s="189"/>
      <c r="AF684" s="189"/>
      <c r="AG684" s="189"/>
      <c r="AH684" s="189"/>
      <c r="AI684" s="189"/>
      <c r="AJ684" s="189"/>
      <c r="AK684" s="189"/>
      <c r="AL684" s="189"/>
      <c r="AM684" s="189"/>
      <c r="AN684" s="189"/>
      <c r="AO684" s="189"/>
      <c r="AP684" s="189"/>
      <c r="AQ684" s="189"/>
      <c r="AR684" s="189"/>
      <c r="AS684" s="189"/>
      <c r="AT684" s="189"/>
    </row>
    <row r="685" spans="1:46" ht="12.75" customHeight="1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  <c r="AC685" s="189"/>
      <c r="AD685" s="189"/>
      <c r="AE685" s="189"/>
      <c r="AF685" s="189"/>
      <c r="AG685" s="189"/>
      <c r="AH685" s="189"/>
      <c r="AI685" s="189"/>
      <c r="AJ685" s="189"/>
      <c r="AK685" s="189"/>
      <c r="AL685" s="189"/>
      <c r="AM685" s="189"/>
      <c r="AN685" s="189"/>
      <c r="AO685" s="189"/>
      <c r="AP685" s="189"/>
      <c r="AQ685" s="189"/>
      <c r="AR685" s="189"/>
      <c r="AS685" s="189"/>
      <c r="AT685" s="189"/>
    </row>
    <row r="686" spans="1:46" ht="12.75" customHeight="1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  <c r="AC686" s="189"/>
      <c r="AD686" s="189"/>
      <c r="AE686" s="189"/>
      <c r="AF686" s="189"/>
      <c r="AG686" s="189"/>
      <c r="AH686" s="189"/>
      <c r="AI686" s="189"/>
      <c r="AJ686" s="189"/>
      <c r="AK686" s="189"/>
      <c r="AL686" s="189"/>
      <c r="AM686" s="189"/>
      <c r="AN686" s="189"/>
      <c r="AO686" s="189"/>
      <c r="AP686" s="189"/>
      <c r="AQ686" s="189"/>
      <c r="AR686" s="189"/>
      <c r="AS686" s="189"/>
      <c r="AT686" s="189"/>
    </row>
    <row r="687" spans="1:46" ht="12.75" customHeight="1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  <c r="AC687" s="189"/>
      <c r="AD687" s="189"/>
      <c r="AE687" s="189"/>
      <c r="AF687" s="189"/>
      <c r="AG687" s="189"/>
      <c r="AH687" s="189"/>
      <c r="AI687" s="189"/>
      <c r="AJ687" s="189"/>
      <c r="AK687" s="189"/>
      <c r="AL687" s="189"/>
      <c r="AM687" s="189"/>
      <c r="AN687" s="189"/>
      <c r="AO687" s="189"/>
      <c r="AP687" s="189"/>
      <c r="AQ687" s="189"/>
      <c r="AR687" s="189"/>
      <c r="AS687" s="189"/>
      <c r="AT687" s="189"/>
    </row>
    <row r="688" spans="1:46" ht="12.75" customHeight="1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  <c r="AC688" s="189"/>
      <c r="AD688" s="189"/>
      <c r="AE688" s="189"/>
      <c r="AF688" s="189"/>
      <c r="AG688" s="189"/>
      <c r="AH688" s="189"/>
      <c r="AI688" s="189"/>
      <c r="AJ688" s="189"/>
      <c r="AK688" s="189"/>
      <c r="AL688" s="189"/>
      <c r="AM688" s="189"/>
      <c r="AN688" s="189"/>
      <c r="AO688" s="189"/>
      <c r="AP688" s="189"/>
      <c r="AQ688" s="189"/>
      <c r="AR688" s="189"/>
      <c r="AS688" s="189"/>
      <c r="AT688" s="189"/>
    </row>
    <row r="689" spans="1:46" ht="12.75" customHeight="1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  <c r="AC689" s="189"/>
      <c r="AD689" s="189"/>
      <c r="AE689" s="189"/>
      <c r="AF689" s="189"/>
      <c r="AG689" s="189"/>
      <c r="AH689" s="189"/>
      <c r="AI689" s="189"/>
      <c r="AJ689" s="189"/>
      <c r="AK689" s="189"/>
      <c r="AL689" s="189"/>
      <c r="AM689" s="189"/>
      <c r="AN689" s="189"/>
      <c r="AO689" s="189"/>
      <c r="AP689" s="189"/>
      <c r="AQ689" s="189"/>
      <c r="AR689" s="189"/>
      <c r="AS689" s="189"/>
      <c r="AT689" s="189"/>
    </row>
    <row r="690" spans="1:46" ht="12.75" customHeight="1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  <c r="AC690" s="189"/>
      <c r="AD690" s="189"/>
      <c r="AE690" s="189"/>
      <c r="AF690" s="189"/>
      <c r="AG690" s="189"/>
      <c r="AH690" s="189"/>
      <c r="AI690" s="189"/>
      <c r="AJ690" s="189"/>
      <c r="AK690" s="189"/>
      <c r="AL690" s="189"/>
      <c r="AM690" s="189"/>
      <c r="AN690" s="189"/>
      <c r="AO690" s="189"/>
      <c r="AP690" s="189"/>
      <c r="AQ690" s="189"/>
      <c r="AR690" s="189"/>
      <c r="AS690" s="189"/>
      <c r="AT690" s="189"/>
    </row>
    <row r="691" spans="1:46" ht="12.75" customHeight="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  <c r="AC691" s="189"/>
      <c r="AD691" s="189"/>
      <c r="AE691" s="189"/>
      <c r="AF691" s="189"/>
      <c r="AG691" s="189"/>
      <c r="AH691" s="189"/>
      <c r="AI691" s="189"/>
      <c r="AJ691" s="189"/>
      <c r="AK691" s="189"/>
      <c r="AL691" s="189"/>
      <c r="AM691" s="189"/>
      <c r="AN691" s="189"/>
      <c r="AO691" s="189"/>
      <c r="AP691" s="189"/>
      <c r="AQ691" s="189"/>
      <c r="AR691" s="189"/>
      <c r="AS691" s="189"/>
      <c r="AT691" s="189"/>
    </row>
    <row r="692" spans="1:46" ht="12.75" customHeight="1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  <c r="AC692" s="189"/>
      <c r="AD692" s="189"/>
      <c r="AE692" s="189"/>
      <c r="AF692" s="189"/>
      <c r="AG692" s="189"/>
      <c r="AH692" s="189"/>
      <c r="AI692" s="189"/>
      <c r="AJ692" s="189"/>
      <c r="AK692" s="189"/>
      <c r="AL692" s="189"/>
      <c r="AM692" s="189"/>
      <c r="AN692" s="189"/>
      <c r="AO692" s="189"/>
      <c r="AP692" s="189"/>
      <c r="AQ692" s="189"/>
      <c r="AR692" s="189"/>
      <c r="AS692" s="189"/>
      <c r="AT692" s="189"/>
    </row>
    <row r="693" spans="1:46" ht="12.75" customHeight="1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  <c r="AC693" s="189"/>
      <c r="AD693" s="189"/>
      <c r="AE693" s="189"/>
      <c r="AF693" s="189"/>
      <c r="AG693" s="189"/>
      <c r="AH693" s="189"/>
      <c r="AI693" s="189"/>
      <c r="AJ693" s="189"/>
      <c r="AK693" s="189"/>
      <c r="AL693" s="189"/>
      <c r="AM693" s="189"/>
      <c r="AN693" s="189"/>
      <c r="AO693" s="189"/>
      <c r="AP693" s="189"/>
      <c r="AQ693" s="189"/>
      <c r="AR693" s="189"/>
      <c r="AS693" s="189"/>
      <c r="AT693" s="189"/>
    </row>
    <row r="694" spans="1:46" ht="12.75" customHeight="1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  <c r="AC694" s="189"/>
      <c r="AD694" s="189"/>
      <c r="AE694" s="189"/>
      <c r="AF694" s="189"/>
      <c r="AG694" s="189"/>
      <c r="AH694" s="189"/>
      <c r="AI694" s="189"/>
      <c r="AJ694" s="189"/>
      <c r="AK694" s="189"/>
      <c r="AL694" s="189"/>
      <c r="AM694" s="189"/>
      <c r="AN694" s="189"/>
      <c r="AO694" s="189"/>
      <c r="AP694" s="189"/>
      <c r="AQ694" s="189"/>
      <c r="AR694" s="189"/>
      <c r="AS694" s="189"/>
      <c r="AT694" s="189"/>
    </row>
    <row r="695" spans="1:46" ht="12.75" customHeight="1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  <c r="AC695" s="189"/>
      <c r="AD695" s="189"/>
      <c r="AE695" s="189"/>
      <c r="AF695" s="189"/>
      <c r="AG695" s="189"/>
      <c r="AH695" s="189"/>
      <c r="AI695" s="189"/>
      <c r="AJ695" s="189"/>
      <c r="AK695" s="189"/>
      <c r="AL695" s="189"/>
      <c r="AM695" s="189"/>
      <c r="AN695" s="189"/>
      <c r="AO695" s="189"/>
      <c r="AP695" s="189"/>
      <c r="AQ695" s="189"/>
      <c r="AR695" s="189"/>
      <c r="AS695" s="189"/>
      <c r="AT695" s="189"/>
    </row>
    <row r="696" spans="1:46" ht="12.75" customHeight="1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  <c r="AC696" s="189"/>
      <c r="AD696" s="189"/>
      <c r="AE696" s="189"/>
      <c r="AF696" s="189"/>
      <c r="AG696" s="189"/>
      <c r="AH696" s="189"/>
      <c r="AI696" s="189"/>
      <c r="AJ696" s="189"/>
      <c r="AK696" s="189"/>
      <c r="AL696" s="189"/>
      <c r="AM696" s="189"/>
      <c r="AN696" s="189"/>
      <c r="AO696" s="189"/>
      <c r="AP696" s="189"/>
      <c r="AQ696" s="189"/>
      <c r="AR696" s="189"/>
      <c r="AS696" s="189"/>
      <c r="AT696" s="189"/>
    </row>
    <row r="697" spans="1:46" ht="12.75" customHeight="1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  <c r="AC697" s="189"/>
      <c r="AD697" s="189"/>
      <c r="AE697" s="189"/>
      <c r="AF697" s="189"/>
      <c r="AG697" s="189"/>
      <c r="AH697" s="189"/>
      <c r="AI697" s="189"/>
      <c r="AJ697" s="189"/>
      <c r="AK697" s="189"/>
      <c r="AL697" s="189"/>
      <c r="AM697" s="189"/>
      <c r="AN697" s="189"/>
      <c r="AO697" s="189"/>
      <c r="AP697" s="189"/>
      <c r="AQ697" s="189"/>
      <c r="AR697" s="189"/>
      <c r="AS697" s="189"/>
      <c r="AT697" s="189"/>
    </row>
    <row r="698" spans="1:46" ht="12.75" customHeight="1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  <c r="AC698" s="189"/>
      <c r="AD698" s="189"/>
      <c r="AE698" s="189"/>
      <c r="AF698" s="189"/>
      <c r="AG698" s="189"/>
      <c r="AH698" s="189"/>
      <c r="AI698" s="189"/>
      <c r="AJ698" s="189"/>
      <c r="AK698" s="189"/>
      <c r="AL698" s="189"/>
      <c r="AM698" s="189"/>
      <c r="AN698" s="189"/>
      <c r="AO698" s="189"/>
      <c r="AP698" s="189"/>
      <c r="AQ698" s="189"/>
      <c r="AR698" s="189"/>
      <c r="AS698" s="189"/>
      <c r="AT698" s="189"/>
    </row>
    <row r="699" spans="1:46" ht="12.75" customHeight="1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  <c r="AC699" s="189"/>
      <c r="AD699" s="189"/>
      <c r="AE699" s="189"/>
      <c r="AF699" s="189"/>
      <c r="AG699" s="189"/>
      <c r="AH699" s="189"/>
      <c r="AI699" s="189"/>
      <c r="AJ699" s="189"/>
      <c r="AK699" s="189"/>
      <c r="AL699" s="189"/>
      <c r="AM699" s="189"/>
      <c r="AN699" s="189"/>
      <c r="AO699" s="189"/>
      <c r="AP699" s="189"/>
      <c r="AQ699" s="189"/>
      <c r="AR699" s="189"/>
      <c r="AS699" s="189"/>
      <c r="AT699" s="189"/>
    </row>
    <row r="700" spans="1:46" ht="12.75" customHeight="1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  <c r="AC700" s="189"/>
      <c r="AD700" s="189"/>
      <c r="AE700" s="189"/>
      <c r="AF700" s="189"/>
      <c r="AG700" s="189"/>
      <c r="AH700" s="189"/>
      <c r="AI700" s="189"/>
      <c r="AJ700" s="189"/>
      <c r="AK700" s="189"/>
      <c r="AL700" s="189"/>
      <c r="AM700" s="189"/>
      <c r="AN700" s="189"/>
      <c r="AO700" s="189"/>
      <c r="AP700" s="189"/>
      <c r="AQ700" s="189"/>
      <c r="AR700" s="189"/>
      <c r="AS700" s="189"/>
      <c r="AT700" s="189"/>
    </row>
    <row r="701" spans="1:46" ht="12.75" customHeight="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  <c r="AC701" s="189"/>
      <c r="AD701" s="189"/>
      <c r="AE701" s="189"/>
      <c r="AF701" s="189"/>
      <c r="AG701" s="189"/>
      <c r="AH701" s="189"/>
      <c r="AI701" s="189"/>
      <c r="AJ701" s="189"/>
      <c r="AK701" s="189"/>
      <c r="AL701" s="189"/>
      <c r="AM701" s="189"/>
      <c r="AN701" s="189"/>
      <c r="AO701" s="189"/>
      <c r="AP701" s="189"/>
      <c r="AQ701" s="189"/>
      <c r="AR701" s="189"/>
      <c r="AS701" s="189"/>
      <c r="AT701" s="189"/>
    </row>
    <row r="702" spans="1:46" ht="12.75" customHeight="1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  <c r="AC702" s="189"/>
      <c r="AD702" s="189"/>
      <c r="AE702" s="189"/>
      <c r="AF702" s="189"/>
      <c r="AG702" s="189"/>
      <c r="AH702" s="189"/>
      <c r="AI702" s="189"/>
      <c r="AJ702" s="189"/>
      <c r="AK702" s="189"/>
      <c r="AL702" s="189"/>
      <c r="AM702" s="189"/>
      <c r="AN702" s="189"/>
      <c r="AO702" s="189"/>
      <c r="AP702" s="189"/>
      <c r="AQ702" s="189"/>
      <c r="AR702" s="189"/>
      <c r="AS702" s="189"/>
      <c r="AT702" s="189"/>
    </row>
    <row r="703" spans="1:46" ht="12.75" customHeight="1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  <c r="AC703" s="189"/>
      <c r="AD703" s="189"/>
      <c r="AE703" s="189"/>
      <c r="AF703" s="189"/>
      <c r="AG703" s="189"/>
      <c r="AH703" s="189"/>
      <c r="AI703" s="189"/>
      <c r="AJ703" s="189"/>
      <c r="AK703" s="189"/>
      <c r="AL703" s="189"/>
      <c r="AM703" s="189"/>
      <c r="AN703" s="189"/>
      <c r="AO703" s="189"/>
      <c r="AP703" s="189"/>
      <c r="AQ703" s="189"/>
      <c r="AR703" s="189"/>
      <c r="AS703" s="189"/>
      <c r="AT703" s="189"/>
    </row>
    <row r="704" spans="1:46" ht="12.75" customHeight="1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  <c r="AC704" s="189"/>
      <c r="AD704" s="189"/>
      <c r="AE704" s="189"/>
      <c r="AF704" s="189"/>
      <c r="AG704" s="189"/>
      <c r="AH704" s="189"/>
      <c r="AI704" s="189"/>
      <c r="AJ704" s="189"/>
      <c r="AK704" s="189"/>
      <c r="AL704" s="189"/>
      <c r="AM704" s="189"/>
      <c r="AN704" s="189"/>
      <c r="AO704" s="189"/>
      <c r="AP704" s="189"/>
      <c r="AQ704" s="189"/>
      <c r="AR704" s="189"/>
      <c r="AS704" s="189"/>
      <c r="AT704" s="189"/>
    </row>
    <row r="705" spans="1:46" ht="12.75" customHeight="1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  <c r="AC705" s="189"/>
      <c r="AD705" s="189"/>
      <c r="AE705" s="189"/>
      <c r="AF705" s="189"/>
      <c r="AG705" s="189"/>
      <c r="AH705" s="189"/>
      <c r="AI705" s="189"/>
      <c r="AJ705" s="189"/>
      <c r="AK705" s="189"/>
      <c r="AL705" s="189"/>
      <c r="AM705" s="189"/>
      <c r="AN705" s="189"/>
      <c r="AO705" s="189"/>
      <c r="AP705" s="189"/>
      <c r="AQ705" s="189"/>
      <c r="AR705" s="189"/>
      <c r="AS705" s="189"/>
      <c r="AT705" s="189"/>
    </row>
    <row r="706" spans="1:46" ht="12.75" customHeight="1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  <c r="AC706" s="189"/>
      <c r="AD706" s="189"/>
      <c r="AE706" s="189"/>
      <c r="AF706" s="189"/>
      <c r="AG706" s="189"/>
      <c r="AH706" s="189"/>
      <c r="AI706" s="189"/>
      <c r="AJ706" s="189"/>
      <c r="AK706" s="189"/>
      <c r="AL706" s="189"/>
      <c r="AM706" s="189"/>
      <c r="AN706" s="189"/>
      <c r="AO706" s="189"/>
      <c r="AP706" s="189"/>
      <c r="AQ706" s="189"/>
      <c r="AR706" s="189"/>
      <c r="AS706" s="189"/>
      <c r="AT706" s="189"/>
    </row>
    <row r="707" spans="1:46" ht="12.75" customHeight="1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  <c r="AC707" s="189"/>
      <c r="AD707" s="189"/>
      <c r="AE707" s="189"/>
      <c r="AF707" s="189"/>
      <c r="AG707" s="189"/>
      <c r="AH707" s="189"/>
      <c r="AI707" s="189"/>
      <c r="AJ707" s="189"/>
      <c r="AK707" s="189"/>
      <c r="AL707" s="189"/>
      <c r="AM707" s="189"/>
      <c r="AN707" s="189"/>
      <c r="AO707" s="189"/>
      <c r="AP707" s="189"/>
      <c r="AQ707" s="189"/>
      <c r="AR707" s="189"/>
      <c r="AS707" s="189"/>
      <c r="AT707" s="189"/>
    </row>
    <row r="708" spans="1:46" ht="12.75" customHeight="1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  <c r="AC708" s="189"/>
      <c r="AD708" s="189"/>
      <c r="AE708" s="189"/>
      <c r="AF708" s="189"/>
      <c r="AG708" s="189"/>
      <c r="AH708" s="189"/>
      <c r="AI708" s="189"/>
      <c r="AJ708" s="189"/>
      <c r="AK708" s="189"/>
      <c r="AL708" s="189"/>
      <c r="AM708" s="189"/>
      <c r="AN708" s="189"/>
      <c r="AO708" s="189"/>
      <c r="AP708" s="189"/>
      <c r="AQ708" s="189"/>
      <c r="AR708" s="189"/>
      <c r="AS708" s="189"/>
      <c r="AT708" s="189"/>
    </row>
    <row r="709" spans="1:46" ht="12.75" customHeight="1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  <c r="AC709" s="189"/>
      <c r="AD709" s="189"/>
      <c r="AE709" s="189"/>
      <c r="AF709" s="189"/>
      <c r="AG709" s="189"/>
      <c r="AH709" s="189"/>
      <c r="AI709" s="189"/>
      <c r="AJ709" s="189"/>
      <c r="AK709" s="189"/>
      <c r="AL709" s="189"/>
      <c r="AM709" s="189"/>
      <c r="AN709" s="189"/>
      <c r="AO709" s="189"/>
      <c r="AP709" s="189"/>
      <c r="AQ709" s="189"/>
      <c r="AR709" s="189"/>
      <c r="AS709" s="189"/>
      <c r="AT709" s="189"/>
    </row>
    <row r="710" spans="1:46" ht="12.75" customHeight="1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  <c r="AC710" s="189"/>
      <c r="AD710" s="189"/>
      <c r="AE710" s="189"/>
      <c r="AF710" s="189"/>
      <c r="AG710" s="189"/>
      <c r="AH710" s="189"/>
      <c r="AI710" s="189"/>
      <c r="AJ710" s="189"/>
      <c r="AK710" s="189"/>
      <c r="AL710" s="189"/>
      <c r="AM710" s="189"/>
      <c r="AN710" s="189"/>
      <c r="AO710" s="189"/>
      <c r="AP710" s="189"/>
      <c r="AQ710" s="189"/>
      <c r="AR710" s="189"/>
      <c r="AS710" s="189"/>
      <c r="AT710" s="189"/>
    </row>
    <row r="711" spans="1:46" ht="12.75" customHeight="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  <c r="AD711" s="189"/>
      <c r="AE711" s="189"/>
      <c r="AF711" s="189"/>
      <c r="AG711" s="189"/>
      <c r="AH711" s="189"/>
      <c r="AI711" s="189"/>
      <c r="AJ711" s="189"/>
      <c r="AK711" s="189"/>
      <c r="AL711" s="189"/>
      <c r="AM711" s="189"/>
      <c r="AN711" s="189"/>
      <c r="AO711" s="189"/>
      <c r="AP711" s="189"/>
      <c r="AQ711" s="189"/>
      <c r="AR711" s="189"/>
      <c r="AS711" s="189"/>
      <c r="AT711" s="189"/>
    </row>
    <row r="712" spans="1:46" ht="12.75" customHeight="1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  <c r="AH712" s="189"/>
      <c r="AI712" s="189"/>
      <c r="AJ712" s="189"/>
      <c r="AK712" s="189"/>
      <c r="AL712" s="189"/>
      <c r="AM712" s="189"/>
      <c r="AN712" s="189"/>
      <c r="AO712" s="189"/>
      <c r="AP712" s="189"/>
      <c r="AQ712" s="189"/>
      <c r="AR712" s="189"/>
      <c r="AS712" s="189"/>
      <c r="AT712" s="189"/>
    </row>
    <row r="713" spans="1:46" ht="12.75" customHeight="1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  <c r="AC713" s="189"/>
      <c r="AD713" s="189"/>
      <c r="AE713" s="189"/>
      <c r="AF713" s="189"/>
      <c r="AG713" s="189"/>
      <c r="AH713" s="189"/>
      <c r="AI713" s="189"/>
      <c r="AJ713" s="189"/>
      <c r="AK713" s="189"/>
      <c r="AL713" s="189"/>
      <c r="AM713" s="189"/>
      <c r="AN713" s="189"/>
      <c r="AO713" s="189"/>
      <c r="AP713" s="189"/>
      <c r="AQ713" s="189"/>
      <c r="AR713" s="189"/>
      <c r="AS713" s="189"/>
      <c r="AT713" s="189"/>
    </row>
    <row r="714" spans="1:46" ht="12.75" customHeight="1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  <c r="AC714" s="189"/>
      <c r="AD714" s="189"/>
      <c r="AE714" s="189"/>
      <c r="AF714" s="189"/>
      <c r="AG714" s="189"/>
      <c r="AH714" s="189"/>
      <c r="AI714" s="189"/>
      <c r="AJ714" s="189"/>
      <c r="AK714" s="189"/>
      <c r="AL714" s="189"/>
      <c r="AM714" s="189"/>
      <c r="AN714" s="189"/>
      <c r="AO714" s="189"/>
      <c r="AP714" s="189"/>
      <c r="AQ714" s="189"/>
      <c r="AR714" s="189"/>
      <c r="AS714" s="189"/>
      <c r="AT714" s="189"/>
    </row>
    <row r="715" spans="1:46" ht="12.75" customHeight="1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  <c r="AC715" s="189"/>
      <c r="AD715" s="189"/>
      <c r="AE715" s="189"/>
      <c r="AF715" s="189"/>
      <c r="AG715" s="189"/>
      <c r="AH715" s="189"/>
      <c r="AI715" s="189"/>
      <c r="AJ715" s="189"/>
      <c r="AK715" s="189"/>
      <c r="AL715" s="189"/>
      <c r="AM715" s="189"/>
      <c r="AN715" s="189"/>
      <c r="AO715" s="189"/>
      <c r="AP715" s="189"/>
      <c r="AQ715" s="189"/>
      <c r="AR715" s="189"/>
      <c r="AS715" s="189"/>
      <c r="AT715" s="189"/>
    </row>
    <row r="716" spans="1:46" ht="12.75" customHeight="1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  <c r="AC716" s="189"/>
      <c r="AD716" s="189"/>
      <c r="AE716" s="189"/>
      <c r="AF716" s="189"/>
      <c r="AG716" s="189"/>
      <c r="AH716" s="189"/>
      <c r="AI716" s="189"/>
      <c r="AJ716" s="189"/>
      <c r="AK716" s="189"/>
      <c r="AL716" s="189"/>
      <c r="AM716" s="189"/>
      <c r="AN716" s="189"/>
      <c r="AO716" s="189"/>
      <c r="AP716" s="189"/>
      <c r="AQ716" s="189"/>
      <c r="AR716" s="189"/>
      <c r="AS716" s="189"/>
      <c r="AT716" s="189"/>
    </row>
    <row r="717" spans="1:46" ht="12.75" customHeight="1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  <c r="AC717" s="189"/>
      <c r="AD717" s="189"/>
      <c r="AE717" s="189"/>
      <c r="AF717" s="189"/>
      <c r="AG717" s="189"/>
      <c r="AH717" s="189"/>
      <c r="AI717" s="189"/>
      <c r="AJ717" s="189"/>
      <c r="AK717" s="189"/>
      <c r="AL717" s="189"/>
      <c r="AM717" s="189"/>
      <c r="AN717" s="189"/>
      <c r="AO717" s="189"/>
      <c r="AP717" s="189"/>
      <c r="AQ717" s="189"/>
      <c r="AR717" s="189"/>
      <c r="AS717" s="189"/>
      <c r="AT717" s="189"/>
    </row>
    <row r="718" spans="1:46" ht="12.75" customHeight="1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  <c r="AC718" s="189"/>
      <c r="AD718" s="189"/>
      <c r="AE718" s="189"/>
      <c r="AF718" s="189"/>
      <c r="AG718" s="189"/>
      <c r="AH718" s="189"/>
      <c r="AI718" s="189"/>
      <c r="AJ718" s="189"/>
      <c r="AK718" s="189"/>
      <c r="AL718" s="189"/>
      <c r="AM718" s="189"/>
      <c r="AN718" s="189"/>
      <c r="AO718" s="189"/>
      <c r="AP718" s="189"/>
      <c r="AQ718" s="189"/>
      <c r="AR718" s="189"/>
      <c r="AS718" s="189"/>
      <c r="AT718" s="189"/>
    </row>
    <row r="719" spans="1:46" ht="12.75" customHeight="1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  <c r="AC719" s="189"/>
      <c r="AD719" s="189"/>
      <c r="AE719" s="189"/>
      <c r="AF719" s="189"/>
      <c r="AG719" s="189"/>
      <c r="AH719" s="189"/>
      <c r="AI719" s="189"/>
      <c r="AJ719" s="189"/>
      <c r="AK719" s="189"/>
      <c r="AL719" s="189"/>
      <c r="AM719" s="189"/>
      <c r="AN719" s="189"/>
      <c r="AO719" s="189"/>
      <c r="AP719" s="189"/>
      <c r="AQ719" s="189"/>
      <c r="AR719" s="189"/>
      <c r="AS719" s="189"/>
      <c r="AT719" s="189"/>
    </row>
    <row r="720" spans="1:46" ht="12.75" customHeight="1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  <c r="AD720" s="189"/>
      <c r="AE720" s="189"/>
      <c r="AF720" s="189"/>
      <c r="AG720" s="189"/>
      <c r="AH720" s="189"/>
      <c r="AI720" s="189"/>
      <c r="AJ720" s="189"/>
      <c r="AK720" s="189"/>
      <c r="AL720" s="189"/>
      <c r="AM720" s="189"/>
      <c r="AN720" s="189"/>
      <c r="AO720" s="189"/>
      <c r="AP720" s="189"/>
      <c r="AQ720" s="189"/>
      <c r="AR720" s="189"/>
      <c r="AS720" s="189"/>
      <c r="AT720" s="189"/>
    </row>
    <row r="721" spans="1:46" ht="12.75" customHeight="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  <c r="AC721" s="189"/>
      <c r="AD721" s="189"/>
      <c r="AE721" s="189"/>
      <c r="AF721" s="189"/>
      <c r="AG721" s="189"/>
      <c r="AH721" s="189"/>
      <c r="AI721" s="189"/>
      <c r="AJ721" s="189"/>
      <c r="AK721" s="189"/>
      <c r="AL721" s="189"/>
      <c r="AM721" s="189"/>
      <c r="AN721" s="189"/>
      <c r="AO721" s="189"/>
      <c r="AP721" s="189"/>
      <c r="AQ721" s="189"/>
      <c r="AR721" s="189"/>
      <c r="AS721" s="189"/>
      <c r="AT721" s="189"/>
    </row>
    <row r="722" spans="1:46" ht="12.75" customHeight="1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  <c r="AC722" s="189"/>
      <c r="AD722" s="189"/>
      <c r="AE722" s="189"/>
      <c r="AF722" s="189"/>
      <c r="AG722" s="189"/>
      <c r="AH722" s="189"/>
      <c r="AI722" s="189"/>
      <c r="AJ722" s="189"/>
      <c r="AK722" s="189"/>
      <c r="AL722" s="189"/>
      <c r="AM722" s="189"/>
      <c r="AN722" s="189"/>
      <c r="AO722" s="189"/>
      <c r="AP722" s="189"/>
      <c r="AQ722" s="189"/>
      <c r="AR722" s="189"/>
      <c r="AS722" s="189"/>
      <c r="AT722" s="189"/>
    </row>
    <row r="723" spans="1:46" ht="12.75" customHeight="1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  <c r="AC723" s="189"/>
      <c r="AD723" s="189"/>
      <c r="AE723" s="189"/>
      <c r="AF723" s="189"/>
      <c r="AG723" s="189"/>
      <c r="AH723" s="189"/>
      <c r="AI723" s="189"/>
      <c r="AJ723" s="189"/>
      <c r="AK723" s="189"/>
      <c r="AL723" s="189"/>
      <c r="AM723" s="189"/>
      <c r="AN723" s="189"/>
      <c r="AO723" s="189"/>
      <c r="AP723" s="189"/>
      <c r="AQ723" s="189"/>
      <c r="AR723" s="189"/>
      <c r="AS723" s="189"/>
      <c r="AT723" s="189"/>
    </row>
    <row r="724" spans="1:46" ht="12.75" customHeight="1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  <c r="AC724" s="189"/>
      <c r="AD724" s="189"/>
      <c r="AE724" s="189"/>
      <c r="AF724" s="189"/>
      <c r="AG724" s="189"/>
      <c r="AH724" s="189"/>
      <c r="AI724" s="189"/>
      <c r="AJ724" s="189"/>
      <c r="AK724" s="189"/>
      <c r="AL724" s="189"/>
      <c r="AM724" s="189"/>
      <c r="AN724" s="189"/>
      <c r="AO724" s="189"/>
      <c r="AP724" s="189"/>
      <c r="AQ724" s="189"/>
      <c r="AR724" s="189"/>
      <c r="AS724" s="189"/>
      <c r="AT724" s="189"/>
    </row>
    <row r="725" spans="1:46" ht="12.75" customHeight="1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  <c r="AC725" s="189"/>
      <c r="AD725" s="189"/>
      <c r="AE725" s="189"/>
      <c r="AF725" s="189"/>
      <c r="AG725" s="189"/>
      <c r="AH725" s="189"/>
      <c r="AI725" s="189"/>
      <c r="AJ725" s="189"/>
      <c r="AK725" s="189"/>
      <c r="AL725" s="189"/>
      <c r="AM725" s="189"/>
      <c r="AN725" s="189"/>
      <c r="AO725" s="189"/>
      <c r="AP725" s="189"/>
      <c r="AQ725" s="189"/>
      <c r="AR725" s="189"/>
      <c r="AS725" s="189"/>
      <c r="AT725" s="189"/>
    </row>
    <row r="726" spans="1:46" ht="12.75" customHeight="1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  <c r="AC726" s="189"/>
      <c r="AD726" s="189"/>
      <c r="AE726" s="189"/>
      <c r="AF726" s="189"/>
      <c r="AG726" s="189"/>
      <c r="AH726" s="189"/>
      <c r="AI726" s="189"/>
      <c r="AJ726" s="189"/>
      <c r="AK726" s="189"/>
      <c r="AL726" s="189"/>
      <c r="AM726" s="189"/>
      <c r="AN726" s="189"/>
      <c r="AO726" s="189"/>
      <c r="AP726" s="189"/>
      <c r="AQ726" s="189"/>
      <c r="AR726" s="189"/>
      <c r="AS726" s="189"/>
      <c r="AT726" s="189"/>
    </row>
    <row r="727" spans="1:46" ht="12.75" customHeight="1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  <c r="AC727" s="189"/>
      <c r="AD727" s="189"/>
      <c r="AE727" s="189"/>
      <c r="AF727" s="189"/>
      <c r="AG727" s="189"/>
      <c r="AH727" s="189"/>
      <c r="AI727" s="189"/>
      <c r="AJ727" s="189"/>
      <c r="AK727" s="189"/>
      <c r="AL727" s="189"/>
      <c r="AM727" s="189"/>
      <c r="AN727" s="189"/>
      <c r="AO727" s="189"/>
      <c r="AP727" s="189"/>
      <c r="AQ727" s="189"/>
      <c r="AR727" s="189"/>
      <c r="AS727" s="189"/>
      <c r="AT727" s="189"/>
    </row>
    <row r="728" spans="1:46" ht="12.75" customHeight="1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  <c r="AC728" s="189"/>
      <c r="AD728" s="189"/>
      <c r="AE728" s="189"/>
      <c r="AF728" s="189"/>
      <c r="AG728" s="189"/>
      <c r="AH728" s="189"/>
      <c r="AI728" s="189"/>
      <c r="AJ728" s="189"/>
      <c r="AK728" s="189"/>
      <c r="AL728" s="189"/>
      <c r="AM728" s="189"/>
      <c r="AN728" s="189"/>
      <c r="AO728" s="189"/>
      <c r="AP728" s="189"/>
      <c r="AQ728" s="189"/>
      <c r="AR728" s="189"/>
      <c r="AS728" s="189"/>
      <c r="AT728" s="189"/>
    </row>
    <row r="729" spans="1:46" ht="12.75" customHeight="1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  <c r="AC729" s="189"/>
      <c r="AD729" s="189"/>
      <c r="AE729" s="189"/>
      <c r="AF729" s="189"/>
      <c r="AG729" s="189"/>
      <c r="AH729" s="189"/>
      <c r="AI729" s="189"/>
      <c r="AJ729" s="189"/>
      <c r="AK729" s="189"/>
      <c r="AL729" s="189"/>
      <c r="AM729" s="189"/>
      <c r="AN729" s="189"/>
      <c r="AO729" s="189"/>
      <c r="AP729" s="189"/>
      <c r="AQ729" s="189"/>
      <c r="AR729" s="189"/>
      <c r="AS729" s="189"/>
      <c r="AT729" s="189"/>
    </row>
    <row r="730" spans="1:46" ht="12.75" customHeight="1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  <c r="AC730" s="189"/>
      <c r="AD730" s="189"/>
      <c r="AE730" s="189"/>
      <c r="AF730" s="189"/>
      <c r="AG730" s="189"/>
      <c r="AH730" s="189"/>
      <c r="AI730" s="189"/>
      <c r="AJ730" s="189"/>
      <c r="AK730" s="189"/>
      <c r="AL730" s="189"/>
      <c r="AM730" s="189"/>
      <c r="AN730" s="189"/>
      <c r="AO730" s="189"/>
      <c r="AP730" s="189"/>
      <c r="AQ730" s="189"/>
      <c r="AR730" s="189"/>
      <c r="AS730" s="189"/>
      <c r="AT730" s="189"/>
    </row>
    <row r="731" spans="1:46" ht="12.75" customHeight="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  <c r="AC731" s="189"/>
      <c r="AD731" s="189"/>
      <c r="AE731" s="189"/>
      <c r="AF731" s="189"/>
      <c r="AG731" s="189"/>
      <c r="AH731" s="189"/>
      <c r="AI731" s="189"/>
      <c r="AJ731" s="189"/>
      <c r="AK731" s="189"/>
      <c r="AL731" s="189"/>
      <c r="AM731" s="189"/>
      <c r="AN731" s="189"/>
      <c r="AO731" s="189"/>
      <c r="AP731" s="189"/>
      <c r="AQ731" s="189"/>
      <c r="AR731" s="189"/>
      <c r="AS731" s="189"/>
      <c r="AT731" s="189"/>
    </row>
    <row r="732" spans="1:46" ht="12.75" customHeight="1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  <c r="AC732" s="189"/>
      <c r="AD732" s="189"/>
      <c r="AE732" s="189"/>
      <c r="AF732" s="189"/>
      <c r="AG732" s="189"/>
      <c r="AH732" s="189"/>
      <c r="AI732" s="189"/>
      <c r="AJ732" s="189"/>
      <c r="AK732" s="189"/>
      <c r="AL732" s="189"/>
      <c r="AM732" s="189"/>
      <c r="AN732" s="189"/>
      <c r="AO732" s="189"/>
      <c r="AP732" s="189"/>
      <c r="AQ732" s="189"/>
      <c r="AR732" s="189"/>
      <c r="AS732" s="189"/>
      <c r="AT732" s="189"/>
    </row>
    <row r="733" spans="1:46" ht="12.75" customHeight="1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  <c r="AC733" s="189"/>
      <c r="AD733" s="189"/>
      <c r="AE733" s="189"/>
      <c r="AF733" s="189"/>
      <c r="AG733" s="189"/>
      <c r="AH733" s="189"/>
      <c r="AI733" s="189"/>
      <c r="AJ733" s="189"/>
      <c r="AK733" s="189"/>
      <c r="AL733" s="189"/>
      <c r="AM733" s="189"/>
      <c r="AN733" s="189"/>
      <c r="AO733" s="189"/>
      <c r="AP733" s="189"/>
      <c r="AQ733" s="189"/>
      <c r="AR733" s="189"/>
      <c r="AS733" s="189"/>
      <c r="AT733" s="189"/>
    </row>
    <row r="734" spans="1:46" ht="12.75" customHeight="1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  <c r="AC734" s="189"/>
      <c r="AD734" s="189"/>
      <c r="AE734" s="189"/>
      <c r="AF734" s="189"/>
      <c r="AG734" s="189"/>
      <c r="AH734" s="189"/>
      <c r="AI734" s="189"/>
      <c r="AJ734" s="189"/>
      <c r="AK734" s="189"/>
      <c r="AL734" s="189"/>
      <c r="AM734" s="189"/>
      <c r="AN734" s="189"/>
      <c r="AO734" s="189"/>
      <c r="AP734" s="189"/>
      <c r="AQ734" s="189"/>
      <c r="AR734" s="189"/>
      <c r="AS734" s="189"/>
      <c r="AT734" s="189"/>
    </row>
    <row r="735" spans="1:46" ht="12.75" customHeight="1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  <c r="AC735" s="189"/>
      <c r="AD735" s="189"/>
      <c r="AE735" s="189"/>
      <c r="AF735" s="189"/>
      <c r="AG735" s="189"/>
      <c r="AH735" s="189"/>
      <c r="AI735" s="189"/>
      <c r="AJ735" s="189"/>
      <c r="AK735" s="189"/>
      <c r="AL735" s="189"/>
      <c r="AM735" s="189"/>
      <c r="AN735" s="189"/>
      <c r="AO735" s="189"/>
      <c r="AP735" s="189"/>
      <c r="AQ735" s="189"/>
      <c r="AR735" s="189"/>
      <c r="AS735" s="189"/>
      <c r="AT735" s="189"/>
    </row>
    <row r="736" spans="1:46" ht="12.75" customHeight="1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  <c r="AC736" s="189"/>
      <c r="AD736" s="189"/>
      <c r="AE736" s="189"/>
      <c r="AF736" s="189"/>
      <c r="AG736" s="189"/>
      <c r="AH736" s="189"/>
      <c r="AI736" s="189"/>
      <c r="AJ736" s="189"/>
      <c r="AK736" s="189"/>
      <c r="AL736" s="189"/>
      <c r="AM736" s="189"/>
      <c r="AN736" s="189"/>
      <c r="AO736" s="189"/>
      <c r="AP736" s="189"/>
      <c r="AQ736" s="189"/>
      <c r="AR736" s="189"/>
      <c r="AS736" s="189"/>
      <c r="AT736" s="189"/>
    </row>
    <row r="737" spans="1:46" ht="12.75" customHeight="1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  <c r="AC737" s="189"/>
      <c r="AD737" s="189"/>
      <c r="AE737" s="189"/>
      <c r="AF737" s="189"/>
      <c r="AG737" s="189"/>
      <c r="AH737" s="189"/>
      <c r="AI737" s="189"/>
      <c r="AJ737" s="189"/>
      <c r="AK737" s="189"/>
      <c r="AL737" s="189"/>
      <c r="AM737" s="189"/>
      <c r="AN737" s="189"/>
      <c r="AO737" s="189"/>
      <c r="AP737" s="189"/>
      <c r="AQ737" s="189"/>
      <c r="AR737" s="189"/>
      <c r="AS737" s="189"/>
      <c r="AT737" s="189"/>
    </row>
    <row r="738" spans="1:46" ht="12.75" customHeight="1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  <c r="AC738" s="189"/>
      <c r="AD738" s="189"/>
      <c r="AE738" s="189"/>
      <c r="AF738" s="189"/>
      <c r="AG738" s="189"/>
      <c r="AH738" s="189"/>
      <c r="AI738" s="189"/>
      <c r="AJ738" s="189"/>
      <c r="AK738" s="189"/>
      <c r="AL738" s="189"/>
      <c r="AM738" s="189"/>
      <c r="AN738" s="189"/>
      <c r="AO738" s="189"/>
      <c r="AP738" s="189"/>
      <c r="AQ738" s="189"/>
      <c r="AR738" s="189"/>
      <c r="AS738" s="189"/>
      <c r="AT738" s="189"/>
    </row>
    <row r="739" spans="1:46" ht="12.75" customHeight="1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  <c r="AC739" s="189"/>
      <c r="AD739" s="189"/>
      <c r="AE739" s="189"/>
      <c r="AF739" s="189"/>
      <c r="AG739" s="189"/>
      <c r="AH739" s="189"/>
      <c r="AI739" s="189"/>
      <c r="AJ739" s="189"/>
      <c r="AK739" s="189"/>
      <c r="AL739" s="189"/>
      <c r="AM739" s="189"/>
      <c r="AN739" s="189"/>
      <c r="AO739" s="189"/>
      <c r="AP739" s="189"/>
      <c r="AQ739" s="189"/>
      <c r="AR739" s="189"/>
      <c r="AS739" s="189"/>
      <c r="AT739" s="189"/>
    </row>
    <row r="740" spans="1:46" ht="12.75" customHeight="1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  <c r="AC740" s="189"/>
      <c r="AD740" s="189"/>
      <c r="AE740" s="189"/>
      <c r="AF740" s="189"/>
      <c r="AG740" s="189"/>
      <c r="AH740" s="189"/>
      <c r="AI740" s="189"/>
      <c r="AJ740" s="189"/>
      <c r="AK740" s="189"/>
      <c r="AL740" s="189"/>
      <c r="AM740" s="189"/>
      <c r="AN740" s="189"/>
      <c r="AO740" s="189"/>
      <c r="AP740" s="189"/>
      <c r="AQ740" s="189"/>
      <c r="AR740" s="189"/>
      <c r="AS740" s="189"/>
      <c r="AT740" s="189"/>
    </row>
    <row r="741" spans="1:46" ht="12.7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  <c r="AD741" s="189"/>
      <c r="AE741" s="189"/>
      <c r="AF741" s="189"/>
      <c r="AG741" s="189"/>
      <c r="AH741" s="189"/>
      <c r="AI741" s="189"/>
      <c r="AJ741" s="189"/>
      <c r="AK741" s="189"/>
      <c r="AL741" s="189"/>
      <c r="AM741" s="189"/>
      <c r="AN741" s="189"/>
      <c r="AO741" s="189"/>
      <c r="AP741" s="189"/>
      <c r="AQ741" s="189"/>
      <c r="AR741" s="189"/>
      <c r="AS741" s="189"/>
      <c r="AT741" s="189"/>
    </row>
    <row r="742" spans="1:46" ht="12.75" customHeight="1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  <c r="AC742" s="189"/>
      <c r="AD742" s="189"/>
      <c r="AE742" s="189"/>
      <c r="AF742" s="189"/>
      <c r="AG742" s="189"/>
      <c r="AH742" s="189"/>
      <c r="AI742" s="189"/>
      <c r="AJ742" s="189"/>
      <c r="AK742" s="189"/>
      <c r="AL742" s="189"/>
      <c r="AM742" s="189"/>
      <c r="AN742" s="189"/>
      <c r="AO742" s="189"/>
      <c r="AP742" s="189"/>
      <c r="AQ742" s="189"/>
      <c r="AR742" s="189"/>
      <c r="AS742" s="189"/>
      <c r="AT742" s="189"/>
    </row>
    <row r="743" spans="1:46" ht="12.75" customHeight="1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  <c r="AC743" s="189"/>
      <c r="AD743" s="189"/>
      <c r="AE743" s="189"/>
      <c r="AF743" s="189"/>
      <c r="AG743" s="189"/>
      <c r="AH743" s="189"/>
      <c r="AI743" s="189"/>
      <c r="AJ743" s="189"/>
      <c r="AK743" s="189"/>
      <c r="AL743" s="189"/>
      <c r="AM743" s="189"/>
      <c r="AN743" s="189"/>
      <c r="AO743" s="189"/>
      <c r="AP743" s="189"/>
      <c r="AQ743" s="189"/>
      <c r="AR743" s="189"/>
      <c r="AS743" s="189"/>
      <c r="AT743" s="189"/>
    </row>
    <row r="744" spans="1:46" ht="12.75" customHeight="1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  <c r="AC744" s="189"/>
      <c r="AD744" s="189"/>
      <c r="AE744" s="189"/>
      <c r="AF744" s="189"/>
      <c r="AG744" s="189"/>
      <c r="AH744" s="189"/>
      <c r="AI744" s="189"/>
      <c r="AJ744" s="189"/>
      <c r="AK744" s="189"/>
      <c r="AL744" s="189"/>
      <c r="AM744" s="189"/>
      <c r="AN744" s="189"/>
      <c r="AO744" s="189"/>
      <c r="AP744" s="189"/>
      <c r="AQ744" s="189"/>
      <c r="AR744" s="189"/>
      <c r="AS744" s="189"/>
      <c r="AT744" s="189"/>
    </row>
    <row r="745" spans="1:46" ht="12.75" customHeight="1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  <c r="AC745" s="189"/>
      <c r="AD745" s="189"/>
      <c r="AE745" s="189"/>
      <c r="AF745" s="189"/>
      <c r="AG745" s="189"/>
      <c r="AH745" s="189"/>
      <c r="AI745" s="189"/>
      <c r="AJ745" s="189"/>
      <c r="AK745" s="189"/>
      <c r="AL745" s="189"/>
      <c r="AM745" s="189"/>
      <c r="AN745" s="189"/>
      <c r="AO745" s="189"/>
      <c r="AP745" s="189"/>
      <c r="AQ745" s="189"/>
      <c r="AR745" s="189"/>
      <c r="AS745" s="189"/>
      <c r="AT745" s="189"/>
    </row>
    <row r="746" spans="1:46" ht="12.75" customHeight="1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  <c r="AC746" s="189"/>
      <c r="AD746" s="189"/>
      <c r="AE746" s="189"/>
      <c r="AF746" s="189"/>
      <c r="AG746" s="189"/>
      <c r="AH746" s="189"/>
      <c r="AI746" s="189"/>
      <c r="AJ746" s="189"/>
      <c r="AK746" s="189"/>
      <c r="AL746" s="189"/>
      <c r="AM746" s="189"/>
      <c r="AN746" s="189"/>
      <c r="AO746" s="189"/>
      <c r="AP746" s="189"/>
      <c r="AQ746" s="189"/>
      <c r="AR746" s="189"/>
      <c r="AS746" s="189"/>
      <c r="AT746" s="189"/>
    </row>
    <row r="747" spans="1:46" ht="12.75" customHeight="1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  <c r="AC747" s="189"/>
      <c r="AD747" s="189"/>
      <c r="AE747" s="189"/>
      <c r="AF747" s="189"/>
      <c r="AG747" s="189"/>
      <c r="AH747" s="189"/>
      <c r="AI747" s="189"/>
      <c r="AJ747" s="189"/>
      <c r="AK747" s="189"/>
      <c r="AL747" s="189"/>
      <c r="AM747" s="189"/>
      <c r="AN747" s="189"/>
      <c r="AO747" s="189"/>
      <c r="AP747" s="189"/>
      <c r="AQ747" s="189"/>
      <c r="AR747" s="189"/>
      <c r="AS747" s="189"/>
      <c r="AT747" s="189"/>
    </row>
    <row r="748" spans="1:46" ht="12.75" customHeight="1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  <c r="AC748" s="189"/>
      <c r="AD748" s="189"/>
      <c r="AE748" s="189"/>
      <c r="AF748" s="189"/>
      <c r="AG748" s="189"/>
      <c r="AH748" s="189"/>
      <c r="AI748" s="189"/>
      <c r="AJ748" s="189"/>
      <c r="AK748" s="189"/>
      <c r="AL748" s="189"/>
      <c r="AM748" s="189"/>
      <c r="AN748" s="189"/>
      <c r="AO748" s="189"/>
      <c r="AP748" s="189"/>
      <c r="AQ748" s="189"/>
      <c r="AR748" s="189"/>
      <c r="AS748" s="189"/>
      <c r="AT748" s="189"/>
    </row>
    <row r="749" spans="1:46" ht="12.75" customHeight="1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  <c r="AC749" s="189"/>
      <c r="AD749" s="189"/>
      <c r="AE749" s="189"/>
      <c r="AF749" s="189"/>
      <c r="AG749" s="189"/>
      <c r="AH749" s="189"/>
      <c r="AI749" s="189"/>
      <c r="AJ749" s="189"/>
      <c r="AK749" s="189"/>
      <c r="AL749" s="189"/>
      <c r="AM749" s="189"/>
      <c r="AN749" s="189"/>
      <c r="AO749" s="189"/>
      <c r="AP749" s="189"/>
      <c r="AQ749" s="189"/>
      <c r="AR749" s="189"/>
      <c r="AS749" s="189"/>
      <c r="AT749" s="189"/>
    </row>
    <row r="750" spans="1:46" ht="12.75" customHeight="1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  <c r="AC750" s="189"/>
      <c r="AD750" s="189"/>
      <c r="AE750" s="189"/>
      <c r="AF750" s="189"/>
      <c r="AG750" s="189"/>
      <c r="AH750" s="189"/>
      <c r="AI750" s="189"/>
      <c r="AJ750" s="189"/>
      <c r="AK750" s="189"/>
      <c r="AL750" s="189"/>
      <c r="AM750" s="189"/>
      <c r="AN750" s="189"/>
      <c r="AO750" s="189"/>
      <c r="AP750" s="189"/>
      <c r="AQ750" s="189"/>
      <c r="AR750" s="189"/>
      <c r="AS750" s="189"/>
      <c r="AT750" s="189"/>
    </row>
    <row r="751" spans="1:46" ht="12.75" customHeight="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  <c r="AC751" s="189"/>
      <c r="AD751" s="189"/>
      <c r="AE751" s="189"/>
      <c r="AF751" s="189"/>
      <c r="AG751" s="189"/>
      <c r="AH751" s="189"/>
      <c r="AI751" s="189"/>
      <c r="AJ751" s="189"/>
      <c r="AK751" s="189"/>
      <c r="AL751" s="189"/>
      <c r="AM751" s="189"/>
      <c r="AN751" s="189"/>
      <c r="AO751" s="189"/>
      <c r="AP751" s="189"/>
      <c r="AQ751" s="189"/>
      <c r="AR751" s="189"/>
      <c r="AS751" s="189"/>
      <c r="AT751" s="189"/>
    </row>
    <row r="752" spans="1:46" ht="12.75" customHeight="1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  <c r="AC752" s="189"/>
      <c r="AD752" s="189"/>
      <c r="AE752" s="189"/>
      <c r="AF752" s="189"/>
      <c r="AG752" s="189"/>
      <c r="AH752" s="189"/>
      <c r="AI752" s="189"/>
      <c r="AJ752" s="189"/>
      <c r="AK752" s="189"/>
      <c r="AL752" s="189"/>
      <c r="AM752" s="189"/>
      <c r="AN752" s="189"/>
      <c r="AO752" s="189"/>
      <c r="AP752" s="189"/>
      <c r="AQ752" s="189"/>
      <c r="AR752" s="189"/>
      <c r="AS752" s="189"/>
      <c r="AT752" s="189"/>
    </row>
    <row r="753" spans="1:46" ht="12.75" customHeight="1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  <c r="AC753" s="189"/>
      <c r="AD753" s="189"/>
      <c r="AE753" s="189"/>
      <c r="AF753" s="189"/>
      <c r="AG753" s="189"/>
      <c r="AH753" s="189"/>
      <c r="AI753" s="189"/>
      <c r="AJ753" s="189"/>
      <c r="AK753" s="189"/>
      <c r="AL753" s="189"/>
      <c r="AM753" s="189"/>
      <c r="AN753" s="189"/>
      <c r="AO753" s="189"/>
      <c r="AP753" s="189"/>
      <c r="AQ753" s="189"/>
      <c r="AR753" s="189"/>
      <c r="AS753" s="189"/>
      <c r="AT753" s="189"/>
    </row>
    <row r="754" spans="1:46" ht="12.75" customHeight="1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  <c r="AC754" s="189"/>
      <c r="AD754" s="189"/>
      <c r="AE754" s="189"/>
      <c r="AF754" s="189"/>
      <c r="AG754" s="189"/>
      <c r="AH754" s="189"/>
      <c r="AI754" s="189"/>
      <c r="AJ754" s="189"/>
      <c r="AK754" s="189"/>
      <c r="AL754" s="189"/>
      <c r="AM754" s="189"/>
      <c r="AN754" s="189"/>
      <c r="AO754" s="189"/>
      <c r="AP754" s="189"/>
      <c r="AQ754" s="189"/>
      <c r="AR754" s="189"/>
      <c r="AS754" s="189"/>
      <c r="AT754" s="189"/>
    </row>
    <row r="755" spans="1:46" ht="12.75" customHeight="1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  <c r="AC755" s="189"/>
      <c r="AD755" s="189"/>
      <c r="AE755" s="189"/>
      <c r="AF755" s="189"/>
      <c r="AG755" s="189"/>
      <c r="AH755" s="189"/>
      <c r="AI755" s="189"/>
      <c r="AJ755" s="189"/>
      <c r="AK755" s="189"/>
      <c r="AL755" s="189"/>
      <c r="AM755" s="189"/>
      <c r="AN755" s="189"/>
      <c r="AO755" s="189"/>
      <c r="AP755" s="189"/>
      <c r="AQ755" s="189"/>
      <c r="AR755" s="189"/>
      <c r="AS755" s="189"/>
      <c r="AT755" s="189"/>
    </row>
    <row r="756" spans="1:46" ht="12.75" customHeight="1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  <c r="AC756" s="189"/>
      <c r="AD756" s="189"/>
      <c r="AE756" s="189"/>
      <c r="AF756" s="189"/>
      <c r="AG756" s="189"/>
      <c r="AH756" s="189"/>
      <c r="AI756" s="189"/>
      <c r="AJ756" s="189"/>
      <c r="AK756" s="189"/>
      <c r="AL756" s="189"/>
      <c r="AM756" s="189"/>
      <c r="AN756" s="189"/>
      <c r="AO756" s="189"/>
      <c r="AP756" s="189"/>
      <c r="AQ756" s="189"/>
      <c r="AR756" s="189"/>
      <c r="AS756" s="189"/>
      <c r="AT756" s="189"/>
    </row>
    <row r="757" spans="1:46" ht="12.75" customHeight="1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  <c r="AC757" s="189"/>
      <c r="AD757" s="189"/>
      <c r="AE757" s="189"/>
      <c r="AF757" s="189"/>
      <c r="AG757" s="189"/>
      <c r="AH757" s="189"/>
      <c r="AI757" s="189"/>
      <c r="AJ757" s="189"/>
      <c r="AK757" s="189"/>
      <c r="AL757" s="189"/>
      <c r="AM757" s="189"/>
      <c r="AN757" s="189"/>
      <c r="AO757" s="189"/>
      <c r="AP757" s="189"/>
      <c r="AQ757" s="189"/>
      <c r="AR757" s="189"/>
      <c r="AS757" s="189"/>
      <c r="AT757" s="189"/>
    </row>
    <row r="758" spans="1:46" ht="12.75" customHeight="1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  <c r="AD758" s="189"/>
      <c r="AE758" s="189"/>
      <c r="AF758" s="189"/>
      <c r="AG758" s="189"/>
      <c r="AH758" s="189"/>
      <c r="AI758" s="189"/>
      <c r="AJ758" s="189"/>
      <c r="AK758" s="189"/>
      <c r="AL758" s="189"/>
      <c r="AM758" s="189"/>
      <c r="AN758" s="189"/>
      <c r="AO758" s="189"/>
      <c r="AP758" s="189"/>
      <c r="AQ758" s="189"/>
      <c r="AR758" s="189"/>
      <c r="AS758" s="189"/>
      <c r="AT758" s="189"/>
    </row>
    <row r="759" spans="1:46" ht="12.75" customHeight="1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  <c r="AC759" s="189"/>
      <c r="AD759" s="189"/>
      <c r="AE759" s="189"/>
      <c r="AF759" s="189"/>
      <c r="AG759" s="189"/>
      <c r="AH759" s="189"/>
      <c r="AI759" s="189"/>
      <c r="AJ759" s="189"/>
      <c r="AK759" s="189"/>
      <c r="AL759" s="189"/>
      <c r="AM759" s="189"/>
      <c r="AN759" s="189"/>
      <c r="AO759" s="189"/>
      <c r="AP759" s="189"/>
      <c r="AQ759" s="189"/>
      <c r="AR759" s="189"/>
      <c r="AS759" s="189"/>
      <c r="AT759" s="189"/>
    </row>
    <row r="760" spans="1:46" ht="12.75" customHeight="1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  <c r="AC760" s="189"/>
      <c r="AD760" s="189"/>
      <c r="AE760" s="189"/>
      <c r="AF760" s="189"/>
      <c r="AG760" s="189"/>
      <c r="AH760" s="189"/>
      <c r="AI760" s="189"/>
      <c r="AJ760" s="189"/>
      <c r="AK760" s="189"/>
      <c r="AL760" s="189"/>
      <c r="AM760" s="189"/>
      <c r="AN760" s="189"/>
      <c r="AO760" s="189"/>
      <c r="AP760" s="189"/>
      <c r="AQ760" s="189"/>
      <c r="AR760" s="189"/>
      <c r="AS760" s="189"/>
      <c r="AT760" s="189"/>
    </row>
    <row r="761" spans="1:46" ht="12.75" customHeight="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  <c r="AC761" s="189"/>
      <c r="AD761" s="189"/>
      <c r="AE761" s="189"/>
      <c r="AF761" s="189"/>
      <c r="AG761" s="189"/>
      <c r="AH761" s="189"/>
      <c r="AI761" s="189"/>
      <c r="AJ761" s="189"/>
      <c r="AK761" s="189"/>
      <c r="AL761" s="189"/>
      <c r="AM761" s="189"/>
      <c r="AN761" s="189"/>
      <c r="AO761" s="189"/>
      <c r="AP761" s="189"/>
      <c r="AQ761" s="189"/>
      <c r="AR761" s="189"/>
      <c r="AS761" s="189"/>
      <c r="AT761" s="189"/>
    </row>
    <row r="762" spans="1:46" ht="12.75" customHeight="1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  <c r="AC762" s="189"/>
      <c r="AD762" s="189"/>
      <c r="AE762" s="189"/>
      <c r="AF762" s="189"/>
      <c r="AG762" s="189"/>
      <c r="AH762" s="189"/>
      <c r="AI762" s="189"/>
      <c r="AJ762" s="189"/>
      <c r="AK762" s="189"/>
      <c r="AL762" s="189"/>
      <c r="AM762" s="189"/>
      <c r="AN762" s="189"/>
      <c r="AO762" s="189"/>
      <c r="AP762" s="189"/>
      <c r="AQ762" s="189"/>
      <c r="AR762" s="189"/>
      <c r="AS762" s="189"/>
      <c r="AT762" s="189"/>
    </row>
    <row r="763" spans="1:46" ht="12.75" customHeight="1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  <c r="AD763" s="189"/>
      <c r="AE763" s="189"/>
      <c r="AF763" s="189"/>
      <c r="AG763" s="189"/>
      <c r="AH763" s="189"/>
      <c r="AI763" s="189"/>
      <c r="AJ763" s="189"/>
      <c r="AK763" s="189"/>
      <c r="AL763" s="189"/>
      <c r="AM763" s="189"/>
      <c r="AN763" s="189"/>
      <c r="AO763" s="189"/>
      <c r="AP763" s="189"/>
      <c r="AQ763" s="189"/>
      <c r="AR763" s="189"/>
      <c r="AS763" s="189"/>
      <c r="AT763" s="189"/>
    </row>
    <row r="764" spans="1:46" ht="12.75" customHeight="1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  <c r="AC764" s="189"/>
      <c r="AD764" s="189"/>
      <c r="AE764" s="189"/>
      <c r="AF764" s="189"/>
      <c r="AG764" s="189"/>
      <c r="AH764" s="189"/>
      <c r="AI764" s="189"/>
      <c r="AJ764" s="189"/>
      <c r="AK764" s="189"/>
      <c r="AL764" s="189"/>
      <c r="AM764" s="189"/>
      <c r="AN764" s="189"/>
      <c r="AO764" s="189"/>
      <c r="AP764" s="189"/>
      <c r="AQ764" s="189"/>
      <c r="AR764" s="189"/>
      <c r="AS764" s="189"/>
      <c r="AT764" s="189"/>
    </row>
    <row r="765" spans="1:46" ht="12.75" customHeight="1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  <c r="AC765" s="189"/>
      <c r="AD765" s="189"/>
      <c r="AE765" s="189"/>
      <c r="AF765" s="189"/>
      <c r="AG765" s="189"/>
      <c r="AH765" s="189"/>
      <c r="AI765" s="189"/>
      <c r="AJ765" s="189"/>
      <c r="AK765" s="189"/>
      <c r="AL765" s="189"/>
      <c r="AM765" s="189"/>
      <c r="AN765" s="189"/>
      <c r="AO765" s="189"/>
      <c r="AP765" s="189"/>
      <c r="AQ765" s="189"/>
      <c r="AR765" s="189"/>
      <c r="AS765" s="189"/>
      <c r="AT765" s="189"/>
    </row>
    <row r="766" spans="1:46" ht="12.75" customHeight="1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  <c r="AC766" s="189"/>
      <c r="AD766" s="189"/>
      <c r="AE766" s="189"/>
      <c r="AF766" s="189"/>
      <c r="AG766" s="189"/>
      <c r="AH766" s="189"/>
      <c r="AI766" s="189"/>
      <c r="AJ766" s="189"/>
      <c r="AK766" s="189"/>
      <c r="AL766" s="189"/>
      <c r="AM766" s="189"/>
      <c r="AN766" s="189"/>
      <c r="AO766" s="189"/>
      <c r="AP766" s="189"/>
      <c r="AQ766" s="189"/>
      <c r="AR766" s="189"/>
      <c r="AS766" s="189"/>
      <c r="AT766" s="189"/>
    </row>
    <row r="767" spans="1:46" ht="12.75" customHeight="1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  <c r="AC767" s="189"/>
      <c r="AD767" s="189"/>
      <c r="AE767" s="189"/>
      <c r="AF767" s="189"/>
      <c r="AG767" s="189"/>
      <c r="AH767" s="189"/>
      <c r="AI767" s="189"/>
      <c r="AJ767" s="189"/>
      <c r="AK767" s="189"/>
      <c r="AL767" s="189"/>
      <c r="AM767" s="189"/>
      <c r="AN767" s="189"/>
      <c r="AO767" s="189"/>
      <c r="AP767" s="189"/>
      <c r="AQ767" s="189"/>
      <c r="AR767" s="189"/>
      <c r="AS767" s="189"/>
      <c r="AT767" s="189"/>
    </row>
    <row r="768" spans="1:46" ht="12.75" customHeight="1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  <c r="AC768" s="189"/>
      <c r="AD768" s="189"/>
      <c r="AE768" s="189"/>
      <c r="AF768" s="189"/>
      <c r="AG768" s="189"/>
      <c r="AH768" s="189"/>
      <c r="AI768" s="189"/>
      <c r="AJ768" s="189"/>
      <c r="AK768" s="189"/>
      <c r="AL768" s="189"/>
      <c r="AM768" s="189"/>
      <c r="AN768" s="189"/>
      <c r="AO768" s="189"/>
      <c r="AP768" s="189"/>
      <c r="AQ768" s="189"/>
      <c r="AR768" s="189"/>
      <c r="AS768" s="189"/>
      <c r="AT768" s="189"/>
    </row>
    <row r="769" spans="1:46" ht="12.75" customHeight="1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  <c r="AC769" s="189"/>
      <c r="AD769" s="189"/>
      <c r="AE769" s="189"/>
      <c r="AF769" s="189"/>
      <c r="AG769" s="189"/>
      <c r="AH769" s="189"/>
      <c r="AI769" s="189"/>
      <c r="AJ769" s="189"/>
      <c r="AK769" s="189"/>
      <c r="AL769" s="189"/>
      <c r="AM769" s="189"/>
      <c r="AN769" s="189"/>
      <c r="AO769" s="189"/>
      <c r="AP769" s="189"/>
      <c r="AQ769" s="189"/>
      <c r="AR769" s="189"/>
      <c r="AS769" s="189"/>
      <c r="AT769" s="189"/>
    </row>
    <row r="770" spans="1:46" ht="12.75" customHeight="1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  <c r="AC770" s="189"/>
      <c r="AD770" s="189"/>
      <c r="AE770" s="189"/>
      <c r="AF770" s="189"/>
      <c r="AG770" s="189"/>
      <c r="AH770" s="189"/>
      <c r="AI770" s="189"/>
      <c r="AJ770" s="189"/>
      <c r="AK770" s="189"/>
      <c r="AL770" s="189"/>
      <c r="AM770" s="189"/>
      <c r="AN770" s="189"/>
      <c r="AO770" s="189"/>
      <c r="AP770" s="189"/>
      <c r="AQ770" s="189"/>
      <c r="AR770" s="189"/>
      <c r="AS770" s="189"/>
      <c r="AT770" s="189"/>
    </row>
    <row r="771" spans="1:46" ht="12.75" customHeight="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  <c r="AC771" s="189"/>
      <c r="AD771" s="189"/>
      <c r="AE771" s="189"/>
      <c r="AF771" s="189"/>
      <c r="AG771" s="189"/>
      <c r="AH771" s="189"/>
      <c r="AI771" s="189"/>
      <c r="AJ771" s="189"/>
      <c r="AK771" s="189"/>
      <c r="AL771" s="189"/>
      <c r="AM771" s="189"/>
      <c r="AN771" s="189"/>
      <c r="AO771" s="189"/>
      <c r="AP771" s="189"/>
      <c r="AQ771" s="189"/>
      <c r="AR771" s="189"/>
      <c r="AS771" s="189"/>
      <c r="AT771" s="189"/>
    </row>
    <row r="772" spans="1:46" ht="12.75" customHeight="1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  <c r="AC772" s="189"/>
      <c r="AD772" s="189"/>
      <c r="AE772" s="189"/>
      <c r="AF772" s="189"/>
      <c r="AG772" s="189"/>
      <c r="AH772" s="189"/>
      <c r="AI772" s="189"/>
      <c r="AJ772" s="189"/>
      <c r="AK772" s="189"/>
      <c r="AL772" s="189"/>
      <c r="AM772" s="189"/>
      <c r="AN772" s="189"/>
      <c r="AO772" s="189"/>
      <c r="AP772" s="189"/>
      <c r="AQ772" s="189"/>
      <c r="AR772" s="189"/>
      <c r="AS772" s="189"/>
      <c r="AT772" s="189"/>
    </row>
    <row r="773" spans="1:46" ht="12.75" customHeight="1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  <c r="AC773" s="189"/>
      <c r="AD773" s="189"/>
      <c r="AE773" s="189"/>
      <c r="AF773" s="189"/>
      <c r="AG773" s="189"/>
      <c r="AH773" s="189"/>
      <c r="AI773" s="189"/>
      <c r="AJ773" s="189"/>
      <c r="AK773" s="189"/>
      <c r="AL773" s="189"/>
      <c r="AM773" s="189"/>
      <c r="AN773" s="189"/>
      <c r="AO773" s="189"/>
      <c r="AP773" s="189"/>
      <c r="AQ773" s="189"/>
      <c r="AR773" s="189"/>
      <c r="AS773" s="189"/>
      <c r="AT773" s="189"/>
    </row>
    <row r="774" spans="1:46" ht="12.75" customHeight="1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  <c r="AC774" s="189"/>
      <c r="AD774" s="189"/>
      <c r="AE774" s="189"/>
      <c r="AF774" s="189"/>
      <c r="AG774" s="189"/>
      <c r="AH774" s="189"/>
      <c r="AI774" s="189"/>
      <c r="AJ774" s="189"/>
      <c r="AK774" s="189"/>
      <c r="AL774" s="189"/>
      <c r="AM774" s="189"/>
      <c r="AN774" s="189"/>
      <c r="AO774" s="189"/>
      <c r="AP774" s="189"/>
      <c r="AQ774" s="189"/>
      <c r="AR774" s="189"/>
      <c r="AS774" s="189"/>
      <c r="AT774" s="189"/>
    </row>
    <row r="775" spans="1:46" ht="12.75" customHeight="1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  <c r="AC775" s="189"/>
      <c r="AD775" s="189"/>
      <c r="AE775" s="189"/>
      <c r="AF775" s="189"/>
      <c r="AG775" s="189"/>
      <c r="AH775" s="189"/>
      <c r="AI775" s="189"/>
      <c r="AJ775" s="189"/>
      <c r="AK775" s="189"/>
      <c r="AL775" s="189"/>
      <c r="AM775" s="189"/>
      <c r="AN775" s="189"/>
      <c r="AO775" s="189"/>
      <c r="AP775" s="189"/>
      <c r="AQ775" s="189"/>
      <c r="AR775" s="189"/>
      <c r="AS775" s="189"/>
      <c r="AT775" s="189"/>
    </row>
    <row r="776" spans="1:46" ht="12.75" customHeight="1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  <c r="AC776" s="189"/>
      <c r="AD776" s="189"/>
      <c r="AE776" s="189"/>
      <c r="AF776" s="189"/>
      <c r="AG776" s="189"/>
      <c r="AH776" s="189"/>
      <c r="AI776" s="189"/>
      <c r="AJ776" s="189"/>
      <c r="AK776" s="189"/>
      <c r="AL776" s="189"/>
      <c r="AM776" s="189"/>
      <c r="AN776" s="189"/>
      <c r="AO776" s="189"/>
      <c r="AP776" s="189"/>
      <c r="AQ776" s="189"/>
      <c r="AR776" s="189"/>
      <c r="AS776" s="189"/>
      <c r="AT776" s="189"/>
    </row>
    <row r="777" spans="1:46" ht="12.75" customHeight="1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  <c r="AC777" s="189"/>
      <c r="AD777" s="189"/>
      <c r="AE777" s="189"/>
      <c r="AF777" s="189"/>
      <c r="AG777" s="189"/>
      <c r="AH777" s="189"/>
      <c r="AI777" s="189"/>
      <c r="AJ777" s="189"/>
      <c r="AK777" s="189"/>
      <c r="AL777" s="189"/>
      <c r="AM777" s="189"/>
      <c r="AN777" s="189"/>
      <c r="AO777" s="189"/>
      <c r="AP777" s="189"/>
      <c r="AQ777" s="189"/>
      <c r="AR777" s="189"/>
      <c r="AS777" s="189"/>
      <c r="AT777" s="189"/>
    </row>
    <row r="778" spans="1:46" ht="12.75" customHeight="1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  <c r="AC778" s="189"/>
      <c r="AD778" s="189"/>
      <c r="AE778" s="189"/>
      <c r="AF778" s="189"/>
      <c r="AG778" s="189"/>
      <c r="AH778" s="189"/>
      <c r="AI778" s="189"/>
      <c r="AJ778" s="189"/>
      <c r="AK778" s="189"/>
      <c r="AL778" s="189"/>
      <c r="AM778" s="189"/>
      <c r="AN778" s="189"/>
      <c r="AO778" s="189"/>
      <c r="AP778" s="189"/>
      <c r="AQ778" s="189"/>
      <c r="AR778" s="189"/>
      <c r="AS778" s="189"/>
      <c r="AT778" s="189"/>
    </row>
    <row r="779" spans="1:46" ht="12.75" customHeight="1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  <c r="AC779" s="189"/>
      <c r="AD779" s="189"/>
      <c r="AE779" s="189"/>
      <c r="AF779" s="189"/>
      <c r="AG779" s="189"/>
      <c r="AH779" s="189"/>
      <c r="AI779" s="189"/>
      <c r="AJ779" s="189"/>
      <c r="AK779" s="189"/>
      <c r="AL779" s="189"/>
      <c r="AM779" s="189"/>
      <c r="AN779" s="189"/>
      <c r="AO779" s="189"/>
      <c r="AP779" s="189"/>
      <c r="AQ779" s="189"/>
      <c r="AR779" s="189"/>
      <c r="AS779" s="189"/>
      <c r="AT779" s="189"/>
    </row>
    <row r="780" spans="1:46" ht="12.75" customHeight="1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  <c r="AC780" s="189"/>
      <c r="AD780" s="189"/>
      <c r="AE780" s="189"/>
      <c r="AF780" s="189"/>
      <c r="AG780" s="189"/>
      <c r="AH780" s="189"/>
      <c r="AI780" s="189"/>
      <c r="AJ780" s="189"/>
      <c r="AK780" s="189"/>
      <c r="AL780" s="189"/>
      <c r="AM780" s="189"/>
      <c r="AN780" s="189"/>
      <c r="AO780" s="189"/>
      <c r="AP780" s="189"/>
      <c r="AQ780" s="189"/>
      <c r="AR780" s="189"/>
      <c r="AS780" s="189"/>
      <c r="AT780" s="189"/>
    </row>
    <row r="781" spans="1:46" ht="12.75" customHeight="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  <c r="AC781" s="189"/>
      <c r="AD781" s="189"/>
      <c r="AE781" s="189"/>
      <c r="AF781" s="189"/>
      <c r="AG781" s="189"/>
      <c r="AH781" s="189"/>
      <c r="AI781" s="189"/>
      <c r="AJ781" s="189"/>
      <c r="AK781" s="189"/>
      <c r="AL781" s="189"/>
      <c r="AM781" s="189"/>
      <c r="AN781" s="189"/>
      <c r="AO781" s="189"/>
      <c r="AP781" s="189"/>
      <c r="AQ781" s="189"/>
      <c r="AR781" s="189"/>
      <c r="AS781" s="189"/>
      <c r="AT781" s="189"/>
    </row>
    <row r="782" spans="1:46" ht="12.75" customHeight="1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  <c r="AC782" s="189"/>
      <c r="AD782" s="189"/>
      <c r="AE782" s="189"/>
      <c r="AF782" s="189"/>
      <c r="AG782" s="189"/>
      <c r="AH782" s="189"/>
      <c r="AI782" s="189"/>
      <c r="AJ782" s="189"/>
      <c r="AK782" s="189"/>
      <c r="AL782" s="189"/>
      <c r="AM782" s="189"/>
      <c r="AN782" s="189"/>
      <c r="AO782" s="189"/>
      <c r="AP782" s="189"/>
      <c r="AQ782" s="189"/>
      <c r="AR782" s="189"/>
      <c r="AS782" s="189"/>
      <c r="AT782" s="189"/>
    </row>
    <row r="783" spans="1:46" ht="12.75" customHeight="1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  <c r="AC783" s="189"/>
      <c r="AD783" s="189"/>
      <c r="AE783" s="189"/>
      <c r="AF783" s="189"/>
      <c r="AG783" s="189"/>
      <c r="AH783" s="189"/>
      <c r="AI783" s="189"/>
      <c r="AJ783" s="189"/>
      <c r="AK783" s="189"/>
      <c r="AL783" s="189"/>
      <c r="AM783" s="189"/>
      <c r="AN783" s="189"/>
      <c r="AO783" s="189"/>
      <c r="AP783" s="189"/>
      <c r="AQ783" s="189"/>
      <c r="AR783" s="189"/>
      <c r="AS783" s="189"/>
      <c r="AT783" s="189"/>
    </row>
    <row r="784" spans="1:46" ht="12.75" customHeight="1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  <c r="AC784" s="189"/>
      <c r="AD784" s="189"/>
      <c r="AE784" s="189"/>
      <c r="AF784" s="189"/>
      <c r="AG784" s="189"/>
      <c r="AH784" s="189"/>
      <c r="AI784" s="189"/>
      <c r="AJ784" s="189"/>
      <c r="AK784" s="189"/>
      <c r="AL784" s="189"/>
      <c r="AM784" s="189"/>
      <c r="AN784" s="189"/>
      <c r="AO784" s="189"/>
      <c r="AP784" s="189"/>
      <c r="AQ784" s="189"/>
      <c r="AR784" s="189"/>
      <c r="AS784" s="189"/>
      <c r="AT784" s="189"/>
    </row>
    <row r="785" spans="1:46" ht="12.75" customHeight="1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  <c r="AC785" s="189"/>
      <c r="AD785" s="189"/>
      <c r="AE785" s="189"/>
      <c r="AF785" s="189"/>
      <c r="AG785" s="189"/>
      <c r="AH785" s="189"/>
      <c r="AI785" s="189"/>
      <c r="AJ785" s="189"/>
      <c r="AK785" s="189"/>
      <c r="AL785" s="189"/>
      <c r="AM785" s="189"/>
      <c r="AN785" s="189"/>
      <c r="AO785" s="189"/>
      <c r="AP785" s="189"/>
      <c r="AQ785" s="189"/>
      <c r="AR785" s="189"/>
      <c r="AS785" s="189"/>
      <c r="AT785" s="189"/>
    </row>
    <row r="786" spans="1:46" ht="12.75" customHeight="1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  <c r="AC786" s="189"/>
      <c r="AD786" s="189"/>
      <c r="AE786" s="189"/>
      <c r="AF786" s="189"/>
      <c r="AG786" s="189"/>
      <c r="AH786" s="189"/>
      <c r="AI786" s="189"/>
      <c r="AJ786" s="189"/>
      <c r="AK786" s="189"/>
      <c r="AL786" s="189"/>
      <c r="AM786" s="189"/>
      <c r="AN786" s="189"/>
      <c r="AO786" s="189"/>
      <c r="AP786" s="189"/>
      <c r="AQ786" s="189"/>
      <c r="AR786" s="189"/>
      <c r="AS786" s="189"/>
      <c r="AT786" s="189"/>
    </row>
    <row r="787" spans="1:46" ht="12.75" customHeight="1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  <c r="AC787" s="189"/>
      <c r="AD787" s="189"/>
      <c r="AE787" s="189"/>
      <c r="AF787" s="189"/>
      <c r="AG787" s="189"/>
      <c r="AH787" s="189"/>
      <c r="AI787" s="189"/>
      <c r="AJ787" s="189"/>
      <c r="AK787" s="189"/>
      <c r="AL787" s="189"/>
      <c r="AM787" s="189"/>
      <c r="AN787" s="189"/>
      <c r="AO787" s="189"/>
      <c r="AP787" s="189"/>
      <c r="AQ787" s="189"/>
      <c r="AR787" s="189"/>
      <c r="AS787" s="189"/>
      <c r="AT787" s="189"/>
    </row>
    <row r="788" spans="1:46" ht="12.75" customHeight="1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  <c r="AC788" s="189"/>
      <c r="AD788" s="189"/>
      <c r="AE788" s="189"/>
      <c r="AF788" s="189"/>
      <c r="AG788" s="189"/>
      <c r="AH788" s="189"/>
      <c r="AI788" s="189"/>
      <c r="AJ788" s="189"/>
      <c r="AK788" s="189"/>
      <c r="AL788" s="189"/>
      <c r="AM788" s="189"/>
      <c r="AN788" s="189"/>
      <c r="AO788" s="189"/>
      <c r="AP788" s="189"/>
      <c r="AQ788" s="189"/>
      <c r="AR788" s="189"/>
      <c r="AS788" s="189"/>
      <c r="AT788" s="189"/>
    </row>
    <row r="789" spans="1:46" ht="12.75" customHeight="1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  <c r="AC789" s="189"/>
      <c r="AD789" s="189"/>
      <c r="AE789" s="189"/>
      <c r="AF789" s="189"/>
      <c r="AG789" s="189"/>
      <c r="AH789" s="189"/>
      <c r="AI789" s="189"/>
      <c r="AJ789" s="189"/>
      <c r="AK789" s="189"/>
      <c r="AL789" s="189"/>
      <c r="AM789" s="189"/>
      <c r="AN789" s="189"/>
      <c r="AO789" s="189"/>
      <c r="AP789" s="189"/>
      <c r="AQ789" s="189"/>
      <c r="AR789" s="189"/>
      <c r="AS789" s="189"/>
      <c r="AT789" s="189"/>
    </row>
    <row r="790" spans="1:46" ht="12.75" customHeight="1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  <c r="AC790" s="189"/>
      <c r="AD790" s="189"/>
      <c r="AE790" s="189"/>
      <c r="AF790" s="189"/>
      <c r="AG790" s="189"/>
      <c r="AH790" s="189"/>
      <c r="AI790" s="189"/>
      <c r="AJ790" s="189"/>
      <c r="AK790" s="189"/>
      <c r="AL790" s="189"/>
      <c r="AM790" s="189"/>
      <c r="AN790" s="189"/>
      <c r="AO790" s="189"/>
      <c r="AP790" s="189"/>
      <c r="AQ790" s="189"/>
      <c r="AR790" s="189"/>
      <c r="AS790" s="189"/>
      <c r="AT790" s="189"/>
    </row>
    <row r="791" spans="1:46" ht="12.75" customHeight="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  <c r="AC791" s="189"/>
      <c r="AD791" s="189"/>
      <c r="AE791" s="189"/>
      <c r="AF791" s="189"/>
      <c r="AG791" s="189"/>
      <c r="AH791" s="189"/>
      <c r="AI791" s="189"/>
      <c r="AJ791" s="189"/>
      <c r="AK791" s="189"/>
      <c r="AL791" s="189"/>
      <c r="AM791" s="189"/>
      <c r="AN791" s="189"/>
      <c r="AO791" s="189"/>
      <c r="AP791" s="189"/>
      <c r="AQ791" s="189"/>
      <c r="AR791" s="189"/>
      <c r="AS791" s="189"/>
      <c r="AT791" s="189"/>
    </row>
    <row r="792" spans="1:46" ht="12.75" customHeight="1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  <c r="AC792" s="189"/>
      <c r="AD792" s="189"/>
      <c r="AE792" s="189"/>
      <c r="AF792" s="189"/>
      <c r="AG792" s="189"/>
      <c r="AH792" s="189"/>
      <c r="AI792" s="189"/>
      <c r="AJ792" s="189"/>
      <c r="AK792" s="189"/>
      <c r="AL792" s="189"/>
      <c r="AM792" s="189"/>
      <c r="AN792" s="189"/>
      <c r="AO792" s="189"/>
      <c r="AP792" s="189"/>
      <c r="AQ792" s="189"/>
      <c r="AR792" s="189"/>
      <c r="AS792" s="189"/>
      <c r="AT792" s="189"/>
    </row>
    <row r="793" spans="1:46" ht="12.75" customHeight="1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  <c r="AD793" s="189"/>
      <c r="AE793" s="189"/>
      <c r="AF793" s="189"/>
      <c r="AG793" s="189"/>
      <c r="AH793" s="189"/>
      <c r="AI793" s="189"/>
      <c r="AJ793" s="189"/>
      <c r="AK793" s="189"/>
      <c r="AL793" s="189"/>
      <c r="AM793" s="189"/>
      <c r="AN793" s="189"/>
      <c r="AO793" s="189"/>
      <c r="AP793" s="189"/>
      <c r="AQ793" s="189"/>
      <c r="AR793" s="189"/>
      <c r="AS793" s="189"/>
      <c r="AT793" s="189"/>
    </row>
    <row r="794" spans="1:46" ht="12.75" customHeight="1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  <c r="AC794" s="189"/>
      <c r="AD794" s="189"/>
      <c r="AE794" s="189"/>
      <c r="AF794" s="189"/>
      <c r="AG794" s="189"/>
      <c r="AH794" s="189"/>
      <c r="AI794" s="189"/>
      <c r="AJ794" s="189"/>
      <c r="AK794" s="189"/>
      <c r="AL794" s="189"/>
      <c r="AM794" s="189"/>
      <c r="AN794" s="189"/>
      <c r="AO794" s="189"/>
      <c r="AP794" s="189"/>
      <c r="AQ794" s="189"/>
      <c r="AR794" s="189"/>
      <c r="AS794" s="189"/>
      <c r="AT794" s="189"/>
    </row>
    <row r="795" spans="1:46" ht="12.75" customHeight="1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  <c r="AC795" s="189"/>
      <c r="AD795" s="189"/>
      <c r="AE795" s="189"/>
      <c r="AF795" s="189"/>
      <c r="AG795" s="189"/>
      <c r="AH795" s="189"/>
      <c r="AI795" s="189"/>
      <c r="AJ795" s="189"/>
      <c r="AK795" s="189"/>
      <c r="AL795" s="189"/>
      <c r="AM795" s="189"/>
      <c r="AN795" s="189"/>
      <c r="AO795" s="189"/>
      <c r="AP795" s="189"/>
      <c r="AQ795" s="189"/>
      <c r="AR795" s="189"/>
      <c r="AS795" s="189"/>
      <c r="AT795" s="189"/>
    </row>
    <row r="796" spans="1:46" ht="12.75" customHeight="1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  <c r="AC796" s="189"/>
      <c r="AD796" s="189"/>
      <c r="AE796" s="189"/>
      <c r="AF796" s="189"/>
      <c r="AG796" s="189"/>
      <c r="AH796" s="189"/>
      <c r="AI796" s="189"/>
      <c r="AJ796" s="189"/>
      <c r="AK796" s="189"/>
      <c r="AL796" s="189"/>
      <c r="AM796" s="189"/>
      <c r="AN796" s="189"/>
      <c r="AO796" s="189"/>
      <c r="AP796" s="189"/>
      <c r="AQ796" s="189"/>
      <c r="AR796" s="189"/>
      <c r="AS796" s="189"/>
      <c r="AT796" s="189"/>
    </row>
    <row r="797" spans="1:46" ht="12.75" customHeight="1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  <c r="AC797" s="189"/>
      <c r="AD797" s="189"/>
      <c r="AE797" s="189"/>
      <c r="AF797" s="189"/>
      <c r="AG797" s="189"/>
      <c r="AH797" s="189"/>
      <c r="AI797" s="189"/>
      <c r="AJ797" s="189"/>
      <c r="AK797" s="189"/>
      <c r="AL797" s="189"/>
      <c r="AM797" s="189"/>
      <c r="AN797" s="189"/>
      <c r="AO797" s="189"/>
      <c r="AP797" s="189"/>
      <c r="AQ797" s="189"/>
      <c r="AR797" s="189"/>
      <c r="AS797" s="189"/>
      <c r="AT797" s="189"/>
    </row>
    <row r="798" spans="1:46" ht="12.75" customHeight="1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  <c r="AC798" s="189"/>
      <c r="AD798" s="189"/>
      <c r="AE798" s="189"/>
      <c r="AF798" s="189"/>
      <c r="AG798" s="189"/>
      <c r="AH798" s="189"/>
      <c r="AI798" s="189"/>
      <c r="AJ798" s="189"/>
      <c r="AK798" s="189"/>
      <c r="AL798" s="189"/>
      <c r="AM798" s="189"/>
      <c r="AN798" s="189"/>
      <c r="AO798" s="189"/>
      <c r="AP798" s="189"/>
      <c r="AQ798" s="189"/>
      <c r="AR798" s="189"/>
      <c r="AS798" s="189"/>
      <c r="AT798" s="189"/>
    </row>
    <row r="799" spans="1:46" ht="12.75" customHeight="1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  <c r="AC799" s="189"/>
      <c r="AD799" s="189"/>
      <c r="AE799" s="189"/>
      <c r="AF799" s="189"/>
      <c r="AG799" s="189"/>
      <c r="AH799" s="189"/>
      <c r="AI799" s="189"/>
      <c r="AJ799" s="189"/>
      <c r="AK799" s="189"/>
      <c r="AL799" s="189"/>
      <c r="AM799" s="189"/>
      <c r="AN799" s="189"/>
      <c r="AO799" s="189"/>
      <c r="AP799" s="189"/>
      <c r="AQ799" s="189"/>
      <c r="AR799" s="189"/>
      <c r="AS799" s="189"/>
      <c r="AT799" s="189"/>
    </row>
    <row r="800" spans="1:46" ht="12.75" customHeight="1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189"/>
      <c r="AQ800" s="189"/>
      <c r="AR800" s="189"/>
      <c r="AS800" s="189"/>
      <c r="AT800" s="189"/>
    </row>
    <row r="801" spans="1:46" ht="12.75" customHeight="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  <c r="AC801" s="189"/>
      <c r="AD801" s="189"/>
      <c r="AE801" s="189"/>
      <c r="AF801" s="189"/>
      <c r="AG801" s="189"/>
      <c r="AH801" s="189"/>
      <c r="AI801" s="189"/>
      <c r="AJ801" s="189"/>
      <c r="AK801" s="189"/>
      <c r="AL801" s="189"/>
      <c r="AM801" s="189"/>
      <c r="AN801" s="189"/>
      <c r="AO801" s="189"/>
      <c r="AP801" s="189"/>
      <c r="AQ801" s="189"/>
      <c r="AR801" s="189"/>
      <c r="AS801" s="189"/>
      <c r="AT801" s="189"/>
    </row>
    <row r="802" spans="1:46" ht="12.75" customHeight="1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  <c r="AC802" s="189"/>
      <c r="AD802" s="189"/>
      <c r="AE802" s="189"/>
      <c r="AF802" s="189"/>
      <c r="AG802" s="189"/>
      <c r="AH802" s="189"/>
      <c r="AI802" s="189"/>
      <c r="AJ802" s="189"/>
      <c r="AK802" s="189"/>
      <c r="AL802" s="189"/>
      <c r="AM802" s="189"/>
      <c r="AN802" s="189"/>
      <c r="AO802" s="189"/>
      <c r="AP802" s="189"/>
      <c r="AQ802" s="189"/>
      <c r="AR802" s="189"/>
      <c r="AS802" s="189"/>
      <c r="AT802" s="189"/>
    </row>
    <row r="803" spans="1:46" ht="12.75" customHeight="1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  <c r="AC803" s="189"/>
      <c r="AD803" s="189"/>
      <c r="AE803" s="189"/>
      <c r="AF803" s="189"/>
      <c r="AG803" s="189"/>
      <c r="AH803" s="189"/>
      <c r="AI803" s="189"/>
      <c r="AJ803" s="189"/>
      <c r="AK803" s="189"/>
      <c r="AL803" s="189"/>
      <c r="AM803" s="189"/>
      <c r="AN803" s="189"/>
      <c r="AO803" s="189"/>
      <c r="AP803" s="189"/>
      <c r="AQ803" s="189"/>
      <c r="AR803" s="189"/>
      <c r="AS803" s="189"/>
      <c r="AT803" s="189"/>
    </row>
    <row r="804" spans="1:46" ht="12.75" customHeight="1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  <c r="AC804" s="189"/>
      <c r="AD804" s="189"/>
      <c r="AE804" s="189"/>
      <c r="AF804" s="189"/>
      <c r="AG804" s="189"/>
      <c r="AH804" s="189"/>
      <c r="AI804" s="189"/>
      <c r="AJ804" s="189"/>
      <c r="AK804" s="189"/>
      <c r="AL804" s="189"/>
      <c r="AM804" s="189"/>
      <c r="AN804" s="189"/>
      <c r="AO804" s="189"/>
      <c r="AP804" s="189"/>
      <c r="AQ804" s="189"/>
      <c r="AR804" s="189"/>
      <c r="AS804" s="189"/>
      <c r="AT804" s="189"/>
    </row>
    <row r="805" spans="1:46" ht="12.75" customHeight="1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  <c r="AC805" s="189"/>
      <c r="AD805" s="189"/>
      <c r="AE805" s="189"/>
      <c r="AF805" s="189"/>
      <c r="AG805" s="189"/>
      <c r="AH805" s="189"/>
      <c r="AI805" s="189"/>
      <c r="AJ805" s="189"/>
      <c r="AK805" s="189"/>
      <c r="AL805" s="189"/>
      <c r="AM805" s="189"/>
      <c r="AN805" s="189"/>
      <c r="AO805" s="189"/>
      <c r="AP805" s="189"/>
      <c r="AQ805" s="189"/>
      <c r="AR805" s="189"/>
      <c r="AS805" s="189"/>
      <c r="AT805" s="189"/>
    </row>
    <row r="806" spans="1:46" ht="12.75" customHeight="1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  <c r="AC806" s="189"/>
      <c r="AD806" s="189"/>
      <c r="AE806" s="189"/>
      <c r="AF806" s="189"/>
      <c r="AG806" s="189"/>
      <c r="AH806" s="189"/>
      <c r="AI806" s="189"/>
      <c r="AJ806" s="189"/>
      <c r="AK806" s="189"/>
      <c r="AL806" s="189"/>
      <c r="AM806" s="189"/>
      <c r="AN806" s="189"/>
      <c r="AO806" s="189"/>
      <c r="AP806" s="189"/>
      <c r="AQ806" s="189"/>
      <c r="AR806" s="189"/>
      <c r="AS806" s="189"/>
      <c r="AT806" s="189"/>
    </row>
    <row r="807" spans="1:46" ht="12.75" customHeight="1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  <c r="AC807" s="189"/>
      <c r="AD807" s="189"/>
      <c r="AE807" s="189"/>
      <c r="AF807" s="189"/>
      <c r="AG807" s="189"/>
      <c r="AH807" s="189"/>
      <c r="AI807" s="189"/>
      <c r="AJ807" s="189"/>
      <c r="AK807" s="189"/>
      <c r="AL807" s="189"/>
      <c r="AM807" s="189"/>
      <c r="AN807" s="189"/>
      <c r="AO807" s="189"/>
      <c r="AP807" s="189"/>
      <c r="AQ807" s="189"/>
      <c r="AR807" s="189"/>
      <c r="AS807" s="189"/>
      <c r="AT807" s="189"/>
    </row>
    <row r="808" spans="1:46" ht="12.75" customHeight="1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  <c r="AC808" s="189"/>
      <c r="AD808" s="189"/>
      <c r="AE808" s="189"/>
      <c r="AF808" s="189"/>
      <c r="AG808" s="189"/>
      <c r="AH808" s="189"/>
      <c r="AI808" s="189"/>
      <c r="AJ808" s="189"/>
      <c r="AK808" s="189"/>
      <c r="AL808" s="189"/>
      <c r="AM808" s="189"/>
      <c r="AN808" s="189"/>
      <c r="AO808" s="189"/>
      <c r="AP808" s="189"/>
      <c r="AQ808" s="189"/>
      <c r="AR808" s="189"/>
      <c r="AS808" s="189"/>
      <c r="AT808" s="189"/>
    </row>
    <row r="809" spans="1:46" ht="12.75" customHeight="1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  <c r="AC809" s="189"/>
      <c r="AD809" s="189"/>
      <c r="AE809" s="189"/>
      <c r="AF809" s="189"/>
      <c r="AG809" s="189"/>
      <c r="AH809" s="189"/>
      <c r="AI809" s="189"/>
      <c r="AJ809" s="189"/>
      <c r="AK809" s="189"/>
      <c r="AL809" s="189"/>
      <c r="AM809" s="189"/>
      <c r="AN809" s="189"/>
      <c r="AO809" s="189"/>
      <c r="AP809" s="189"/>
      <c r="AQ809" s="189"/>
      <c r="AR809" s="189"/>
      <c r="AS809" s="189"/>
      <c r="AT809" s="189"/>
    </row>
    <row r="810" spans="1:46" ht="12.75" customHeight="1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  <c r="AC810" s="189"/>
      <c r="AD810" s="189"/>
      <c r="AE810" s="189"/>
      <c r="AF810" s="189"/>
      <c r="AG810" s="189"/>
      <c r="AH810" s="189"/>
      <c r="AI810" s="189"/>
      <c r="AJ810" s="189"/>
      <c r="AK810" s="189"/>
      <c r="AL810" s="189"/>
      <c r="AM810" s="189"/>
      <c r="AN810" s="189"/>
      <c r="AO810" s="189"/>
      <c r="AP810" s="189"/>
      <c r="AQ810" s="189"/>
      <c r="AR810" s="189"/>
      <c r="AS810" s="189"/>
      <c r="AT810" s="189"/>
    </row>
    <row r="811" spans="1:46" ht="12.75" customHeight="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  <c r="AC811" s="189"/>
      <c r="AD811" s="189"/>
      <c r="AE811" s="189"/>
      <c r="AF811" s="189"/>
      <c r="AG811" s="189"/>
      <c r="AH811" s="189"/>
      <c r="AI811" s="189"/>
      <c r="AJ811" s="189"/>
      <c r="AK811" s="189"/>
      <c r="AL811" s="189"/>
      <c r="AM811" s="189"/>
      <c r="AN811" s="189"/>
      <c r="AO811" s="189"/>
      <c r="AP811" s="189"/>
      <c r="AQ811" s="189"/>
      <c r="AR811" s="189"/>
      <c r="AS811" s="189"/>
      <c r="AT811" s="189"/>
    </row>
    <row r="812" spans="1:46" ht="12.75" customHeight="1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  <c r="AC812" s="189"/>
      <c r="AD812" s="189"/>
      <c r="AE812" s="189"/>
      <c r="AF812" s="189"/>
      <c r="AG812" s="189"/>
      <c r="AH812" s="189"/>
      <c r="AI812" s="189"/>
      <c r="AJ812" s="189"/>
      <c r="AK812" s="189"/>
      <c r="AL812" s="189"/>
      <c r="AM812" s="189"/>
      <c r="AN812" s="189"/>
      <c r="AO812" s="189"/>
      <c r="AP812" s="189"/>
      <c r="AQ812" s="189"/>
      <c r="AR812" s="189"/>
      <c r="AS812" s="189"/>
      <c r="AT812" s="189"/>
    </row>
    <row r="813" spans="1:46" ht="12.75" customHeight="1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  <c r="AC813" s="189"/>
      <c r="AD813" s="189"/>
      <c r="AE813" s="189"/>
      <c r="AF813" s="189"/>
      <c r="AG813" s="189"/>
      <c r="AH813" s="189"/>
      <c r="AI813" s="189"/>
      <c r="AJ813" s="189"/>
      <c r="AK813" s="189"/>
      <c r="AL813" s="189"/>
      <c r="AM813" s="189"/>
      <c r="AN813" s="189"/>
      <c r="AO813" s="189"/>
      <c r="AP813" s="189"/>
      <c r="AQ813" s="189"/>
      <c r="AR813" s="189"/>
      <c r="AS813" s="189"/>
      <c r="AT813" s="189"/>
    </row>
    <row r="814" spans="1:46" ht="12.75" customHeight="1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  <c r="AC814" s="189"/>
      <c r="AD814" s="189"/>
      <c r="AE814" s="189"/>
      <c r="AF814" s="189"/>
      <c r="AG814" s="189"/>
      <c r="AH814" s="189"/>
      <c r="AI814" s="189"/>
      <c r="AJ814" s="189"/>
      <c r="AK814" s="189"/>
      <c r="AL814" s="189"/>
      <c r="AM814" s="189"/>
      <c r="AN814" s="189"/>
      <c r="AO814" s="189"/>
      <c r="AP814" s="189"/>
      <c r="AQ814" s="189"/>
      <c r="AR814" s="189"/>
      <c r="AS814" s="189"/>
      <c r="AT814" s="189"/>
    </row>
    <row r="815" spans="1:46" ht="12.75" customHeight="1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  <c r="AC815" s="189"/>
      <c r="AD815" s="189"/>
      <c r="AE815" s="189"/>
      <c r="AF815" s="189"/>
      <c r="AG815" s="189"/>
      <c r="AH815" s="189"/>
      <c r="AI815" s="189"/>
      <c r="AJ815" s="189"/>
      <c r="AK815" s="189"/>
      <c r="AL815" s="189"/>
      <c r="AM815" s="189"/>
      <c r="AN815" s="189"/>
      <c r="AO815" s="189"/>
      <c r="AP815" s="189"/>
      <c r="AQ815" s="189"/>
      <c r="AR815" s="189"/>
      <c r="AS815" s="189"/>
      <c r="AT815" s="189"/>
    </row>
    <row r="816" spans="1:46" ht="12.75" customHeight="1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  <c r="AC816" s="189"/>
      <c r="AD816" s="189"/>
      <c r="AE816" s="189"/>
      <c r="AF816" s="189"/>
      <c r="AG816" s="189"/>
      <c r="AH816" s="189"/>
      <c r="AI816" s="189"/>
      <c r="AJ816" s="189"/>
      <c r="AK816" s="189"/>
      <c r="AL816" s="189"/>
      <c r="AM816" s="189"/>
      <c r="AN816" s="189"/>
      <c r="AO816" s="189"/>
      <c r="AP816" s="189"/>
      <c r="AQ816" s="189"/>
      <c r="AR816" s="189"/>
      <c r="AS816" s="189"/>
      <c r="AT816" s="189"/>
    </row>
    <row r="817" spans="1:46" ht="12.75" customHeight="1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  <c r="AC817" s="189"/>
      <c r="AD817" s="189"/>
      <c r="AE817" s="189"/>
      <c r="AF817" s="189"/>
      <c r="AG817" s="189"/>
      <c r="AH817" s="189"/>
      <c r="AI817" s="189"/>
      <c r="AJ817" s="189"/>
      <c r="AK817" s="189"/>
      <c r="AL817" s="189"/>
      <c r="AM817" s="189"/>
      <c r="AN817" s="189"/>
      <c r="AO817" s="189"/>
      <c r="AP817" s="189"/>
      <c r="AQ817" s="189"/>
      <c r="AR817" s="189"/>
      <c r="AS817" s="189"/>
      <c r="AT817" s="189"/>
    </row>
    <row r="818" spans="1:46" ht="12.75" customHeight="1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  <c r="AC818" s="189"/>
      <c r="AD818" s="189"/>
      <c r="AE818" s="189"/>
      <c r="AF818" s="189"/>
      <c r="AG818" s="189"/>
      <c r="AH818" s="189"/>
      <c r="AI818" s="189"/>
      <c r="AJ818" s="189"/>
      <c r="AK818" s="189"/>
      <c r="AL818" s="189"/>
      <c r="AM818" s="189"/>
      <c r="AN818" s="189"/>
      <c r="AO818" s="189"/>
      <c r="AP818" s="189"/>
      <c r="AQ818" s="189"/>
      <c r="AR818" s="189"/>
      <c r="AS818" s="189"/>
      <c r="AT818" s="189"/>
    </row>
    <row r="819" spans="1:46" ht="12.75" customHeight="1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  <c r="AC819" s="189"/>
      <c r="AD819" s="189"/>
      <c r="AE819" s="189"/>
      <c r="AF819" s="189"/>
      <c r="AG819" s="189"/>
      <c r="AH819" s="189"/>
      <c r="AI819" s="189"/>
      <c r="AJ819" s="189"/>
      <c r="AK819" s="189"/>
      <c r="AL819" s="189"/>
      <c r="AM819" s="189"/>
      <c r="AN819" s="189"/>
      <c r="AO819" s="189"/>
      <c r="AP819" s="189"/>
      <c r="AQ819" s="189"/>
      <c r="AR819" s="189"/>
      <c r="AS819" s="189"/>
      <c r="AT819" s="189"/>
    </row>
    <row r="820" spans="1:46" ht="12.75" customHeight="1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  <c r="AC820" s="189"/>
      <c r="AD820" s="189"/>
      <c r="AE820" s="189"/>
      <c r="AF820" s="189"/>
      <c r="AG820" s="189"/>
      <c r="AH820" s="189"/>
      <c r="AI820" s="189"/>
      <c r="AJ820" s="189"/>
      <c r="AK820" s="189"/>
      <c r="AL820" s="189"/>
      <c r="AM820" s="189"/>
      <c r="AN820" s="189"/>
      <c r="AO820" s="189"/>
      <c r="AP820" s="189"/>
      <c r="AQ820" s="189"/>
      <c r="AR820" s="189"/>
      <c r="AS820" s="189"/>
      <c r="AT820" s="189"/>
    </row>
    <row r="821" spans="1:46" ht="12.75" customHeight="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  <c r="AC821" s="189"/>
      <c r="AD821" s="189"/>
      <c r="AE821" s="189"/>
      <c r="AF821" s="189"/>
      <c r="AG821" s="189"/>
      <c r="AH821" s="189"/>
      <c r="AI821" s="189"/>
      <c r="AJ821" s="189"/>
      <c r="AK821" s="189"/>
      <c r="AL821" s="189"/>
      <c r="AM821" s="189"/>
      <c r="AN821" s="189"/>
      <c r="AO821" s="189"/>
      <c r="AP821" s="189"/>
      <c r="AQ821" s="189"/>
      <c r="AR821" s="189"/>
      <c r="AS821" s="189"/>
      <c r="AT821" s="189"/>
    </row>
    <row r="822" spans="1:46" ht="12.75" customHeight="1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  <c r="AC822" s="189"/>
      <c r="AD822" s="189"/>
      <c r="AE822" s="189"/>
      <c r="AF822" s="189"/>
      <c r="AG822" s="189"/>
      <c r="AH822" s="189"/>
      <c r="AI822" s="189"/>
      <c r="AJ822" s="189"/>
      <c r="AK822" s="189"/>
      <c r="AL822" s="189"/>
      <c r="AM822" s="189"/>
      <c r="AN822" s="189"/>
      <c r="AO822" s="189"/>
      <c r="AP822" s="189"/>
      <c r="AQ822" s="189"/>
      <c r="AR822" s="189"/>
      <c r="AS822" s="189"/>
      <c r="AT822" s="189"/>
    </row>
    <row r="823" spans="1:46" ht="12.75" customHeight="1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  <c r="AC823" s="189"/>
      <c r="AD823" s="189"/>
      <c r="AE823" s="189"/>
      <c r="AF823" s="189"/>
      <c r="AG823" s="189"/>
      <c r="AH823" s="189"/>
      <c r="AI823" s="189"/>
      <c r="AJ823" s="189"/>
      <c r="AK823" s="189"/>
      <c r="AL823" s="189"/>
      <c r="AM823" s="189"/>
      <c r="AN823" s="189"/>
      <c r="AO823" s="189"/>
      <c r="AP823" s="189"/>
      <c r="AQ823" s="189"/>
      <c r="AR823" s="189"/>
      <c r="AS823" s="189"/>
      <c r="AT823" s="189"/>
    </row>
    <row r="824" spans="1:46" ht="12.75" customHeight="1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  <c r="AC824" s="189"/>
      <c r="AD824" s="189"/>
      <c r="AE824" s="189"/>
      <c r="AF824" s="189"/>
      <c r="AG824" s="189"/>
      <c r="AH824" s="189"/>
      <c r="AI824" s="189"/>
      <c r="AJ824" s="189"/>
      <c r="AK824" s="189"/>
      <c r="AL824" s="189"/>
      <c r="AM824" s="189"/>
      <c r="AN824" s="189"/>
      <c r="AO824" s="189"/>
      <c r="AP824" s="189"/>
      <c r="AQ824" s="189"/>
      <c r="AR824" s="189"/>
      <c r="AS824" s="189"/>
      <c r="AT824" s="189"/>
    </row>
    <row r="825" spans="1:46" ht="12.75" customHeight="1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  <c r="AC825" s="189"/>
      <c r="AD825" s="189"/>
      <c r="AE825" s="189"/>
      <c r="AF825" s="189"/>
      <c r="AG825" s="189"/>
      <c r="AH825" s="189"/>
      <c r="AI825" s="189"/>
      <c r="AJ825" s="189"/>
      <c r="AK825" s="189"/>
      <c r="AL825" s="189"/>
      <c r="AM825" s="189"/>
      <c r="AN825" s="189"/>
      <c r="AO825" s="189"/>
      <c r="AP825" s="189"/>
      <c r="AQ825" s="189"/>
      <c r="AR825" s="189"/>
      <c r="AS825" s="189"/>
      <c r="AT825" s="189"/>
    </row>
    <row r="826" spans="1:46" ht="12.75" customHeight="1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  <c r="AC826" s="189"/>
      <c r="AD826" s="189"/>
      <c r="AE826" s="189"/>
      <c r="AF826" s="189"/>
      <c r="AG826" s="189"/>
      <c r="AH826" s="189"/>
      <c r="AI826" s="189"/>
      <c r="AJ826" s="189"/>
      <c r="AK826" s="189"/>
      <c r="AL826" s="189"/>
      <c r="AM826" s="189"/>
      <c r="AN826" s="189"/>
      <c r="AO826" s="189"/>
      <c r="AP826" s="189"/>
      <c r="AQ826" s="189"/>
      <c r="AR826" s="189"/>
      <c r="AS826" s="189"/>
      <c r="AT826" s="189"/>
    </row>
    <row r="827" spans="1:46" ht="12.75" customHeight="1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  <c r="AC827" s="189"/>
      <c r="AD827" s="189"/>
      <c r="AE827" s="189"/>
      <c r="AF827" s="189"/>
      <c r="AG827" s="189"/>
      <c r="AH827" s="189"/>
      <c r="AI827" s="189"/>
      <c r="AJ827" s="189"/>
      <c r="AK827" s="189"/>
      <c r="AL827" s="189"/>
      <c r="AM827" s="189"/>
      <c r="AN827" s="189"/>
      <c r="AO827" s="189"/>
      <c r="AP827" s="189"/>
      <c r="AQ827" s="189"/>
      <c r="AR827" s="189"/>
      <c r="AS827" s="189"/>
      <c r="AT827" s="189"/>
    </row>
    <row r="828" spans="1:46" ht="12.75" customHeight="1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  <c r="AC828" s="189"/>
      <c r="AD828" s="189"/>
      <c r="AE828" s="189"/>
      <c r="AF828" s="189"/>
      <c r="AG828" s="189"/>
      <c r="AH828" s="189"/>
      <c r="AI828" s="189"/>
      <c r="AJ828" s="189"/>
      <c r="AK828" s="189"/>
      <c r="AL828" s="189"/>
      <c r="AM828" s="189"/>
      <c r="AN828" s="189"/>
      <c r="AO828" s="189"/>
      <c r="AP828" s="189"/>
      <c r="AQ828" s="189"/>
      <c r="AR828" s="189"/>
      <c r="AS828" s="189"/>
      <c r="AT828" s="189"/>
    </row>
    <row r="829" spans="1:46" ht="12.75" customHeight="1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  <c r="AC829" s="189"/>
      <c r="AD829" s="189"/>
      <c r="AE829" s="189"/>
      <c r="AF829" s="189"/>
      <c r="AG829" s="189"/>
      <c r="AH829" s="189"/>
      <c r="AI829" s="189"/>
      <c r="AJ829" s="189"/>
      <c r="AK829" s="189"/>
      <c r="AL829" s="189"/>
      <c r="AM829" s="189"/>
      <c r="AN829" s="189"/>
      <c r="AO829" s="189"/>
      <c r="AP829" s="189"/>
      <c r="AQ829" s="189"/>
      <c r="AR829" s="189"/>
      <c r="AS829" s="189"/>
      <c r="AT829" s="189"/>
    </row>
    <row r="830" spans="1:46" ht="12.75" customHeight="1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  <c r="AC830" s="189"/>
      <c r="AD830" s="189"/>
      <c r="AE830" s="189"/>
      <c r="AF830" s="189"/>
      <c r="AG830" s="189"/>
      <c r="AH830" s="189"/>
      <c r="AI830" s="189"/>
      <c r="AJ830" s="189"/>
      <c r="AK830" s="189"/>
      <c r="AL830" s="189"/>
      <c r="AM830" s="189"/>
      <c r="AN830" s="189"/>
      <c r="AO830" s="189"/>
      <c r="AP830" s="189"/>
      <c r="AQ830" s="189"/>
      <c r="AR830" s="189"/>
      <c r="AS830" s="189"/>
      <c r="AT830" s="189"/>
    </row>
    <row r="831" spans="1:46" ht="12.75" customHeight="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  <c r="AC831" s="189"/>
      <c r="AD831" s="189"/>
      <c r="AE831" s="189"/>
      <c r="AF831" s="189"/>
      <c r="AG831" s="189"/>
      <c r="AH831" s="189"/>
      <c r="AI831" s="189"/>
      <c r="AJ831" s="189"/>
      <c r="AK831" s="189"/>
      <c r="AL831" s="189"/>
      <c r="AM831" s="189"/>
      <c r="AN831" s="189"/>
      <c r="AO831" s="189"/>
      <c r="AP831" s="189"/>
      <c r="AQ831" s="189"/>
      <c r="AR831" s="189"/>
      <c r="AS831" s="189"/>
      <c r="AT831" s="189"/>
    </row>
    <row r="832" spans="1:46" ht="12.7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89"/>
      <c r="AN832" s="189"/>
      <c r="AO832" s="189"/>
      <c r="AP832" s="189"/>
      <c r="AQ832" s="189"/>
      <c r="AR832" s="189"/>
      <c r="AS832" s="189"/>
      <c r="AT832" s="189"/>
    </row>
    <row r="833" spans="1:46" ht="12.75" customHeight="1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  <c r="AC833" s="189"/>
      <c r="AD833" s="189"/>
      <c r="AE833" s="189"/>
      <c r="AF833" s="189"/>
      <c r="AG833" s="189"/>
      <c r="AH833" s="189"/>
      <c r="AI833" s="189"/>
      <c r="AJ833" s="189"/>
      <c r="AK833" s="189"/>
      <c r="AL833" s="189"/>
      <c r="AM833" s="189"/>
      <c r="AN833" s="189"/>
      <c r="AO833" s="189"/>
      <c r="AP833" s="189"/>
      <c r="AQ833" s="189"/>
      <c r="AR833" s="189"/>
      <c r="AS833" s="189"/>
      <c r="AT833" s="189"/>
    </row>
    <row r="834" spans="1:46" ht="12.75" customHeight="1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  <c r="AC834" s="189"/>
      <c r="AD834" s="189"/>
      <c r="AE834" s="189"/>
      <c r="AF834" s="189"/>
      <c r="AG834" s="189"/>
      <c r="AH834" s="189"/>
      <c r="AI834" s="189"/>
      <c r="AJ834" s="189"/>
      <c r="AK834" s="189"/>
      <c r="AL834" s="189"/>
      <c r="AM834" s="189"/>
      <c r="AN834" s="189"/>
      <c r="AO834" s="189"/>
      <c r="AP834" s="189"/>
      <c r="AQ834" s="189"/>
      <c r="AR834" s="189"/>
      <c r="AS834" s="189"/>
      <c r="AT834" s="189"/>
    </row>
    <row r="835" spans="1:46" ht="12.75" customHeight="1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  <c r="AC835" s="189"/>
      <c r="AD835" s="189"/>
      <c r="AE835" s="189"/>
      <c r="AF835" s="189"/>
      <c r="AG835" s="189"/>
      <c r="AH835" s="189"/>
      <c r="AI835" s="189"/>
      <c r="AJ835" s="189"/>
      <c r="AK835" s="189"/>
      <c r="AL835" s="189"/>
      <c r="AM835" s="189"/>
      <c r="AN835" s="189"/>
      <c r="AO835" s="189"/>
      <c r="AP835" s="189"/>
      <c r="AQ835" s="189"/>
      <c r="AR835" s="189"/>
      <c r="AS835" s="189"/>
      <c r="AT835" s="189"/>
    </row>
    <row r="836" spans="1:46" ht="12.75" customHeight="1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  <c r="AC836" s="189"/>
      <c r="AD836" s="189"/>
      <c r="AE836" s="189"/>
      <c r="AF836" s="189"/>
      <c r="AG836" s="189"/>
      <c r="AH836" s="189"/>
      <c r="AI836" s="189"/>
      <c r="AJ836" s="189"/>
      <c r="AK836" s="189"/>
      <c r="AL836" s="189"/>
      <c r="AM836" s="189"/>
      <c r="AN836" s="189"/>
      <c r="AO836" s="189"/>
      <c r="AP836" s="189"/>
      <c r="AQ836" s="189"/>
      <c r="AR836" s="189"/>
      <c r="AS836" s="189"/>
      <c r="AT836" s="189"/>
    </row>
    <row r="837" spans="1:46" ht="12.75" customHeight="1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  <c r="AC837" s="189"/>
      <c r="AD837" s="189"/>
      <c r="AE837" s="189"/>
      <c r="AF837" s="189"/>
      <c r="AG837" s="189"/>
      <c r="AH837" s="189"/>
      <c r="AI837" s="189"/>
      <c r="AJ837" s="189"/>
      <c r="AK837" s="189"/>
      <c r="AL837" s="189"/>
      <c r="AM837" s="189"/>
      <c r="AN837" s="189"/>
      <c r="AO837" s="189"/>
      <c r="AP837" s="189"/>
      <c r="AQ837" s="189"/>
      <c r="AR837" s="189"/>
      <c r="AS837" s="189"/>
      <c r="AT837" s="189"/>
    </row>
    <row r="838" spans="1:46" ht="12.75" customHeight="1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  <c r="AC838" s="189"/>
      <c r="AD838" s="189"/>
      <c r="AE838" s="189"/>
      <c r="AF838" s="189"/>
      <c r="AG838" s="189"/>
      <c r="AH838" s="189"/>
      <c r="AI838" s="189"/>
      <c r="AJ838" s="189"/>
      <c r="AK838" s="189"/>
      <c r="AL838" s="189"/>
      <c r="AM838" s="189"/>
      <c r="AN838" s="189"/>
      <c r="AO838" s="189"/>
      <c r="AP838" s="189"/>
      <c r="AQ838" s="189"/>
      <c r="AR838" s="189"/>
      <c r="AS838" s="189"/>
      <c r="AT838" s="189"/>
    </row>
    <row r="839" spans="1:46" ht="12.75" customHeight="1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  <c r="AC839" s="189"/>
      <c r="AD839" s="189"/>
      <c r="AE839" s="189"/>
      <c r="AF839" s="189"/>
      <c r="AG839" s="189"/>
      <c r="AH839" s="189"/>
      <c r="AI839" s="189"/>
      <c r="AJ839" s="189"/>
      <c r="AK839" s="189"/>
      <c r="AL839" s="189"/>
      <c r="AM839" s="189"/>
      <c r="AN839" s="189"/>
      <c r="AO839" s="189"/>
      <c r="AP839" s="189"/>
      <c r="AQ839" s="189"/>
      <c r="AR839" s="189"/>
      <c r="AS839" s="189"/>
      <c r="AT839" s="189"/>
    </row>
    <row r="840" spans="1:46" ht="12.75" customHeight="1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  <c r="AC840" s="189"/>
      <c r="AD840" s="189"/>
      <c r="AE840" s="189"/>
      <c r="AF840" s="189"/>
      <c r="AG840" s="189"/>
      <c r="AH840" s="189"/>
      <c r="AI840" s="189"/>
      <c r="AJ840" s="189"/>
      <c r="AK840" s="189"/>
      <c r="AL840" s="189"/>
      <c r="AM840" s="189"/>
      <c r="AN840" s="189"/>
      <c r="AO840" s="189"/>
      <c r="AP840" s="189"/>
      <c r="AQ840" s="189"/>
      <c r="AR840" s="189"/>
      <c r="AS840" s="189"/>
      <c r="AT840" s="189"/>
    </row>
    <row r="841" spans="1:46" ht="12.75" customHeight="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  <c r="AC841" s="189"/>
      <c r="AD841" s="189"/>
      <c r="AE841" s="189"/>
      <c r="AF841" s="189"/>
      <c r="AG841" s="189"/>
      <c r="AH841" s="189"/>
      <c r="AI841" s="189"/>
      <c r="AJ841" s="189"/>
      <c r="AK841" s="189"/>
      <c r="AL841" s="189"/>
      <c r="AM841" s="189"/>
      <c r="AN841" s="189"/>
      <c r="AO841" s="189"/>
      <c r="AP841" s="189"/>
      <c r="AQ841" s="189"/>
      <c r="AR841" s="189"/>
      <c r="AS841" s="189"/>
      <c r="AT841" s="189"/>
    </row>
    <row r="842" spans="1:46" ht="12.75" customHeight="1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  <c r="AC842" s="189"/>
      <c r="AD842" s="189"/>
      <c r="AE842" s="189"/>
      <c r="AF842" s="189"/>
      <c r="AG842" s="189"/>
      <c r="AH842" s="189"/>
      <c r="AI842" s="189"/>
      <c r="AJ842" s="189"/>
      <c r="AK842" s="189"/>
      <c r="AL842" s="189"/>
      <c r="AM842" s="189"/>
      <c r="AN842" s="189"/>
      <c r="AO842" s="189"/>
      <c r="AP842" s="189"/>
      <c r="AQ842" s="189"/>
      <c r="AR842" s="189"/>
      <c r="AS842" s="189"/>
      <c r="AT842" s="189"/>
    </row>
    <row r="843" spans="1:46" ht="12.75" customHeight="1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  <c r="AC843" s="189"/>
      <c r="AD843" s="189"/>
      <c r="AE843" s="189"/>
      <c r="AF843" s="189"/>
      <c r="AG843" s="189"/>
      <c r="AH843" s="189"/>
      <c r="AI843" s="189"/>
      <c r="AJ843" s="189"/>
      <c r="AK843" s="189"/>
      <c r="AL843" s="189"/>
      <c r="AM843" s="189"/>
      <c r="AN843" s="189"/>
      <c r="AO843" s="189"/>
      <c r="AP843" s="189"/>
      <c r="AQ843" s="189"/>
      <c r="AR843" s="189"/>
      <c r="AS843" s="189"/>
      <c r="AT843" s="189"/>
    </row>
    <row r="844" spans="1:46" ht="12.75" customHeight="1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  <c r="AC844" s="189"/>
      <c r="AD844" s="189"/>
      <c r="AE844" s="189"/>
      <c r="AF844" s="189"/>
      <c r="AG844" s="189"/>
      <c r="AH844" s="189"/>
      <c r="AI844" s="189"/>
      <c r="AJ844" s="189"/>
      <c r="AK844" s="189"/>
      <c r="AL844" s="189"/>
      <c r="AM844" s="189"/>
      <c r="AN844" s="189"/>
      <c r="AO844" s="189"/>
      <c r="AP844" s="189"/>
      <c r="AQ844" s="189"/>
      <c r="AR844" s="189"/>
      <c r="AS844" s="189"/>
      <c r="AT844" s="189"/>
    </row>
    <row r="845" spans="1:46" ht="12.75" customHeight="1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  <c r="AC845" s="189"/>
      <c r="AD845" s="189"/>
      <c r="AE845" s="189"/>
      <c r="AF845" s="189"/>
      <c r="AG845" s="189"/>
      <c r="AH845" s="189"/>
      <c r="AI845" s="189"/>
      <c r="AJ845" s="189"/>
      <c r="AK845" s="189"/>
      <c r="AL845" s="189"/>
      <c r="AM845" s="189"/>
      <c r="AN845" s="189"/>
      <c r="AO845" s="189"/>
      <c r="AP845" s="189"/>
      <c r="AQ845" s="189"/>
      <c r="AR845" s="189"/>
      <c r="AS845" s="189"/>
      <c r="AT845" s="189"/>
    </row>
    <row r="846" spans="1:46" ht="12.75" customHeight="1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  <c r="AC846" s="189"/>
      <c r="AD846" s="189"/>
      <c r="AE846" s="189"/>
      <c r="AF846" s="189"/>
      <c r="AG846" s="189"/>
      <c r="AH846" s="189"/>
      <c r="AI846" s="189"/>
      <c r="AJ846" s="189"/>
      <c r="AK846" s="189"/>
      <c r="AL846" s="189"/>
      <c r="AM846" s="189"/>
      <c r="AN846" s="189"/>
      <c r="AO846" s="189"/>
      <c r="AP846" s="189"/>
      <c r="AQ846" s="189"/>
      <c r="AR846" s="189"/>
      <c r="AS846" s="189"/>
      <c r="AT846" s="189"/>
    </row>
    <row r="847" spans="1:46" ht="12.75" customHeight="1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  <c r="AC847" s="189"/>
      <c r="AD847" s="189"/>
      <c r="AE847" s="189"/>
      <c r="AF847" s="189"/>
      <c r="AG847" s="189"/>
      <c r="AH847" s="189"/>
      <c r="AI847" s="189"/>
      <c r="AJ847" s="189"/>
      <c r="AK847" s="189"/>
      <c r="AL847" s="189"/>
      <c r="AM847" s="189"/>
      <c r="AN847" s="189"/>
      <c r="AO847" s="189"/>
      <c r="AP847" s="189"/>
      <c r="AQ847" s="189"/>
      <c r="AR847" s="189"/>
      <c r="AS847" s="189"/>
      <c r="AT847" s="189"/>
    </row>
    <row r="848" spans="1:46" ht="12.75" customHeight="1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  <c r="AC848" s="189"/>
      <c r="AD848" s="189"/>
      <c r="AE848" s="189"/>
      <c r="AF848" s="189"/>
      <c r="AG848" s="189"/>
      <c r="AH848" s="189"/>
      <c r="AI848" s="189"/>
      <c r="AJ848" s="189"/>
      <c r="AK848" s="189"/>
      <c r="AL848" s="189"/>
      <c r="AM848" s="189"/>
      <c r="AN848" s="189"/>
      <c r="AO848" s="189"/>
      <c r="AP848" s="189"/>
      <c r="AQ848" s="189"/>
      <c r="AR848" s="189"/>
      <c r="AS848" s="189"/>
      <c r="AT848" s="189"/>
    </row>
    <row r="849" spans="1:46" ht="12.75" customHeight="1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  <c r="AC849" s="189"/>
      <c r="AD849" s="189"/>
      <c r="AE849" s="189"/>
      <c r="AF849" s="189"/>
      <c r="AG849" s="189"/>
      <c r="AH849" s="189"/>
      <c r="AI849" s="189"/>
      <c r="AJ849" s="189"/>
      <c r="AK849" s="189"/>
      <c r="AL849" s="189"/>
      <c r="AM849" s="189"/>
      <c r="AN849" s="189"/>
      <c r="AO849" s="189"/>
      <c r="AP849" s="189"/>
      <c r="AQ849" s="189"/>
      <c r="AR849" s="189"/>
      <c r="AS849" s="189"/>
      <c r="AT849" s="189"/>
    </row>
    <row r="850" spans="1:46" ht="12.75" customHeight="1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  <c r="AC850" s="189"/>
      <c r="AD850" s="189"/>
      <c r="AE850" s="189"/>
      <c r="AF850" s="189"/>
      <c r="AG850" s="189"/>
      <c r="AH850" s="189"/>
      <c r="AI850" s="189"/>
      <c r="AJ850" s="189"/>
      <c r="AK850" s="189"/>
      <c r="AL850" s="189"/>
      <c r="AM850" s="189"/>
      <c r="AN850" s="189"/>
      <c r="AO850" s="189"/>
      <c r="AP850" s="189"/>
      <c r="AQ850" s="189"/>
      <c r="AR850" s="189"/>
      <c r="AS850" s="189"/>
      <c r="AT850" s="189"/>
    </row>
    <row r="851" spans="1:46" ht="12.75" customHeight="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  <c r="AC851" s="189"/>
      <c r="AD851" s="189"/>
      <c r="AE851" s="189"/>
      <c r="AF851" s="189"/>
      <c r="AG851" s="189"/>
      <c r="AH851" s="189"/>
      <c r="AI851" s="189"/>
      <c r="AJ851" s="189"/>
      <c r="AK851" s="189"/>
      <c r="AL851" s="189"/>
      <c r="AM851" s="189"/>
      <c r="AN851" s="189"/>
      <c r="AO851" s="189"/>
      <c r="AP851" s="189"/>
      <c r="AQ851" s="189"/>
      <c r="AR851" s="189"/>
      <c r="AS851" s="189"/>
      <c r="AT851" s="189"/>
    </row>
    <row r="852" spans="1:46" ht="12.75" customHeight="1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  <c r="AC852" s="189"/>
      <c r="AD852" s="189"/>
      <c r="AE852" s="189"/>
      <c r="AF852" s="189"/>
      <c r="AG852" s="189"/>
      <c r="AH852" s="189"/>
      <c r="AI852" s="189"/>
      <c r="AJ852" s="189"/>
      <c r="AK852" s="189"/>
      <c r="AL852" s="189"/>
      <c r="AM852" s="189"/>
      <c r="AN852" s="189"/>
      <c r="AO852" s="189"/>
      <c r="AP852" s="189"/>
      <c r="AQ852" s="189"/>
      <c r="AR852" s="189"/>
      <c r="AS852" s="189"/>
      <c r="AT852" s="189"/>
    </row>
    <row r="853" spans="1:46" ht="12.75" customHeight="1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  <c r="AB853" s="189"/>
      <c r="AC853" s="189"/>
      <c r="AD853" s="189"/>
      <c r="AE853" s="189"/>
      <c r="AF853" s="189"/>
      <c r="AG853" s="189"/>
      <c r="AH853" s="189"/>
      <c r="AI853" s="189"/>
      <c r="AJ853" s="189"/>
      <c r="AK853" s="189"/>
      <c r="AL853" s="189"/>
      <c r="AM853" s="189"/>
      <c r="AN853" s="189"/>
      <c r="AO853" s="189"/>
      <c r="AP853" s="189"/>
      <c r="AQ853" s="189"/>
      <c r="AR853" s="189"/>
      <c r="AS853" s="189"/>
      <c r="AT853" s="189"/>
    </row>
    <row r="854" spans="1:46" ht="12.75" customHeight="1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  <c r="AB854" s="189"/>
      <c r="AC854" s="189"/>
      <c r="AD854" s="189"/>
      <c r="AE854" s="189"/>
      <c r="AF854" s="189"/>
      <c r="AG854" s="189"/>
      <c r="AH854" s="189"/>
      <c r="AI854" s="189"/>
      <c r="AJ854" s="189"/>
      <c r="AK854" s="189"/>
      <c r="AL854" s="189"/>
      <c r="AM854" s="189"/>
      <c r="AN854" s="189"/>
      <c r="AO854" s="189"/>
      <c r="AP854" s="189"/>
      <c r="AQ854" s="189"/>
      <c r="AR854" s="189"/>
      <c r="AS854" s="189"/>
      <c r="AT854" s="189"/>
    </row>
    <row r="855" spans="1:46" ht="12.75" customHeight="1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  <c r="AB855" s="189"/>
      <c r="AC855" s="189"/>
      <c r="AD855" s="189"/>
      <c r="AE855" s="189"/>
      <c r="AF855" s="189"/>
      <c r="AG855" s="189"/>
      <c r="AH855" s="189"/>
      <c r="AI855" s="189"/>
      <c r="AJ855" s="189"/>
      <c r="AK855" s="189"/>
      <c r="AL855" s="189"/>
      <c r="AM855" s="189"/>
      <c r="AN855" s="189"/>
      <c r="AO855" s="189"/>
      <c r="AP855" s="189"/>
      <c r="AQ855" s="189"/>
      <c r="AR855" s="189"/>
      <c r="AS855" s="189"/>
      <c r="AT855" s="189"/>
    </row>
    <row r="856" spans="1:46" ht="12.75" customHeight="1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  <c r="AB856" s="189"/>
      <c r="AC856" s="189"/>
      <c r="AD856" s="189"/>
      <c r="AE856" s="189"/>
      <c r="AF856" s="189"/>
      <c r="AG856" s="189"/>
      <c r="AH856" s="189"/>
      <c r="AI856" s="189"/>
      <c r="AJ856" s="189"/>
      <c r="AK856" s="189"/>
      <c r="AL856" s="189"/>
      <c r="AM856" s="189"/>
      <c r="AN856" s="189"/>
      <c r="AO856" s="189"/>
      <c r="AP856" s="189"/>
      <c r="AQ856" s="189"/>
      <c r="AR856" s="189"/>
      <c r="AS856" s="189"/>
      <c r="AT856" s="189"/>
    </row>
    <row r="857" spans="1:46" ht="12.75" customHeight="1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  <c r="AB857" s="189"/>
      <c r="AC857" s="189"/>
      <c r="AD857" s="189"/>
      <c r="AE857" s="189"/>
      <c r="AF857" s="189"/>
      <c r="AG857" s="189"/>
      <c r="AH857" s="189"/>
      <c r="AI857" s="189"/>
      <c r="AJ857" s="189"/>
      <c r="AK857" s="189"/>
      <c r="AL857" s="189"/>
      <c r="AM857" s="189"/>
      <c r="AN857" s="189"/>
      <c r="AO857" s="189"/>
      <c r="AP857" s="189"/>
      <c r="AQ857" s="189"/>
      <c r="AR857" s="189"/>
      <c r="AS857" s="189"/>
      <c r="AT857" s="189"/>
    </row>
    <row r="858" spans="1:46" ht="12.75" customHeight="1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  <c r="AB858" s="189"/>
      <c r="AC858" s="189"/>
      <c r="AD858" s="189"/>
      <c r="AE858" s="189"/>
      <c r="AF858" s="189"/>
      <c r="AG858" s="189"/>
      <c r="AH858" s="189"/>
      <c r="AI858" s="189"/>
      <c r="AJ858" s="189"/>
      <c r="AK858" s="189"/>
      <c r="AL858" s="189"/>
      <c r="AM858" s="189"/>
      <c r="AN858" s="189"/>
      <c r="AO858" s="189"/>
      <c r="AP858" s="189"/>
      <c r="AQ858" s="189"/>
      <c r="AR858" s="189"/>
      <c r="AS858" s="189"/>
      <c r="AT858" s="189"/>
    </row>
    <row r="859" spans="1:46" ht="12.75" customHeight="1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  <c r="AB859" s="189"/>
      <c r="AC859" s="189"/>
      <c r="AD859" s="189"/>
      <c r="AE859" s="189"/>
      <c r="AF859" s="189"/>
      <c r="AG859" s="189"/>
      <c r="AH859" s="189"/>
      <c r="AI859" s="189"/>
      <c r="AJ859" s="189"/>
      <c r="AK859" s="189"/>
      <c r="AL859" s="189"/>
      <c r="AM859" s="189"/>
      <c r="AN859" s="189"/>
      <c r="AO859" s="189"/>
      <c r="AP859" s="189"/>
      <c r="AQ859" s="189"/>
      <c r="AR859" s="189"/>
      <c r="AS859" s="189"/>
      <c r="AT859" s="189"/>
    </row>
    <row r="860" spans="1:46" ht="12.75" customHeight="1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  <c r="AB860" s="189"/>
      <c r="AC860" s="189"/>
      <c r="AD860" s="189"/>
      <c r="AE860" s="189"/>
      <c r="AF860" s="189"/>
      <c r="AG860" s="189"/>
      <c r="AH860" s="189"/>
      <c r="AI860" s="189"/>
      <c r="AJ860" s="189"/>
      <c r="AK860" s="189"/>
      <c r="AL860" s="189"/>
      <c r="AM860" s="189"/>
      <c r="AN860" s="189"/>
      <c r="AO860" s="189"/>
      <c r="AP860" s="189"/>
      <c r="AQ860" s="189"/>
      <c r="AR860" s="189"/>
      <c r="AS860" s="189"/>
      <c r="AT860" s="189"/>
    </row>
    <row r="861" spans="1:46" ht="12.75" customHeight="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  <c r="AB861" s="189"/>
      <c r="AC861" s="189"/>
      <c r="AD861" s="189"/>
      <c r="AE861" s="189"/>
      <c r="AF861" s="189"/>
      <c r="AG861" s="189"/>
      <c r="AH861" s="189"/>
      <c r="AI861" s="189"/>
      <c r="AJ861" s="189"/>
      <c r="AK861" s="189"/>
      <c r="AL861" s="189"/>
      <c r="AM861" s="189"/>
      <c r="AN861" s="189"/>
      <c r="AO861" s="189"/>
      <c r="AP861" s="189"/>
      <c r="AQ861" s="189"/>
      <c r="AR861" s="189"/>
      <c r="AS861" s="189"/>
      <c r="AT861" s="189"/>
    </row>
    <row r="862" spans="1:46" ht="12.75" customHeight="1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  <c r="AB862" s="189"/>
      <c r="AC862" s="189"/>
      <c r="AD862" s="189"/>
      <c r="AE862" s="189"/>
      <c r="AF862" s="189"/>
      <c r="AG862" s="189"/>
      <c r="AH862" s="189"/>
      <c r="AI862" s="189"/>
      <c r="AJ862" s="189"/>
      <c r="AK862" s="189"/>
      <c r="AL862" s="189"/>
      <c r="AM862" s="189"/>
      <c r="AN862" s="189"/>
      <c r="AO862" s="189"/>
      <c r="AP862" s="189"/>
      <c r="AQ862" s="189"/>
      <c r="AR862" s="189"/>
      <c r="AS862" s="189"/>
      <c r="AT862" s="189"/>
    </row>
    <row r="863" spans="1:46" ht="12.75" customHeight="1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  <c r="AB863" s="189"/>
      <c r="AC863" s="189"/>
      <c r="AD863" s="189"/>
      <c r="AE863" s="189"/>
      <c r="AF863" s="189"/>
      <c r="AG863" s="189"/>
      <c r="AH863" s="189"/>
      <c r="AI863" s="189"/>
      <c r="AJ863" s="189"/>
      <c r="AK863" s="189"/>
      <c r="AL863" s="189"/>
      <c r="AM863" s="189"/>
      <c r="AN863" s="189"/>
      <c r="AO863" s="189"/>
      <c r="AP863" s="189"/>
      <c r="AQ863" s="189"/>
      <c r="AR863" s="189"/>
      <c r="AS863" s="189"/>
      <c r="AT863" s="189"/>
    </row>
    <row r="864" spans="1:46" ht="12.75" customHeight="1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  <c r="AB864" s="189"/>
      <c r="AC864" s="189"/>
      <c r="AD864" s="189"/>
      <c r="AE864" s="189"/>
      <c r="AF864" s="189"/>
      <c r="AG864" s="189"/>
      <c r="AH864" s="189"/>
      <c r="AI864" s="189"/>
      <c r="AJ864" s="189"/>
      <c r="AK864" s="189"/>
      <c r="AL864" s="189"/>
      <c r="AM864" s="189"/>
      <c r="AN864" s="189"/>
      <c r="AO864" s="189"/>
      <c r="AP864" s="189"/>
      <c r="AQ864" s="189"/>
      <c r="AR864" s="189"/>
      <c r="AS864" s="189"/>
      <c r="AT864" s="189"/>
    </row>
    <row r="865" spans="1:46" ht="12.75" customHeight="1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  <c r="AB865" s="189"/>
      <c r="AC865" s="189"/>
      <c r="AD865" s="189"/>
      <c r="AE865" s="189"/>
      <c r="AF865" s="189"/>
      <c r="AG865" s="189"/>
      <c r="AH865" s="189"/>
      <c r="AI865" s="189"/>
      <c r="AJ865" s="189"/>
      <c r="AK865" s="189"/>
      <c r="AL865" s="189"/>
      <c r="AM865" s="189"/>
      <c r="AN865" s="189"/>
      <c r="AO865" s="189"/>
      <c r="AP865" s="189"/>
      <c r="AQ865" s="189"/>
      <c r="AR865" s="189"/>
      <c r="AS865" s="189"/>
      <c r="AT865" s="189"/>
    </row>
    <row r="866" spans="1:46" ht="12.75" customHeight="1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  <c r="AC866" s="189"/>
      <c r="AD866" s="189"/>
      <c r="AE866" s="189"/>
      <c r="AF866" s="189"/>
      <c r="AG866" s="189"/>
      <c r="AH866" s="189"/>
      <c r="AI866" s="189"/>
      <c r="AJ866" s="189"/>
      <c r="AK866" s="189"/>
      <c r="AL866" s="189"/>
      <c r="AM866" s="189"/>
      <c r="AN866" s="189"/>
      <c r="AO866" s="189"/>
      <c r="AP866" s="189"/>
      <c r="AQ866" s="189"/>
      <c r="AR866" s="189"/>
      <c r="AS866" s="189"/>
      <c r="AT866" s="189"/>
    </row>
    <row r="867" spans="1:46" ht="12.75" customHeight="1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  <c r="AB867" s="189"/>
      <c r="AC867" s="189"/>
      <c r="AD867" s="189"/>
      <c r="AE867" s="189"/>
      <c r="AF867" s="189"/>
      <c r="AG867" s="189"/>
      <c r="AH867" s="189"/>
      <c r="AI867" s="189"/>
      <c r="AJ867" s="189"/>
      <c r="AK867" s="189"/>
      <c r="AL867" s="189"/>
      <c r="AM867" s="189"/>
      <c r="AN867" s="189"/>
      <c r="AO867" s="189"/>
      <c r="AP867" s="189"/>
      <c r="AQ867" s="189"/>
      <c r="AR867" s="189"/>
      <c r="AS867" s="189"/>
      <c r="AT867" s="189"/>
    </row>
    <row r="868" spans="1:46" ht="12.75" customHeight="1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  <c r="AB868" s="189"/>
      <c r="AC868" s="189"/>
      <c r="AD868" s="189"/>
      <c r="AE868" s="189"/>
      <c r="AF868" s="189"/>
      <c r="AG868" s="189"/>
      <c r="AH868" s="189"/>
      <c r="AI868" s="189"/>
      <c r="AJ868" s="189"/>
      <c r="AK868" s="189"/>
      <c r="AL868" s="189"/>
      <c r="AM868" s="189"/>
      <c r="AN868" s="189"/>
      <c r="AO868" s="189"/>
      <c r="AP868" s="189"/>
      <c r="AQ868" s="189"/>
      <c r="AR868" s="189"/>
      <c r="AS868" s="189"/>
      <c r="AT868" s="189"/>
    </row>
    <row r="869" spans="1:46" ht="12.75" customHeight="1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  <c r="AB869" s="189"/>
      <c r="AC869" s="189"/>
      <c r="AD869" s="189"/>
      <c r="AE869" s="189"/>
      <c r="AF869" s="189"/>
      <c r="AG869" s="189"/>
      <c r="AH869" s="189"/>
      <c r="AI869" s="189"/>
      <c r="AJ869" s="189"/>
      <c r="AK869" s="189"/>
      <c r="AL869" s="189"/>
      <c r="AM869" s="189"/>
      <c r="AN869" s="189"/>
      <c r="AO869" s="189"/>
      <c r="AP869" s="189"/>
      <c r="AQ869" s="189"/>
      <c r="AR869" s="189"/>
      <c r="AS869" s="189"/>
      <c r="AT869" s="189"/>
    </row>
    <row r="870" spans="1:46" ht="12.75" customHeight="1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  <c r="AB870" s="189"/>
      <c r="AC870" s="189"/>
      <c r="AD870" s="189"/>
      <c r="AE870" s="189"/>
      <c r="AF870" s="189"/>
      <c r="AG870" s="189"/>
      <c r="AH870" s="189"/>
      <c r="AI870" s="189"/>
      <c r="AJ870" s="189"/>
      <c r="AK870" s="189"/>
      <c r="AL870" s="189"/>
      <c r="AM870" s="189"/>
      <c r="AN870" s="189"/>
      <c r="AO870" s="189"/>
      <c r="AP870" s="189"/>
      <c r="AQ870" s="189"/>
      <c r="AR870" s="189"/>
      <c r="AS870" s="189"/>
      <c r="AT870" s="189"/>
    </row>
    <row r="871" spans="1:46" ht="12.75" customHeight="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  <c r="AB871" s="189"/>
      <c r="AC871" s="189"/>
      <c r="AD871" s="189"/>
      <c r="AE871" s="189"/>
      <c r="AF871" s="189"/>
      <c r="AG871" s="189"/>
      <c r="AH871" s="189"/>
      <c r="AI871" s="189"/>
      <c r="AJ871" s="189"/>
      <c r="AK871" s="189"/>
      <c r="AL871" s="189"/>
      <c r="AM871" s="189"/>
      <c r="AN871" s="189"/>
      <c r="AO871" s="189"/>
      <c r="AP871" s="189"/>
      <c r="AQ871" s="189"/>
      <c r="AR871" s="189"/>
      <c r="AS871" s="189"/>
      <c r="AT871" s="189"/>
    </row>
    <row r="872" spans="1:46" ht="12.75" customHeight="1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  <c r="AB872" s="189"/>
      <c r="AC872" s="189"/>
      <c r="AD872" s="189"/>
      <c r="AE872" s="189"/>
      <c r="AF872" s="189"/>
      <c r="AG872" s="189"/>
      <c r="AH872" s="189"/>
      <c r="AI872" s="189"/>
      <c r="AJ872" s="189"/>
      <c r="AK872" s="189"/>
      <c r="AL872" s="189"/>
      <c r="AM872" s="189"/>
      <c r="AN872" s="189"/>
      <c r="AO872" s="189"/>
      <c r="AP872" s="189"/>
      <c r="AQ872" s="189"/>
      <c r="AR872" s="189"/>
      <c r="AS872" s="189"/>
      <c r="AT872" s="189"/>
    </row>
    <row r="873" spans="1:46" ht="12.75" customHeight="1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  <c r="AB873" s="189"/>
      <c r="AC873" s="189"/>
      <c r="AD873" s="189"/>
      <c r="AE873" s="189"/>
      <c r="AF873" s="189"/>
      <c r="AG873" s="189"/>
      <c r="AH873" s="189"/>
      <c r="AI873" s="189"/>
      <c r="AJ873" s="189"/>
      <c r="AK873" s="189"/>
      <c r="AL873" s="189"/>
      <c r="AM873" s="189"/>
      <c r="AN873" s="189"/>
      <c r="AO873" s="189"/>
      <c r="AP873" s="189"/>
      <c r="AQ873" s="189"/>
      <c r="AR873" s="189"/>
      <c r="AS873" s="189"/>
      <c r="AT873" s="189"/>
    </row>
    <row r="874" spans="1:46" ht="12.75" customHeight="1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  <c r="AB874" s="189"/>
      <c r="AC874" s="189"/>
      <c r="AD874" s="189"/>
      <c r="AE874" s="189"/>
      <c r="AF874" s="189"/>
      <c r="AG874" s="189"/>
      <c r="AH874" s="189"/>
      <c r="AI874" s="189"/>
      <c r="AJ874" s="189"/>
      <c r="AK874" s="189"/>
      <c r="AL874" s="189"/>
      <c r="AM874" s="189"/>
      <c r="AN874" s="189"/>
      <c r="AO874" s="189"/>
      <c r="AP874" s="189"/>
      <c r="AQ874" s="189"/>
      <c r="AR874" s="189"/>
      <c r="AS874" s="189"/>
      <c r="AT874" s="189"/>
    </row>
    <row r="875" spans="1:46" ht="12.75" customHeight="1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  <c r="AB875" s="189"/>
      <c r="AC875" s="189"/>
      <c r="AD875" s="189"/>
      <c r="AE875" s="189"/>
      <c r="AF875" s="189"/>
      <c r="AG875" s="189"/>
      <c r="AH875" s="189"/>
      <c r="AI875" s="189"/>
      <c r="AJ875" s="189"/>
      <c r="AK875" s="189"/>
      <c r="AL875" s="189"/>
      <c r="AM875" s="189"/>
      <c r="AN875" s="189"/>
      <c r="AO875" s="189"/>
      <c r="AP875" s="189"/>
      <c r="AQ875" s="189"/>
      <c r="AR875" s="189"/>
      <c r="AS875" s="189"/>
      <c r="AT875" s="189"/>
    </row>
    <row r="876" spans="1:46" ht="12.75" customHeight="1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  <c r="AB876" s="189"/>
      <c r="AC876" s="189"/>
      <c r="AD876" s="189"/>
      <c r="AE876" s="189"/>
      <c r="AF876" s="189"/>
      <c r="AG876" s="189"/>
      <c r="AH876" s="189"/>
      <c r="AI876" s="189"/>
      <c r="AJ876" s="189"/>
      <c r="AK876" s="189"/>
      <c r="AL876" s="189"/>
      <c r="AM876" s="189"/>
      <c r="AN876" s="189"/>
      <c r="AO876" s="189"/>
      <c r="AP876" s="189"/>
      <c r="AQ876" s="189"/>
      <c r="AR876" s="189"/>
      <c r="AS876" s="189"/>
      <c r="AT876" s="189"/>
    </row>
    <row r="877" spans="1:46" ht="12.75" customHeight="1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  <c r="AB877" s="189"/>
      <c r="AC877" s="189"/>
      <c r="AD877" s="189"/>
      <c r="AE877" s="189"/>
      <c r="AF877" s="189"/>
      <c r="AG877" s="189"/>
      <c r="AH877" s="189"/>
      <c r="AI877" s="189"/>
      <c r="AJ877" s="189"/>
      <c r="AK877" s="189"/>
      <c r="AL877" s="189"/>
      <c r="AM877" s="189"/>
      <c r="AN877" s="189"/>
      <c r="AO877" s="189"/>
      <c r="AP877" s="189"/>
      <c r="AQ877" s="189"/>
      <c r="AR877" s="189"/>
      <c r="AS877" s="189"/>
      <c r="AT877" s="189"/>
    </row>
    <row r="878" spans="1:46" ht="12.75" customHeight="1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  <c r="AB878" s="189"/>
      <c r="AC878" s="189"/>
      <c r="AD878" s="189"/>
      <c r="AE878" s="189"/>
      <c r="AF878" s="189"/>
      <c r="AG878" s="189"/>
      <c r="AH878" s="189"/>
      <c r="AI878" s="189"/>
      <c r="AJ878" s="189"/>
      <c r="AK878" s="189"/>
      <c r="AL878" s="189"/>
      <c r="AM878" s="189"/>
      <c r="AN878" s="189"/>
      <c r="AO878" s="189"/>
      <c r="AP878" s="189"/>
      <c r="AQ878" s="189"/>
      <c r="AR878" s="189"/>
      <c r="AS878" s="189"/>
      <c r="AT878" s="189"/>
    </row>
    <row r="879" spans="1:46" ht="12.75" customHeight="1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  <c r="AB879" s="189"/>
      <c r="AC879" s="189"/>
      <c r="AD879" s="189"/>
      <c r="AE879" s="189"/>
      <c r="AF879" s="189"/>
      <c r="AG879" s="189"/>
      <c r="AH879" s="189"/>
      <c r="AI879" s="189"/>
      <c r="AJ879" s="189"/>
      <c r="AK879" s="189"/>
      <c r="AL879" s="189"/>
      <c r="AM879" s="189"/>
      <c r="AN879" s="189"/>
      <c r="AO879" s="189"/>
      <c r="AP879" s="189"/>
      <c r="AQ879" s="189"/>
      <c r="AR879" s="189"/>
      <c r="AS879" s="189"/>
      <c r="AT879" s="189"/>
    </row>
    <row r="880" spans="1:46" ht="12.75" customHeight="1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  <c r="AB880" s="189"/>
      <c r="AC880" s="189"/>
      <c r="AD880" s="189"/>
      <c r="AE880" s="189"/>
      <c r="AF880" s="189"/>
      <c r="AG880" s="189"/>
      <c r="AH880" s="189"/>
      <c r="AI880" s="189"/>
      <c r="AJ880" s="189"/>
      <c r="AK880" s="189"/>
      <c r="AL880" s="189"/>
      <c r="AM880" s="189"/>
      <c r="AN880" s="189"/>
      <c r="AO880" s="189"/>
      <c r="AP880" s="189"/>
      <c r="AQ880" s="189"/>
      <c r="AR880" s="189"/>
      <c r="AS880" s="189"/>
      <c r="AT880" s="189"/>
    </row>
    <row r="881" spans="1:46" ht="12.75" customHeight="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  <c r="AB881" s="189"/>
      <c r="AC881" s="189"/>
      <c r="AD881" s="189"/>
      <c r="AE881" s="189"/>
      <c r="AF881" s="189"/>
      <c r="AG881" s="189"/>
      <c r="AH881" s="189"/>
      <c r="AI881" s="189"/>
      <c r="AJ881" s="189"/>
      <c r="AK881" s="189"/>
      <c r="AL881" s="189"/>
      <c r="AM881" s="189"/>
      <c r="AN881" s="189"/>
      <c r="AO881" s="189"/>
      <c r="AP881" s="189"/>
      <c r="AQ881" s="189"/>
      <c r="AR881" s="189"/>
      <c r="AS881" s="189"/>
      <c r="AT881" s="189"/>
    </row>
    <row r="882" spans="1:46" ht="12.75" customHeight="1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  <c r="AB882" s="189"/>
      <c r="AC882" s="189"/>
      <c r="AD882" s="189"/>
      <c r="AE882" s="189"/>
      <c r="AF882" s="189"/>
      <c r="AG882" s="189"/>
      <c r="AH882" s="189"/>
      <c r="AI882" s="189"/>
      <c r="AJ882" s="189"/>
      <c r="AK882" s="189"/>
      <c r="AL882" s="189"/>
      <c r="AM882" s="189"/>
      <c r="AN882" s="189"/>
      <c r="AO882" s="189"/>
      <c r="AP882" s="189"/>
      <c r="AQ882" s="189"/>
      <c r="AR882" s="189"/>
      <c r="AS882" s="189"/>
      <c r="AT882" s="189"/>
    </row>
    <row r="883" spans="1:46" ht="12.75" customHeight="1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  <c r="AB883" s="189"/>
      <c r="AC883" s="189"/>
      <c r="AD883" s="189"/>
      <c r="AE883" s="189"/>
      <c r="AF883" s="189"/>
      <c r="AG883" s="189"/>
      <c r="AH883" s="189"/>
      <c r="AI883" s="189"/>
      <c r="AJ883" s="189"/>
      <c r="AK883" s="189"/>
      <c r="AL883" s="189"/>
      <c r="AM883" s="189"/>
      <c r="AN883" s="189"/>
      <c r="AO883" s="189"/>
      <c r="AP883" s="189"/>
      <c r="AQ883" s="189"/>
      <c r="AR883" s="189"/>
      <c r="AS883" s="189"/>
      <c r="AT883" s="189"/>
    </row>
    <row r="884" spans="1:46" ht="12.75" customHeight="1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  <c r="AB884" s="189"/>
      <c r="AC884" s="189"/>
      <c r="AD884" s="189"/>
      <c r="AE884" s="189"/>
      <c r="AF884" s="189"/>
      <c r="AG884" s="189"/>
      <c r="AH884" s="189"/>
      <c r="AI884" s="189"/>
      <c r="AJ884" s="189"/>
      <c r="AK884" s="189"/>
      <c r="AL884" s="189"/>
      <c r="AM884" s="189"/>
      <c r="AN884" s="189"/>
      <c r="AO884" s="189"/>
      <c r="AP884" s="189"/>
      <c r="AQ884" s="189"/>
      <c r="AR884" s="189"/>
      <c r="AS884" s="189"/>
      <c r="AT884" s="189"/>
    </row>
    <row r="885" spans="1:46" ht="12.75" customHeight="1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  <c r="AC885" s="189"/>
      <c r="AD885" s="189"/>
      <c r="AE885" s="189"/>
      <c r="AF885" s="189"/>
      <c r="AG885" s="189"/>
      <c r="AH885" s="189"/>
      <c r="AI885" s="189"/>
      <c r="AJ885" s="189"/>
      <c r="AK885" s="189"/>
      <c r="AL885" s="189"/>
      <c r="AM885" s="189"/>
      <c r="AN885" s="189"/>
      <c r="AO885" s="189"/>
      <c r="AP885" s="189"/>
      <c r="AQ885" s="189"/>
      <c r="AR885" s="189"/>
      <c r="AS885" s="189"/>
      <c r="AT885" s="189"/>
    </row>
    <row r="886" spans="1:46" ht="12.75" customHeight="1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  <c r="AC886" s="189"/>
      <c r="AD886" s="189"/>
      <c r="AE886" s="189"/>
      <c r="AF886" s="189"/>
      <c r="AG886" s="189"/>
      <c r="AH886" s="189"/>
      <c r="AI886" s="189"/>
      <c r="AJ886" s="189"/>
      <c r="AK886" s="189"/>
      <c r="AL886" s="189"/>
      <c r="AM886" s="189"/>
      <c r="AN886" s="189"/>
      <c r="AO886" s="189"/>
      <c r="AP886" s="189"/>
      <c r="AQ886" s="189"/>
      <c r="AR886" s="189"/>
      <c r="AS886" s="189"/>
      <c r="AT886" s="189"/>
    </row>
    <row r="887" spans="1:46" ht="12.75" customHeight="1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  <c r="AG887" s="189"/>
      <c r="AH887" s="189"/>
      <c r="AI887" s="189"/>
      <c r="AJ887" s="189"/>
      <c r="AK887" s="189"/>
      <c r="AL887" s="189"/>
      <c r="AM887" s="189"/>
      <c r="AN887" s="189"/>
      <c r="AO887" s="189"/>
      <c r="AP887" s="189"/>
      <c r="AQ887" s="189"/>
      <c r="AR887" s="189"/>
      <c r="AS887" s="189"/>
      <c r="AT887" s="189"/>
    </row>
    <row r="888" spans="1:46" ht="12.75" customHeight="1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  <c r="AB888" s="189"/>
      <c r="AC888" s="189"/>
      <c r="AD888" s="189"/>
      <c r="AE888" s="189"/>
      <c r="AF888" s="189"/>
      <c r="AG888" s="189"/>
      <c r="AH888" s="189"/>
      <c r="AI888" s="189"/>
      <c r="AJ888" s="189"/>
      <c r="AK888" s="189"/>
      <c r="AL888" s="189"/>
      <c r="AM888" s="189"/>
      <c r="AN888" s="189"/>
      <c r="AO888" s="189"/>
      <c r="AP888" s="189"/>
      <c r="AQ888" s="189"/>
      <c r="AR888" s="189"/>
      <c r="AS888" s="189"/>
      <c r="AT888" s="189"/>
    </row>
    <row r="889" spans="1:46" ht="12.75" customHeight="1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  <c r="AB889" s="189"/>
      <c r="AC889" s="189"/>
      <c r="AD889" s="189"/>
      <c r="AE889" s="189"/>
      <c r="AF889" s="189"/>
      <c r="AG889" s="189"/>
      <c r="AH889" s="189"/>
      <c r="AI889" s="189"/>
      <c r="AJ889" s="189"/>
      <c r="AK889" s="189"/>
      <c r="AL889" s="189"/>
      <c r="AM889" s="189"/>
      <c r="AN889" s="189"/>
      <c r="AO889" s="189"/>
      <c r="AP889" s="189"/>
      <c r="AQ889" s="189"/>
      <c r="AR889" s="189"/>
      <c r="AS889" s="189"/>
      <c r="AT889" s="189"/>
    </row>
    <row r="890" spans="1:46" ht="12.75" customHeight="1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  <c r="AB890" s="189"/>
      <c r="AC890" s="189"/>
      <c r="AD890" s="189"/>
      <c r="AE890" s="189"/>
      <c r="AF890" s="189"/>
      <c r="AG890" s="189"/>
      <c r="AH890" s="189"/>
      <c r="AI890" s="189"/>
      <c r="AJ890" s="189"/>
      <c r="AK890" s="189"/>
      <c r="AL890" s="189"/>
      <c r="AM890" s="189"/>
      <c r="AN890" s="189"/>
      <c r="AO890" s="189"/>
      <c r="AP890" s="189"/>
      <c r="AQ890" s="189"/>
      <c r="AR890" s="189"/>
      <c r="AS890" s="189"/>
      <c r="AT890" s="189"/>
    </row>
    <row r="891" spans="1:46" ht="12.75" customHeight="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  <c r="AC891" s="189"/>
      <c r="AD891" s="189"/>
      <c r="AE891" s="189"/>
      <c r="AF891" s="189"/>
      <c r="AG891" s="189"/>
      <c r="AH891" s="189"/>
      <c r="AI891" s="189"/>
      <c r="AJ891" s="189"/>
      <c r="AK891" s="189"/>
      <c r="AL891" s="189"/>
      <c r="AM891" s="189"/>
      <c r="AN891" s="189"/>
      <c r="AO891" s="189"/>
      <c r="AP891" s="189"/>
      <c r="AQ891" s="189"/>
      <c r="AR891" s="189"/>
      <c r="AS891" s="189"/>
      <c r="AT891" s="189"/>
    </row>
    <row r="892" spans="1:46" ht="12.75" customHeight="1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  <c r="AB892" s="189"/>
      <c r="AC892" s="189"/>
      <c r="AD892" s="189"/>
      <c r="AE892" s="189"/>
      <c r="AF892" s="189"/>
      <c r="AG892" s="189"/>
      <c r="AH892" s="189"/>
      <c r="AI892" s="189"/>
      <c r="AJ892" s="189"/>
      <c r="AK892" s="189"/>
      <c r="AL892" s="189"/>
      <c r="AM892" s="189"/>
      <c r="AN892" s="189"/>
      <c r="AO892" s="189"/>
      <c r="AP892" s="189"/>
      <c r="AQ892" s="189"/>
      <c r="AR892" s="189"/>
      <c r="AS892" s="189"/>
      <c r="AT892" s="189"/>
    </row>
    <row r="893" spans="1:46" ht="12.75" customHeight="1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  <c r="AB893" s="189"/>
      <c r="AC893" s="189"/>
      <c r="AD893" s="189"/>
      <c r="AE893" s="189"/>
      <c r="AF893" s="189"/>
      <c r="AG893" s="189"/>
      <c r="AH893" s="189"/>
      <c r="AI893" s="189"/>
      <c r="AJ893" s="189"/>
      <c r="AK893" s="189"/>
      <c r="AL893" s="189"/>
      <c r="AM893" s="189"/>
      <c r="AN893" s="189"/>
      <c r="AO893" s="189"/>
      <c r="AP893" s="189"/>
      <c r="AQ893" s="189"/>
      <c r="AR893" s="189"/>
      <c r="AS893" s="189"/>
      <c r="AT893" s="189"/>
    </row>
    <row r="894" spans="1:46" ht="12.75" customHeight="1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  <c r="AB894" s="189"/>
      <c r="AC894" s="189"/>
      <c r="AD894" s="189"/>
      <c r="AE894" s="189"/>
      <c r="AF894" s="189"/>
      <c r="AG894" s="189"/>
      <c r="AH894" s="189"/>
      <c r="AI894" s="189"/>
      <c r="AJ894" s="189"/>
      <c r="AK894" s="189"/>
      <c r="AL894" s="189"/>
      <c r="AM894" s="189"/>
      <c r="AN894" s="189"/>
      <c r="AO894" s="189"/>
      <c r="AP894" s="189"/>
      <c r="AQ894" s="189"/>
      <c r="AR894" s="189"/>
      <c r="AS894" s="189"/>
      <c r="AT894" s="189"/>
    </row>
    <row r="895" spans="1:46" ht="12.75" customHeight="1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  <c r="AB895" s="189"/>
      <c r="AC895" s="189"/>
      <c r="AD895" s="189"/>
      <c r="AE895" s="189"/>
      <c r="AF895" s="189"/>
      <c r="AG895" s="189"/>
      <c r="AH895" s="189"/>
      <c r="AI895" s="189"/>
      <c r="AJ895" s="189"/>
      <c r="AK895" s="189"/>
      <c r="AL895" s="189"/>
      <c r="AM895" s="189"/>
      <c r="AN895" s="189"/>
      <c r="AO895" s="189"/>
      <c r="AP895" s="189"/>
      <c r="AQ895" s="189"/>
      <c r="AR895" s="189"/>
      <c r="AS895" s="189"/>
      <c r="AT895" s="189"/>
    </row>
    <row r="896" spans="1:46" ht="12.75" customHeight="1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  <c r="AB896" s="189"/>
      <c r="AC896" s="189"/>
      <c r="AD896" s="189"/>
      <c r="AE896" s="189"/>
      <c r="AF896" s="189"/>
      <c r="AG896" s="189"/>
      <c r="AH896" s="189"/>
      <c r="AI896" s="189"/>
      <c r="AJ896" s="189"/>
      <c r="AK896" s="189"/>
      <c r="AL896" s="189"/>
      <c r="AM896" s="189"/>
      <c r="AN896" s="189"/>
      <c r="AO896" s="189"/>
      <c r="AP896" s="189"/>
      <c r="AQ896" s="189"/>
      <c r="AR896" s="189"/>
      <c r="AS896" s="189"/>
      <c r="AT896" s="189"/>
    </row>
    <row r="897" spans="1:46" ht="12.75" customHeight="1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  <c r="AB897" s="189"/>
      <c r="AC897" s="189"/>
      <c r="AD897" s="189"/>
      <c r="AE897" s="189"/>
      <c r="AF897" s="189"/>
      <c r="AG897" s="189"/>
      <c r="AH897" s="189"/>
      <c r="AI897" s="189"/>
      <c r="AJ897" s="189"/>
      <c r="AK897" s="189"/>
      <c r="AL897" s="189"/>
      <c r="AM897" s="189"/>
      <c r="AN897" s="189"/>
      <c r="AO897" s="189"/>
      <c r="AP897" s="189"/>
      <c r="AQ897" s="189"/>
      <c r="AR897" s="189"/>
      <c r="AS897" s="189"/>
      <c r="AT897" s="189"/>
    </row>
    <row r="898" spans="1:46" ht="12.75" customHeight="1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  <c r="AB898" s="189"/>
      <c r="AC898" s="189"/>
      <c r="AD898" s="189"/>
      <c r="AE898" s="189"/>
      <c r="AF898" s="189"/>
      <c r="AG898" s="189"/>
      <c r="AH898" s="189"/>
      <c r="AI898" s="189"/>
      <c r="AJ898" s="189"/>
      <c r="AK898" s="189"/>
      <c r="AL898" s="189"/>
      <c r="AM898" s="189"/>
      <c r="AN898" s="189"/>
      <c r="AO898" s="189"/>
      <c r="AP898" s="189"/>
      <c r="AQ898" s="189"/>
      <c r="AR898" s="189"/>
      <c r="AS898" s="189"/>
      <c r="AT898" s="189"/>
    </row>
    <row r="899" spans="1:46" ht="12.75" customHeight="1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  <c r="AB899" s="189"/>
      <c r="AC899" s="189"/>
      <c r="AD899" s="189"/>
      <c r="AE899" s="189"/>
      <c r="AF899" s="189"/>
      <c r="AG899" s="189"/>
      <c r="AH899" s="189"/>
      <c r="AI899" s="189"/>
      <c r="AJ899" s="189"/>
      <c r="AK899" s="189"/>
      <c r="AL899" s="189"/>
      <c r="AM899" s="189"/>
      <c r="AN899" s="189"/>
      <c r="AO899" s="189"/>
      <c r="AP899" s="189"/>
      <c r="AQ899" s="189"/>
      <c r="AR899" s="189"/>
      <c r="AS899" s="189"/>
      <c r="AT899" s="189"/>
    </row>
    <row r="900" spans="1:46" ht="12.75" customHeight="1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  <c r="AB900" s="189"/>
      <c r="AC900" s="189"/>
      <c r="AD900" s="189"/>
      <c r="AE900" s="189"/>
      <c r="AF900" s="189"/>
      <c r="AG900" s="189"/>
      <c r="AH900" s="189"/>
      <c r="AI900" s="189"/>
      <c r="AJ900" s="189"/>
      <c r="AK900" s="189"/>
      <c r="AL900" s="189"/>
      <c r="AM900" s="189"/>
      <c r="AN900" s="189"/>
      <c r="AO900" s="189"/>
      <c r="AP900" s="189"/>
      <c r="AQ900" s="189"/>
      <c r="AR900" s="189"/>
      <c r="AS900" s="189"/>
      <c r="AT900" s="189"/>
    </row>
    <row r="901" spans="1:46" ht="12.75" customHeight="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  <c r="AB901" s="189"/>
      <c r="AC901" s="189"/>
      <c r="AD901" s="189"/>
      <c r="AE901" s="189"/>
      <c r="AF901" s="189"/>
      <c r="AG901" s="189"/>
      <c r="AH901" s="189"/>
      <c r="AI901" s="189"/>
      <c r="AJ901" s="189"/>
      <c r="AK901" s="189"/>
      <c r="AL901" s="189"/>
      <c r="AM901" s="189"/>
      <c r="AN901" s="189"/>
      <c r="AO901" s="189"/>
      <c r="AP901" s="189"/>
      <c r="AQ901" s="189"/>
      <c r="AR901" s="189"/>
      <c r="AS901" s="189"/>
      <c r="AT901" s="189"/>
    </row>
    <row r="902" spans="1:46" ht="12.75" customHeight="1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  <c r="AB902" s="189"/>
      <c r="AC902" s="189"/>
      <c r="AD902" s="189"/>
      <c r="AE902" s="189"/>
      <c r="AF902" s="189"/>
      <c r="AG902" s="189"/>
      <c r="AH902" s="189"/>
      <c r="AI902" s="189"/>
      <c r="AJ902" s="189"/>
      <c r="AK902" s="189"/>
      <c r="AL902" s="189"/>
      <c r="AM902" s="189"/>
      <c r="AN902" s="189"/>
      <c r="AO902" s="189"/>
      <c r="AP902" s="189"/>
      <c r="AQ902" s="189"/>
      <c r="AR902" s="189"/>
      <c r="AS902" s="189"/>
      <c r="AT902" s="189"/>
    </row>
    <row r="903" spans="1:46" ht="12.75" customHeight="1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  <c r="AB903" s="189"/>
      <c r="AC903" s="189"/>
      <c r="AD903" s="189"/>
      <c r="AE903" s="189"/>
      <c r="AF903" s="189"/>
      <c r="AG903" s="189"/>
      <c r="AH903" s="189"/>
      <c r="AI903" s="189"/>
      <c r="AJ903" s="189"/>
      <c r="AK903" s="189"/>
      <c r="AL903" s="189"/>
      <c r="AM903" s="189"/>
      <c r="AN903" s="189"/>
      <c r="AO903" s="189"/>
      <c r="AP903" s="189"/>
      <c r="AQ903" s="189"/>
      <c r="AR903" s="189"/>
      <c r="AS903" s="189"/>
      <c r="AT903" s="189"/>
    </row>
    <row r="904" spans="1:46" ht="12.75" customHeight="1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  <c r="AB904" s="189"/>
      <c r="AC904" s="189"/>
      <c r="AD904" s="189"/>
      <c r="AE904" s="189"/>
      <c r="AF904" s="189"/>
      <c r="AG904" s="189"/>
      <c r="AH904" s="189"/>
      <c r="AI904" s="189"/>
      <c r="AJ904" s="189"/>
      <c r="AK904" s="189"/>
      <c r="AL904" s="189"/>
      <c r="AM904" s="189"/>
      <c r="AN904" s="189"/>
      <c r="AO904" s="189"/>
      <c r="AP904" s="189"/>
      <c r="AQ904" s="189"/>
      <c r="AR904" s="189"/>
      <c r="AS904" s="189"/>
      <c r="AT904" s="189"/>
    </row>
    <row r="905" spans="1:46" ht="12.75" customHeight="1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89"/>
      <c r="AQ905" s="189"/>
      <c r="AR905" s="189"/>
      <c r="AS905" s="189"/>
      <c r="AT905" s="189"/>
    </row>
    <row r="906" spans="1:46" ht="12.75" customHeight="1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  <c r="AB906" s="189"/>
      <c r="AC906" s="189"/>
      <c r="AD906" s="189"/>
      <c r="AE906" s="189"/>
      <c r="AF906" s="189"/>
      <c r="AG906" s="189"/>
      <c r="AH906" s="189"/>
      <c r="AI906" s="189"/>
      <c r="AJ906" s="189"/>
      <c r="AK906" s="189"/>
      <c r="AL906" s="189"/>
      <c r="AM906" s="189"/>
      <c r="AN906" s="189"/>
      <c r="AO906" s="189"/>
      <c r="AP906" s="189"/>
      <c r="AQ906" s="189"/>
      <c r="AR906" s="189"/>
      <c r="AS906" s="189"/>
      <c r="AT906" s="189"/>
    </row>
    <row r="907" spans="1:46" ht="12.75" customHeight="1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  <c r="AB907" s="189"/>
      <c r="AC907" s="189"/>
      <c r="AD907" s="189"/>
      <c r="AE907" s="189"/>
      <c r="AF907" s="189"/>
      <c r="AG907" s="189"/>
      <c r="AH907" s="189"/>
      <c r="AI907" s="189"/>
      <c r="AJ907" s="189"/>
      <c r="AK907" s="189"/>
      <c r="AL907" s="189"/>
      <c r="AM907" s="189"/>
      <c r="AN907" s="189"/>
      <c r="AO907" s="189"/>
      <c r="AP907" s="189"/>
      <c r="AQ907" s="189"/>
      <c r="AR907" s="189"/>
      <c r="AS907" s="189"/>
      <c r="AT907" s="189"/>
    </row>
    <row r="908" spans="1:46" ht="12.75" customHeight="1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  <c r="AB908" s="189"/>
      <c r="AC908" s="189"/>
      <c r="AD908" s="189"/>
      <c r="AE908" s="189"/>
      <c r="AF908" s="189"/>
      <c r="AG908" s="189"/>
      <c r="AH908" s="189"/>
      <c r="AI908" s="189"/>
      <c r="AJ908" s="189"/>
      <c r="AK908" s="189"/>
      <c r="AL908" s="189"/>
      <c r="AM908" s="189"/>
      <c r="AN908" s="189"/>
      <c r="AO908" s="189"/>
      <c r="AP908" s="189"/>
      <c r="AQ908" s="189"/>
      <c r="AR908" s="189"/>
      <c r="AS908" s="189"/>
      <c r="AT908" s="189"/>
    </row>
    <row r="909" spans="1:46" ht="12.75" customHeight="1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  <c r="AB909" s="189"/>
      <c r="AC909" s="189"/>
      <c r="AD909" s="189"/>
      <c r="AE909" s="189"/>
      <c r="AF909" s="189"/>
      <c r="AG909" s="189"/>
      <c r="AH909" s="189"/>
      <c r="AI909" s="189"/>
      <c r="AJ909" s="189"/>
      <c r="AK909" s="189"/>
      <c r="AL909" s="189"/>
      <c r="AM909" s="189"/>
      <c r="AN909" s="189"/>
      <c r="AO909" s="189"/>
      <c r="AP909" s="189"/>
      <c r="AQ909" s="189"/>
      <c r="AR909" s="189"/>
      <c r="AS909" s="189"/>
      <c r="AT909" s="189"/>
    </row>
    <row r="910" spans="1:46" ht="12.75" customHeight="1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  <c r="AB910" s="189"/>
      <c r="AC910" s="189"/>
      <c r="AD910" s="189"/>
      <c r="AE910" s="189"/>
      <c r="AF910" s="189"/>
      <c r="AG910" s="189"/>
      <c r="AH910" s="189"/>
      <c r="AI910" s="189"/>
      <c r="AJ910" s="189"/>
      <c r="AK910" s="189"/>
      <c r="AL910" s="189"/>
      <c r="AM910" s="189"/>
      <c r="AN910" s="189"/>
      <c r="AO910" s="189"/>
      <c r="AP910" s="189"/>
      <c r="AQ910" s="189"/>
      <c r="AR910" s="189"/>
      <c r="AS910" s="189"/>
      <c r="AT910" s="189"/>
    </row>
    <row r="911" spans="1:46" ht="12.75" customHeight="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  <c r="AB911" s="189"/>
      <c r="AC911" s="189"/>
      <c r="AD911" s="189"/>
      <c r="AE911" s="189"/>
      <c r="AF911" s="189"/>
      <c r="AG911" s="189"/>
      <c r="AH911" s="189"/>
      <c r="AI911" s="189"/>
      <c r="AJ911" s="189"/>
      <c r="AK911" s="189"/>
      <c r="AL911" s="189"/>
      <c r="AM911" s="189"/>
      <c r="AN911" s="189"/>
      <c r="AO911" s="189"/>
      <c r="AP911" s="189"/>
      <c r="AQ911" s="189"/>
      <c r="AR911" s="189"/>
      <c r="AS911" s="189"/>
      <c r="AT911" s="189"/>
    </row>
    <row r="912" spans="1:46" ht="12.75" customHeight="1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  <c r="AB912" s="189"/>
      <c r="AC912" s="189"/>
      <c r="AD912" s="189"/>
      <c r="AE912" s="189"/>
      <c r="AF912" s="189"/>
      <c r="AG912" s="189"/>
      <c r="AH912" s="189"/>
      <c r="AI912" s="189"/>
      <c r="AJ912" s="189"/>
      <c r="AK912" s="189"/>
      <c r="AL912" s="189"/>
      <c r="AM912" s="189"/>
      <c r="AN912" s="189"/>
      <c r="AO912" s="189"/>
      <c r="AP912" s="189"/>
      <c r="AQ912" s="189"/>
      <c r="AR912" s="189"/>
      <c r="AS912" s="189"/>
      <c r="AT912" s="189"/>
    </row>
    <row r="913" spans="1:46" ht="12.75" customHeight="1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  <c r="AB913" s="189"/>
      <c r="AC913" s="189"/>
      <c r="AD913" s="189"/>
      <c r="AE913" s="189"/>
      <c r="AF913" s="189"/>
      <c r="AG913" s="189"/>
      <c r="AH913" s="189"/>
      <c r="AI913" s="189"/>
      <c r="AJ913" s="189"/>
      <c r="AK913" s="189"/>
      <c r="AL913" s="189"/>
      <c r="AM913" s="189"/>
      <c r="AN913" s="189"/>
      <c r="AO913" s="189"/>
      <c r="AP913" s="189"/>
      <c r="AQ913" s="189"/>
      <c r="AR913" s="189"/>
      <c r="AS913" s="189"/>
      <c r="AT913" s="189"/>
    </row>
    <row r="914" spans="1:46" ht="12.75" customHeight="1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  <c r="AB914" s="189"/>
      <c r="AC914" s="189"/>
      <c r="AD914" s="189"/>
      <c r="AE914" s="189"/>
      <c r="AF914" s="189"/>
      <c r="AG914" s="189"/>
      <c r="AH914" s="189"/>
      <c r="AI914" s="189"/>
      <c r="AJ914" s="189"/>
      <c r="AK914" s="189"/>
      <c r="AL914" s="189"/>
      <c r="AM914" s="189"/>
      <c r="AN914" s="189"/>
      <c r="AO914" s="189"/>
      <c r="AP914" s="189"/>
      <c r="AQ914" s="189"/>
      <c r="AR914" s="189"/>
      <c r="AS914" s="189"/>
      <c r="AT914" s="189"/>
    </row>
    <row r="915" spans="1:46" ht="12.75" customHeight="1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  <c r="AA915" s="189"/>
      <c r="AB915" s="189"/>
      <c r="AC915" s="189"/>
      <c r="AD915" s="189"/>
      <c r="AE915" s="189"/>
      <c r="AF915" s="189"/>
      <c r="AG915" s="189"/>
      <c r="AH915" s="189"/>
      <c r="AI915" s="189"/>
      <c r="AJ915" s="189"/>
      <c r="AK915" s="189"/>
      <c r="AL915" s="189"/>
      <c r="AM915" s="189"/>
      <c r="AN915" s="189"/>
      <c r="AO915" s="189"/>
      <c r="AP915" s="189"/>
      <c r="AQ915" s="189"/>
      <c r="AR915" s="189"/>
      <c r="AS915" s="189"/>
      <c r="AT915" s="189"/>
    </row>
    <row r="916" spans="1:46" ht="12.75" customHeight="1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  <c r="AA916" s="189"/>
      <c r="AB916" s="189"/>
      <c r="AC916" s="189"/>
      <c r="AD916" s="189"/>
      <c r="AE916" s="189"/>
      <c r="AF916" s="189"/>
      <c r="AG916" s="189"/>
      <c r="AH916" s="189"/>
      <c r="AI916" s="189"/>
      <c r="AJ916" s="189"/>
      <c r="AK916" s="189"/>
      <c r="AL916" s="189"/>
      <c r="AM916" s="189"/>
      <c r="AN916" s="189"/>
      <c r="AO916" s="189"/>
      <c r="AP916" s="189"/>
      <c r="AQ916" s="189"/>
      <c r="AR916" s="189"/>
      <c r="AS916" s="189"/>
      <c r="AT916" s="189"/>
    </row>
    <row r="917" spans="1:46" ht="12.75" customHeight="1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  <c r="AA917" s="189"/>
      <c r="AB917" s="189"/>
      <c r="AC917" s="189"/>
      <c r="AD917" s="189"/>
      <c r="AE917" s="189"/>
      <c r="AF917" s="189"/>
      <c r="AG917" s="189"/>
      <c r="AH917" s="189"/>
      <c r="AI917" s="189"/>
      <c r="AJ917" s="189"/>
      <c r="AK917" s="189"/>
      <c r="AL917" s="189"/>
      <c r="AM917" s="189"/>
      <c r="AN917" s="189"/>
      <c r="AO917" s="189"/>
      <c r="AP917" s="189"/>
      <c r="AQ917" s="189"/>
      <c r="AR917" s="189"/>
      <c r="AS917" s="189"/>
      <c r="AT917" s="189"/>
    </row>
    <row r="918" spans="1:46" ht="12.75" customHeight="1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  <c r="AA918" s="189"/>
      <c r="AB918" s="189"/>
      <c r="AC918" s="189"/>
      <c r="AD918" s="189"/>
      <c r="AE918" s="189"/>
      <c r="AF918" s="189"/>
      <c r="AG918" s="189"/>
      <c r="AH918" s="189"/>
      <c r="AI918" s="189"/>
      <c r="AJ918" s="189"/>
      <c r="AK918" s="189"/>
      <c r="AL918" s="189"/>
      <c r="AM918" s="189"/>
      <c r="AN918" s="189"/>
      <c r="AO918" s="189"/>
      <c r="AP918" s="189"/>
      <c r="AQ918" s="189"/>
      <c r="AR918" s="189"/>
      <c r="AS918" s="189"/>
      <c r="AT918" s="189"/>
    </row>
    <row r="919" spans="1:46" ht="12.75" customHeight="1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  <c r="AA919" s="189"/>
      <c r="AB919" s="189"/>
      <c r="AC919" s="189"/>
      <c r="AD919" s="189"/>
      <c r="AE919" s="189"/>
      <c r="AF919" s="189"/>
      <c r="AG919" s="189"/>
      <c r="AH919" s="189"/>
      <c r="AI919" s="189"/>
      <c r="AJ919" s="189"/>
      <c r="AK919" s="189"/>
      <c r="AL919" s="189"/>
      <c r="AM919" s="189"/>
      <c r="AN919" s="189"/>
      <c r="AO919" s="189"/>
      <c r="AP919" s="189"/>
      <c r="AQ919" s="189"/>
      <c r="AR919" s="189"/>
      <c r="AS919" s="189"/>
      <c r="AT919" s="189"/>
    </row>
    <row r="920" spans="1:46" ht="12.75" customHeight="1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  <c r="AA920" s="189"/>
      <c r="AB920" s="189"/>
      <c r="AC920" s="189"/>
      <c r="AD920" s="189"/>
      <c r="AE920" s="189"/>
      <c r="AF920" s="189"/>
      <c r="AG920" s="189"/>
      <c r="AH920" s="189"/>
      <c r="AI920" s="189"/>
      <c r="AJ920" s="189"/>
      <c r="AK920" s="189"/>
      <c r="AL920" s="189"/>
      <c r="AM920" s="189"/>
      <c r="AN920" s="189"/>
      <c r="AO920" s="189"/>
      <c r="AP920" s="189"/>
      <c r="AQ920" s="189"/>
      <c r="AR920" s="189"/>
      <c r="AS920" s="189"/>
      <c r="AT920" s="189"/>
    </row>
    <row r="921" spans="1:46" ht="12.75" customHeight="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  <c r="AA921" s="189"/>
      <c r="AB921" s="189"/>
      <c r="AC921" s="189"/>
      <c r="AD921" s="189"/>
      <c r="AE921" s="189"/>
      <c r="AF921" s="189"/>
      <c r="AG921" s="189"/>
      <c r="AH921" s="189"/>
      <c r="AI921" s="189"/>
      <c r="AJ921" s="189"/>
      <c r="AK921" s="189"/>
      <c r="AL921" s="189"/>
      <c r="AM921" s="189"/>
      <c r="AN921" s="189"/>
      <c r="AO921" s="189"/>
      <c r="AP921" s="189"/>
      <c r="AQ921" s="189"/>
      <c r="AR921" s="189"/>
      <c r="AS921" s="189"/>
      <c r="AT921" s="189"/>
    </row>
    <row r="922" spans="1:46" ht="12.75" customHeight="1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  <c r="AA922" s="189"/>
      <c r="AB922" s="189"/>
      <c r="AC922" s="189"/>
      <c r="AD922" s="189"/>
      <c r="AE922" s="189"/>
      <c r="AF922" s="189"/>
      <c r="AG922" s="189"/>
      <c r="AH922" s="189"/>
      <c r="AI922" s="189"/>
      <c r="AJ922" s="189"/>
      <c r="AK922" s="189"/>
      <c r="AL922" s="189"/>
      <c r="AM922" s="189"/>
      <c r="AN922" s="189"/>
      <c r="AO922" s="189"/>
      <c r="AP922" s="189"/>
      <c r="AQ922" s="189"/>
      <c r="AR922" s="189"/>
      <c r="AS922" s="189"/>
      <c r="AT922" s="189"/>
    </row>
    <row r="923" spans="1:46" ht="12.75" customHeight="1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  <c r="AA923" s="189"/>
      <c r="AB923" s="189"/>
      <c r="AC923" s="189"/>
      <c r="AD923" s="189"/>
      <c r="AE923" s="189"/>
      <c r="AF923" s="189"/>
      <c r="AG923" s="189"/>
      <c r="AH923" s="189"/>
      <c r="AI923" s="189"/>
      <c r="AJ923" s="189"/>
      <c r="AK923" s="189"/>
      <c r="AL923" s="189"/>
      <c r="AM923" s="189"/>
      <c r="AN923" s="189"/>
      <c r="AO923" s="189"/>
      <c r="AP923" s="189"/>
      <c r="AQ923" s="189"/>
      <c r="AR923" s="189"/>
      <c r="AS923" s="189"/>
      <c r="AT923" s="189"/>
    </row>
    <row r="924" spans="1:46" ht="12.75" customHeight="1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  <c r="AA924" s="189"/>
      <c r="AB924" s="189"/>
      <c r="AC924" s="189"/>
      <c r="AD924" s="189"/>
      <c r="AE924" s="189"/>
      <c r="AF924" s="189"/>
      <c r="AG924" s="189"/>
      <c r="AH924" s="189"/>
      <c r="AI924" s="189"/>
      <c r="AJ924" s="189"/>
      <c r="AK924" s="189"/>
      <c r="AL924" s="189"/>
      <c r="AM924" s="189"/>
      <c r="AN924" s="189"/>
      <c r="AO924" s="189"/>
      <c r="AP924" s="189"/>
      <c r="AQ924" s="189"/>
      <c r="AR924" s="189"/>
      <c r="AS924" s="189"/>
      <c r="AT924" s="189"/>
    </row>
    <row r="925" spans="1:46" ht="12.75" customHeight="1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  <c r="AB925" s="189"/>
      <c r="AC925" s="189"/>
      <c r="AD925" s="189"/>
      <c r="AE925" s="189"/>
      <c r="AF925" s="189"/>
      <c r="AG925" s="189"/>
      <c r="AH925" s="189"/>
      <c r="AI925" s="189"/>
      <c r="AJ925" s="189"/>
      <c r="AK925" s="189"/>
      <c r="AL925" s="189"/>
      <c r="AM925" s="189"/>
      <c r="AN925" s="189"/>
      <c r="AO925" s="189"/>
      <c r="AP925" s="189"/>
      <c r="AQ925" s="189"/>
      <c r="AR925" s="189"/>
      <c r="AS925" s="189"/>
      <c r="AT925" s="189"/>
    </row>
    <row r="926" spans="1:46" ht="12.75" customHeight="1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  <c r="AA926" s="189"/>
      <c r="AB926" s="189"/>
      <c r="AC926" s="189"/>
      <c r="AD926" s="189"/>
      <c r="AE926" s="189"/>
      <c r="AF926" s="189"/>
      <c r="AG926" s="189"/>
      <c r="AH926" s="189"/>
      <c r="AI926" s="189"/>
      <c r="AJ926" s="189"/>
      <c r="AK926" s="189"/>
      <c r="AL926" s="189"/>
      <c r="AM926" s="189"/>
      <c r="AN926" s="189"/>
      <c r="AO926" s="189"/>
      <c r="AP926" s="189"/>
      <c r="AQ926" s="189"/>
      <c r="AR926" s="189"/>
      <c r="AS926" s="189"/>
      <c r="AT926" s="189"/>
    </row>
    <row r="927" spans="1:46" ht="12.75" customHeight="1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  <c r="AA927" s="189"/>
      <c r="AB927" s="189"/>
      <c r="AC927" s="189"/>
      <c r="AD927" s="189"/>
      <c r="AE927" s="189"/>
      <c r="AF927" s="189"/>
      <c r="AG927" s="189"/>
      <c r="AH927" s="189"/>
      <c r="AI927" s="189"/>
      <c r="AJ927" s="189"/>
      <c r="AK927" s="189"/>
      <c r="AL927" s="189"/>
      <c r="AM927" s="189"/>
      <c r="AN927" s="189"/>
      <c r="AO927" s="189"/>
      <c r="AP927" s="189"/>
      <c r="AQ927" s="189"/>
      <c r="AR927" s="189"/>
      <c r="AS927" s="189"/>
      <c r="AT927" s="189"/>
    </row>
    <row r="928" spans="1:46" ht="12.75" customHeight="1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  <c r="AA928" s="189"/>
      <c r="AB928" s="189"/>
      <c r="AC928" s="189"/>
      <c r="AD928" s="189"/>
      <c r="AE928" s="189"/>
      <c r="AF928" s="189"/>
      <c r="AG928" s="189"/>
      <c r="AH928" s="189"/>
      <c r="AI928" s="189"/>
      <c r="AJ928" s="189"/>
      <c r="AK928" s="189"/>
      <c r="AL928" s="189"/>
      <c r="AM928" s="189"/>
      <c r="AN928" s="189"/>
      <c r="AO928" s="189"/>
      <c r="AP928" s="189"/>
      <c r="AQ928" s="189"/>
      <c r="AR928" s="189"/>
      <c r="AS928" s="189"/>
      <c r="AT928" s="189"/>
    </row>
    <row r="929" spans="1:46" ht="12.75" customHeight="1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  <c r="AA929" s="189"/>
      <c r="AB929" s="189"/>
      <c r="AC929" s="189"/>
      <c r="AD929" s="189"/>
      <c r="AE929" s="189"/>
      <c r="AF929" s="189"/>
      <c r="AG929" s="189"/>
      <c r="AH929" s="189"/>
      <c r="AI929" s="189"/>
      <c r="AJ929" s="189"/>
      <c r="AK929" s="189"/>
      <c r="AL929" s="189"/>
      <c r="AM929" s="189"/>
      <c r="AN929" s="189"/>
      <c r="AO929" s="189"/>
      <c r="AP929" s="189"/>
      <c r="AQ929" s="189"/>
      <c r="AR929" s="189"/>
      <c r="AS929" s="189"/>
      <c r="AT929" s="189"/>
    </row>
    <row r="930" spans="1:46" ht="12.75" customHeight="1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  <c r="AA930" s="189"/>
      <c r="AB930" s="189"/>
      <c r="AC930" s="189"/>
      <c r="AD930" s="189"/>
      <c r="AE930" s="189"/>
      <c r="AF930" s="189"/>
      <c r="AG930" s="189"/>
      <c r="AH930" s="189"/>
      <c r="AI930" s="189"/>
      <c r="AJ930" s="189"/>
      <c r="AK930" s="189"/>
      <c r="AL930" s="189"/>
      <c r="AM930" s="189"/>
      <c r="AN930" s="189"/>
      <c r="AO930" s="189"/>
      <c r="AP930" s="189"/>
      <c r="AQ930" s="189"/>
      <c r="AR930" s="189"/>
      <c r="AS930" s="189"/>
      <c r="AT930" s="189"/>
    </row>
    <row r="931" spans="1:46" ht="12.75" customHeight="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  <c r="AA931" s="189"/>
      <c r="AB931" s="189"/>
      <c r="AC931" s="189"/>
      <c r="AD931" s="189"/>
      <c r="AE931" s="189"/>
      <c r="AF931" s="189"/>
      <c r="AG931" s="189"/>
      <c r="AH931" s="189"/>
      <c r="AI931" s="189"/>
      <c r="AJ931" s="189"/>
      <c r="AK931" s="189"/>
      <c r="AL931" s="189"/>
      <c r="AM931" s="189"/>
      <c r="AN931" s="189"/>
      <c r="AO931" s="189"/>
      <c r="AP931" s="189"/>
      <c r="AQ931" s="189"/>
      <c r="AR931" s="189"/>
      <c r="AS931" s="189"/>
      <c r="AT931" s="189"/>
    </row>
    <row r="932" spans="1:46" ht="12.75" customHeight="1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  <c r="AA932" s="189"/>
      <c r="AB932" s="189"/>
      <c r="AC932" s="189"/>
      <c r="AD932" s="189"/>
      <c r="AE932" s="189"/>
      <c r="AF932" s="189"/>
      <c r="AG932" s="189"/>
      <c r="AH932" s="189"/>
      <c r="AI932" s="189"/>
      <c r="AJ932" s="189"/>
      <c r="AK932" s="189"/>
      <c r="AL932" s="189"/>
      <c r="AM932" s="189"/>
      <c r="AN932" s="189"/>
      <c r="AO932" s="189"/>
      <c r="AP932" s="189"/>
      <c r="AQ932" s="189"/>
      <c r="AR932" s="189"/>
      <c r="AS932" s="189"/>
      <c r="AT932" s="189"/>
    </row>
    <row r="933" spans="1:46" ht="12.75" customHeight="1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  <c r="AA933" s="189"/>
      <c r="AB933" s="189"/>
      <c r="AC933" s="189"/>
      <c r="AD933" s="189"/>
      <c r="AE933" s="189"/>
      <c r="AF933" s="189"/>
      <c r="AG933" s="189"/>
      <c r="AH933" s="189"/>
      <c r="AI933" s="189"/>
      <c r="AJ933" s="189"/>
      <c r="AK933" s="189"/>
      <c r="AL933" s="189"/>
      <c r="AM933" s="189"/>
      <c r="AN933" s="189"/>
      <c r="AO933" s="189"/>
      <c r="AP933" s="189"/>
      <c r="AQ933" s="189"/>
      <c r="AR933" s="189"/>
      <c r="AS933" s="189"/>
      <c r="AT933" s="189"/>
    </row>
    <row r="934" spans="1:46" ht="12.75" customHeight="1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  <c r="AA934" s="189"/>
      <c r="AB934" s="189"/>
      <c r="AC934" s="189"/>
      <c r="AD934" s="189"/>
      <c r="AE934" s="189"/>
      <c r="AF934" s="189"/>
      <c r="AG934" s="189"/>
      <c r="AH934" s="189"/>
      <c r="AI934" s="189"/>
      <c r="AJ934" s="189"/>
      <c r="AK934" s="189"/>
      <c r="AL934" s="189"/>
      <c r="AM934" s="189"/>
      <c r="AN934" s="189"/>
      <c r="AO934" s="189"/>
      <c r="AP934" s="189"/>
      <c r="AQ934" s="189"/>
      <c r="AR934" s="189"/>
      <c r="AS934" s="189"/>
      <c r="AT934" s="189"/>
    </row>
    <row r="935" spans="1:46" ht="12.75" customHeight="1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  <c r="AA935" s="189"/>
      <c r="AB935" s="189"/>
      <c r="AC935" s="189"/>
      <c r="AD935" s="189"/>
      <c r="AE935" s="189"/>
      <c r="AF935" s="189"/>
      <c r="AG935" s="189"/>
      <c r="AH935" s="189"/>
      <c r="AI935" s="189"/>
      <c r="AJ935" s="189"/>
      <c r="AK935" s="189"/>
      <c r="AL935" s="189"/>
      <c r="AM935" s="189"/>
      <c r="AN935" s="189"/>
      <c r="AO935" s="189"/>
      <c r="AP935" s="189"/>
      <c r="AQ935" s="189"/>
      <c r="AR935" s="189"/>
      <c r="AS935" s="189"/>
      <c r="AT935" s="189"/>
    </row>
    <row r="936" spans="1:46" ht="12.75" customHeight="1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  <c r="AA936" s="189"/>
      <c r="AB936" s="189"/>
      <c r="AC936" s="189"/>
      <c r="AD936" s="189"/>
      <c r="AE936" s="189"/>
      <c r="AF936" s="189"/>
      <c r="AG936" s="189"/>
      <c r="AH936" s="189"/>
      <c r="AI936" s="189"/>
      <c r="AJ936" s="189"/>
      <c r="AK936" s="189"/>
      <c r="AL936" s="189"/>
      <c r="AM936" s="189"/>
      <c r="AN936" s="189"/>
      <c r="AO936" s="189"/>
      <c r="AP936" s="189"/>
      <c r="AQ936" s="189"/>
      <c r="AR936" s="189"/>
      <c r="AS936" s="189"/>
      <c r="AT936" s="189"/>
    </row>
    <row r="937" spans="1:46" ht="12.75" customHeight="1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  <c r="AD937" s="189"/>
      <c r="AE937" s="189"/>
      <c r="AF937" s="189"/>
      <c r="AG937" s="189"/>
      <c r="AH937" s="189"/>
      <c r="AI937" s="189"/>
      <c r="AJ937" s="189"/>
      <c r="AK937" s="189"/>
      <c r="AL937" s="189"/>
      <c r="AM937" s="189"/>
      <c r="AN937" s="189"/>
      <c r="AO937" s="189"/>
      <c r="AP937" s="189"/>
      <c r="AQ937" s="189"/>
      <c r="AR937" s="189"/>
      <c r="AS937" s="189"/>
      <c r="AT937" s="189"/>
    </row>
    <row r="938" spans="1:46" ht="12.75" customHeight="1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  <c r="AA938" s="189"/>
      <c r="AB938" s="189"/>
      <c r="AC938" s="189"/>
      <c r="AD938" s="189"/>
      <c r="AE938" s="189"/>
      <c r="AF938" s="189"/>
      <c r="AG938" s="189"/>
      <c r="AH938" s="189"/>
      <c r="AI938" s="189"/>
      <c r="AJ938" s="189"/>
      <c r="AK938" s="189"/>
      <c r="AL938" s="189"/>
      <c r="AM938" s="189"/>
      <c r="AN938" s="189"/>
      <c r="AO938" s="189"/>
      <c r="AP938" s="189"/>
      <c r="AQ938" s="189"/>
      <c r="AR938" s="189"/>
      <c r="AS938" s="189"/>
      <c r="AT938" s="189"/>
    </row>
    <row r="939" spans="1:46" ht="12.75" customHeight="1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  <c r="AA939" s="189"/>
      <c r="AB939" s="189"/>
      <c r="AC939" s="189"/>
      <c r="AD939" s="189"/>
      <c r="AE939" s="189"/>
      <c r="AF939" s="189"/>
      <c r="AG939" s="189"/>
      <c r="AH939" s="189"/>
      <c r="AI939" s="189"/>
      <c r="AJ939" s="189"/>
      <c r="AK939" s="189"/>
      <c r="AL939" s="189"/>
      <c r="AM939" s="189"/>
      <c r="AN939" s="189"/>
      <c r="AO939" s="189"/>
      <c r="AP939" s="189"/>
      <c r="AQ939" s="189"/>
      <c r="AR939" s="189"/>
      <c r="AS939" s="189"/>
      <c r="AT939" s="189"/>
    </row>
    <row r="940" spans="1:46" ht="12.75" customHeight="1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  <c r="AA940" s="189"/>
      <c r="AB940" s="189"/>
      <c r="AC940" s="189"/>
      <c r="AD940" s="189"/>
      <c r="AE940" s="189"/>
      <c r="AF940" s="189"/>
      <c r="AG940" s="189"/>
      <c r="AH940" s="189"/>
      <c r="AI940" s="189"/>
      <c r="AJ940" s="189"/>
      <c r="AK940" s="189"/>
      <c r="AL940" s="189"/>
      <c r="AM940" s="189"/>
      <c r="AN940" s="189"/>
      <c r="AO940" s="189"/>
      <c r="AP940" s="189"/>
      <c r="AQ940" s="189"/>
      <c r="AR940" s="189"/>
      <c r="AS940" s="189"/>
      <c r="AT940" s="189"/>
    </row>
    <row r="941" spans="1:46" ht="12.75" customHeight="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  <c r="AA941" s="189"/>
      <c r="AB941" s="189"/>
      <c r="AC941" s="189"/>
      <c r="AD941" s="189"/>
      <c r="AE941" s="189"/>
      <c r="AF941" s="189"/>
      <c r="AG941" s="189"/>
      <c r="AH941" s="189"/>
      <c r="AI941" s="189"/>
      <c r="AJ941" s="189"/>
      <c r="AK941" s="189"/>
      <c r="AL941" s="189"/>
      <c r="AM941" s="189"/>
      <c r="AN941" s="189"/>
      <c r="AO941" s="189"/>
      <c r="AP941" s="189"/>
      <c r="AQ941" s="189"/>
      <c r="AR941" s="189"/>
      <c r="AS941" s="189"/>
      <c r="AT941" s="189"/>
    </row>
    <row r="942" spans="1:46" ht="12.75" customHeight="1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  <c r="AA942" s="189"/>
      <c r="AB942" s="189"/>
      <c r="AC942" s="189"/>
      <c r="AD942" s="189"/>
      <c r="AE942" s="189"/>
      <c r="AF942" s="189"/>
      <c r="AG942" s="189"/>
      <c r="AH942" s="189"/>
      <c r="AI942" s="189"/>
      <c r="AJ942" s="189"/>
      <c r="AK942" s="189"/>
      <c r="AL942" s="189"/>
      <c r="AM942" s="189"/>
      <c r="AN942" s="189"/>
      <c r="AO942" s="189"/>
      <c r="AP942" s="189"/>
      <c r="AQ942" s="189"/>
      <c r="AR942" s="189"/>
      <c r="AS942" s="189"/>
      <c r="AT942" s="189"/>
    </row>
    <row r="943" spans="1:46" ht="12.75" customHeight="1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  <c r="AA943" s="189"/>
      <c r="AB943" s="189"/>
      <c r="AC943" s="189"/>
      <c r="AD943" s="189"/>
      <c r="AE943" s="189"/>
      <c r="AF943" s="189"/>
      <c r="AG943" s="189"/>
      <c r="AH943" s="189"/>
      <c r="AI943" s="189"/>
      <c r="AJ943" s="189"/>
      <c r="AK943" s="189"/>
      <c r="AL943" s="189"/>
      <c r="AM943" s="189"/>
      <c r="AN943" s="189"/>
      <c r="AO943" s="189"/>
      <c r="AP943" s="189"/>
      <c r="AQ943" s="189"/>
      <c r="AR943" s="189"/>
      <c r="AS943" s="189"/>
      <c r="AT943" s="189"/>
    </row>
    <row r="944" spans="1:46" ht="12.75" customHeight="1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  <c r="AA944" s="189"/>
      <c r="AB944" s="189"/>
      <c r="AC944" s="189"/>
      <c r="AD944" s="189"/>
      <c r="AE944" s="189"/>
      <c r="AF944" s="189"/>
      <c r="AG944" s="189"/>
      <c r="AH944" s="189"/>
      <c r="AI944" s="189"/>
      <c r="AJ944" s="189"/>
      <c r="AK944" s="189"/>
      <c r="AL944" s="189"/>
      <c r="AM944" s="189"/>
      <c r="AN944" s="189"/>
      <c r="AO944" s="189"/>
      <c r="AP944" s="189"/>
      <c r="AQ944" s="189"/>
      <c r="AR944" s="189"/>
      <c r="AS944" s="189"/>
      <c r="AT944" s="189"/>
    </row>
    <row r="945" spans="1:46" ht="12.75" customHeight="1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  <c r="AA945" s="189"/>
      <c r="AB945" s="189"/>
      <c r="AC945" s="189"/>
      <c r="AD945" s="189"/>
      <c r="AE945" s="189"/>
      <c r="AF945" s="189"/>
      <c r="AG945" s="189"/>
      <c r="AH945" s="189"/>
      <c r="AI945" s="189"/>
      <c r="AJ945" s="189"/>
      <c r="AK945" s="189"/>
      <c r="AL945" s="189"/>
      <c r="AM945" s="189"/>
      <c r="AN945" s="189"/>
      <c r="AO945" s="189"/>
      <c r="AP945" s="189"/>
      <c r="AQ945" s="189"/>
      <c r="AR945" s="189"/>
      <c r="AS945" s="189"/>
      <c r="AT945" s="189"/>
    </row>
    <row r="946" spans="1:46" ht="12.75" customHeight="1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  <c r="AA946" s="189"/>
      <c r="AB946" s="189"/>
      <c r="AC946" s="189"/>
      <c r="AD946" s="189"/>
      <c r="AE946" s="189"/>
      <c r="AF946" s="189"/>
      <c r="AG946" s="189"/>
      <c r="AH946" s="189"/>
      <c r="AI946" s="189"/>
      <c r="AJ946" s="189"/>
      <c r="AK946" s="189"/>
      <c r="AL946" s="189"/>
      <c r="AM946" s="189"/>
      <c r="AN946" s="189"/>
      <c r="AO946" s="189"/>
      <c r="AP946" s="189"/>
      <c r="AQ946" s="189"/>
      <c r="AR946" s="189"/>
      <c r="AS946" s="189"/>
      <c r="AT946" s="189"/>
    </row>
    <row r="947" spans="1:46" ht="12.75" customHeight="1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  <c r="AA947" s="189"/>
      <c r="AB947" s="189"/>
      <c r="AC947" s="189"/>
      <c r="AD947" s="189"/>
      <c r="AE947" s="189"/>
      <c r="AF947" s="189"/>
      <c r="AG947" s="189"/>
      <c r="AH947" s="189"/>
      <c r="AI947" s="189"/>
      <c r="AJ947" s="189"/>
      <c r="AK947" s="189"/>
      <c r="AL947" s="189"/>
      <c r="AM947" s="189"/>
      <c r="AN947" s="189"/>
      <c r="AO947" s="189"/>
      <c r="AP947" s="189"/>
      <c r="AQ947" s="189"/>
      <c r="AR947" s="189"/>
      <c r="AS947" s="189"/>
      <c r="AT947" s="189"/>
    </row>
    <row r="948" spans="1:46" ht="12.75" customHeight="1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  <c r="AA948" s="189"/>
      <c r="AB948" s="189"/>
      <c r="AC948" s="189"/>
      <c r="AD948" s="189"/>
      <c r="AE948" s="189"/>
      <c r="AF948" s="189"/>
      <c r="AG948" s="189"/>
      <c r="AH948" s="189"/>
      <c r="AI948" s="189"/>
      <c r="AJ948" s="189"/>
      <c r="AK948" s="189"/>
      <c r="AL948" s="189"/>
      <c r="AM948" s="189"/>
      <c r="AN948" s="189"/>
      <c r="AO948" s="189"/>
      <c r="AP948" s="189"/>
      <c r="AQ948" s="189"/>
      <c r="AR948" s="189"/>
      <c r="AS948" s="189"/>
      <c r="AT948" s="189"/>
    </row>
    <row r="949" spans="1:46" ht="12.75" customHeight="1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  <c r="AA949" s="189"/>
      <c r="AB949" s="189"/>
      <c r="AC949" s="189"/>
      <c r="AD949" s="189"/>
      <c r="AE949" s="189"/>
      <c r="AF949" s="189"/>
      <c r="AG949" s="189"/>
      <c r="AH949" s="189"/>
      <c r="AI949" s="189"/>
      <c r="AJ949" s="189"/>
      <c r="AK949" s="189"/>
      <c r="AL949" s="189"/>
      <c r="AM949" s="189"/>
      <c r="AN949" s="189"/>
      <c r="AO949" s="189"/>
      <c r="AP949" s="189"/>
      <c r="AQ949" s="189"/>
      <c r="AR949" s="189"/>
      <c r="AS949" s="189"/>
      <c r="AT949" s="189"/>
    </row>
    <row r="950" spans="1:46" ht="12.75" customHeight="1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  <c r="AA950" s="189"/>
      <c r="AB950" s="189"/>
      <c r="AC950" s="189"/>
      <c r="AD950" s="189"/>
      <c r="AE950" s="189"/>
      <c r="AF950" s="189"/>
      <c r="AG950" s="189"/>
      <c r="AH950" s="189"/>
      <c r="AI950" s="189"/>
      <c r="AJ950" s="189"/>
      <c r="AK950" s="189"/>
      <c r="AL950" s="189"/>
      <c r="AM950" s="189"/>
      <c r="AN950" s="189"/>
      <c r="AO950" s="189"/>
      <c r="AP950" s="189"/>
      <c r="AQ950" s="189"/>
      <c r="AR950" s="189"/>
      <c r="AS950" s="189"/>
      <c r="AT950" s="189"/>
    </row>
    <row r="951" spans="1:46" ht="12.75" customHeight="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  <c r="AA951" s="189"/>
      <c r="AB951" s="189"/>
      <c r="AC951" s="189"/>
      <c r="AD951" s="189"/>
      <c r="AE951" s="189"/>
      <c r="AF951" s="189"/>
      <c r="AG951" s="189"/>
      <c r="AH951" s="189"/>
      <c r="AI951" s="189"/>
      <c r="AJ951" s="189"/>
      <c r="AK951" s="189"/>
      <c r="AL951" s="189"/>
      <c r="AM951" s="189"/>
      <c r="AN951" s="189"/>
      <c r="AO951" s="189"/>
      <c r="AP951" s="189"/>
      <c r="AQ951" s="189"/>
      <c r="AR951" s="189"/>
      <c r="AS951" s="189"/>
      <c r="AT951" s="189"/>
    </row>
    <row r="952" spans="1:46" ht="12.75" customHeight="1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  <c r="AA952" s="189"/>
      <c r="AB952" s="189"/>
      <c r="AC952" s="189"/>
      <c r="AD952" s="189"/>
      <c r="AE952" s="189"/>
      <c r="AF952" s="189"/>
      <c r="AG952" s="189"/>
      <c r="AH952" s="189"/>
      <c r="AI952" s="189"/>
      <c r="AJ952" s="189"/>
      <c r="AK952" s="189"/>
      <c r="AL952" s="189"/>
      <c r="AM952" s="189"/>
      <c r="AN952" s="189"/>
      <c r="AO952" s="189"/>
      <c r="AP952" s="189"/>
      <c r="AQ952" s="189"/>
      <c r="AR952" s="189"/>
      <c r="AS952" s="189"/>
      <c r="AT952" s="189"/>
    </row>
    <row r="953" spans="1:46" ht="12.75" customHeight="1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  <c r="AA953" s="189"/>
      <c r="AB953" s="189"/>
      <c r="AC953" s="189"/>
      <c r="AD953" s="189"/>
      <c r="AE953" s="189"/>
      <c r="AF953" s="189"/>
      <c r="AG953" s="189"/>
      <c r="AH953" s="189"/>
      <c r="AI953" s="189"/>
      <c r="AJ953" s="189"/>
      <c r="AK953" s="189"/>
      <c r="AL953" s="189"/>
      <c r="AM953" s="189"/>
      <c r="AN953" s="189"/>
      <c r="AO953" s="189"/>
      <c r="AP953" s="189"/>
      <c r="AQ953" s="189"/>
      <c r="AR953" s="189"/>
      <c r="AS953" s="189"/>
      <c r="AT953" s="189"/>
    </row>
    <row r="954" spans="1:46" ht="12.75" customHeight="1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  <c r="AA954" s="189"/>
      <c r="AB954" s="189"/>
      <c r="AC954" s="189"/>
      <c r="AD954" s="189"/>
      <c r="AE954" s="189"/>
      <c r="AF954" s="189"/>
      <c r="AG954" s="189"/>
      <c r="AH954" s="189"/>
      <c r="AI954" s="189"/>
      <c r="AJ954" s="189"/>
      <c r="AK954" s="189"/>
      <c r="AL954" s="189"/>
      <c r="AM954" s="189"/>
      <c r="AN954" s="189"/>
      <c r="AO954" s="189"/>
      <c r="AP954" s="189"/>
      <c r="AQ954" s="189"/>
      <c r="AR954" s="189"/>
      <c r="AS954" s="189"/>
      <c r="AT954" s="189"/>
    </row>
    <row r="955" spans="1:46" ht="12.75" customHeight="1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  <c r="AA955" s="189"/>
      <c r="AB955" s="189"/>
      <c r="AC955" s="189"/>
      <c r="AD955" s="189"/>
      <c r="AE955" s="189"/>
      <c r="AF955" s="189"/>
      <c r="AG955" s="189"/>
      <c r="AH955" s="189"/>
      <c r="AI955" s="189"/>
      <c r="AJ955" s="189"/>
      <c r="AK955" s="189"/>
      <c r="AL955" s="189"/>
      <c r="AM955" s="189"/>
      <c r="AN955" s="189"/>
      <c r="AO955" s="189"/>
      <c r="AP955" s="189"/>
      <c r="AQ955" s="189"/>
      <c r="AR955" s="189"/>
      <c r="AS955" s="189"/>
      <c r="AT955" s="189"/>
    </row>
    <row r="956" spans="1:46" ht="12.75" customHeight="1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  <c r="AA956" s="189"/>
      <c r="AB956" s="189"/>
      <c r="AC956" s="189"/>
      <c r="AD956" s="189"/>
      <c r="AE956" s="189"/>
      <c r="AF956" s="189"/>
      <c r="AG956" s="189"/>
      <c r="AH956" s="189"/>
      <c r="AI956" s="189"/>
      <c r="AJ956" s="189"/>
      <c r="AK956" s="189"/>
      <c r="AL956" s="189"/>
      <c r="AM956" s="189"/>
      <c r="AN956" s="189"/>
      <c r="AO956" s="189"/>
      <c r="AP956" s="189"/>
      <c r="AQ956" s="189"/>
      <c r="AR956" s="189"/>
      <c r="AS956" s="189"/>
      <c r="AT956" s="189"/>
    </row>
    <row r="957" spans="1:46" ht="12.75" customHeight="1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  <c r="AA957" s="189"/>
      <c r="AB957" s="189"/>
      <c r="AC957" s="189"/>
      <c r="AD957" s="189"/>
      <c r="AE957" s="189"/>
      <c r="AF957" s="189"/>
      <c r="AG957" s="189"/>
      <c r="AH957" s="189"/>
      <c r="AI957" s="189"/>
      <c r="AJ957" s="189"/>
      <c r="AK957" s="189"/>
      <c r="AL957" s="189"/>
      <c r="AM957" s="189"/>
      <c r="AN957" s="189"/>
      <c r="AO957" s="189"/>
      <c r="AP957" s="189"/>
      <c r="AQ957" s="189"/>
      <c r="AR957" s="189"/>
      <c r="AS957" s="189"/>
      <c r="AT957" s="189"/>
    </row>
    <row r="958" spans="1:46" ht="12.75" customHeight="1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  <c r="AA958" s="189"/>
      <c r="AB958" s="189"/>
      <c r="AC958" s="189"/>
      <c r="AD958" s="189"/>
      <c r="AE958" s="189"/>
      <c r="AF958" s="189"/>
      <c r="AG958" s="189"/>
      <c r="AH958" s="189"/>
      <c r="AI958" s="189"/>
      <c r="AJ958" s="189"/>
      <c r="AK958" s="189"/>
      <c r="AL958" s="189"/>
      <c r="AM958" s="189"/>
      <c r="AN958" s="189"/>
      <c r="AO958" s="189"/>
      <c r="AP958" s="189"/>
      <c r="AQ958" s="189"/>
      <c r="AR958" s="189"/>
      <c r="AS958" s="189"/>
      <c r="AT958" s="189"/>
    </row>
    <row r="959" spans="1:46" ht="12.75" customHeight="1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  <c r="AA959" s="189"/>
      <c r="AB959" s="189"/>
      <c r="AC959" s="189"/>
      <c r="AD959" s="189"/>
      <c r="AE959" s="189"/>
      <c r="AF959" s="189"/>
      <c r="AG959" s="189"/>
      <c r="AH959" s="189"/>
      <c r="AI959" s="189"/>
      <c r="AJ959" s="189"/>
      <c r="AK959" s="189"/>
      <c r="AL959" s="189"/>
      <c r="AM959" s="189"/>
      <c r="AN959" s="189"/>
      <c r="AO959" s="189"/>
      <c r="AP959" s="189"/>
      <c r="AQ959" s="189"/>
      <c r="AR959" s="189"/>
      <c r="AS959" s="189"/>
      <c r="AT959" s="189"/>
    </row>
    <row r="960" spans="1:46" ht="12.75" customHeight="1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  <c r="AA960" s="189"/>
      <c r="AB960" s="189"/>
      <c r="AC960" s="189"/>
      <c r="AD960" s="189"/>
      <c r="AE960" s="189"/>
      <c r="AF960" s="189"/>
      <c r="AG960" s="189"/>
      <c r="AH960" s="189"/>
      <c r="AI960" s="189"/>
      <c r="AJ960" s="189"/>
      <c r="AK960" s="189"/>
      <c r="AL960" s="189"/>
      <c r="AM960" s="189"/>
      <c r="AN960" s="189"/>
      <c r="AO960" s="189"/>
      <c r="AP960" s="189"/>
      <c r="AQ960" s="189"/>
      <c r="AR960" s="189"/>
      <c r="AS960" s="189"/>
      <c r="AT960" s="189"/>
    </row>
    <row r="961" spans="1:46" ht="12.75" customHeight="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  <c r="AA961" s="189"/>
      <c r="AB961" s="189"/>
      <c r="AC961" s="189"/>
      <c r="AD961" s="189"/>
      <c r="AE961" s="189"/>
      <c r="AF961" s="189"/>
      <c r="AG961" s="189"/>
      <c r="AH961" s="189"/>
      <c r="AI961" s="189"/>
      <c r="AJ961" s="189"/>
      <c r="AK961" s="189"/>
      <c r="AL961" s="189"/>
      <c r="AM961" s="189"/>
      <c r="AN961" s="189"/>
      <c r="AO961" s="189"/>
      <c r="AP961" s="189"/>
      <c r="AQ961" s="189"/>
      <c r="AR961" s="189"/>
      <c r="AS961" s="189"/>
      <c r="AT961" s="189"/>
    </row>
    <row r="962" spans="1:46" ht="12.75" customHeight="1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  <c r="AA962" s="189"/>
      <c r="AB962" s="189"/>
      <c r="AC962" s="189"/>
      <c r="AD962" s="189"/>
      <c r="AE962" s="189"/>
      <c r="AF962" s="189"/>
      <c r="AG962" s="189"/>
      <c r="AH962" s="189"/>
      <c r="AI962" s="189"/>
      <c r="AJ962" s="189"/>
      <c r="AK962" s="189"/>
      <c r="AL962" s="189"/>
      <c r="AM962" s="189"/>
      <c r="AN962" s="189"/>
      <c r="AO962" s="189"/>
      <c r="AP962" s="189"/>
      <c r="AQ962" s="189"/>
      <c r="AR962" s="189"/>
      <c r="AS962" s="189"/>
      <c r="AT962" s="189"/>
    </row>
    <row r="963" spans="1:46" ht="12.75" customHeight="1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  <c r="AA963" s="189"/>
      <c r="AB963" s="189"/>
      <c r="AC963" s="189"/>
      <c r="AD963" s="189"/>
      <c r="AE963" s="189"/>
      <c r="AF963" s="189"/>
      <c r="AG963" s="189"/>
      <c r="AH963" s="189"/>
      <c r="AI963" s="189"/>
      <c r="AJ963" s="189"/>
      <c r="AK963" s="189"/>
      <c r="AL963" s="189"/>
      <c r="AM963" s="189"/>
      <c r="AN963" s="189"/>
      <c r="AO963" s="189"/>
      <c r="AP963" s="189"/>
      <c r="AQ963" s="189"/>
      <c r="AR963" s="189"/>
      <c r="AS963" s="189"/>
      <c r="AT963" s="189"/>
    </row>
    <row r="964" spans="1:46" ht="12.75" customHeight="1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  <c r="AA964" s="189"/>
      <c r="AB964" s="189"/>
      <c r="AC964" s="189"/>
      <c r="AD964" s="189"/>
      <c r="AE964" s="189"/>
      <c r="AF964" s="189"/>
      <c r="AG964" s="189"/>
      <c r="AH964" s="189"/>
      <c r="AI964" s="189"/>
      <c r="AJ964" s="189"/>
      <c r="AK964" s="189"/>
      <c r="AL964" s="189"/>
      <c r="AM964" s="189"/>
      <c r="AN964" s="189"/>
      <c r="AO964" s="189"/>
      <c r="AP964" s="189"/>
      <c r="AQ964" s="189"/>
      <c r="AR964" s="189"/>
      <c r="AS964" s="189"/>
      <c r="AT964" s="189"/>
    </row>
    <row r="965" spans="1:46" ht="12.75" customHeight="1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  <c r="AA965" s="189"/>
      <c r="AB965" s="189"/>
      <c r="AC965" s="189"/>
      <c r="AD965" s="189"/>
      <c r="AE965" s="189"/>
      <c r="AF965" s="189"/>
      <c r="AG965" s="189"/>
      <c r="AH965" s="189"/>
      <c r="AI965" s="189"/>
      <c r="AJ965" s="189"/>
      <c r="AK965" s="189"/>
      <c r="AL965" s="189"/>
      <c r="AM965" s="189"/>
      <c r="AN965" s="189"/>
      <c r="AO965" s="189"/>
      <c r="AP965" s="189"/>
      <c r="AQ965" s="189"/>
      <c r="AR965" s="189"/>
      <c r="AS965" s="189"/>
      <c r="AT965" s="189"/>
    </row>
    <row r="966" spans="1:46" ht="12.75" customHeight="1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  <c r="AA966" s="189"/>
      <c r="AB966" s="189"/>
      <c r="AC966" s="189"/>
      <c r="AD966" s="189"/>
      <c r="AE966" s="189"/>
      <c r="AF966" s="189"/>
      <c r="AG966" s="189"/>
      <c r="AH966" s="189"/>
      <c r="AI966" s="189"/>
      <c r="AJ966" s="189"/>
      <c r="AK966" s="189"/>
      <c r="AL966" s="189"/>
      <c r="AM966" s="189"/>
      <c r="AN966" s="189"/>
      <c r="AO966" s="189"/>
      <c r="AP966" s="189"/>
      <c r="AQ966" s="189"/>
      <c r="AR966" s="189"/>
      <c r="AS966" s="189"/>
      <c r="AT966" s="189"/>
    </row>
    <row r="967" spans="1:46" ht="12.75" customHeight="1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  <c r="AA967" s="189"/>
      <c r="AB967" s="189"/>
      <c r="AC967" s="189"/>
      <c r="AD967" s="189"/>
      <c r="AE967" s="189"/>
      <c r="AF967" s="189"/>
      <c r="AG967" s="189"/>
      <c r="AH967" s="189"/>
      <c r="AI967" s="189"/>
      <c r="AJ967" s="189"/>
      <c r="AK967" s="189"/>
      <c r="AL967" s="189"/>
      <c r="AM967" s="189"/>
      <c r="AN967" s="189"/>
      <c r="AO967" s="189"/>
      <c r="AP967" s="189"/>
      <c r="AQ967" s="189"/>
      <c r="AR967" s="189"/>
      <c r="AS967" s="189"/>
      <c r="AT967" s="189"/>
    </row>
    <row r="968" spans="1:46" ht="12.75" customHeight="1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  <c r="AA968" s="189"/>
      <c r="AB968" s="189"/>
      <c r="AC968" s="189"/>
      <c r="AD968" s="189"/>
      <c r="AE968" s="189"/>
      <c r="AF968" s="189"/>
      <c r="AG968" s="189"/>
      <c r="AH968" s="189"/>
      <c r="AI968" s="189"/>
      <c r="AJ968" s="189"/>
      <c r="AK968" s="189"/>
      <c r="AL968" s="189"/>
      <c r="AM968" s="189"/>
      <c r="AN968" s="189"/>
      <c r="AO968" s="189"/>
      <c r="AP968" s="189"/>
      <c r="AQ968" s="189"/>
      <c r="AR968" s="189"/>
      <c r="AS968" s="189"/>
      <c r="AT968" s="189"/>
    </row>
    <row r="969" spans="1:46" ht="12.75" customHeight="1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  <c r="AA969" s="189"/>
      <c r="AB969" s="189"/>
      <c r="AC969" s="189"/>
      <c r="AD969" s="189"/>
      <c r="AE969" s="189"/>
      <c r="AF969" s="189"/>
      <c r="AG969" s="189"/>
      <c r="AH969" s="189"/>
      <c r="AI969" s="189"/>
      <c r="AJ969" s="189"/>
      <c r="AK969" s="189"/>
      <c r="AL969" s="189"/>
      <c r="AM969" s="189"/>
      <c r="AN969" s="189"/>
      <c r="AO969" s="189"/>
      <c r="AP969" s="189"/>
      <c r="AQ969" s="189"/>
      <c r="AR969" s="189"/>
      <c r="AS969" s="189"/>
      <c r="AT969" s="189"/>
    </row>
    <row r="970" spans="1:46" ht="12.75" customHeight="1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  <c r="AA970" s="189"/>
      <c r="AB970" s="189"/>
      <c r="AC970" s="189"/>
      <c r="AD970" s="189"/>
      <c r="AE970" s="189"/>
      <c r="AF970" s="189"/>
      <c r="AG970" s="189"/>
      <c r="AH970" s="189"/>
      <c r="AI970" s="189"/>
      <c r="AJ970" s="189"/>
      <c r="AK970" s="189"/>
      <c r="AL970" s="189"/>
      <c r="AM970" s="189"/>
      <c r="AN970" s="189"/>
      <c r="AO970" s="189"/>
      <c r="AP970" s="189"/>
      <c r="AQ970" s="189"/>
      <c r="AR970" s="189"/>
      <c r="AS970" s="189"/>
      <c r="AT970" s="189"/>
    </row>
    <row r="971" spans="1:46" ht="12.75" customHeight="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  <c r="AA971" s="189"/>
      <c r="AB971" s="189"/>
      <c r="AC971" s="189"/>
      <c r="AD971" s="189"/>
      <c r="AE971" s="189"/>
      <c r="AF971" s="189"/>
      <c r="AG971" s="189"/>
      <c r="AH971" s="189"/>
      <c r="AI971" s="189"/>
      <c r="AJ971" s="189"/>
      <c r="AK971" s="189"/>
      <c r="AL971" s="189"/>
      <c r="AM971" s="189"/>
      <c r="AN971" s="189"/>
      <c r="AO971" s="189"/>
      <c r="AP971" s="189"/>
      <c r="AQ971" s="189"/>
      <c r="AR971" s="189"/>
      <c r="AS971" s="189"/>
      <c r="AT971" s="189"/>
    </row>
    <row r="972" spans="1:46" ht="12.75" customHeight="1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  <c r="AA972" s="189"/>
      <c r="AB972" s="189"/>
      <c r="AC972" s="189"/>
      <c r="AD972" s="189"/>
      <c r="AE972" s="189"/>
      <c r="AF972" s="189"/>
      <c r="AG972" s="189"/>
      <c r="AH972" s="189"/>
      <c r="AI972" s="189"/>
      <c r="AJ972" s="189"/>
      <c r="AK972" s="189"/>
      <c r="AL972" s="189"/>
      <c r="AM972" s="189"/>
      <c r="AN972" s="189"/>
      <c r="AO972" s="189"/>
      <c r="AP972" s="189"/>
      <c r="AQ972" s="189"/>
      <c r="AR972" s="189"/>
      <c r="AS972" s="189"/>
      <c r="AT972" s="189"/>
    </row>
    <row r="973" spans="1:46" ht="12.75" customHeight="1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  <c r="AA973" s="189"/>
      <c r="AB973" s="189"/>
      <c r="AC973" s="189"/>
      <c r="AD973" s="189"/>
      <c r="AE973" s="189"/>
      <c r="AF973" s="189"/>
      <c r="AG973" s="189"/>
      <c r="AH973" s="189"/>
      <c r="AI973" s="189"/>
      <c r="AJ973" s="189"/>
      <c r="AK973" s="189"/>
      <c r="AL973" s="189"/>
      <c r="AM973" s="189"/>
      <c r="AN973" s="189"/>
      <c r="AO973" s="189"/>
      <c r="AP973" s="189"/>
      <c r="AQ973" s="189"/>
      <c r="AR973" s="189"/>
      <c r="AS973" s="189"/>
      <c r="AT973" s="189"/>
    </row>
    <row r="974" spans="1:46" ht="12.75" customHeight="1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  <c r="AA974" s="189"/>
      <c r="AB974" s="189"/>
      <c r="AC974" s="189"/>
      <c r="AD974" s="189"/>
      <c r="AE974" s="189"/>
      <c r="AF974" s="189"/>
      <c r="AG974" s="189"/>
      <c r="AH974" s="189"/>
      <c r="AI974" s="189"/>
      <c r="AJ974" s="189"/>
      <c r="AK974" s="189"/>
      <c r="AL974" s="189"/>
      <c r="AM974" s="189"/>
      <c r="AN974" s="189"/>
      <c r="AO974" s="189"/>
      <c r="AP974" s="189"/>
      <c r="AQ974" s="189"/>
      <c r="AR974" s="189"/>
      <c r="AS974" s="189"/>
      <c r="AT974" s="189"/>
    </row>
    <row r="975" spans="1:46" ht="12.75" customHeight="1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  <c r="AA975" s="189"/>
      <c r="AB975" s="189"/>
      <c r="AC975" s="189"/>
      <c r="AD975" s="189"/>
      <c r="AE975" s="189"/>
      <c r="AF975" s="189"/>
      <c r="AG975" s="189"/>
      <c r="AH975" s="189"/>
      <c r="AI975" s="189"/>
      <c r="AJ975" s="189"/>
      <c r="AK975" s="189"/>
      <c r="AL975" s="189"/>
      <c r="AM975" s="189"/>
      <c r="AN975" s="189"/>
      <c r="AO975" s="189"/>
      <c r="AP975" s="189"/>
      <c r="AQ975" s="189"/>
      <c r="AR975" s="189"/>
      <c r="AS975" s="189"/>
      <c r="AT975" s="189"/>
    </row>
    <row r="976" spans="1:46" ht="12.75" customHeight="1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  <c r="AA976" s="189"/>
      <c r="AB976" s="189"/>
      <c r="AC976" s="189"/>
      <c r="AD976" s="189"/>
      <c r="AE976" s="189"/>
      <c r="AF976" s="189"/>
      <c r="AG976" s="189"/>
      <c r="AH976" s="189"/>
      <c r="AI976" s="189"/>
      <c r="AJ976" s="189"/>
      <c r="AK976" s="189"/>
      <c r="AL976" s="189"/>
      <c r="AM976" s="189"/>
      <c r="AN976" s="189"/>
      <c r="AO976" s="189"/>
      <c r="AP976" s="189"/>
      <c r="AQ976" s="189"/>
      <c r="AR976" s="189"/>
      <c r="AS976" s="189"/>
      <c r="AT976" s="189"/>
    </row>
    <row r="977" spans="1:46" ht="12.75" customHeight="1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  <c r="AA977" s="189"/>
      <c r="AB977" s="189"/>
      <c r="AC977" s="189"/>
      <c r="AD977" s="189"/>
      <c r="AE977" s="189"/>
      <c r="AF977" s="189"/>
      <c r="AG977" s="189"/>
      <c r="AH977" s="189"/>
      <c r="AI977" s="189"/>
      <c r="AJ977" s="189"/>
      <c r="AK977" s="189"/>
      <c r="AL977" s="189"/>
      <c r="AM977" s="189"/>
      <c r="AN977" s="189"/>
      <c r="AO977" s="189"/>
      <c r="AP977" s="189"/>
      <c r="AQ977" s="189"/>
      <c r="AR977" s="189"/>
      <c r="AS977" s="189"/>
      <c r="AT977" s="189"/>
    </row>
    <row r="978" spans="1:46" ht="12.75" customHeight="1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  <c r="AA978" s="189"/>
      <c r="AB978" s="189"/>
      <c r="AC978" s="189"/>
      <c r="AD978" s="189"/>
      <c r="AE978" s="189"/>
      <c r="AF978" s="189"/>
      <c r="AG978" s="189"/>
      <c r="AH978" s="189"/>
      <c r="AI978" s="189"/>
      <c r="AJ978" s="189"/>
      <c r="AK978" s="189"/>
      <c r="AL978" s="189"/>
      <c r="AM978" s="189"/>
      <c r="AN978" s="189"/>
      <c r="AO978" s="189"/>
      <c r="AP978" s="189"/>
      <c r="AQ978" s="189"/>
      <c r="AR978" s="189"/>
      <c r="AS978" s="189"/>
      <c r="AT978" s="189"/>
    </row>
    <row r="979" spans="1:46" ht="12.75" customHeight="1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  <c r="AA979" s="189"/>
      <c r="AB979" s="189"/>
      <c r="AC979" s="189"/>
      <c r="AD979" s="189"/>
      <c r="AE979" s="189"/>
      <c r="AF979" s="189"/>
      <c r="AG979" s="189"/>
      <c r="AH979" s="189"/>
      <c r="AI979" s="189"/>
      <c r="AJ979" s="189"/>
      <c r="AK979" s="189"/>
      <c r="AL979" s="189"/>
      <c r="AM979" s="189"/>
      <c r="AN979" s="189"/>
      <c r="AO979" s="189"/>
      <c r="AP979" s="189"/>
      <c r="AQ979" s="189"/>
      <c r="AR979" s="189"/>
      <c r="AS979" s="189"/>
      <c r="AT979" s="189"/>
    </row>
    <row r="980" spans="1:46" ht="12.75" customHeight="1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  <c r="AA980" s="189"/>
      <c r="AB980" s="189"/>
      <c r="AC980" s="189"/>
      <c r="AD980" s="189"/>
      <c r="AE980" s="189"/>
      <c r="AF980" s="189"/>
      <c r="AG980" s="189"/>
      <c r="AH980" s="189"/>
      <c r="AI980" s="189"/>
      <c r="AJ980" s="189"/>
      <c r="AK980" s="189"/>
      <c r="AL980" s="189"/>
      <c r="AM980" s="189"/>
      <c r="AN980" s="189"/>
      <c r="AO980" s="189"/>
      <c r="AP980" s="189"/>
      <c r="AQ980" s="189"/>
      <c r="AR980" s="189"/>
      <c r="AS980" s="189"/>
      <c r="AT980" s="189"/>
    </row>
    <row r="981" spans="1:46" ht="12.75" customHeight="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  <c r="AB981" s="189"/>
      <c r="AC981" s="189"/>
      <c r="AD981" s="189"/>
      <c r="AE981" s="189"/>
      <c r="AF981" s="189"/>
      <c r="AG981" s="189"/>
      <c r="AH981" s="189"/>
      <c r="AI981" s="189"/>
      <c r="AJ981" s="189"/>
      <c r="AK981" s="189"/>
      <c r="AL981" s="189"/>
      <c r="AM981" s="189"/>
      <c r="AN981" s="189"/>
      <c r="AO981" s="189"/>
      <c r="AP981" s="189"/>
      <c r="AQ981" s="189"/>
      <c r="AR981" s="189"/>
      <c r="AS981" s="189"/>
      <c r="AT981" s="189"/>
    </row>
    <row r="982" spans="1:46" ht="12.75" customHeight="1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  <c r="AA982" s="189"/>
      <c r="AB982" s="189"/>
      <c r="AC982" s="189"/>
      <c r="AD982" s="189"/>
      <c r="AE982" s="189"/>
      <c r="AF982" s="189"/>
      <c r="AG982" s="189"/>
      <c r="AH982" s="189"/>
      <c r="AI982" s="189"/>
      <c r="AJ982" s="189"/>
      <c r="AK982" s="189"/>
      <c r="AL982" s="189"/>
      <c r="AM982" s="189"/>
      <c r="AN982" s="189"/>
      <c r="AO982" s="189"/>
      <c r="AP982" s="189"/>
      <c r="AQ982" s="189"/>
      <c r="AR982" s="189"/>
      <c r="AS982" s="189"/>
      <c r="AT982" s="189"/>
    </row>
    <row r="983" spans="1:46" ht="12.75" customHeight="1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  <c r="AA983" s="189"/>
      <c r="AB983" s="189"/>
      <c r="AC983" s="189"/>
      <c r="AD983" s="189"/>
      <c r="AE983" s="189"/>
      <c r="AF983" s="189"/>
      <c r="AG983" s="189"/>
      <c r="AH983" s="189"/>
      <c r="AI983" s="189"/>
      <c r="AJ983" s="189"/>
      <c r="AK983" s="189"/>
      <c r="AL983" s="189"/>
      <c r="AM983" s="189"/>
      <c r="AN983" s="189"/>
      <c r="AO983" s="189"/>
      <c r="AP983" s="189"/>
      <c r="AQ983" s="189"/>
      <c r="AR983" s="189"/>
      <c r="AS983" s="189"/>
      <c r="AT983" s="189"/>
    </row>
    <row r="984" spans="1:46" ht="12.75" customHeight="1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  <c r="AB984" s="189"/>
      <c r="AC984" s="189"/>
      <c r="AD984" s="189"/>
      <c r="AE984" s="189"/>
      <c r="AF984" s="189"/>
      <c r="AG984" s="189"/>
      <c r="AH984" s="189"/>
      <c r="AI984" s="189"/>
      <c r="AJ984" s="189"/>
      <c r="AK984" s="189"/>
      <c r="AL984" s="189"/>
      <c r="AM984" s="189"/>
      <c r="AN984" s="189"/>
      <c r="AO984" s="189"/>
      <c r="AP984" s="189"/>
      <c r="AQ984" s="189"/>
      <c r="AR984" s="189"/>
      <c r="AS984" s="189"/>
      <c r="AT984" s="189"/>
    </row>
    <row r="985" spans="1:46" ht="12.75" customHeight="1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  <c r="AA985" s="189"/>
      <c r="AB985" s="189"/>
      <c r="AC985" s="189"/>
      <c r="AD985" s="189"/>
      <c r="AE985" s="189"/>
      <c r="AF985" s="189"/>
      <c r="AG985" s="189"/>
      <c r="AH985" s="189"/>
      <c r="AI985" s="189"/>
      <c r="AJ985" s="189"/>
      <c r="AK985" s="189"/>
      <c r="AL985" s="189"/>
      <c r="AM985" s="189"/>
      <c r="AN985" s="189"/>
      <c r="AO985" s="189"/>
      <c r="AP985" s="189"/>
      <c r="AQ985" s="189"/>
      <c r="AR985" s="189"/>
      <c r="AS985" s="189"/>
      <c r="AT985" s="189"/>
    </row>
    <row r="986" spans="1:46" ht="12.75" customHeight="1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  <c r="AA986" s="189"/>
      <c r="AB986" s="189"/>
      <c r="AC986" s="189"/>
      <c r="AD986" s="189"/>
      <c r="AE986" s="189"/>
      <c r="AF986" s="189"/>
      <c r="AG986" s="189"/>
      <c r="AH986" s="189"/>
      <c r="AI986" s="189"/>
      <c r="AJ986" s="189"/>
      <c r="AK986" s="189"/>
      <c r="AL986" s="189"/>
      <c r="AM986" s="189"/>
      <c r="AN986" s="189"/>
      <c r="AO986" s="189"/>
      <c r="AP986" s="189"/>
      <c r="AQ986" s="189"/>
      <c r="AR986" s="189"/>
      <c r="AS986" s="189"/>
      <c r="AT986" s="189"/>
    </row>
    <row r="987" spans="1:46" ht="12.75" customHeight="1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  <c r="AA987" s="189"/>
      <c r="AB987" s="189"/>
      <c r="AC987" s="189"/>
      <c r="AD987" s="189"/>
      <c r="AE987" s="189"/>
      <c r="AF987" s="189"/>
      <c r="AG987" s="189"/>
      <c r="AH987" s="189"/>
      <c r="AI987" s="189"/>
      <c r="AJ987" s="189"/>
      <c r="AK987" s="189"/>
      <c r="AL987" s="189"/>
      <c r="AM987" s="189"/>
      <c r="AN987" s="189"/>
      <c r="AO987" s="189"/>
      <c r="AP987" s="189"/>
      <c r="AQ987" s="189"/>
      <c r="AR987" s="189"/>
      <c r="AS987" s="189"/>
      <c r="AT987" s="189"/>
    </row>
    <row r="988" spans="1:46" ht="12.75" customHeight="1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  <c r="AA988" s="189"/>
      <c r="AB988" s="189"/>
      <c r="AC988" s="189"/>
      <c r="AD988" s="189"/>
      <c r="AE988" s="189"/>
      <c r="AF988" s="189"/>
      <c r="AG988" s="189"/>
      <c r="AH988" s="189"/>
      <c r="AI988" s="189"/>
      <c r="AJ988" s="189"/>
      <c r="AK988" s="189"/>
      <c r="AL988" s="189"/>
      <c r="AM988" s="189"/>
      <c r="AN988" s="189"/>
      <c r="AO988" s="189"/>
      <c r="AP988" s="189"/>
      <c r="AQ988" s="189"/>
      <c r="AR988" s="189"/>
      <c r="AS988" s="189"/>
      <c r="AT988" s="189"/>
    </row>
    <row r="989" spans="1:46" ht="12.75" customHeight="1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  <c r="AA989" s="189"/>
      <c r="AB989" s="189"/>
      <c r="AC989" s="189"/>
      <c r="AD989" s="189"/>
      <c r="AE989" s="189"/>
      <c r="AF989" s="189"/>
      <c r="AG989" s="189"/>
      <c r="AH989" s="189"/>
      <c r="AI989" s="189"/>
      <c r="AJ989" s="189"/>
      <c r="AK989" s="189"/>
      <c r="AL989" s="189"/>
      <c r="AM989" s="189"/>
      <c r="AN989" s="189"/>
      <c r="AO989" s="189"/>
      <c r="AP989" s="189"/>
      <c r="AQ989" s="189"/>
      <c r="AR989" s="189"/>
      <c r="AS989" s="189"/>
      <c r="AT989" s="189"/>
    </row>
    <row r="990" spans="1:46" ht="12.75" customHeight="1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  <c r="AA990" s="189"/>
      <c r="AB990" s="189"/>
      <c r="AC990" s="189"/>
      <c r="AD990" s="189"/>
      <c r="AE990" s="189"/>
      <c r="AF990" s="189"/>
      <c r="AG990" s="189"/>
      <c r="AH990" s="189"/>
      <c r="AI990" s="189"/>
      <c r="AJ990" s="189"/>
      <c r="AK990" s="189"/>
      <c r="AL990" s="189"/>
      <c r="AM990" s="189"/>
      <c r="AN990" s="189"/>
      <c r="AO990" s="189"/>
      <c r="AP990" s="189"/>
      <c r="AQ990" s="189"/>
      <c r="AR990" s="189"/>
      <c r="AS990" s="189"/>
      <c r="AT990" s="189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3"/>
  </sheetPr>
  <dimension ref="A1:AS100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3984375" defaultRowHeight="15" customHeight="1" outlineLevelRow="1"/>
  <cols>
    <col min="1" max="1" width="25.59765625" customWidth="1"/>
    <col min="2" max="10" width="10.796875" customWidth="1"/>
    <col min="11" max="13" width="13.19921875" customWidth="1"/>
    <col min="14" max="14" width="12.19921875" customWidth="1"/>
    <col min="15" max="23" width="10.19921875" customWidth="1"/>
    <col min="24" max="45" width="9" customWidth="1"/>
  </cols>
  <sheetData>
    <row r="1" spans="1:45" ht="13.5" customHeight="1">
      <c r="A1" s="503" t="s">
        <v>102</v>
      </c>
      <c r="B1" s="504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6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"/>
      <c r="AQ1" s="225"/>
      <c r="AR1" s="225"/>
      <c r="AS1" s="225"/>
    </row>
    <row r="2" spans="1:45" ht="12.75" customHeight="1">
      <c r="A2" s="501"/>
      <c r="B2" s="226" t="s">
        <v>103</v>
      </c>
      <c r="C2" s="226" t="s">
        <v>104</v>
      </c>
      <c r="D2" s="226" t="s">
        <v>104</v>
      </c>
      <c r="E2" s="226" t="s">
        <v>104</v>
      </c>
      <c r="F2" s="226" t="s">
        <v>104</v>
      </c>
      <c r="G2" s="227" t="s">
        <v>105</v>
      </c>
      <c r="H2" s="227" t="s">
        <v>105</v>
      </c>
      <c r="I2" s="227" t="s">
        <v>105</v>
      </c>
      <c r="J2" s="227" t="s">
        <v>105</v>
      </c>
      <c r="K2" s="227" t="s">
        <v>105</v>
      </c>
      <c r="L2" s="227" t="s">
        <v>105</v>
      </c>
      <c r="M2" s="227" t="s">
        <v>105</v>
      </c>
      <c r="N2" s="227" t="s">
        <v>105</v>
      </c>
      <c r="O2" s="227" t="s">
        <v>105</v>
      </c>
      <c r="P2" s="227" t="s">
        <v>105</v>
      </c>
      <c r="Q2" s="227" t="s">
        <v>105</v>
      </c>
      <c r="R2" s="227" t="s">
        <v>105</v>
      </c>
      <c r="S2" s="227" t="s">
        <v>105</v>
      </c>
      <c r="T2" s="227" t="s">
        <v>105</v>
      </c>
      <c r="U2" s="227" t="s">
        <v>105</v>
      </c>
      <c r="V2" s="227" t="s">
        <v>105</v>
      </c>
      <c r="W2" s="227" t="s">
        <v>105</v>
      </c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9"/>
      <c r="AR2" s="229"/>
      <c r="AS2" s="229"/>
    </row>
    <row r="3" spans="1:45" ht="17.25" customHeight="1">
      <c r="A3" s="501"/>
      <c r="B3" s="230" t="s">
        <v>106</v>
      </c>
      <c r="C3" s="230" t="s">
        <v>107</v>
      </c>
      <c r="D3" s="230" t="s">
        <v>108</v>
      </c>
      <c r="E3" s="230" t="s">
        <v>109</v>
      </c>
      <c r="F3" s="231" t="s">
        <v>110</v>
      </c>
      <c r="G3" s="231" t="s">
        <v>111</v>
      </c>
      <c r="H3" s="231" t="s">
        <v>112</v>
      </c>
      <c r="I3" s="231" t="s">
        <v>113</v>
      </c>
      <c r="J3" s="231" t="s">
        <v>114</v>
      </c>
      <c r="K3" s="231" t="s">
        <v>115</v>
      </c>
      <c r="L3" s="231" t="s">
        <v>116</v>
      </c>
      <c r="M3" s="231" t="s">
        <v>117</v>
      </c>
      <c r="N3" s="231" t="s">
        <v>118</v>
      </c>
      <c r="O3" s="176">
        <v>45748</v>
      </c>
      <c r="P3" s="176">
        <v>45778</v>
      </c>
      <c r="Q3" s="176">
        <v>45809</v>
      </c>
      <c r="R3" s="176">
        <v>45839</v>
      </c>
      <c r="S3" s="176">
        <v>45870</v>
      </c>
      <c r="T3" s="176">
        <v>45901</v>
      </c>
      <c r="U3" s="176">
        <v>45931</v>
      </c>
      <c r="V3" s="176">
        <v>45962</v>
      </c>
      <c r="W3" s="176">
        <v>45992</v>
      </c>
      <c r="X3" s="232"/>
      <c r="Y3" s="232"/>
      <c r="Z3" s="232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32"/>
      <c r="AN3" s="232"/>
      <c r="AO3" s="233"/>
      <c r="AP3" s="9"/>
      <c r="AQ3" s="84"/>
      <c r="AR3" s="84"/>
      <c r="AS3" s="84"/>
    </row>
    <row r="4" spans="1:45" ht="12.75" customHeight="1">
      <c r="A4" s="15" t="s">
        <v>119</v>
      </c>
      <c r="B4" s="234"/>
      <c r="C4" s="234"/>
      <c r="D4" s="234"/>
      <c r="E4" s="234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2.75" customHeight="1">
      <c r="A5" s="46"/>
      <c r="B5" s="236"/>
      <c r="C5" s="236"/>
      <c r="D5" s="236"/>
      <c r="E5" s="236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2.75" customHeight="1">
      <c r="A6" s="15" t="s">
        <v>120</v>
      </c>
      <c r="B6" s="236"/>
      <c r="C6" s="236"/>
      <c r="D6" s="236"/>
      <c r="E6" s="236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2.75" customHeight="1">
      <c r="A7" s="238" t="s">
        <v>121</v>
      </c>
      <c r="B7" s="239">
        <f>170.59+31032.05</f>
        <v>31202.639999999999</v>
      </c>
      <c r="C7" s="239">
        <v>16132.54</v>
      </c>
      <c r="D7" s="239">
        <v>4816.4799999999996</v>
      </c>
      <c r="E7" s="239">
        <f>157.75+355.11</f>
        <v>512.86</v>
      </c>
      <c r="F7" s="240">
        <v>8419.76</v>
      </c>
      <c r="G7" s="240">
        <f>'Working Capital'!G41</f>
        <v>-1580.2399999999998</v>
      </c>
      <c r="H7" s="240">
        <f>'Working Capital'!H41</f>
        <v>2767.76</v>
      </c>
      <c r="I7" s="240">
        <f>'Working Capital'!I41</f>
        <v>3346.9599999999991</v>
      </c>
      <c r="J7" s="240">
        <f>'Working Capital'!J41</f>
        <v>-32142.480000000003</v>
      </c>
      <c r="K7" s="240">
        <f>'Working Capital'!K41</f>
        <v>-28175.280000000013</v>
      </c>
      <c r="L7" s="240">
        <f>'Working Capital'!L41</f>
        <v>-43853.280000000013</v>
      </c>
      <c r="M7" s="240">
        <f>'Working Capital'!M41</f>
        <v>-59627.470000000016</v>
      </c>
      <c r="N7" s="240">
        <f>'Working Capital'!N41</f>
        <v>-48765.470000000016</v>
      </c>
      <c r="O7" s="240">
        <f>'Working Capital'!O41</f>
        <v>-55573.470000000016</v>
      </c>
      <c r="P7" s="240">
        <f>'Working Capital'!P41</f>
        <v>-100115.80000000002</v>
      </c>
      <c r="Q7" s="240">
        <f>'Working Capital'!Q41</f>
        <v>-130163.80000000002</v>
      </c>
      <c r="R7" s="240">
        <f>'Working Capital'!R41</f>
        <v>-160211.80000000002</v>
      </c>
      <c r="S7" s="240">
        <f>'Working Capital'!S41</f>
        <v>-160295.80000000002</v>
      </c>
      <c r="T7" s="240">
        <f>'Working Capital'!T41</f>
        <v>-149603.80000000002</v>
      </c>
      <c r="U7" s="240">
        <f>'Working Capital'!U41</f>
        <v>-97120.60000000002</v>
      </c>
      <c r="V7" s="240">
        <f>'Working Capital'!V41</f>
        <v>-117489.80000000002</v>
      </c>
      <c r="W7" s="240">
        <f>'Working Capital'!W41</f>
        <v>-59070.60000000002</v>
      </c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2"/>
      <c r="AR7" s="242"/>
      <c r="AS7" s="242"/>
    </row>
    <row r="8" spans="1:45" ht="12.75" customHeight="1">
      <c r="A8" s="243" t="s">
        <v>122</v>
      </c>
      <c r="B8" s="244">
        <f t="shared" ref="B8:W8" si="0">SUM(B7)</f>
        <v>31202.639999999999</v>
      </c>
      <c r="C8" s="244">
        <f t="shared" si="0"/>
        <v>16132.54</v>
      </c>
      <c r="D8" s="244">
        <f t="shared" si="0"/>
        <v>4816.4799999999996</v>
      </c>
      <c r="E8" s="244">
        <f t="shared" si="0"/>
        <v>512.86</v>
      </c>
      <c r="F8" s="245">
        <f t="shared" si="0"/>
        <v>8419.76</v>
      </c>
      <c r="G8" s="245">
        <f t="shared" si="0"/>
        <v>-1580.2399999999998</v>
      </c>
      <c r="H8" s="245">
        <f t="shared" si="0"/>
        <v>2767.76</v>
      </c>
      <c r="I8" s="245">
        <f t="shared" si="0"/>
        <v>3346.9599999999991</v>
      </c>
      <c r="J8" s="245">
        <f t="shared" si="0"/>
        <v>-32142.480000000003</v>
      </c>
      <c r="K8" s="245">
        <f t="shared" si="0"/>
        <v>-28175.280000000013</v>
      </c>
      <c r="L8" s="245">
        <f t="shared" si="0"/>
        <v>-43853.280000000013</v>
      </c>
      <c r="M8" s="245">
        <f t="shared" si="0"/>
        <v>-59627.470000000016</v>
      </c>
      <c r="N8" s="245">
        <f t="shared" si="0"/>
        <v>-48765.470000000016</v>
      </c>
      <c r="O8" s="245">
        <f t="shared" si="0"/>
        <v>-55573.470000000016</v>
      </c>
      <c r="P8" s="245">
        <f t="shared" si="0"/>
        <v>-100115.80000000002</v>
      </c>
      <c r="Q8" s="245">
        <f t="shared" si="0"/>
        <v>-130163.80000000002</v>
      </c>
      <c r="R8" s="245">
        <f t="shared" si="0"/>
        <v>-160211.80000000002</v>
      </c>
      <c r="S8" s="245">
        <f t="shared" si="0"/>
        <v>-160295.80000000002</v>
      </c>
      <c r="T8" s="245">
        <f t="shared" si="0"/>
        <v>-149603.80000000002</v>
      </c>
      <c r="U8" s="245">
        <f t="shared" si="0"/>
        <v>-97120.60000000002</v>
      </c>
      <c r="V8" s="245">
        <f t="shared" si="0"/>
        <v>-117489.80000000002</v>
      </c>
      <c r="W8" s="245">
        <f t="shared" si="0"/>
        <v>-59070.60000000002</v>
      </c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7"/>
      <c r="AR8" s="247"/>
      <c r="AS8" s="247"/>
    </row>
    <row r="9" spans="1:45" ht="12.75" customHeight="1">
      <c r="A9" s="238"/>
      <c r="B9" s="248"/>
      <c r="C9" s="248"/>
      <c r="D9" s="248"/>
      <c r="E9" s="248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42"/>
      <c r="AR9" s="242"/>
      <c r="AS9" s="242"/>
    </row>
    <row r="10" spans="1:45" ht="12.75" customHeight="1">
      <c r="A10" s="251" t="s">
        <v>123</v>
      </c>
      <c r="B10" s="252"/>
      <c r="C10" s="252"/>
      <c r="D10" s="252"/>
      <c r="E10" s="252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42"/>
      <c r="AR10" s="242"/>
      <c r="AS10" s="242"/>
    </row>
    <row r="11" spans="1:45" ht="12.75" customHeight="1">
      <c r="A11" s="238" t="s">
        <v>124</v>
      </c>
      <c r="B11" s="240">
        <v>63292</v>
      </c>
      <c r="C11" s="240">
        <v>85462</v>
      </c>
      <c r="D11" s="240">
        <v>107632</v>
      </c>
      <c r="E11" s="240">
        <v>129142</v>
      </c>
      <c r="F11" s="240">
        <v>21592</v>
      </c>
      <c r="G11" s="240">
        <f>'Working Capital'!G16</f>
        <v>21592</v>
      </c>
      <c r="H11" s="240">
        <f>'Working Capital'!H16</f>
        <v>50623.199999999997</v>
      </c>
      <c r="I11" s="240">
        <f>'Working Capital'!I16</f>
        <v>6592</v>
      </c>
      <c r="J11" s="240">
        <f>'Working Capital'!J16</f>
        <v>59159.199999999997</v>
      </c>
      <c r="K11" s="240">
        <f>'Working Capital'!K16</f>
        <v>40132</v>
      </c>
      <c r="L11" s="240">
        <f>'Working Capital'!L16</f>
        <v>41632</v>
      </c>
      <c r="M11" s="240">
        <f>'Working Capital'!M16</f>
        <v>48752</v>
      </c>
      <c r="N11" s="240">
        <f>'Working Capital'!N16</f>
        <v>50972</v>
      </c>
      <c r="O11" s="240">
        <f>'Working Capital'!O16</f>
        <v>18452</v>
      </c>
      <c r="P11" s="240">
        <f>'Working Capital'!P16</f>
        <v>48632</v>
      </c>
      <c r="Q11" s="240">
        <f>'Working Capital'!Q16</f>
        <v>48632</v>
      </c>
      <c r="R11" s="240">
        <f>'Working Capital'!R16</f>
        <v>80492</v>
      </c>
      <c r="S11" s="240">
        <f>'Working Capital'!S16</f>
        <v>81572</v>
      </c>
      <c r="T11" s="240">
        <f>'Working Capital'!T16</f>
        <v>123363.20000000001</v>
      </c>
      <c r="U11" s="240">
        <f>'Working Capital'!U16</f>
        <v>54692.000000000015</v>
      </c>
      <c r="V11" s="240">
        <f>'Working Capital'!V16</f>
        <v>108399.20000000001</v>
      </c>
      <c r="W11" s="240">
        <f>'Working Capital'!W16</f>
        <v>58592.000000000015</v>
      </c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2"/>
      <c r="AR11" s="242"/>
      <c r="AS11" s="242"/>
    </row>
    <row r="12" spans="1:45" ht="12.75" customHeight="1">
      <c r="A12" s="238" t="s">
        <v>125</v>
      </c>
      <c r="B12" s="240">
        <v>8257.75</v>
      </c>
      <c r="C12" s="240">
        <v>7200.46</v>
      </c>
      <c r="D12" s="240">
        <v>6143.17</v>
      </c>
      <c r="E12" s="240">
        <v>5085.88</v>
      </c>
      <c r="F12" s="240">
        <v>5085.88</v>
      </c>
      <c r="G12" s="240">
        <f t="shared" ref="G12:W12" si="1">F12</f>
        <v>5085.88</v>
      </c>
      <c r="H12" s="240">
        <f t="shared" si="1"/>
        <v>5085.88</v>
      </c>
      <c r="I12" s="240">
        <f t="shared" si="1"/>
        <v>5085.88</v>
      </c>
      <c r="J12" s="240">
        <f t="shared" si="1"/>
        <v>5085.88</v>
      </c>
      <c r="K12" s="240">
        <f t="shared" si="1"/>
        <v>5085.88</v>
      </c>
      <c r="L12" s="240">
        <f t="shared" si="1"/>
        <v>5085.88</v>
      </c>
      <c r="M12" s="240">
        <f t="shared" si="1"/>
        <v>5085.88</v>
      </c>
      <c r="N12" s="240">
        <f t="shared" si="1"/>
        <v>5085.88</v>
      </c>
      <c r="O12" s="240">
        <f t="shared" si="1"/>
        <v>5085.88</v>
      </c>
      <c r="P12" s="240">
        <f t="shared" si="1"/>
        <v>5085.88</v>
      </c>
      <c r="Q12" s="240">
        <f t="shared" si="1"/>
        <v>5085.88</v>
      </c>
      <c r="R12" s="240">
        <f t="shared" si="1"/>
        <v>5085.88</v>
      </c>
      <c r="S12" s="240">
        <f t="shared" si="1"/>
        <v>5085.88</v>
      </c>
      <c r="T12" s="240">
        <f t="shared" si="1"/>
        <v>5085.88</v>
      </c>
      <c r="U12" s="240">
        <f t="shared" si="1"/>
        <v>5085.88</v>
      </c>
      <c r="V12" s="240">
        <f t="shared" si="1"/>
        <v>5085.88</v>
      </c>
      <c r="W12" s="240">
        <f t="shared" si="1"/>
        <v>5085.88</v>
      </c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2"/>
      <c r="AR12" s="242"/>
      <c r="AS12" s="242"/>
    </row>
    <row r="13" spans="1:45" ht="12.75" customHeight="1">
      <c r="A13" s="243" t="s">
        <v>126</v>
      </c>
      <c r="B13" s="244">
        <f t="shared" ref="B13:W13" si="2">SUM(B11:B12)</f>
        <v>71549.75</v>
      </c>
      <c r="C13" s="244">
        <f t="shared" si="2"/>
        <v>92662.46</v>
      </c>
      <c r="D13" s="244">
        <f t="shared" si="2"/>
        <v>113775.17</v>
      </c>
      <c r="E13" s="244">
        <f t="shared" si="2"/>
        <v>134227.88</v>
      </c>
      <c r="F13" s="245">
        <f t="shared" si="2"/>
        <v>26677.88</v>
      </c>
      <c r="G13" s="245">
        <f t="shared" si="2"/>
        <v>26677.88</v>
      </c>
      <c r="H13" s="245">
        <f t="shared" si="2"/>
        <v>55709.079999999994</v>
      </c>
      <c r="I13" s="245">
        <f t="shared" si="2"/>
        <v>11677.880000000001</v>
      </c>
      <c r="J13" s="245">
        <f t="shared" si="2"/>
        <v>64245.079999999994</v>
      </c>
      <c r="K13" s="245">
        <f t="shared" si="2"/>
        <v>45217.88</v>
      </c>
      <c r="L13" s="245">
        <f t="shared" si="2"/>
        <v>46717.88</v>
      </c>
      <c r="M13" s="245">
        <f t="shared" si="2"/>
        <v>53837.88</v>
      </c>
      <c r="N13" s="245">
        <f t="shared" si="2"/>
        <v>56057.88</v>
      </c>
      <c r="O13" s="245">
        <f t="shared" si="2"/>
        <v>23537.88</v>
      </c>
      <c r="P13" s="245">
        <f t="shared" si="2"/>
        <v>53717.88</v>
      </c>
      <c r="Q13" s="245">
        <f t="shared" si="2"/>
        <v>53717.88</v>
      </c>
      <c r="R13" s="245">
        <f t="shared" si="2"/>
        <v>85577.88</v>
      </c>
      <c r="S13" s="245">
        <f t="shared" si="2"/>
        <v>86657.88</v>
      </c>
      <c r="T13" s="245">
        <f t="shared" si="2"/>
        <v>128449.08000000002</v>
      </c>
      <c r="U13" s="245">
        <f t="shared" si="2"/>
        <v>59777.880000000012</v>
      </c>
      <c r="V13" s="245">
        <f t="shared" si="2"/>
        <v>113485.08000000002</v>
      </c>
      <c r="W13" s="245">
        <f t="shared" si="2"/>
        <v>63677.880000000012</v>
      </c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7"/>
      <c r="AR13" s="247"/>
      <c r="AS13" s="247"/>
    </row>
    <row r="14" spans="1:45" ht="12.75" customHeight="1">
      <c r="A14" s="238"/>
      <c r="B14" s="248"/>
      <c r="C14" s="248"/>
      <c r="D14" s="248"/>
      <c r="E14" s="248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42"/>
      <c r="AR14" s="242"/>
      <c r="AS14" s="242"/>
    </row>
    <row r="15" spans="1:45" ht="12.75" customHeight="1">
      <c r="A15" s="251" t="s">
        <v>127</v>
      </c>
      <c r="B15" s="252"/>
      <c r="C15" s="252"/>
      <c r="D15" s="252"/>
      <c r="E15" s="252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42"/>
      <c r="AR15" s="242"/>
      <c r="AS15" s="242"/>
    </row>
    <row r="16" spans="1:45" ht="12.75" customHeight="1">
      <c r="A16" s="238" t="s">
        <v>128</v>
      </c>
      <c r="B16" s="240">
        <v>0</v>
      </c>
      <c r="C16" s="240">
        <v>0</v>
      </c>
      <c r="D16" s="240">
        <v>0</v>
      </c>
      <c r="E16" s="240">
        <v>0</v>
      </c>
      <c r="F16" s="240">
        <v>0</v>
      </c>
      <c r="G16" s="240">
        <f>'Working Capital'!G34</f>
        <v>0</v>
      </c>
      <c r="H16" s="240">
        <f>'Working Capital'!H34</f>
        <v>0</v>
      </c>
      <c r="I16" s="240">
        <f>'Working Capital'!I34</f>
        <v>16900</v>
      </c>
      <c r="J16" s="240">
        <f>'Working Capital'!J34</f>
        <v>35600</v>
      </c>
      <c r="K16" s="240">
        <f>'Working Capital'!K34</f>
        <v>54300</v>
      </c>
      <c r="L16" s="240">
        <f>'Working Capital'!L34</f>
        <v>73000</v>
      </c>
      <c r="M16" s="240">
        <f>'Working Capital'!M34</f>
        <v>91700</v>
      </c>
      <c r="N16" s="240">
        <f>'Working Capital'!N34</f>
        <v>91700</v>
      </c>
      <c r="O16" s="240">
        <f>'Working Capital'!O34</f>
        <v>111500</v>
      </c>
      <c r="P16" s="240">
        <f>'Working Capital'!P34</f>
        <v>131300</v>
      </c>
      <c r="Q16" s="240">
        <f>'Working Capital'!Q34</f>
        <v>172000</v>
      </c>
      <c r="R16" s="240">
        <f>'Working Capital'!R34</f>
        <v>212700</v>
      </c>
      <c r="S16" s="240">
        <f>'Working Capital'!S34</f>
        <v>254500</v>
      </c>
      <c r="T16" s="240">
        <f>'Working Capital'!T34</f>
        <v>275400</v>
      </c>
      <c r="U16" s="240">
        <f>'Working Capital'!U34</f>
        <v>296300</v>
      </c>
      <c r="V16" s="240">
        <f>'Working Capital'!V34</f>
        <v>296300</v>
      </c>
      <c r="W16" s="240">
        <f>'Working Capital'!W34</f>
        <v>296300</v>
      </c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2"/>
      <c r="AR16" s="242"/>
      <c r="AS16" s="242"/>
    </row>
    <row r="17" spans="1:45" ht="12.75" customHeight="1">
      <c r="A17" s="238" t="s">
        <v>129</v>
      </c>
      <c r="B17" s="240">
        <v>0</v>
      </c>
      <c r="C17" s="240">
        <v>0</v>
      </c>
      <c r="D17" s="240">
        <v>0</v>
      </c>
      <c r="E17" s="240">
        <v>0</v>
      </c>
      <c r="F17" s="240">
        <v>0</v>
      </c>
      <c r="G17" s="240">
        <v>0</v>
      </c>
      <c r="H17" s="240">
        <v>0</v>
      </c>
      <c r="I17" s="240">
        <v>0</v>
      </c>
      <c r="J17" s="240">
        <v>0</v>
      </c>
      <c r="K17" s="240">
        <v>0</v>
      </c>
      <c r="L17" s="240">
        <v>0</v>
      </c>
      <c r="M17" s="240">
        <v>0</v>
      </c>
      <c r="N17" s="240">
        <v>0</v>
      </c>
      <c r="O17" s="240">
        <v>0</v>
      </c>
      <c r="P17" s="240">
        <v>0</v>
      </c>
      <c r="Q17" s="240">
        <v>0</v>
      </c>
      <c r="R17" s="240">
        <v>0</v>
      </c>
      <c r="S17" s="240">
        <v>0</v>
      </c>
      <c r="T17" s="240">
        <v>0</v>
      </c>
      <c r="U17" s="240">
        <v>0</v>
      </c>
      <c r="V17" s="240">
        <v>0</v>
      </c>
      <c r="W17" s="240">
        <v>0</v>
      </c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2"/>
      <c r="AR17" s="242"/>
      <c r="AS17" s="242"/>
    </row>
    <row r="18" spans="1:45" ht="12.75" customHeight="1">
      <c r="A18" s="238" t="s">
        <v>130</v>
      </c>
      <c r="B18" s="240">
        <v>59983.35</v>
      </c>
      <c r="C18" s="240">
        <v>60350.02</v>
      </c>
      <c r="D18" s="240">
        <v>60716.69</v>
      </c>
      <c r="E18" s="240">
        <v>69683.360000000001</v>
      </c>
      <c r="F18" s="240">
        <v>69683.360000000001</v>
      </c>
      <c r="G18" s="240">
        <f t="shared" ref="G18:W18" si="3">F18</f>
        <v>69683.360000000001</v>
      </c>
      <c r="H18" s="240">
        <f t="shared" si="3"/>
        <v>69683.360000000001</v>
      </c>
      <c r="I18" s="240">
        <f t="shared" si="3"/>
        <v>69683.360000000001</v>
      </c>
      <c r="J18" s="240">
        <f t="shared" si="3"/>
        <v>69683.360000000001</v>
      </c>
      <c r="K18" s="240">
        <f t="shared" si="3"/>
        <v>69683.360000000001</v>
      </c>
      <c r="L18" s="240">
        <f t="shared" si="3"/>
        <v>69683.360000000001</v>
      </c>
      <c r="M18" s="240">
        <f t="shared" si="3"/>
        <v>69683.360000000001</v>
      </c>
      <c r="N18" s="240">
        <f t="shared" si="3"/>
        <v>69683.360000000001</v>
      </c>
      <c r="O18" s="240">
        <f t="shared" si="3"/>
        <v>69683.360000000001</v>
      </c>
      <c r="P18" s="240">
        <f t="shared" si="3"/>
        <v>69683.360000000001</v>
      </c>
      <c r="Q18" s="240">
        <f t="shared" si="3"/>
        <v>69683.360000000001</v>
      </c>
      <c r="R18" s="240">
        <f t="shared" si="3"/>
        <v>69683.360000000001</v>
      </c>
      <c r="S18" s="240">
        <f t="shared" si="3"/>
        <v>69683.360000000001</v>
      </c>
      <c r="T18" s="240">
        <f t="shared" si="3"/>
        <v>69683.360000000001</v>
      </c>
      <c r="U18" s="240">
        <f t="shared" si="3"/>
        <v>69683.360000000001</v>
      </c>
      <c r="V18" s="240">
        <f t="shared" si="3"/>
        <v>69683.360000000001</v>
      </c>
      <c r="W18" s="240">
        <f t="shared" si="3"/>
        <v>69683.360000000001</v>
      </c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2"/>
      <c r="AR18" s="242"/>
      <c r="AS18" s="242"/>
    </row>
    <row r="19" spans="1:45" ht="12.75" customHeight="1">
      <c r="A19" s="238" t="s">
        <v>129</v>
      </c>
      <c r="B19" s="240">
        <v>0</v>
      </c>
      <c r="C19" s="240">
        <v>0</v>
      </c>
      <c r="D19" s="240">
        <v>0</v>
      </c>
      <c r="E19" s="240">
        <v>0</v>
      </c>
      <c r="F19" s="240">
        <v>0</v>
      </c>
      <c r="G19" s="240">
        <v>0</v>
      </c>
      <c r="H19" s="240">
        <v>0</v>
      </c>
      <c r="I19" s="240">
        <v>0</v>
      </c>
      <c r="J19" s="240">
        <v>0</v>
      </c>
      <c r="K19" s="240">
        <v>0</v>
      </c>
      <c r="L19" s="240">
        <v>0</v>
      </c>
      <c r="M19" s="240">
        <v>0</v>
      </c>
      <c r="N19" s="240">
        <v>0</v>
      </c>
      <c r="O19" s="240">
        <v>0</v>
      </c>
      <c r="P19" s="240">
        <v>0</v>
      </c>
      <c r="Q19" s="240">
        <v>0</v>
      </c>
      <c r="R19" s="240">
        <v>0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2"/>
      <c r="AR19" s="242"/>
      <c r="AS19" s="242"/>
    </row>
    <row r="20" spans="1:45" ht="12.75" customHeight="1">
      <c r="A20" s="243" t="s">
        <v>131</v>
      </c>
      <c r="B20" s="244">
        <f t="shared" ref="B20:W20" si="4">SUM(B16:B19)</f>
        <v>59983.35</v>
      </c>
      <c r="C20" s="244">
        <f t="shared" si="4"/>
        <v>60350.02</v>
      </c>
      <c r="D20" s="244">
        <f t="shared" si="4"/>
        <v>60716.69</v>
      </c>
      <c r="E20" s="244">
        <f t="shared" si="4"/>
        <v>69683.360000000001</v>
      </c>
      <c r="F20" s="244">
        <f t="shared" si="4"/>
        <v>69683.360000000001</v>
      </c>
      <c r="G20" s="244">
        <f t="shared" si="4"/>
        <v>69683.360000000001</v>
      </c>
      <c r="H20" s="244">
        <f t="shared" si="4"/>
        <v>69683.360000000001</v>
      </c>
      <c r="I20" s="244">
        <f t="shared" si="4"/>
        <v>86583.360000000001</v>
      </c>
      <c r="J20" s="244">
        <f t="shared" si="4"/>
        <v>105283.36</v>
      </c>
      <c r="K20" s="244">
        <f t="shared" si="4"/>
        <v>123983.36</v>
      </c>
      <c r="L20" s="244">
        <f t="shared" si="4"/>
        <v>142683.35999999999</v>
      </c>
      <c r="M20" s="244">
        <f t="shared" si="4"/>
        <v>161383.35999999999</v>
      </c>
      <c r="N20" s="244">
        <f t="shared" si="4"/>
        <v>161383.35999999999</v>
      </c>
      <c r="O20" s="244">
        <f t="shared" si="4"/>
        <v>181183.35999999999</v>
      </c>
      <c r="P20" s="244">
        <f t="shared" si="4"/>
        <v>200983.36</v>
      </c>
      <c r="Q20" s="244">
        <f t="shared" si="4"/>
        <v>241683.36</v>
      </c>
      <c r="R20" s="244">
        <f t="shared" si="4"/>
        <v>282383.35999999999</v>
      </c>
      <c r="S20" s="244">
        <f t="shared" si="4"/>
        <v>324183.36</v>
      </c>
      <c r="T20" s="244">
        <f t="shared" si="4"/>
        <v>345083.36</v>
      </c>
      <c r="U20" s="244">
        <f t="shared" si="4"/>
        <v>365983.36</v>
      </c>
      <c r="V20" s="244">
        <f t="shared" si="4"/>
        <v>365983.36</v>
      </c>
      <c r="W20" s="244">
        <f t="shared" si="4"/>
        <v>365983.36</v>
      </c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7"/>
      <c r="AR20" s="247"/>
      <c r="AS20" s="247"/>
    </row>
    <row r="21" spans="1:45" ht="12.75" customHeight="1">
      <c r="A21" s="238"/>
      <c r="B21" s="248"/>
      <c r="C21" s="248"/>
      <c r="D21" s="248"/>
      <c r="E21" s="248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42"/>
      <c r="AR21" s="242"/>
      <c r="AS21" s="242"/>
    </row>
    <row r="22" spans="1:45" ht="12.75" customHeight="1">
      <c r="A22" s="254" t="s">
        <v>132</v>
      </c>
      <c r="B22" s="255">
        <f t="shared" ref="B22:W22" si="5">(0+(0)+(B8)+(B13)+(B20))-(0)</f>
        <v>162735.74</v>
      </c>
      <c r="C22" s="255">
        <f t="shared" si="5"/>
        <v>169145.02</v>
      </c>
      <c r="D22" s="255">
        <f t="shared" si="5"/>
        <v>179308.34</v>
      </c>
      <c r="E22" s="255">
        <f t="shared" si="5"/>
        <v>204424.09999999998</v>
      </c>
      <c r="F22" s="256">
        <f t="shared" si="5"/>
        <v>104781</v>
      </c>
      <c r="G22" s="256">
        <f t="shared" si="5"/>
        <v>94781</v>
      </c>
      <c r="H22" s="256">
        <f t="shared" si="5"/>
        <v>128160.2</v>
      </c>
      <c r="I22" s="256">
        <f t="shared" si="5"/>
        <v>101608.2</v>
      </c>
      <c r="J22" s="256">
        <f t="shared" si="5"/>
        <v>137385.96</v>
      </c>
      <c r="K22" s="256">
        <f t="shared" si="5"/>
        <v>141025.96</v>
      </c>
      <c r="L22" s="256">
        <f t="shared" si="5"/>
        <v>145547.95999999996</v>
      </c>
      <c r="M22" s="256">
        <f t="shared" si="5"/>
        <v>155593.76999999996</v>
      </c>
      <c r="N22" s="256">
        <f t="shared" si="5"/>
        <v>168675.76999999996</v>
      </c>
      <c r="O22" s="256">
        <f t="shared" si="5"/>
        <v>149147.76999999996</v>
      </c>
      <c r="P22" s="256">
        <f t="shared" si="5"/>
        <v>154585.43999999997</v>
      </c>
      <c r="Q22" s="256">
        <f t="shared" si="5"/>
        <v>165237.43999999997</v>
      </c>
      <c r="R22" s="256">
        <f t="shared" si="5"/>
        <v>207749.43999999997</v>
      </c>
      <c r="S22" s="256">
        <f t="shared" si="5"/>
        <v>250545.43999999997</v>
      </c>
      <c r="T22" s="256">
        <f t="shared" si="5"/>
        <v>323928.64</v>
      </c>
      <c r="U22" s="256">
        <f t="shared" si="5"/>
        <v>328640.63999999996</v>
      </c>
      <c r="V22" s="256">
        <f t="shared" si="5"/>
        <v>361978.64</v>
      </c>
      <c r="W22" s="256">
        <f t="shared" si="5"/>
        <v>370590.63999999996</v>
      </c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7"/>
      <c r="AR22" s="247"/>
      <c r="AS22" s="247"/>
    </row>
    <row r="23" spans="1:45" ht="12.75" customHeight="1">
      <c r="A23" s="238"/>
      <c r="B23" s="248"/>
      <c r="C23" s="248"/>
      <c r="D23" s="248"/>
      <c r="E23" s="248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42"/>
      <c r="AR23" s="242"/>
      <c r="AS23" s="242"/>
    </row>
    <row r="24" spans="1:45" ht="12.75" customHeight="1">
      <c r="A24" s="251" t="s">
        <v>133</v>
      </c>
      <c r="B24" s="252"/>
      <c r="C24" s="252"/>
      <c r="D24" s="252"/>
      <c r="E24" s="252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42"/>
      <c r="AR24" s="242"/>
      <c r="AS24" s="242"/>
    </row>
    <row r="25" spans="1:45" ht="12.75" customHeight="1">
      <c r="A25" s="238"/>
      <c r="B25" s="252"/>
      <c r="C25" s="252"/>
      <c r="D25" s="252"/>
      <c r="E25" s="252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42"/>
      <c r="AR25" s="242"/>
      <c r="AS25" s="242"/>
    </row>
    <row r="26" spans="1:45" ht="12.75" customHeight="1">
      <c r="A26" s="251" t="s">
        <v>134</v>
      </c>
      <c r="B26" s="252"/>
      <c r="C26" s="252"/>
      <c r="D26" s="252"/>
      <c r="E26" s="252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42"/>
      <c r="AR26" s="242"/>
      <c r="AS26" s="242"/>
    </row>
    <row r="27" spans="1:45" ht="12.75" customHeight="1">
      <c r="A27" s="238" t="s">
        <v>135</v>
      </c>
      <c r="B27" s="240">
        <v>78309.98</v>
      </c>
      <c r="C27" s="240">
        <v>115566.38</v>
      </c>
      <c r="D27" s="240">
        <v>124836.9</v>
      </c>
      <c r="E27" s="240">
        <v>158897.03</v>
      </c>
      <c r="F27" s="240">
        <v>83451.5</v>
      </c>
      <c r="G27" s="240">
        <f>'Working Capital'!G24</f>
        <v>89103.5</v>
      </c>
      <c r="H27" s="240">
        <f>'Working Capital'!H24</f>
        <v>101503.5</v>
      </c>
      <c r="I27" s="240">
        <f>'Working Capital'!I24</f>
        <v>93603.5</v>
      </c>
      <c r="J27" s="240">
        <f>'Working Capital'!J24</f>
        <v>99881.5</v>
      </c>
      <c r="K27" s="240">
        <f>'Working Capital'!K24</f>
        <v>99499.5</v>
      </c>
      <c r="L27" s="240">
        <f>'Working Capital'!L24</f>
        <v>98589.5</v>
      </c>
      <c r="M27" s="240">
        <f>'Working Capital'!M24</f>
        <v>98279.5</v>
      </c>
      <c r="N27" s="240">
        <f>'Working Capital'!N24</f>
        <v>97369.5</v>
      </c>
      <c r="O27" s="240">
        <f>'Working Capital'!O24</f>
        <v>96369.5</v>
      </c>
      <c r="P27" s="240">
        <f>'Working Capital'!P24</f>
        <v>95369.5</v>
      </c>
      <c r="Q27" s="240">
        <f>'Working Capital'!Q24</f>
        <v>94369.5</v>
      </c>
      <c r="R27" s="240">
        <f>'Working Capital'!R24</f>
        <v>93369.5</v>
      </c>
      <c r="S27" s="240">
        <f>'Working Capital'!S24</f>
        <v>104369.5</v>
      </c>
      <c r="T27" s="240">
        <f>'Working Capital'!T24</f>
        <v>103369.5</v>
      </c>
      <c r="U27" s="240">
        <f>'Working Capital'!U24</f>
        <v>102369.5</v>
      </c>
      <c r="V27" s="240">
        <f>'Working Capital'!V24</f>
        <v>101369.5</v>
      </c>
      <c r="W27" s="240">
        <f>'Working Capital'!W24</f>
        <v>100369.5</v>
      </c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2"/>
      <c r="AR27" s="242"/>
      <c r="AS27" s="242"/>
    </row>
    <row r="28" spans="1:45" ht="12.75" customHeight="1">
      <c r="A28" s="238" t="s">
        <v>136</v>
      </c>
      <c r="B28" s="240">
        <v>34749.96</v>
      </c>
      <c r="C28" s="240">
        <v>34749.96</v>
      </c>
      <c r="D28" s="240">
        <v>43549.96</v>
      </c>
      <c r="E28" s="240">
        <v>54849.96</v>
      </c>
      <c r="F28" s="240">
        <v>54849.96</v>
      </c>
      <c r="G28" s="240">
        <f t="shared" ref="G28:W28" si="6">F28</f>
        <v>54849.96</v>
      </c>
      <c r="H28" s="240">
        <f t="shared" si="6"/>
        <v>54849.96</v>
      </c>
      <c r="I28" s="240">
        <f t="shared" si="6"/>
        <v>54849.96</v>
      </c>
      <c r="J28" s="240">
        <f t="shared" si="6"/>
        <v>54849.96</v>
      </c>
      <c r="K28" s="240">
        <f t="shared" si="6"/>
        <v>54849.96</v>
      </c>
      <c r="L28" s="240">
        <f t="shared" si="6"/>
        <v>54849.96</v>
      </c>
      <c r="M28" s="240">
        <f t="shared" si="6"/>
        <v>54849.96</v>
      </c>
      <c r="N28" s="240">
        <f t="shared" si="6"/>
        <v>54849.96</v>
      </c>
      <c r="O28" s="240">
        <f t="shared" si="6"/>
        <v>54849.96</v>
      </c>
      <c r="P28" s="240">
        <f t="shared" si="6"/>
        <v>54849.96</v>
      </c>
      <c r="Q28" s="240">
        <f t="shared" si="6"/>
        <v>54849.96</v>
      </c>
      <c r="R28" s="240">
        <f t="shared" si="6"/>
        <v>54849.96</v>
      </c>
      <c r="S28" s="240">
        <f t="shared" si="6"/>
        <v>54849.96</v>
      </c>
      <c r="T28" s="240">
        <f t="shared" si="6"/>
        <v>54849.96</v>
      </c>
      <c r="U28" s="240">
        <f t="shared" si="6"/>
        <v>54849.96</v>
      </c>
      <c r="V28" s="240">
        <f t="shared" si="6"/>
        <v>54849.96</v>
      </c>
      <c r="W28" s="240">
        <f t="shared" si="6"/>
        <v>54849.96</v>
      </c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2"/>
      <c r="AR28" s="242"/>
      <c r="AS28" s="242"/>
    </row>
    <row r="29" spans="1:45" ht="12.75" customHeight="1">
      <c r="A29" s="238" t="s">
        <v>137</v>
      </c>
      <c r="B29" s="240">
        <v>7363.21</v>
      </c>
      <c r="C29" s="240">
        <f>256.83+9108.86</f>
        <v>9365.69</v>
      </c>
      <c r="D29" s="240">
        <f>513.66+11043.37</f>
        <v>11557.03</v>
      </c>
      <c r="E29" s="240">
        <f>513.66+11233.51</f>
        <v>11747.17</v>
      </c>
      <c r="F29" s="240">
        <f>513.66+11.5</f>
        <v>525.16</v>
      </c>
      <c r="G29" s="240">
        <v>0</v>
      </c>
      <c r="H29" s="240">
        <v>0</v>
      </c>
      <c r="I29" s="240">
        <v>0</v>
      </c>
      <c r="J29" s="240">
        <v>0</v>
      </c>
      <c r="K29" s="240">
        <v>0</v>
      </c>
      <c r="L29" s="240">
        <v>0</v>
      </c>
      <c r="M29" s="240">
        <v>0</v>
      </c>
      <c r="N29" s="240">
        <v>0</v>
      </c>
      <c r="O29" s="240">
        <v>0</v>
      </c>
      <c r="P29" s="240">
        <v>0</v>
      </c>
      <c r="Q29" s="240">
        <v>0</v>
      </c>
      <c r="R29" s="240">
        <v>0</v>
      </c>
      <c r="S29" s="240">
        <v>0</v>
      </c>
      <c r="T29" s="240">
        <v>0</v>
      </c>
      <c r="U29" s="240">
        <v>0</v>
      </c>
      <c r="V29" s="240">
        <v>0</v>
      </c>
      <c r="W29" s="240">
        <v>0</v>
      </c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2"/>
      <c r="AR29" s="242"/>
      <c r="AS29" s="242"/>
    </row>
    <row r="30" spans="1:45" ht="12.75" customHeight="1">
      <c r="A30" s="238" t="s">
        <v>83</v>
      </c>
      <c r="B30" s="240">
        <v>-24342.65</v>
      </c>
      <c r="C30" s="240">
        <v>-27173.05</v>
      </c>
      <c r="D30" s="240">
        <v>-5060.29</v>
      </c>
      <c r="E30" s="240">
        <v>-5328.09</v>
      </c>
      <c r="F30" s="240">
        <v>-4387.09</v>
      </c>
      <c r="G30" s="240">
        <f>'Working Capital'!G7</f>
        <v>-9329.09</v>
      </c>
      <c r="H30" s="240">
        <f>'Working Capital'!H7</f>
        <v>-5832.56</v>
      </c>
      <c r="I30" s="240">
        <f>'Working Capital'!I7</f>
        <v>-8941.23</v>
      </c>
      <c r="J30" s="240">
        <f>'Working Capital'!J7</f>
        <v>835.86000000000149</v>
      </c>
      <c r="K30" s="240">
        <f>'Working Capital'!K7</f>
        <v>1506.1900000000014</v>
      </c>
      <c r="L30" s="240">
        <f>'Working Capital'!L7</f>
        <v>2411.5200000000013</v>
      </c>
      <c r="M30" s="240">
        <f>'Working Capital'!M7</f>
        <v>2882.3300000000008</v>
      </c>
      <c r="N30" s="240">
        <f>'Working Capital'!N7</f>
        <v>5214.33</v>
      </c>
      <c r="O30" s="240">
        <f>'Working Capital'!O7</f>
        <v>2126.33</v>
      </c>
      <c r="P30" s="240">
        <f>'Working Capital'!P7</f>
        <v>-1146</v>
      </c>
      <c r="Q30" s="240">
        <f>'Working Capital'!Q7</f>
        <v>796</v>
      </c>
      <c r="R30" s="240">
        <f>'Working Capital'!R7</f>
        <v>8048</v>
      </c>
      <c r="S30" s="240">
        <f>'Working Capital'!S7</f>
        <v>12683.999999999998</v>
      </c>
      <c r="T30" s="240">
        <f>'Working Capital'!T7</f>
        <v>25081.199999999997</v>
      </c>
      <c r="U30" s="240">
        <f>'Working Capital'!U7</f>
        <v>26033.199999999997</v>
      </c>
      <c r="V30" s="240">
        <f>'Working Capital'!V7</f>
        <v>10855.199999999997</v>
      </c>
      <c r="W30" s="240">
        <f>'Working Capital'!W7</f>
        <v>12457.199999999995</v>
      </c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2"/>
      <c r="AR30" s="242"/>
      <c r="AS30" s="242"/>
    </row>
    <row r="31" spans="1:45" ht="12.75" customHeight="1">
      <c r="A31" s="238"/>
      <c r="B31" s="239"/>
      <c r="C31" s="239"/>
      <c r="D31" s="239"/>
      <c r="E31" s="239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2"/>
      <c r="AR31" s="242"/>
      <c r="AS31" s="242"/>
    </row>
    <row r="32" spans="1:45" ht="12.75" hidden="1" customHeight="1">
      <c r="A32" s="243" t="s">
        <v>138</v>
      </c>
      <c r="B32" s="244">
        <f t="shared" ref="B32:W32" si="7">SUM(B27:B31)</f>
        <v>96080.5</v>
      </c>
      <c r="C32" s="244">
        <f t="shared" si="7"/>
        <v>132508.98000000001</v>
      </c>
      <c r="D32" s="244">
        <f t="shared" si="7"/>
        <v>174883.59999999998</v>
      </c>
      <c r="E32" s="244">
        <f t="shared" si="7"/>
        <v>220166.07</v>
      </c>
      <c r="F32" s="245">
        <f t="shared" si="7"/>
        <v>134439.53</v>
      </c>
      <c r="G32" s="245">
        <f t="shared" si="7"/>
        <v>134624.37</v>
      </c>
      <c r="H32" s="245">
        <f t="shared" si="7"/>
        <v>150520.9</v>
      </c>
      <c r="I32" s="245">
        <f t="shared" si="7"/>
        <v>139512.22999999998</v>
      </c>
      <c r="J32" s="245">
        <f t="shared" si="7"/>
        <v>155567.32</v>
      </c>
      <c r="K32" s="245">
        <f t="shared" si="7"/>
        <v>155855.65</v>
      </c>
      <c r="L32" s="245">
        <f t="shared" si="7"/>
        <v>155850.97999999998</v>
      </c>
      <c r="M32" s="245">
        <f t="shared" si="7"/>
        <v>156011.78999999998</v>
      </c>
      <c r="N32" s="245">
        <f t="shared" si="7"/>
        <v>157433.78999999998</v>
      </c>
      <c r="O32" s="245">
        <f t="shared" si="7"/>
        <v>153345.78999999998</v>
      </c>
      <c r="P32" s="245">
        <f t="shared" si="7"/>
        <v>149073.46</v>
      </c>
      <c r="Q32" s="245">
        <f t="shared" si="7"/>
        <v>150015.46</v>
      </c>
      <c r="R32" s="245">
        <f t="shared" si="7"/>
        <v>156267.46</v>
      </c>
      <c r="S32" s="245">
        <f t="shared" si="7"/>
        <v>171903.46</v>
      </c>
      <c r="T32" s="245">
        <f t="shared" si="7"/>
        <v>183300.65999999997</v>
      </c>
      <c r="U32" s="245">
        <f t="shared" si="7"/>
        <v>183252.65999999997</v>
      </c>
      <c r="V32" s="245">
        <f t="shared" si="7"/>
        <v>167074.65999999997</v>
      </c>
      <c r="W32" s="245">
        <f t="shared" si="7"/>
        <v>167676.65999999997</v>
      </c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7"/>
      <c r="AR32" s="247"/>
      <c r="AS32" s="247"/>
    </row>
    <row r="33" spans="1:45" ht="12.75" hidden="1" customHeight="1">
      <c r="A33" s="238"/>
      <c r="B33" s="248"/>
      <c r="C33" s="248"/>
      <c r="D33" s="248"/>
      <c r="E33" s="248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42"/>
      <c r="AR33" s="242"/>
      <c r="AS33" s="242"/>
    </row>
    <row r="34" spans="1:45" ht="12.75" hidden="1" customHeight="1">
      <c r="A34" s="251" t="s">
        <v>139</v>
      </c>
      <c r="B34" s="252"/>
      <c r="C34" s="252"/>
      <c r="D34" s="252"/>
      <c r="E34" s="252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42"/>
      <c r="AR34" s="242"/>
      <c r="AS34" s="242"/>
    </row>
    <row r="35" spans="1:45" ht="12.75" hidden="1" customHeight="1">
      <c r="A35" s="238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2"/>
      <c r="AR35" s="242"/>
      <c r="AS35" s="242"/>
    </row>
    <row r="36" spans="1:45" ht="12.75" hidden="1" customHeight="1">
      <c r="A36" s="238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2"/>
      <c r="AR36" s="242"/>
      <c r="AS36" s="242"/>
    </row>
    <row r="37" spans="1:45" ht="12.75" hidden="1" customHeight="1">
      <c r="A37" s="238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2"/>
      <c r="AR37" s="242"/>
      <c r="AS37" s="242"/>
    </row>
    <row r="38" spans="1:45" ht="12.75" hidden="1" customHeight="1">
      <c r="A38" s="238"/>
      <c r="B38" s="239"/>
      <c r="C38" s="239"/>
      <c r="D38" s="239"/>
      <c r="E38" s="23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2"/>
      <c r="AR38" s="242"/>
      <c r="AS38" s="242"/>
    </row>
    <row r="39" spans="1:45" ht="12.75" hidden="1" customHeight="1">
      <c r="A39" s="243" t="s">
        <v>140</v>
      </c>
      <c r="B39" s="244">
        <f t="shared" ref="B39:W39" si="8">SUM(B35:B37)</f>
        <v>0</v>
      </c>
      <c r="C39" s="244">
        <f t="shared" si="8"/>
        <v>0</v>
      </c>
      <c r="D39" s="244">
        <f t="shared" si="8"/>
        <v>0</v>
      </c>
      <c r="E39" s="244">
        <f t="shared" si="8"/>
        <v>0</v>
      </c>
      <c r="F39" s="245">
        <f t="shared" si="8"/>
        <v>0</v>
      </c>
      <c r="G39" s="245">
        <f t="shared" si="8"/>
        <v>0</v>
      </c>
      <c r="H39" s="245">
        <f t="shared" si="8"/>
        <v>0</v>
      </c>
      <c r="I39" s="245">
        <f t="shared" si="8"/>
        <v>0</v>
      </c>
      <c r="J39" s="245">
        <f t="shared" si="8"/>
        <v>0</v>
      </c>
      <c r="K39" s="245">
        <f t="shared" si="8"/>
        <v>0</v>
      </c>
      <c r="L39" s="245">
        <f t="shared" si="8"/>
        <v>0</v>
      </c>
      <c r="M39" s="245">
        <f t="shared" si="8"/>
        <v>0</v>
      </c>
      <c r="N39" s="245">
        <f t="shared" si="8"/>
        <v>0</v>
      </c>
      <c r="O39" s="245">
        <f t="shared" si="8"/>
        <v>0</v>
      </c>
      <c r="P39" s="245">
        <f t="shared" si="8"/>
        <v>0</v>
      </c>
      <c r="Q39" s="245">
        <f t="shared" si="8"/>
        <v>0</v>
      </c>
      <c r="R39" s="245">
        <f t="shared" si="8"/>
        <v>0</v>
      </c>
      <c r="S39" s="245">
        <f t="shared" si="8"/>
        <v>0</v>
      </c>
      <c r="T39" s="245">
        <f t="shared" si="8"/>
        <v>0</v>
      </c>
      <c r="U39" s="245">
        <f t="shared" si="8"/>
        <v>0</v>
      </c>
      <c r="V39" s="245">
        <f t="shared" si="8"/>
        <v>0</v>
      </c>
      <c r="W39" s="245">
        <f t="shared" si="8"/>
        <v>0</v>
      </c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7"/>
      <c r="AR39" s="247"/>
      <c r="AS39" s="247"/>
    </row>
    <row r="40" spans="1:45" ht="12.75" hidden="1" customHeight="1">
      <c r="A40" s="238"/>
      <c r="B40" s="248"/>
      <c r="C40" s="248"/>
      <c r="D40" s="248"/>
      <c r="E40" s="248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42"/>
      <c r="AR40" s="242"/>
      <c r="AS40" s="242"/>
    </row>
    <row r="41" spans="1:45" ht="12.75" customHeight="1">
      <c r="A41" s="243" t="s">
        <v>141</v>
      </c>
      <c r="B41" s="244">
        <f t="shared" ref="B41:W41" si="9">(0+(0)+(B32)+(B39))-(0)</f>
        <v>96080.5</v>
      </c>
      <c r="C41" s="244">
        <f t="shared" si="9"/>
        <v>132508.98000000001</v>
      </c>
      <c r="D41" s="244">
        <f t="shared" si="9"/>
        <v>174883.59999999998</v>
      </c>
      <c r="E41" s="244">
        <f t="shared" si="9"/>
        <v>220166.07</v>
      </c>
      <c r="F41" s="245">
        <f t="shared" si="9"/>
        <v>134439.53</v>
      </c>
      <c r="G41" s="245">
        <f t="shared" si="9"/>
        <v>134624.37</v>
      </c>
      <c r="H41" s="245">
        <f t="shared" si="9"/>
        <v>150520.9</v>
      </c>
      <c r="I41" s="245">
        <f t="shared" si="9"/>
        <v>139512.22999999998</v>
      </c>
      <c r="J41" s="245">
        <f t="shared" si="9"/>
        <v>155567.32</v>
      </c>
      <c r="K41" s="245">
        <f t="shared" si="9"/>
        <v>155855.65</v>
      </c>
      <c r="L41" s="245">
        <f t="shared" si="9"/>
        <v>155850.97999999998</v>
      </c>
      <c r="M41" s="245">
        <f t="shared" si="9"/>
        <v>156011.78999999998</v>
      </c>
      <c r="N41" s="245">
        <f t="shared" si="9"/>
        <v>157433.78999999998</v>
      </c>
      <c r="O41" s="245">
        <f t="shared" si="9"/>
        <v>153345.78999999998</v>
      </c>
      <c r="P41" s="245">
        <f t="shared" si="9"/>
        <v>149073.46</v>
      </c>
      <c r="Q41" s="245">
        <f t="shared" si="9"/>
        <v>150015.46</v>
      </c>
      <c r="R41" s="245">
        <f t="shared" si="9"/>
        <v>156267.46</v>
      </c>
      <c r="S41" s="245">
        <f t="shared" si="9"/>
        <v>171903.46</v>
      </c>
      <c r="T41" s="245">
        <f t="shared" si="9"/>
        <v>183300.65999999997</v>
      </c>
      <c r="U41" s="245">
        <f t="shared" si="9"/>
        <v>183252.65999999997</v>
      </c>
      <c r="V41" s="245">
        <f t="shared" si="9"/>
        <v>167074.65999999997</v>
      </c>
      <c r="W41" s="245">
        <f t="shared" si="9"/>
        <v>167676.65999999997</v>
      </c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7"/>
      <c r="AR41" s="247"/>
      <c r="AS41" s="247"/>
    </row>
    <row r="42" spans="1:45" ht="12.75" customHeight="1">
      <c r="A42" s="238"/>
      <c r="B42" s="248"/>
      <c r="C42" s="248"/>
      <c r="D42" s="248"/>
      <c r="E42" s="248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42"/>
      <c r="AR42" s="242"/>
      <c r="AS42" s="242"/>
    </row>
    <row r="43" spans="1:45" ht="12.75" customHeight="1">
      <c r="A43" s="257" t="s">
        <v>142</v>
      </c>
      <c r="B43" s="258">
        <f t="shared" ref="B43:W43" si="10">(B22)-(B41)</f>
        <v>66655.239999999991</v>
      </c>
      <c r="C43" s="258">
        <f t="shared" si="10"/>
        <v>36636.039999999979</v>
      </c>
      <c r="D43" s="258">
        <f t="shared" si="10"/>
        <v>4424.7400000000198</v>
      </c>
      <c r="E43" s="258">
        <f t="shared" si="10"/>
        <v>-15741.97000000003</v>
      </c>
      <c r="F43" s="259">
        <f t="shared" si="10"/>
        <v>-29658.53</v>
      </c>
      <c r="G43" s="259">
        <f t="shared" si="10"/>
        <v>-39843.369999999995</v>
      </c>
      <c r="H43" s="259">
        <f t="shared" si="10"/>
        <v>-22360.699999999997</v>
      </c>
      <c r="I43" s="259">
        <f t="shared" si="10"/>
        <v>-37904.029999999984</v>
      </c>
      <c r="J43" s="259">
        <f t="shared" si="10"/>
        <v>-18181.360000000015</v>
      </c>
      <c r="K43" s="259">
        <f t="shared" si="10"/>
        <v>-14829.690000000002</v>
      </c>
      <c r="L43" s="259">
        <f t="shared" si="10"/>
        <v>-10303.020000000019</v>
      </c>
      <c r="M43" s="259">
        <f t="shared" si="10"/>
        <v>-418.02000000001863</v>
      </c>
      <c r="N43" s="259">
        <f t="shared" si="10"/>
        <v>11241.979999999981</v>
      </c>
      <c r="O43" s="259">
        <f t="shared" si="10"/>
        <v>-4198.0200000000186</v>
      </c>
      <c r="P43" s="259">
        <f t="shared" si="10"/>
        <v>5511.9799999999814</v>
      </c>
      <c r="Q43" s="259">
        <f t="shared" si="10"/>
        <v>15221.979999999981</v>
      </c>
      <c r="R43" s="259">
        <f t="shared" si="10"/>
        <v>51481.979999999981</v>
      </c>
      <c r="S43" s="259">
        <f t="shared" si="10"/>
        <v>78641.979999999981</v>
      </c>
      <c r="T43" s="259">
        <f t="shared" si="10"/>
        <v>140627.98000000004</v>
      </c>
      <c r="U43" s="259">
        <f t="shared" si="10"/>
        <v>145387.97999999998</v>
      </c>
      <c r="V43" s="259">
        <f t="shared" si="10"/>
        <v>194903.98000000004</v>
      </c>
      <c r="W43" s="259">
        <f t="shared" si="10"/>
        <v>202913.97999999998</v>
      </c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7"/>
      <c r="AR43" s="247"/>
      <c r="AS43" s="247"/>
    </row>
    <row r="44" spans="1:45" ht="12.75" customHeight="1">
      <c r="A44" s="238"/>
      <c r="B44" s="248"/>
      <c r="C44" s="248"/>
      <c r="D44" s="248"/>
      <c r="E44" s="248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42"/>
      <c r="AR44" s="242"/>
      <c r="AS44" s="242"/>
    </row>
    <row r="45" spans="1:45" ht="12.75" customHeight="1">
      <c r="A45" s="251" t="s">
        <v>143</v>
      </c>
      <c r="B45" s="252"/>
      <c r="C45" s="252"/>
      <c r="D45" s="252"/>
      <c r="E45" s="252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42"/>
      <c r="AR45" s="242"/>
      <c r="AS45" s="242"/>
    </row>
    <row r="46" spans="1:45" ht="12.75" customHeight="1">
      <c r="A46" s="238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2"/>
      <c r="AR46" s="242"/>
      <c r="AS46" s="242"/>
    </row>
    <row r="47" spans="1:45" ht="12.75" customHeight="1">
      <c r="A47" s="238" t="s">
        <v>144</v>
      </c>
      <c r="B47" s="260">
        <v>-68501.83</v>
      </c>
      <c r="C47" s="260">
        <v>-98179.85</v>
      </c>
      <c r="D47" s="260">
        <v>-130391.15</v>
      </c>
      <c r="E47" s="260">
        <v>-150873.35999999999</v>
      </c>
      <c r="F47" s="260">
        <v>-164474.42000000001</v>
      </c>
      <c r="G47" s="240">
        <f>F47+'Consolidated P&amp;L'!G57</f>
        <v>-169184.42</v>
      </c>
      <c r="H47" s="240">
        <f>G47+'Consolidated P&amp;L'!H57</f>
        <v>-151701.75</v>
      </c>
      <c r="I47" s="240">
        <f>H47+'Consolidated P&amp;L'!I57</f>
        <v>-167245.07999999999</v>
      </c>
      <c r="J47" s="240">
        <f>I47+'Consolidated P&amp;L'!J57</f>
        <v>-147522.40999999997</v>
      </c>
      <c r="K47" s="240">
        <f>J47+'Consolidated P&amp;L'!K57</f>
        <v>-144170.73999999996</v>
      </c>
      <c r="L47" s="240">
        <f>K47+'Consolidated P&amp;L'!L57</f>
        <v>-139644.06999999995</v>
      </c>
      <c r="M47" s="240">
        <f>L47+'Consolidated P&amp;L'!M57</f>
        <v>-129759.06666666662</v>
      </c>
      <c r="N47" s="240">
        <f>M47+'Consolidated P&amp;L'!N57</f>
        <v>-118099.0633333333</v>
      </c>
      <c r="O47" s="240">
        <f>N47+'Consolidated P&amp;L'!O57</f>
        <v>-133539.05999999997</v>
      </c>
      <c r="P47" s="240">
        <f>O47+'Consolidated P&amp;L'!P57</f>
        <v>-123829.05666666664</v>
      </c>
      <c r="Q47" s="240">
        <f>P47+'Consolidated P&amp;L'!Q57</f>
        <v>-114119.05333333332</v>
      </c>
      <c r="R47" s="240">
        <f>Q47+'Consolidated P&amp;L'!R57</f>
        <v>-77859.049999999988</v>
      </c>
      <c r="S47" s="240">
        <f>R47+'Consolidated P&amp;L'!S57</f>
        <v>-50699.046666666654</v>
      </c>
      <c r="T47" s="240">
        <f>S47+'Consolidated P&amp;L'!T57</f>
        <v>11286.956666666672</v>
      </c>
      <c r="U47" s="240">
        <f>T47+'Consolidated P&amp;L'!U57</f>
        <v>16046.960000000006</v>
      </c>
      <c r="V47" s="240">
        <f>U47+'Consolidated P&amp;L'!V57</f>
        <v>65562.963333333333</v>
      </c>
      <c r="W47" s="240">
        <f>V47+'Consolidated P&amp;L'!W57</f>
        <v>73572.966666666674</v>
      </c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2"/>
      <c r="AR47" s="242"/>
      <c r="AS47" s="242"/>
    </row>
    <row r="48" spans="1:45" ht="12.75" customHeight="1">
      <c r="A48" s="238" t="s">
        <v>145</v>
      </c>
      <c r="B48" s="261">
        <v>-115184.11</v>
      </c>
      <c r="C48" s="261">
        <v>-115184.11</v>
      </c>
      <c r="D48" s="261">
        <v>-115184.11</v>
      </c>
      <c r="E48" s="261">
        <v>-115184.11</v>
      </c>
      <c r="F48" s="261">
        <v>-115184.11</v>
      </c>
      <c r="G48" s="240">
        <f t="shared" ref="G48:W48" si="11">F48</f>
        <v>-115184.11</v>
      </c>
      <c r="H48" s="240">
        <f t="shared" si="11"/>
        <v>-115184.11</v>
      </c>
      <c r="I48" s="240">
        <f t="shared" si="11"/>
        <v>-115184.11</v>
      </c>
      <c r="J48" s="240">
        <f t="shared" si="11"/>
        <v>-115184.11</v>
      </c>
      <c r="K48" s="240">
        <f t="shared" si="11"/>
        <v>-115184.11</v>
      </c>
      <c r="L48" s="240">
        <f t="shared" si="11"/>
        <v>-115184.11</v>
      </c>
      <c r="M48" s="240">
        <f t="shared" si="11"/>
        <v>-115184.11</v>
      </c>
      <c r="N48" s="240">
        <f t="shared" si="11"/>
        <v>-115184.11</v>
      </c>
      <c r="O48" s="240">
        <f t="shared" si="11"/>
        <v>-115184.11</v>
      </c>
      <c r="P48" s="240">
        <f t="shared" si="11"/>
        <v>-115184.11</v>
      </c>
      <c r="Q48" s="240">
        <f t="shared" si="11"/>
        <v>-115184.11</v>
      </c>
      <c r="R48" s="240">
        <f t="shared" si="11"/>
        <v>-115184.11</v>
      </c>
      <c r="S48" s="240">
        <f t="shared" si="11"/>
        <v>-115184.11</v>
      </c>
      <c r="T48" s="240">
        <f t="shared" si="11"/>
        <v>-115184.11</v>
      </c>
      <c r="U48" s="240">
        <f t="shared" si="11"/>
        <v>-115184.11</v>
      </c>
      <c r="V48" s="240">
        <f t="shared" si="11"/>
        <v>-115184.11</v>
      </c>
      <c r="W48" s="240">
        <f t="shared" si="11"/>
        <v>-115184.11</v>
      </c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2"/>
      <c r="AR48" s="242"/>
      <c r="AS48" s="242"/>
    </row>
    <row r="49" spans="1:45" ht="12.75" customHeight="1">
      <c r="A49" s="238" t="s">
        <v>146</v>
      </c>
      <c r="B49" s="261">
        <v>250000</v>
      </c>
      <c r="C49" s="261">
        <v>250000</v>
      </c>
      <c r="D49" s="261">
        <v>250000</v>
      </c>
      <c r="E49" s="261">
        <v>250000</v>
      </c>
      <c r="F49" s="261">
        <v>250000</v>
      </c>
      <c r="G49" s="240">
        <f t="shared" ref="G49:W49" si="12">F49</f>
        <v>250000</v>
      </c>
      <c r="H49" s="240">
        <f t="shared" si="12"/>
        <v>250000</v>
      </c>
      <c r="I49" s="240">
        <f t="shared" si="12"/>
        <v>250000</v>
      </c>
      <c r="J49" s="240">
        <f t="shared" si="12"/>
        <v>250000</v>
      </c>
      <c r="K49" s="240">
        <f t="shared" si="12"/>
        <v>250000</v>
      </c>
      <c r="L49" s="240">
        <f t="shared" si="12"/>
        <v>250000</v>
      </c>
      <c r="M49" s="240">
        <f t="shared" si="12"/>
        <v>250000</v>
      </c>
      <c r="N49" s="240">
        <f t="shared" si="12"/>
        <v>250000</v>
      </c>
      <c r="O49" s="240">
        <f t="shared" si="12"/>
        <v>250000</v>
      </c>
      <c r="P49" s="240">
        <f t="shared" si="12"/>
        <v>250000</v>
      </c>
      <c r="Q49" s="240">
        <f t="shared" si="12"/>
        <v>250000</v>
      </c>
      <c r="R49" s="240">
        <f t="shared" si="12"/>
        <v>250000</v>
      </c>
      <c r="S49" s="240">
        <f t="shared" si="12"/>
        <v>250000</v>
      </c>
      <c r="T49" s="240">
        <f t="shared" si="12"/>
        <v>250000</v>
      </c>
      <c r="U49" s="240">
        <f t="shared" si="12"/>
        <v>250000</v>
      </c>
      <c r="V49" s="240">
        <f t="shared" si="12"/>
        <v>250000</v>
      </c>
      <c r="W49" s="240">
        <f t="shared" si="12"/>
        <v>250000</v>
      </c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2"/>
      <c r="AR49" s="242"/>
      <c r="AS49" s="242"/>
    </row>
    <row r="50" spans="1:45" ht="12.75" customHeight="1">
      <c r="A50" s="238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2"/>
      <c r="AR50" s="242"/>
      <c r="AS50" s="242"/>
    </row>
    <row r="51" spans="1:45" ht="15.75" customHeight="1">
      <c r="A51" s="262" t="s">
        <v>147</v>
      </c>
      <c r="B51" s="263">
        <f t="shared" ref="B51:W51" si="13">SUM(B46:B50)</f>
        <v>66314.06</v>
      </c>
      <c r="C51" s="263">
        <f t="shared" si="13"/>
        <v>36636.039999999979</v>
      </c>
      <c r="D51" s="263">
        <f t="shared" si="13"/>
        <v>4424.7399999999907</v>
      </c>
      <c r="E51" s="263">
        <f t="shared" si="13"/>
        <v>-16057.469999999972</v>
      </c>
      <c r="F51" s="264">
        <f t="shared" si="13"/>
        <v>-29658.530000000028</v>
      </c>
      <c r="G51" s="264">
        <f t="shared" si="13"/>
        <v>-34368.530000000028</v>
      </c>
      <c r="H51" s="264">
        <f t="shared" si="13"/>
        <v>-16885.859999999986</v>
      </c>
      <c r="I51" s="264">
        <f t="shared" si="13"/>
        <v>-32429.190000000002</v>
      </c>
      <c r="J51" s="264">
        <f t="shared" si="13"/>
        <v>-12706.51999999996</v>
      </c>
      <c r="K51" s="264">
        <f t="shared" si="13"/>
        <v>-9354.8499999999767</v>
      </c>
      <c r="L51" s="264">
        <f t="shared" si="13"/>
        <v>-4828.1799999999348</v>
      </c>
      <c r="M51" s="264">
        <f t="shared" si="13"/>
        <v>5056.8233333333628</v>
      </c>
      <c r="N51" s="264">
        <f t="shared" si="13"/>
        <v>16716.826666666719</v>
      </c>
      <c r="O51" s="264">
        <f t="shared" si="13"/>
        <v>1276.8300000000163</v>
      </c>
      <c r="P51" s="264">
        <f t="shared" si="13"/>
        <v>10986.833333333372</v>
      </c>
      <c r="Q51" s="264">
        <f t="shared" si="13"/>
        <v>20696.83666666667</v>
      </c>
      <c r="R51" s="264">
        <f t="shared" si="13"/>
        <v>56956.840000000026</v>
      </c>
      <c r="S51" s="264">
        <f t="shared" si="13"/>
        <v>84116.843333333352</v>
      </c>
      <c r="T51" s="264">
        <f t="shared" si="13"/>
        <v>146102.84666666668</v>
      </c>
      <c r="U51" s="264">
        <f t="shared" si="13"/>
        <v>150862.85</v>
      </c>
      <c r="V51" s="264">
        <f t="shared" si="13"/>
        <v>200378.85333333333</v>
      </c>
      <c r="W51" s="264">
        <f t="shared" si="13"/>
        <v>208388.85666666669</v>
      </c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6"/>
      <c r="AR51" s="266"/>
      <c r="AS51" s="266"/>
    </row>
    <row r="52" spans="1:45" ht="12.75" hidden="1" customHeight="1" outlineLevel="1">
      <c r="A52" s="267"/>
      <c r="B52" s="268">
        <f t="shared" ref="B52:W52" si="14">B43-B51</f>
        <v>341.17999999999302</v>
      </c>
      <c r="C52" s="268">
        <f t="shared" si="14"/>
        <v>0</v>
      </c>
      <c r="D52" s="268">
        <f t="shared" si="14"/>
        <v>2.9103830456733704E-11</v>
      </c>
      <c r="E52" s="268">
        <f t="shared" si="14"/>
        <v>315.49999999994179</v>
      </c>
      <c r="F52" s="268">
        <f t="shared" si="14"/>
        <v>2.9103830456733704E-11</v>
      </c>
      <c r="G52" s="268">
        <f t="shared" si="14"/>
        <v>-5474.8399999999674</v>
      </c>
      <c r="H52" s="268">
        <f t="shared" si="14"/>
        <v>-5474.8400000000111</v>
      </c>
      <c r="I52" s="268">
        <f t="shared" si="14"/>
        <v>-5474.839999999982</v>
      </c>
      <c r="J52" s="268">
        <f t="shared" si="14"/>
        <v>-5474.8400000000547</v>
      </c>
      <c r="K52" s="268">
        <f t="shared" si="14"/>
        <v>-5474.8400000000256</v>
      </c>
      <c r="L52" s="268">
        <f t="shared" si="14"/>
        <v>-5474.8400000000838</v>
      </c>
      <c r="M52" s="268">
        <f t="shared" si="14"/>
        <v>-5474.8433333333815</v>
      </c>
      <c r="N52" s="268">
        <f t="shared" si="14"/>
        <v>-5474.8466666667373</v>
      </c>
      <c r="O52" s="268">
        <f t="shared" si="14"/>
        <v>-5474.8500000000349</v>
      </c>
      <c r="P52" s="268">
        <f t="shared" si="14"/>
        <v>-5474.8533333333908</v>
      </c>
      <c r="Q52" s="268">
        <f t="shared" si="14"/>
        <v>-5474.8566666666884</v>
      </c>
      <c r="R52" s="268">
        <f t="shared" si="14"/>
        <v>-5474.8600000000442</v>
      </c>
      <c r="S52" s="268">
        <f t="shared" si="14"/>
        <v>-5474.863333333371</v>
      </c>
      <c r="T52" s="268">
        <f t="shared" si="14"/>
        <v>-5474.8666666666395</v>
      </c>
      <c r="U52" s="268">
        <f t="shared" si="14"/>
        <v>-5474.8700000000244</v>
      </c>
      <c r="V52" s="268">
        <f t="shared" si="14"/>
        <v>-5474.873333333293</v>
      </c>
      <c r="W52" s="268">
        <f t="shared" si="14"/>
        <v>-5474.876666666707</v>
      </c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  <c r="AM52" s="269"/>
      <c r="AN52" s="269"/>
      <c r="AO52" s="269"/>
      <c r="AP52" s="269"/>
      <c r="AQ52" s="242"/>
      <c r="AR52" s="242"/>
      <c r="AS52" s="242"/>
    </row>
    <row r="53" spans="1:45" ht="12.75" customHeight="1" collapsed="1">
      <c r="A53" s="267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</row>
    <row r="54" spans="1:45" ht="12.75" customHeight="1">
      <c r="A54" s="267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</row>
    <row r="55" spans="1:45" ht="12.75" customHeight="1">
      <c r="A55" s="267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</row>
    <row r="56" spans="1:45" ht="12.75" customHeight="1">
      <c r="A56" s="267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</row>
    <row r="57" spans="1:45" ht="12.75" customHeight="1">
      <c r="A57" s="267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</row>
    <row r="58" spans="1:45" ht="12.75" customHeight="1">
      <c r="A58" s="267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</row>
    <row r="59" spans="1:45" ht="12.75" customHeight="1">
      <c r="A59" s="267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</row>
    <row r="60" spans="1:45" ht="12.75" customHeight="1">
      <c r="A60" s="267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</row>
    <row r="61" spans="1:45" ht="12.75" customHeight="1">
      <c r="A61" s="267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</row>
    <row r="62" spans="1:45" ht="12.75" customHeight="1">
      <c r="A62" s="267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</row>
    <row r="63" spans="1:45" ht="12.75" customHeight="1">
      <c r="A63" s="18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2.75" customHeight="1">
      <c r="A64" s="18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2.75" customHeight="1">
      <c r="A65" s="18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2.75" customHeight="1">
      <c r="A66" s="18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2.75" customHeight="1">
      <c r="A67" s="18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2.75" customHeight="1">
      <c r="A68" s="18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2.75" customHeight="1">
      <c r="A69" s="18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2.75" customHeight="1">
      <c r="A70" s="18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2.75" customHeight="1">
      <c r="A71" s="18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2.75" customHeight="1">
      <c r="A72" s="18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2.75" customHeight="1">
      <c r="A73" s="18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2.75" customHeight="1">
      <c r="A74" s="18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2.75" customHeight="1">
      <c r="A75" s="18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2.75" customHeight="1">
      <c r="A76" s="18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2.75" customHeight="1">
      <c r="A77" s="18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2.75" customHeight="1">
      <c r="A78" s="18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2.75" customHeight="1">
      <c r="A79" s="18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2.75" customHeight="1">
      <c r="A80" s="18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2.75" customHeight="1">
      <c r="A81" s="18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2.75" customHeight="1">
      <c r="A82" s="18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2.75" customHeight="1">
      <c r="A83" s="18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2.75" customHeight="1">
      <c r="A84" s="18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2.75" customHeight="1">
      <c r="A85" s="18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2.75" customHeight="1">
      <c r="A86" s="18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2.75" customHeight="1">
      <c r="A87" s="18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2.75" customHeight="1">
      <c r="A88" s="18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2.75" customHeight="1">
      <c r="A89" s="18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2.75" customHeight="1">
      <c r="A90" s="18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2.75" customHeight="1">
      <c r="A91" s="18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2.75" customHeight="1">
      <c r="A92" s="18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2.75" customHeight="1">
      <c r="A93" s="18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2.75" customHeight="1">
      <c r="A94" s="18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2.75" customHeight="1">
      <c r="A95" s="18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2.75" customHeight="1">
      <c r="A96" s="18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2.75" customHeight="1">
      <c r="A97" s="18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2.75" customHeight="1">
      <c r="A98" s="18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2.75" customHeight="1">
      <c r="A99" s="18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2.75" customHeight="1">
      <c r="A100" s="18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2.75" customHeight="1">
      <c r="A101" s="18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2.75" customHeight="1">
      <c r="A102" s="18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2.75" customHeight="1">
      <c r="A103" s="18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2.75" customHeight="1">
      <c r="A104" s="18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2.75" customHeight="1">
      <c r="A105" s="18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2.75" customHeight="1">
      <c r="A106" s="18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2.75" customHeight="1">
      <c r="A107" s="18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2.75" customHeight="1">
      <c r="A108" s="18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2.75" customHeight="1">
      <c r="A109" s="18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2.75" customHeight="1">
      <c r="A110" s="18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2.75" customHeight="1">
      <c r="A111" s="18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2.75" customHeight="1">
      <c r="A112" s="18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2.75" customHeight="1">
      <c r="A113" s="18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2.75" customHeight="1">
      <c r="A114" s="18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2.75" customHeight="1">
      <c r="A115" s="18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2.75" customHeight="1">
      <c r="A116" s="18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2.75" customHeight="1">
      <c r="A117" s="18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2.75" customHeight="1">
      <c r="A118" s="18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2.75" customHeight="1">
      <c r="A119" s="18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2.75" customHeight="1">
      <c r="A120" s="18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2.75" customHeight="1">
      <c r="A121" s="18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2.75" customHeight="1">
      <c r="A122" s="18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2.75" customHeight="1">
      <c r="A123" s="18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2.75" customHeight="1">
      <c r="A124" s="18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2.75" customHeight="1">
      <c r="A125" s="18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2.75" customHeight="1">
      <c r="A126" s="18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2.75" customHeight="1">
      <c r="A127" s="18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2.75" customHeight="1">
      <c r="A128" s="18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2.75" customHeight="1">
      <c r="A129" s="18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2.75" customHeight="1">
      <c r="A130" s="18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2.75" customHeight="1">
      <c r="A131" s="18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2.75" customHeight="1">
      <c r="A132" s="18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2.75" customHeight="1">
      <c r="A133" s="18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2.75" customHeight="1">
      <c r="A134" s="18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2.75" customHeight="1">
      <c r="A135" s="18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2.75" customHeight="1">
      <c r="A136" s="18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2.75" customHeight="1">
      <c r="A137" s="18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2.75" customHeight="1">
      <c r="A138" s="18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2.75" customHeight="1">
      <c r="A139" s="18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2.75" customHeight="1">
      <c r="A140" s="18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2.75" customHeight="1">
      <c r="A141" s="18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2.75" customHeight="1">
      <c r="A142" s="18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2.75" customHeight="1">
      <c r="A143" s="18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2.75" customHeight="1">
      <c r="A144" s="18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2.75" customHeight="1">
      <c r="A145" s="18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2.75" customHeight="1">
      <c r="A146" s="18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2.75" customHeight="1">
      <c r="A147" s="18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2.75" customHeight="1">
      <c r="A148" s="18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2.75" customHeight="1">
      <c r="A149" s="18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2.75" customHeight="1">
      <c r="A150" s="18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2.75" customHeight="1">
      <c r="A151" s="18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2.75" customHeight="1">
      <c r="A152" s="18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2.75" customHeight="1">
      <c r="A153" s="18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2.75" customHeight="1">
      <c r="A154" s="18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2.75" customHeight="1">
      <c r="A155" s="18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2.75" customHeight="1">
      <c r="A156" s="18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2.75" customHeight="1">
      <c r="A157" s="18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2.75" customHeight="1">
      <c r="A158" s="18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2.75" customHeight="1">
      <c r="A159" s="18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2.75" customHeight="1">
      <c r="A160" s="18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2.75" customHeight="1">
      <c r="A161" s="18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2.75" customHeight="1">
      <c r="A162" s="18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2.75" customHeight="1">
      <c r="A163" s="18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2.75" customHeight="1">
      <c r="A164" s="18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2.75" customHeight="1">
      <c r="A165" s="18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2.75" customHeight="1">
      <c r="A166" s="18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2.75" customHeight="1">
      <c r="A167" s="18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2.75" customHeight="1">
      <c r="A168" s="18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2.75" customHeight="1">
      <c r="A169" s="18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2.75" customHeight="1">
      <c r="A170" s="18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2.75" customHeight="1">
      <c r="A171" s="18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2.75" customHeight="1">
      <c r="A172" s="18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2.75" customHeight="1">
      <c r="A173" s="18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2.75" customHeight="1">
      <c r="A174" s="18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2.75" customHeight="1">
      <c r="A175" s="18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2.75" customHeight="1">
      <c r="A176" s="18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2.75" customHeight="1">
      <c r="A177" s="18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2.75" customHeight="1">
      <c r="A178" s="18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2.75" customHeight="1">
      <c r="A179" s="18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2.75" customHeight="1">
      <c r="A180" s="18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2.75" customHeight="1">
      <c r="A181" s="18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2.75" customHeight="1">
      <c r="A182" s="18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2.75" customHeight="1">
      <c r="A183" s="18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2.75" customHeight="1">
      <c r="A184" s="18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2.75" customHeight="1">
      <c r="A185" s="18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2.75" customHeight="1">
      <c r="A186" s="18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2.75" customHeight="1">
      <c r="A187" s="18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2.75" customHeight="1">
      <c r="A188" s="18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2.75" customHeight="1">
      <c r="A189" s="18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2.75" customHeight="1">
      <c r="A190" s="18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2.75" customHeight="1">
      <c r="A191" s="18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2.75" customHeight="1">
      <c r="A192" s="18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2.75" customHeight="1">
      <c r="A193" s="18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2.75" customHeight="1">
      <c r="A194" s="18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2.75" customHeight="1">
      <c r="A195" s="18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2.75" customHeight="1">
      <c r="A196" s="18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2.75" customHeight="1">
      <c r="A197" s="18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2.75" customHeight="1">
      <c r="A198" s="18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2.75" customHeight="1">
      <c r="A199" s="18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2.75" customHeight="1">
      <c r="A200" s="18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2.75" customHeight="1">
      <c r="A201" s="18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2.75" customHeight="1">
      <c r="A202" s="18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2.75" customHeight="1">
      <c r="A203" s="18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2.75" customHeight="1">
      <c r="A204" s="18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2.75" customHeight="1">
      <c r="A205" s="18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2.75" customHeight="1">
      <c r="A206" s="18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2.75" customHeight="1">
      <c r="A207" s="18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2.75" customHeight="1">
      <c r="A208" s="18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2.75" customHeight="1">
      <c r="A209" s="18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2.75" customHeight="1">
      <c r="A210" s="18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2.75" customHeight="1">
      <c r="A211" s="18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2.75" customHeight="1">
      <c r="A212" s="18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2.75" customHeight="1">
      <c r="A213" s="18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2.75" customHeight="1">
      <c r="A214" s="18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2.75" customHeight="1">
      <c r="A215" s="18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2.75" customHeight="1">
      <c r="A216" s="18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2.75" customHeight="1">
      <c r="A217" s="18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2.75" customHeight="1">
      <c r="A218" s="18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2.75" customHeight="1">
      <c r="A219" s="18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2.75" customHeight="1">
      <c r="A220" s="18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2.75" customHeight="1">
      <c r="A221" s="18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2.75" customHeight="1">
      <c r="A222" s="18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2.75" customHeight="1">
      <c r="A223" s="18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2.75" customHeight="1">
      <c r="A224" s="18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2.75" customHeight="1">
      <c r="A225" s="18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2.75" customHeight="1">
      <c r="A226" s="18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2.75" customHeight="1">
      <c r="A227" s="18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2.75" customHeight="1">
      <c r="A228" s="18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2.75" customHeight="1">
      <c r="A229" s="18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2.75" customHeight="1">
      <c r="A230" s="18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2.75" customHeight="1">
      <c r="A231" s="18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2.75" customHeight="1">
      <c r="A232" s="18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2.75" customHeight="1">
      <c r="A233" s="18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2.75" customHeight="1">
      <c r="A234" s="18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2.75" customHeight="1">
      <c r="A235" s="18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2.75" customHeight="1">
      <c r="A236" s="18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2.75" customHeight="1">
      <c r="A237" s="18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2.75" customHeight="1">
      <c r="A238" s="18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2.75" customHeight="1">
      <c r="A239" s="18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2.75" customHeight="1">
      <c r="A240" s="18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2.75" customHeight="1">
      <c r="A241" s="18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2.75" customHeight="1">
      <c r="A242" s="18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2.75" customHeight="1">
      <c r="A243" s="18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2.75" customHeight="1">
      <c r="A244" s="18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2.75" customHeight="1">
      <c r="A245" s="18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2.75" customHeight="1">
      <c r="A246" s="18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2.75" customHeight="1">
      <c r="A247" s="18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2.75" customHeight="1">
      <c r="A248" s="18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2.75" customHeight="1">
      <c r="A249" s="18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2.75" customHeight="1">
      <c r="A250" s="18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2.75" customHeight="1">
      <c r="A251" s="18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2.75" customHeight="1">
      <c r="A252" s="18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2.75" customHeight="1">
      <c r="A253" s="18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12.75" customHeight="1">
      <c r="A254" s="18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12.75" customHeight="1">
      <c r="A255" s="18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12.75" customHeight="1">
      <c r="A256" s="18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12.75" customHeight="1">
      <c r="A257" s="18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12.75" customHeight="1">
      <c r="A258" s="18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12.75" customHeight="1">
      <c r="A259" s="18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12.75" customHeight="1">
      <c r="A260" s="18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12.75" customHeight="1">
      <c r="A261" s="18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12.75" customHeight="1">
      <c r="A262" s="18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12.75" customHeight="1">
      <c r="A263" s="18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12.75" customHeight="1">
      <c r="A264" s="18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12.75" customHeight="1">
      <c r="A265" s="18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12.75" customHeight="1">
      <c r="A266" s="18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12.75" customHeight="1">
      <c r="A267" s="18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12.75" customHeight="1">
      <c r="A268" s="18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12.75" customHeight="1">
      <c r="A269" s="18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12.75" customHeight="1">
      <c r="A270" s="18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12.75" customHeight="1">
      <c r="A271" s="18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12.75" customHeight="1">
      <c r="A272" s="18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12.75" customHeight="1">
      <c r="A273" s="18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12.75" customHeight="1">
      <c r="A274" s="18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12.75" customHeight="1">
      <c r="A275" s="18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12.75" customHeight="1">
      <c r="A276" s="18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12.75" customHeight="1">
      <c r="A277" s="18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12.75" customHeight="1">
      <c r="A278" s="18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12.75" customHeight="1">
      <c r="A279" s="18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12.75" customHeight="1">
      <c r="A280" s="18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12.75" customHeight="1">
      <c r="A281" s="18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12.75" customHeight="1">
      <c r="A282" s="18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12.75" customHeight="1">
      <c r="A283" s="18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12.75" customHeight="1">
      <c r="A284" s="18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12.75" customHeight="1">
      <c r="A285" s="18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12.75" customHeight="1">
      <c r="A286" s="18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12.75" customHeight="1">
      <c r="A287" s="18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12.75" customHeight="1">
      <c r="A288" s="18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12.75" customHeight="1">
      <c r="A289" s="18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12.75" customHeight="1">
      <c r="A290" s="18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12.75" customHeight="1">
      <c r="A291" s="18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12.75" customHeight="1">
      <c r="A292" s="18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12.75" customHeight="1">
      <c r="A293" s="18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12.75" customHeight="1">
      <c r="A294" s="18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12.75" customHeight="1">
      <c r="A295" s="18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12.75" customHeight="1">
      <c r="A296" s="18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12.75" customHeight="1">
      <c r="A297" s="18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12.75" customHeight="1">
      <c r="A298" s="18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12.75" customHeight="1">
      <c r="A299" s="18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12.75" customHeight="1">
      <c r="A300" s="18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12.75" customHeight="1">
      <c r="A301" s="18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12.75" customHeight="1">
      <c r="A302" s="18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12.75" customHeight="1">
      <c r="A303" s="18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12.75" customHeight="1">
      <c r="A304" s="18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12.75" customHeight="1">
      <c r="A305" s="18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12.75" customHeight="1">
      <c r="A306" s="18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12.75" customHeight="1">
      <c r="A307" s="18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12.75" customHeight="1">
      <c r="A308" s="18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12.75" customHeight="1">
      <c r="A309" s="18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12.75" customHeight="1">
      <c r="A310" s="18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12.75" customHeight="1">
      <c r="A311" s="18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12.75" customHeight="1">
      <c r="A312" s="18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12.75" customHeight="1">
      <c r="A313" s="18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12.75" customHeight="1">
      <c r="A314" s="18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12.75" customHeight="1">
      <c r="A315" s="18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12.75" customHeight="1">
      <c r="A316" s="18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12.75" customHeight="1">
      <c r="A317" s="18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12.75" customHeight="1">
      <c r="A318" s="18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ht="12.75" customHeight="1">
      <c r="A319" s="18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12.75" customHeight="1">
      <c r="A320" s="18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12.75" customHeight="1">
      <c r="A321" s="18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12.75" customHeight="1">
      <c r="A322" s="18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12.75" customHeight="1">
      <c r="A323" s="18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12.75" customHeight="1">
      <c r="A324" s="18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12.75" customHeight="1">
      <c r="A325" s="18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12.75" customHeight="1">
      <c r="A326" s="18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12.75" customHeight="1">
      <c r="A327" s="18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12.75" customHeight="1">
      <c r="A328" s="18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12.75" customHeight="1">
      <c r="A329" s="18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12.75" customHeight="1">
      <c r="A330" s="18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12.75" customHeight="1">
      <c r="A331" s="18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12.75" customHeight="1">
      <c r="A332" s="18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12.75" customHeight="1">
      <c r="A333" s="18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12.75" customHeight="1">
      <c r="A334" s="18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12.75" customHeight="1">
      <c r="A335" s="18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12.75" customHeight="1">
      <c r="A336" s="18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12.75" customHeight="1">
      <c r="A337" s="18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12.75" customHeight="1">
      <c r="A338" s="18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12.75" customHeight="1">
      <c r="A339" s="18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12.75" customHeight="1">
      <c r="A340" s="18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12.75" customHeight="1">
      <c r="A341" s="18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12.75" customHeight="1">
      <c r="A342" s="18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12.75" customHeight="1">
      <c r="A343" s="18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12.75" customHeight="1">
      <c r="A344" s="18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12.75" customHeight="1">
      <c r="A345" s="18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12.75" customHeight="1">
      <c r="A346" s="18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12.75" customHeight="1">
      <c r="A347" s="18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12.75" customHeight="1">
      <c r="A348" s="18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12.75" customHeight="1">
      <c r="A349" s="18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12.75" customHeight="1">
      <c r="A350" s="18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12.75" customHeight="1">
      <c r="A351" s="18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12.75" customHeight="1">
      <c r="A352" s="18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12.75" customHeight="1">
      <c r="A353" s="18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12.75" customHeight="1">
      <c r="A354" s="18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12.75" customHeight="1">
      <c r="A355" s="18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12.75" customHeight="1">
      <c r="A356" s="18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12.75" customHeight="1">
      <c r="A357" s="18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12.75" customHeight="1">
      <c r="A358" s="18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12.75" customHeight="1">
      <c r="A359" s="18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12.75" customHeight="1">
      <c r="A360" s="18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12.75" customHeight="1">
      <c r="A361" s="18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12.75" customHeight="1">
      <c r="A362" s="18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12.75" customHeight="1">
      <c r="A363" s="18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12.75" customHeight="1">
      <c r="A364" s="18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12.75" customHeight="1">
      <c r="A365" s="18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12.75" customHeight="1">
      <c r="A366" s="18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12.75" customHeight="1">
      <c r="A367" s="18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12.75" customHeight="1">
      <c r="A368" s="18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12.75" customHeight="1">
      <c r="A369" s="18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12.75" customHeight="1">
      <c r="A370" s="18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12.75" customHeight="1">
      <c r="A371" s="18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12.75" customHeight="1">
      <c r="A372" s="18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12.75" customHeight="1">
      <c r="A373" s="18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12.75" customHeight="1">
      <c r="A374" s="18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12.75" customHeight="1">
      <c r="A375" s="18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12.75" customHeight="1">
      <c r="A376" s="18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12.75" customHeight="1">
      <c r="A377" s="18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12.75" customHeight="1">
      <c r="A378" s="18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12.75" customHeight="1">
      <c r="A379" s="18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12.75" customHeight="1">
      <c r="A380" s="18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12.75" customHeight="1">
      <c r="A381" s="18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12.75" customHeight="1">
      <c r="A382" s="18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12.75" customHeight="1">
      <c r="A383" s="18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12.75" customHeight="1">
      <c r="A384" s="18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12.75" customHeight="1">
      <c r="A385" s="18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12.75" customHeight="1">
      <c r="A386" s="18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12.75" customHeight="1">
      <c r="A387" s="18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12.75" customHeight="1">
      <c r="A388" s="18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12.75" customHeight="1">
      <c r="A389" s="18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12.75" customHeight="1">
      <c r="A390" s="18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12.75" customHeight="1">
      <c r="A391" s="18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12.75" customHeight="1">
      <c r="A392" s="18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12.75" customHeight="1">
      <c r="A393" s="18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12.75" customHeight="1">
      <c r="A394" s="18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12.75" customHeight="1">
      <c r="A395" s="18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12.75" customHeight="1">
      <c r="A396" s="18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12.75" customHeight="1">
      <c r="A397" s="18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ht="12.75" customHeight="1">
      <c r="A398" s="18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12.75" customHeight="1">
      <c r="A399" s="18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12.75" customHeight="1">
      <c r="A400" s="18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12.75" customHeight="1">
      <c r="A401" s="18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12.75" customHeight="1">
      <c r="A402" s="18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12.75" customHeight="1">
      <c r="A403" s="18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12.75" customHeight="1">
      <c r="A404" s="18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12.75" customHeight="1">
      <c r="A405" s="18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12.75" customHeight="1">
      <c r="A406" s="18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12.75" customHeight="1">
      <c r="A407" s="18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12.75" customHeight="1">
      <c r="A408" s="18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12.75" customHeight="1">
      <c r="A409" s="18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12.75" customHeight="1">
      <c r="A410" s="18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12.75" customHeight="1">
      <c r="A411" s="18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12.75" customHeight="1">
      <c r="A412" s="18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12.75" customHeight="1">
      <c r="A413" s="18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12.75" customHeight="1">
      <c r="A414" s="18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12.75" customHeight="1">
      <c r="A415" s="18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12.75" customHeight="1">
      <c r="A416" s="18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12.75" customHeight="1">
      <c r="A417" s="18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12.75" customHeight="1">
      <c r="A418" s="18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12.75" customHeight="1">
      <c r="A419" s="18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12.75" customHeight="1">
      <c r="A420" s="18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12.75" customHeight="1">
      <c r="A421" s="18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12.75" customHeight="1">
      <c r="A422" s="18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12.75" customHeight="1">
      <c r="A423" s="18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12.75" customHeight="1">
      <c r="A424" s="18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12.75" customHeight="1">
      <c r="A425" s="18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12.75" customHeight="1">
      <c r="A426" s="18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12.75" customHeight="1">
      <c r="A427" s="18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12.75" customHeight="1">
      <c r="A428" s="18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12.75" customHeight="1">
      <c r="A429" s="18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12.75" customHeight="1">
      <c r="A430" s="18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12.75" customHeight="1">
      <c r="A431" s="18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12.75" customHeight="1">
      <c r="A432" s="18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12.75" customHeight="1">
      <c r="A433" s="18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12.75" customHeight="1">
      <c r="A434" s="18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12.75" customHeight="1">
      <c r="A435" s="18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12.75" customHeight="1">
      <c r="A436" s="18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12.75" customHeight="1">
      <c r="A437" s="18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ht="12.75" customHeight="1">
      <c r="A438" s="18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ht="12.75" customHeight="1">
      <c r="A439" s="18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ht="12.75" customHeight="1">
      <c r="A440" s="18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ht="12.75" customHeight="1">
      <c r="A441" s="18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ht="12.75" customHeight="1">
      <c r="A442" s="18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ht="12.75" customHeight="1">
      <c r="A443" s="18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ht="12.75" customHeight="1">
      <c r="A444" s="18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ht="12.75" customHeight="1">
      <c r="A445" s="18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ht="12.75" customHeight="1">
      <c r="A446" s="18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ht="12.75" customHeight="1">
      <c r="A447" s="18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ht="12.75" customHeight="1">
      <c r="A448" s="18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ht="12.75" customHeight="1">
      <c r="A449" s="18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ht="12.75" customHeight="1">
      <c r="A450" s="18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ht="12.75" customHeight="1">
      <c r="A451" s="18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ht="12.75" customHeight="1">
      <c r="A452" s="18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ht="12.75" customHeight="1">
      <c r="A453" s="18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ht="12.75" customHeight="1">
      <c r="A454" s="18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ht="12.75" customHeight="1">
      <c r="A455" s="18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ht="12.75" customHeight="1">
      <c r="A456" s="18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ht="12.75" customHeight="1">
      <c r="A457" s="18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ht="12.75" customHeight="1">
      <c r="A458" s="18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ht="12.75" customHeight="1">
      <c r="A459" s="18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ht="12.75" customHeight="1">
      <c r="A460" s="18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ht="12.75" customHeight="1">
      <c r="A461" s="18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ht="12.75" customHeight="1">
      <c r="A462" s="18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ht="12.75" customHeight="1">
      <c r="A463" s="18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ht="12.75" customHeight="1">
      <c r="A464" s="18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ht="12.75" customHeight="1">
      <c r="A465" s="18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ht="12.75" customHeight="1">
      <c r="A466" s="18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ht="12.75" customHeight="1">
      <c r="A467" s="18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ht="12.75" customHeight="1">
      <c r="A468" s="18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ht="12.75" customHeight="1">
      <c r="A469" s="18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ht="12.75" customHeight="1">
      <c r="A470" s="18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ht="12.75" customHeight="1">
      <c r="A471" s="18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ht="12.75" customHeight="1">
      <c r="A472" s="18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ht="12.75" customHeight="1">
      <c r="A473" s="18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ht="12.75" customHeight="1">
      <c r="A474" s="18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ht="12.75" customHeight="1">
      <c r="A475" s="18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ht="12.75" customHeight="1">
      <c r="A476" s="18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ht="12.75" customHeight="1">
      <c r="A477" s="18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ht="12.75" customHeight="1">
      <c r="A478" s="18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ht="12.75" customHeight="1">
      <c r="A479" s="18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ht="12.75" customHeight="1">
      <c r="A480" s="18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ht="12.75" customHeight="1">
      <c r="A481" s="18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ht="12.75" customHeight="1">
      <c r="A482" s="18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ht="12.75" customHeight="1">
      <c r="A483" s="18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ht="12.75" customHeight="1">
      <c r="A484" s="18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ht="12.75" customHeight="1">
      <c r="A485" s="18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ht="12.75" customHeight="1">
      <c r="A486" s="18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ht="12.75" customHeight="1">
      <c r="A487" s="18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ht="12.75" customHeight="1">
      <c r="A488" s="18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ht="12.75" customHeight="1">
      <c r="A489" s="18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ht="12.75" customHeight="1">
      <c r="A490" s="18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ht="12.75" customHeight="1">
      <c r="A491" s="18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ht="12.75" customHeight="1">
      <c r="A492" s="18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ht="12.75" customHeight="1">
      <c r="A493" s="18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ht="12.75" customHeight="1">
      <c r="A494" s="18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ht="12.75" customHeight="1">
      <c r="A495" s="18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ht="12.75" customHeight="1">
      <c r="A496" s="18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ht="12.75" customHeight="1">
      <c r="A497" s="18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ht="12.75" customHeight="1">
      <c r="A498" s="18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ht="12.75" customHeight="1">
      <c r="A499" s="18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ht="12.75" customHeight="1">
      <c r="A500" s="18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ht="12.75" customHeight="1">
      <c r="A501" s="18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ht="12.75" customHeight="1">
      <c r="A502" s="18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ht="12.75" customHeight="1">
      <c r="A503" s="18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ht="12.75" customHeight="1">
      <c r="A504" s="18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ht="12.75" customHeight="1">
      <c r="A505" s="18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ht="12.75" customHeight="1">
      <c r="A506" s="18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ht="12.75" customHeight="1">
      <c r="A507" s="18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ht="12.75" customHeight="1">
      <c r="A508" s="18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ht="12.75" customHeight="1">
      <c r="A509" s="18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ht="12.75" customHeight="1">
      <c r="A510" s="18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ht="12.75" customHeight="1">
      <c r="A511" s="18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ht="12.75" customHeight="1">
      <c r="A512" s="18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ht="12.75" customHeight="1">
      <c r="A513" s="18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ht="12.75" customHeight="1">
      <c r="A514" s="18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ht="12.75" customHeight="1">
      <c r="A515" s="18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ht="12.75" customHeight="1">
      <c r="A516" s="18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ht="12.75" customHeight="1">
      <c r="A517" s="18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ht="12.75" customHeight="1">
      <c r="A518" s="18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ht="12.75" customHeight="1">
      <c r="A519" s="18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ht="12.75" customHeight="1">
      <c r="A520" s="18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ht="12.75" customHeight="1">
      <c r="A521" s="18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ht="12.75" customHeight="1">
      <c r="A522" s="18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ht="12.75" customHeight="1">
      <c r="A523" s="18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ht="12.75" customHeight="1">
      <c r="A524" s="18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ht="12.75" customHeight="1">
      <c r="A525" s="18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ht="12.75" customHeight="1">
      <c r="A526" s="18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ht="12.75" customHeight="1">
      <c r="A527" s="18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ht="12.75" customHeight="1">
      <c r="A528" s="18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ht="12.75" customHeight="1">
      <c r="A529" s="18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ht="12.75" customHeight="1">
      <c r="A530" s="18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ht="12.75" customHeight="1">
      <c r="A531" s="18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ht="12.75" customHeight="1">
      <c r="A532" s="18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ht="12.75" customHeight="1">
      <c r="A533" s="18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ht="12.75" customHeight="1">
      <c r="A534" s="18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ht="12.75" customHeight="1">
      <c r="A535" s="18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ht="12.75" customHeight="1">
      <c r="A536" s="18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ht="12.75" customHeight="1">
      <c r="A537" s="18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ht="12.75" customHeight="1">
      <c r="A538" s="18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ht="12.75" customHeight="1">
      <c r="A539" s="18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ht="12.75" customHeight="1">
      <c r="A540" s="18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ht="12.75" customHeight="1">
      <c r="A541" s="18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ht="12.75" customHeight="1">
      <c r="A542" s="18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ht="12.75" customHeight="1">
      <c r="A543" s="18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ht="12.75" customHeight="1">
      <c r="A544" s="18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ht="12.75" customHeight="1">
      <c r="A545" s="18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ht="12.75" customHeight="1">
      <c r="A546" s="18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ht="12.75" customHeight="1">
      <c r="A547" s="18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ht="12.75" customHeight="1">
      <c r="A548" s="18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ht="12.75" customHeight="1">
      <c r="A549" s="18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ht="12.75" customHeight="1">
      <c r="A550" s="18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ht="12.75" customHeight="1">
      <c r="A551" s="18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ht="12.75" customHeight="1">
      <c r="A552" s="18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ht="12.75" customHeight="1">
      <c r="A553" s="18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ht="12.75" customHeight="1">
      <c r="A554" s="18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ht="12.75" customHeight="1">
      <c r="A555" s="18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ht="12.75" customHeight="1">
      <c r="A556" s="18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ht="12.75" customHeight="1">
      <c r="A557" s="18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ht="12.75" customHeight="1">
      <c r="A558" s="18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ht="12.75" customHeight="1">
      <c r="A559" s="18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ht="12.75" customHeight="1">
      <c r="A560" s="18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ht="12.75" customHeight="1">
      <c r="A561" s="18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ht="12.75" customHeight="1">
      <c r="A562" s="18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ht="12.75" customHeight="1">
      <c r="A563" s="18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ht="12.75" customHeight="1">
      <c r="A564" s="18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ht="12.75" customHeight="1">
      <c r="A565" s="18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ht="12.75" customHeight="1">
      <c r="A566" s="18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ht="12.75" customHeight="1">
      <c r="A567" s="18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ht="12.75" customHeight="1">
      <c r="A568" s="18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ht="12.75" customHeight="1">
      <c r="A569" s="18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ht="12.75" customHeight="1">
      <c r="A570" s="18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ht="12.75" customHeight="1">
      <c r="A571" s="18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ht="12.75" customHeight="1">
      <c r="A572" s="18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ht="12.75" customHeight="1">
      <c r="A573" s="18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ht="12.75" customHeight="1">
      <c r="A574" s="18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ht="12.75" customHeight="1">
      <c r="A575" s="18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ht="12.75" customHeight="1">
      <c r="A576" s="18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ht="12.75" customHeight="1">
      <c r="A577" s="18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ht="12.75" customHeight="1">
      <c r="A578" s="18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ht="12.75" customHeight="1">
      <c r="A579" s="18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ht="12.75" customHeight="1">
      <c r="A580" s="18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ht="12.75" customHeight="1">
      <c r="A581" s="18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ht="12.75" customHeight="1">
      <c r="A582" s="18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ht="12.75" customHeight="1">
      <c r="A583" s="18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ht="12.75" customHeight="1">
      <c r="A584" s="18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ht="12.75" customHeight="1">
      <c r="A585" s="18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ht="12.75" customHeight="1">
      <c r="A586" s="18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ht="12.75" customHeight="1">
      <c r="A587" s="18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ht="12.75" customHeight="1">
      <c r="A588" s="18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ht="12.75" customHeight="1">
      <c r="A589" s="18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ht="12.75" customHeight="1">
      <c r="A590" s="18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ht="12.75" customHeight="1">
      <c r="A591" s="18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ht="12.75" customHeight="1">
      <c r="A592" s="18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ht="12.75" customHeight="1">
      <c r="A593" s="18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ht="12.75" customHeight="1">
      <c r="A594" s="18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ht="12.75" customHeight="1">
      <c r="A595" s="18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ht="12.75" customHeight="1">
      <c r="A596" s="18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ht="12.75" customHeight="1">
      <c r="A597" s="18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ht="12.75" customHeight="1">
      <c r="A598" s="18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ht="12.75" customHeight="1">
      <c r="A599" s="18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ht="12.75" customHeight="1">
      <c r="A600" s="18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ht="12.75" customHeight="1">
      <c r="A601" s="18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ht="12.75" customHeight="1">
      <c r="A602" s="18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ht="12.75" customHeight="1">
      <c r="A603" s="18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ht="12.75" customHeight="1">
      <c r="A604" s="18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ht="12.75" customHeight="1">
      <c r="A605" s="18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ht="12.75" customHeight="1">
      <c r="A606" s="18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ht="12.75" customHeight="1">
      <c r="A607" s="18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ht="12.75" customHeight="1">
      <c r="A608" s="18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ht="12.75" customHeight="1">
      <c r="A609" s="18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2.75" customHeight="1">
      <c r="A610" s="18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2.75" customHeight="1">
      <c r="A611" s="18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2.75" customHeight="1">
      <c r="A612" s="18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2.75" customHeight="1">
      <c r="A613" s="18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2.75" customHeight="1">
      <c r="A614" s="18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2.75" customHeight="1">
      <c r="A615" s="18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2.75" customHeight="1">
      <c r="A616" s="18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ht="12.75" customHeight="1">
      <c r="A617" s="18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ht="12.75" customHeight="1">
      <c r="A618" s="18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ht="12.75" customHeight="1">
      <c r="A619" s="18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ht="12.75" customHeight="1">
      <c r="A620" s="18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ht="12.75" customHeight="1">
      <c r="A621" s="18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ht="12.75" customHeight="1">
      <c r="A622" s="18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ht="12.75" customHeight="1">
      <c r="A623" s="18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ht="12.75" customHeight="1">
      <c r="A624" s="18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ht="12.75" customHeight="1">
      <c r="A625" s="18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ht="12.75" customHeight="1">
      <c r="A626" s="18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ht="12.75" customHeight="1">
      <c r="A627" s="18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ht="12.75" customHeight="1">
      <c r="A628" s="18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ht="12.75" customHeight="1">
      <c r="A629" s="18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ht="12.75" customHeight="1">
      <c r="A630" s="18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ht="12.75" customHeight="1">
      <c r="A631" s="18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ht="12.75" customHeight="1">
      <c r="A632" s="18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ht="12.75" customHeight="1">
      <c r="A633" s="18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ht="12.75" customHeight="1">
      <c r="A634" s="18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ht="12.75" customHeight="1">
      <c r="A635" s="18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ht="12.75" customHeight="1">
      <c r="A636" s="18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ht="12.75" customHeight="1">
      <c r="A637" s="18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ht="12.75" customHeight="1">
      <c r="A638" s="18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ht="12.75" customHeight="1">
      <c r="A639" s="18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ht="12.75" customHeight="1">
      <c r="A640" s="18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ht="12.75" customHeight="1">
      <c r="A641" s="18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ht="12.75" customHeight="1">
      <c r="A642" s="18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ht="12.75" customHeight="1">
      <c r="A643" s="18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ht="12.75" customHeight="1">
      <c r="A644" s="18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ht="12.75" customHeight="1">
      <c r="A645" s="18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ht="12.75" customHeight="1">
      <c r="A646" s="18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ht="12.75" customHeight="1">
      <c r="A647" s="18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ht="12.75" customHeight="1">
      <c r="A648" s="18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ht="12.75" customHeight="1">
      <c r="A649" s="18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ht="12.75" customHeight="1">
      <c r="A650" s="18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ht="12.75" customHeight="1">
      <c r="A651" s="18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ht="12.75" customHeight="1">
      <c r="A652" s="18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ht="12.75" customHeight="1">
      <c r="A653" s="18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ht="12.75" customHeight="1">
      <c r="A654" s="18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ht="12.75" customHeight="1">
      <c r="A655" s="18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ht="12.75" customHeight="1">
      <c r="A656" s="18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ht="12.75" customHeight="1">
      <c r="A657" s="18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ht="12.75" customHeight="1">
      <c r="A658" s="18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ht="12.75" customHeight="1">
      <c r="A659" s="18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ht="12.75" customHeight="1">
      <c r="A660" s="18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ht="12.75" customHeight="1">
      <c r="A661" s="18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ht="12.75" customHeight="1">
      <c r="A662" s="18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ht="12.75" customHeight="1">
      <c r="A663" s="18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ht="12.75" customHeight="1">
      <c r="A664" s="18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ht="12.75" customHeight="1">
      <c r="A665" s="18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ht="12.75" customHeight="1">
      <c r="A666" s="18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ht="12.75" customHeight="1">
      <c r="A667" s="18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ht="12.75" customHeight="1">
      <c r="A668" s="18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ht="12.75" customHeight="1">
      <c r="A669" s="18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ht="12.75" customHeight="1">
      <c r="A670" s="18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ht="12.75" customHeight="1">
      <c r="A671" s="18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ht="12.75" customHeight="1">
      <c r="A672" s="18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ht="12.75" customHeight="1">
      <c r="A673" s="18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ht="12.75" customHeight="1">
      <c r="A674" s="18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ht="12.75" customHeight="1">
      <c r="A675" s="18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ht="12.75" customHeight="1">
      <c r="A676" s="18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ht="12.75" customHeight="1">
      <c r="A677" s="18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ht="12.75" customHeight="1">
      <c r="A678" s="18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ht="12.75" customHeight="1">
      <c r="A679" s="18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ht="12.75" customHeight="1">
      <c r="A680" s="18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ht="12.75" customHeight="1">
      <c r="A681" s="18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ht="12.75" customHeight="1">
      <c r="A682" s="18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ht="12.75" customHeight="1">
      <c r="A683" s="18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ht="12.75" customHeight="1">
      <c r="A684" s="18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ht="12.75" customHeight="1">
      <c r="A685" s="18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ht="12.75" customHeight="1">
      <c r="A686" s="18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ht="12.75" customHeight="1">
      <c r="A687" s="18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ht="12.75" customHeight="1">
      <c r="A688" s="18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ht="12.75" customHeight="1">
      <c r="A689" s="18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ht="12.75" customHeight="1">
      <c r="A690" s="18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ht="12.75" customHeight="1">
      <c r="A691" s="18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ht="12.75" customHeight="1">
      <c r="A692" s="18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ht="12.75" customHeight="1">
      <c r="A693" s="18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ht="12.75" customHeight="1">
      <c r="A694" s="18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ht="12.75" customHeight="1">
      <c r="A695" s="18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ht="12.75" customHeight="1">
      <c r="A696" s="18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ht="12.75" customHeight="1">
      <c r="A697" s="18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ht="12.75" customHeight="1">
      <c r="A698" s="18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ht="12.75" customHeight="1">
      <c r="A699" s="18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ht="12.75" customHeight="1">
      <c r="A700" s="18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ht="12.75" customHeight="1">
      <c r="A701" s="18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ht="12.75" customHeight="1">
      <c r="A702" s="18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ht="12.75" customHeight="1">
      <c r="A703" s="18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ht="12.75" customHeight="1">
      <c r="A704" s="18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ht="12.75" customHeight="1">
      <c r="A705" s="18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ht="12.75" customHeight="1">
      <c r="A706" s="18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ht="12.75" customHeight="1">
      <c r="A707" s="18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ht="12.75" customHeight="1">
      <c r="A708" s="18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ht="12.75" customHeight="1">
      <c r="A709" s="18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ht="12.75" customHeight="1">
      <c r="A710" s="18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ht="12.75" customHeight="1">
      <c r="A711" s="18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ht="12.75" customHeight="1">
      <c r="A712" s="18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ht="12.75" customHeight="1">
      <c r="A713" s="18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ht="12.75" customHeight="1">
      <c r="A714" s="18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ht="12.75" customHeight="1">
      <c r="A715" s="18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ht="12.75" customHeight="1">
      <c r="A716" s="18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ht="12.75" customHeight="1">
      <c r="A717" s="18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ht="12.75" customHeight="1">
      <c r="A718" s="18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ht="12.75" customHeight="1">
      <c r="A719" s="18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ht="12.75" customHeight="1">
      <c r="A720" s="18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ht="12.75" customHeight="1">
      <c r="A721" s="18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ht="12.75" customHeight="1">
      <c r="A722" s="18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ht="12.75" customHeight="1">
      <c r="A723" s="18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ht="12.75" customHeight="1">
      <c r="A724" s="18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ht="12.75" customHeight="1">
      <c r="A725" s="18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ht="12.75" customHeight="1">
      <c r="A726" s="18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ht="12.75" customHeight="1">
      <c r="A727" s="18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ht="12.75" customHeight="1">
      <c r="A728" s="18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ht="12.75" customHeight="1">
      <c r="A729" s="18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ht="12.75" customHeight="1">
      <c r="A730" s="18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ht="12.75" customHeight="1">
      <c r="A731" s="18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ht="12.75" customHeight="1">
      <c r="A732" s="18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ht="12.75" customHeight="1">
      <c r="A733" s="18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ht="12.75" customHeight="1">
      <c r="A734" s="18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ht="12.75" customHeight="1">
      <c r="A735" s="18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ht="12.75" customHeight="1">
      <c r="A736" s="18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ht="12.75" customHeight="1">
      <c r="A737" s="18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ht="12.75" customHeight="1">
      <c r="A738" s="18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ht="12.75" customHeight="1">
      <c r="A739" s="18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ht="12.75" customHeight="1">
      <c r="A740" s="18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ht="12.75" customHeight="1">
      <c r="A741" s="18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ht="12.75" customHeight="1">
      <c r="A742" s="18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ht="12.75" customHeight="1">
      <c r="A743" s="18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ht="12.75" customHeight="1">
      <c r="A744" s="18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ht="12.75" customHeight="1">
      <c r="A745" s="18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ht="12.75" customHeight="1">
      <c r="A746" s="18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ht="12.75" customHeight="1">
      <c r="A747" s="18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ht="12.75" customHeight="1">
      <c r="A748" s="18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ht="12.75" customHeight="1">
      <c r="A749" s="18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ht="12.75" customHeight="1">
      <c r="A750" s="18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ht="12.75" customHeight="1">
      <c r="A751" s="18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ht="12.75" customHeight="1">
      <c r="A752" s="18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ht="12.75" customHeight="1">
      <c r="A753" s="18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ht="12.75" customHeight="1">
      <c r="A754" s="18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ht="12.75" customHeight="1">
      <c r="A755" s="18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ht="12.75" customHeight="1">
      <c r="A756" s="18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ht="12.75" customHeight="1">
      <c r="A757" s="18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ht="12.75" customHeight="1">
      <c r="A758" s="18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ht="12.75" customHeight="1">
      <c r="A759" s="18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ht="12.75" customHeight="1">
      <c r="A760" s="18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ht="12.75" customHeight="1">
      <c r="A761" s="18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ht="12.75" customHeight="1">
      <c r="A762" s="18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ht="12.75" customHeight="1">
      <c r="A763" s="18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ht="12.75" customHeight="1">
      <c r="A764" s="18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ht="12.75" customHeight="1">
      <c r="A765" s="18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ht="12.75" customHeight="1">
      <c r="A766" s="18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ht="12.75" customHeight="1">
      <c r="A767" s="18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ht="12.75" customHeight="1">
      <c r="A768" s="18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ht="12.75" customHeight="1">
      <c r="A769" s="18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ht="12.75" customHeight="1">
      <c r="A770" s="18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ht="12.75" customHeight="1">
      <c r="A771" s="18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ht="12.75" customHeight="1">
      <c r="A772" s="18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ht="12.75" customHeight="1">
      <c r="A773" s="18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ht="12.75" customHeight="1">
      <c r="A774" s="18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ht="12.75" customHeight="1">
      <c r="A775" s="18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ht="12.75" customHeight="1">
      <c r="A776" s="18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ht="12.75" customHeight="1">
      <c r="A777" s="18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ht="12.75" customHeight="1">
      <c r="A778" s="18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ht="12.75" customHeight="1">
      <c r="A779" s="18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ht="12.75" customHeight="1">
      <c r="A780" s="18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ht="12.75" customHeight="1">
      <c r="A781" s="18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ht="12.75" customHeight="1">
      <c r="A782" s="18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ht="12.75" customHeight="1">
      <c r="A783" s="18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ht="12.75" customHeight="1">
      <c r="A784" s="18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ht="12.75" customHeight="1">
      <c r="A785" s="18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ht="12.75" customHeight="1">
      <c r="A786" s="18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ht="12.75" customHeight="1">
      <c r="A787" s="18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ht="12.75" customHeight="1">
      <c r="A788" s="18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ht="12.75" customHeight="1">
      <c r="A789" s="18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ht="12.75" customHeight="1">
      <c r="A790" s="18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ht="12.75" customHeight="1">
      <c r="A791" s="18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ht="12.75" customHeight="1">
      <c r="A792" s="18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ht="12.75" customHeight="1">
      <c r="A793" s="18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ht="12.75" customHeight="1">
      <c r="A794" s="18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ht="12.75" customHeight="1">
      <c r="A795" s="18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ht="12.75" customHeight="1">
      <c r="A796" s="18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ht="12.75" customHeight="1">
      <c r="A797" s="18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ht="12.75" customHeight="1">
      <c r="A798" s="18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ht="12.75" customHeight="1">
      <c r="A799" s="18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ht="12.75" customHeight="1">
      <c r="A800" s="18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ht="12.75" customHeight="1">
      <c r="A801" s="18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ht="12.75" customHeight="1">
      <c r="A802" s="18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ht="12.75" customHeight="1">
      <c r="A803" s="18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ht="12.75" customHeight="1">
      <c r="A804" s="18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ht="12.75" customHeight="1">
      <c r="A805" s="18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ht="12.75" customHeight="1">
      <c r="A806" s="18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ht="12.75" customHeight="1">
      <c r="A807" s="18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ht="12.75" customHeight="1">
      <c r="A808" s="18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ht="12.75" customHeight="1">
      <c r="A809" s="18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ht="12.75" customHeight="1">
      <c r="A810" s="18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ht="12.75" customHeight="1">
      <c r="A811" s="18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ht="12.75" customHeight="1">
      <c r="A812" s="18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ht="12.75" customHeight="1">
      <c r="A813" s="18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ht="12.75" customHeight="1">
      <c r="A814" s="18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ht="12.75" customHeight="1">
      <c r="A815" s="18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ht="12.75" customHeight="1">
      <c r="A816" s="18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ht="12.75" customHeight="1">
      <c r="A817" s="18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ht="12.75" customHeight="1">
      <c r="A818" s="18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ht="12.75" customHeight="1">
      <c r="A819" s="18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ht="12.75" customHeight="1">
      <c r="A820" s="18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ht="12.75" customHeight="1">
      <c r="A821" s="18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ht="12.75" customHeight="1">
      <c r="A822" s="18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ht="12.75" customHeight="1">
      <c r="A823" s="18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ht="12.75" customHeight="1">
      <c r="A824" s="18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ht="12.75" customHeight="1">
      <c r="A825" s="18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ht="12.75" customHeight="1">
      <c r="A826" s="18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ht="12.75" customHeight="1">
      <c r="A827" s="18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ht="12.75" customHeight="1">
      <c r="A828" s="18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ht="12.75" customHeight="1">
      <c r="A829" s="18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ht="12.75" customHeight="1">
      <c r="A830" s="18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ht="12.75" customHeight="1">
      <c r="A831" s="18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ht="12.75" customHeight="1">
      <c r="A832" s="18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ht="12.75" customHeight="1">
      <c r="A833" s="18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ht="12.75" customHeight="1">
      <c r="A834" s="18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ht="12.75" customHeight="1">
      <c r="A835" s="18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ht="12.75" customHeight="1">
      <c r="A836" s="18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ht="12.75" customHeight="1">
      <c r="A837" s="18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ht="12.75" customHeight="1">
      <c r="A838" s="18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ht="12.75" customHeight="1">
      <c r="A839" s="18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ht="12.75" customHeight="1">
      <c r="A840" s="18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ht="12.75" customHeight="1">
      <c r="A841" s="18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ht="12.75" customHeight="1">
      <c r="A842" s="18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ht="12.75" customHeight="1">
      <c r="A843" s="18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ht="12.75" customHeight="1">
      <c r="A844" s="18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ht="12.75" customHeight="1">
      <c r="A845" s="18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ht="12.75" customHeight="1">
      <c r="A846" s="18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ht="12.75" customHeight="1">
      <c r="A847" s="18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ht="12.75" customHeight="1">
      <c r="A848" s="18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ht="12.75" customHeight="1">
      <c r="A849" s="18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ht="12.75" customHeight="1">
      <c r="A850" s="18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ht="12.75" customHeight="1">
      <c r="A851" s="18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ht="12.75" customHeight="1">
      <c r="A852" s="18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ht="12.75" customHeight="1">
      <c r="A853" s="18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ht="12.75" customHeight="1">
      <c r="A854" s="18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ht="12.75" customHeight="1">
      <c r="A855" s="18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ht="12.75" customHeight="1">
      <c r="A856" s="18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ht="12.75" customHeight="1">
      <c r="A857" s="18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ht="12.75" customHeight="1">
      <c r="A858" s="18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ht="12.75" customHeight="1">
      <c r="A859" s="18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ht="12.75" customHeight="1">
      <c r="A860" s="18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ht="12.75" customHeight="1">
      <c r="A861" s="18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ht="12.75" customHeight="1">
      <c r="A862" s="18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ht="12.75" customHeight="1">
      <c r="A863" s="18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ht="12.75" customHeight="1">
      <c r="A864" s="18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ht="12.75" customHeight="1">
      <c r="A865" s="18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ht="12.75" customHeight="1">
      <c r="A866" s="18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ht="12.75" customHeight="1">
      <c r="A867" s="18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ht="12.75" customHeight="1">
      <c r="A868" s="18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ht="12.75" customHeight="1">
      <c r="A869" s="18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ht="12.75" customHeight="1">
      <c r="A870" s="18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ht="12.75" customHeight="1">
      <c r="A871" s="18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ht="12.75" customHeight="1">
      <c r="A872" s="18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ht="12.75" customHeight="1">
      <c r="A873" s="18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ht="12.75" customHeight="1">
      <c r="A874" s="18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ht="12.75" customHeight="1">
      <c r="A875" s="18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ht="12.75" customHeight="1">
      <c r="A876" s="18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ht="12.75" customHeight="1">
      <c r="A877" s="18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ht="12.75" customHeight="1">
      <c r="A878" s="18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ht="12.75" customHeight="1">
      <c r="A879" s="18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ht="12.75" customHeight="1">
      <c r="A880" s="18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ht="12.75" customHeight="1">
      <c r="A881" s="18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ht="12.75" customHeight="1">
      <c r="A882" s="18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ht="12.75" customHeight="1">
      <c r="A883" s="18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ht="12.75" customHeight="1">
      <c r="A884" s="18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ht="12.75" customHeight="1">
      <c r="A885" s="18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ht="12.75" customHeight="1">
      <c r="A886" s="18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ht="12.75" customHeight="1">
      <c r="A887" s="18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ht="12.75" customHeight="1">
      <c r="A888" s="18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ht="12.75" customHeight="1">
      <c r="A889" s="18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ht="12.75" customHeight="1">
      <c r="A890" s="18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ht="12.75" customHeight="1">
      <c r="A891" s="18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ht="12.75" customHeight="1">
      <c r="A892" s="18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ht="12.75" customHeight="1">
      <c r="A893" s="18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ht="12.75" customHeight="1">
      <c r="A894" s="18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ht="12.75" customHeight="1">
      <c r="A895" s="18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ht="12.75" customHeight="1">
      <c r="A896" s="18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ht="12.75" customHeight="1">
      <c r="A897" s="18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ht="12.75" customHeight="1">
      <c r="A898" s="18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ht="12.75" customHeight="1">
      <c r="A899" s="18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ht="12.75" customHeight="1">
      <c r="A900" s="18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ht="12.75" customHeight="1">
      <c r="A901" s="18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ht="12.75" customHeight="1">
      <c r="A902" s="18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ht="12.75" customHeight="1">
      <c r="A903" s="18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ht="12.75" customHeight="1">
      <c r="A904" s="18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ht="12.75" customHeight="1">
      <c r="A905" s="18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ht="12.75" customHeight="1">
      <c r="A906" s="18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ht="12.75" customHeight="1">
      <c r="A907" s="18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ht="12.75" customHeight="1">
      <c r="A908" s="18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ht="12.75" customHeight="1">
      <c r="A909" s="18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ht="12.75" customHeight="1">
      <c r="A910" s="18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ht="12.75" customHeight="1">
      <c r="A911" s="18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ht="12.75" customHeight="1">
      <c r="A912" s="18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ht="12.75" customHeight="1">
      <c r="A913" s="18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ht="12.75" customHeight="1">
      <c r="A914" s="18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ht="12.75" customHeight="1">
      <c r="A915" s="18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ht="12.75" customHeight="1">
      <c r="A916" s="18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ht="12.75" customHeight="1">
      <c r="A917" s="18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ht="12.75" customHeight="1">
      <c r="A918" s="18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ht="12.75" customHeight="1">
      <c r="A919" s="18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ht="12.75" customHeight="1">
      <c r="A920" s="18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ht="12.75" customHeight="1">
      <c r="A921" s="18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ht="12.75" customHeight="1">
      <c r="A922" s="18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ht="12.75" customHeight="1">
      <c r="A923" s="18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ht="12.75" customHeight="1">
      <c r="A924" s="18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ht="12.75" customHeight="1">
      <c r="A925" s="18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ht="12.75" customHeight="1">
      <c r="A926" s="18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ht="12.75" customHeight="1">
      <c r="A927" s="18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ht="12.75" customHeight="1">
      <c r="A928" s="18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ht="12.75" customHeight="1">
      <c r="A929" s="18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ht="12.75" customHeight="1">
      <c r="A930" s="18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ht="12.75" customHeight="1">
      <c r="A931" s="18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ht="12.75" customHeight="1">
      <c r="A932" s="18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ht="12.75" customHeight="1">
      <c r="A933" s="18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ht="12.75" customHeight="1">
      <c r="A934" s="18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ht="12.75" customHeight="1">
      <c r="A935" s="18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ht="12.75" customHeight="1">
      <c r="A936" s="18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ht="12.75" customHeight="1">
      <c r="A937" s="18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ht="12.75" customHeight="1">
      <c r="A938" s="18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ht="12.75" customHeight="1">
      <c r="A939" s="18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ht="12.75" customHeight="1">
      <c r="A940" s="18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ht="12.75" customHeight="1">
      <c r="A941" s="18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ht="12.75" customHeight="1">
      <c r="A942" s="18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ht="12.75" customHeight="1">
      <c r="A943" s="18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ht="12.75" customHeight="1">
      <c r="A944" s="18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ht="12.75" customHeight="1">
      <c r="A945" s="18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ht="12.75" customHeight="1">
      <c r="A946" s="18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ht="12.75" customHeight="1">
      <c r="A947" s="18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ht="12.75" customHeight="1">
      <c r="A948" s="18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ht="12.75" customHeight="1">
      <c r="A949" s="18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ht="12.75" customHeight="1">
      <c r="A950" s="18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ht="12.75" customHeight="1">
      <c r="A951" s="18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ht="12.75" customHeight="1">
      <c r="A952" s="18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ht="12.75" customHeight="1">
      <c r="A953" s="18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ht="12.75" customHeight="1">
      <c r="A954" s="18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ht="12.75" customHeight="1">
      <c r="A955" s="18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ht="12.75" customHeight="1">
      <c r="A956" s="18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ht="12.75" customHeight="1">
      <c r="A957" s="18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ht="12.75" customHeight="1">
      <c r="A958" s="18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ht="12.75" customHeight="1">
      <c r="A959" s="18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ht="12.75" customHeight="1">
      <c r="A960" s="18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ht="12.75" customHeight="1">
      <c r="A961" s="18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ht="12.75" customHeight="1">
      <c r="A962" s="18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ht="12.75" customHeight="1">
      <c r="A963" s="18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ht="12.75" customHeight="1">
      <c r="A964" s="18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ht="12.75" customHeight="1">
      <c r="A965" s="18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ht="12.75" customHeight="1">
      <c r="A966" s="18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ht="12.75" customHeight="1">
      <c r="A967" s="18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ht="12.75" customHeight="1">
      <c r="A968" s="18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ht="12.75" customHeight="1">
      <c r="A969" s="18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ht="12.75" customHeight="1">
      <c r="A970" s="18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ht="12.75" customHeight="1">
      <c r="A971" s="18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ht="12.75" customHeight="1">
      <c r="A972" s="18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ht="12.75" customHeight="1">
      <c r="A973" s="18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ht="12.75" customHeight="1">
      <c r="A974" s="18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ht="12.75" customHeight="1">
      <c r="A975" s="18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ht="12.75" customHeight="1">
      <c r="A976" s="18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ht="12.75" customHeight="1">
      <c r="A977" s="18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ht="12.75" customHeight="1">
      <c r="A978" s="18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ht="12.75" customHeight="1">
      <c r="A979" s="18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ht="12.75" customHeight="1">
      <c r="A980" s="18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ht="12.75" customHeight="1">
      <c r="A981" s="18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ht="12.75" customHeight="1">
      <c r="A982" s="18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ht="12.75" customHeight="1">
      <c r="A983" s="18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ht="12.75" customHeight="1">
      <c r="A984" s="18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ht="12.75" customHeight="1">
      <c r="A985" s="18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ht="12.75" customHeight="1">
      <c r="A986" s="18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ht="12.75" customHeight="1">
      <c r="A987" s="18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ht="12.75" customHeight="1">
      <c r="A988" s="18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ht="12.75" customHeight="1">
      <c r="A989" s="18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ht="12.75" customHeight="1">
      <c r="A990" s="18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ht="12.75" customHeight="1">
      <c r="A991" s="18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ht="12.75" customHeight="1">
      <c r="A992" s="18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ht="12.75" customHeight="1">
      <c r="A993" s="18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ht="12.75" customHeight="1">
      <c r="A994" s="18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ht="12.75" customHeight="1">
      <c r="A995" s="18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ht="12.75" customHeight="1">
      <c r="A996" s="189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ht="12.75" customHeight="1">
      <c r="A997" s="189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ht="12.75" customHeight="1">
      <c r="A998" s="189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ht="12.75" customHeight="1">
      <c r="A999" s="18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ht="12.75" customHeight="1">
      <c r="A1000" s="189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ht="12.75" customHeight="1">
      <c r="A1001" s="189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ht="12.75" customHeight="1">
      <c r="A1002" s="189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ht="12.75" customHeight="1">
      <c r="A1003" s="189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ht="12.75" customHeight="1">
      <c r="A1004" s="189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</sheetData>
  <mergeCells count="2">
    <mergeCell ref="A1:A3"/>
    <mergeCell ref="B1:W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99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4.3984375" defaultRowHeight="15" customHeight="1" outlineLevelRow="1"/>
  <cols>
    <col min="1" max="1" width="42.19921875" customWidth="1"/>
    <col min="2" max="13" width="14.19921875" customWidth="1"/>
  </cols>
  <sheetData>
    <row r="1" spans="1:40" ht="12.75" customHeight="1">
      <c r="A1" s="507" t="s">
        <v>148</v>
      </c>
      <c r="B1" s="509" t="s">
        <v>149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</row>
    <row r="2" spans="1:40" ht="6" customHeight="1">
      <c r="A2" s="50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3" spans="1:40" ht="12.75" customHeight="1">
      <c r="A3" s="508"/>
      <c r="B3" s="274">
        <v>45352</v>
      </c>
      <c r="C3" s="274">
        <v>45383</v>
      </c>
      <c r="D3" s="274">
        <v>45413</v>
      </c>
      <c r="E3" s="274">
        <v>45444</v>
      </c>
      <c r="F3" s="274">
        <v>45474</v>
      </c>
      <c r="G3" s="274">
        <v>45505</v>
      </c>
      <c r="H3" s="274">
        <v>45536</v>
      </c>
      <c r="I3" s="274">
        <v>45566</v>
      </c>
      <c r="J3" s="274">
        <v>45597</v>
      </c>
      <c r="K3" s="274">
        <v>45627</v>
      </c>
      <c r="L3" s="274">
        <v>45658</v>
      </c>
      <c r="M3" s="274">
        <v>45689</v>
      </c>
      <c r="N3" s="274">
        <v>45717</v>
      </c>
      <c r="O3" s="274">
        <v>45748</v>
      </c>
      <c r="P3" s="274">
        <v>45778</v>
      </c>
      <c r="Q3" s="274">
        <v>45809</v>
      </c>
      <c r="R3" s="274">
        <v>45839</v>
      </c>
      <c r="S3" s="274">
        <v>45870</v>
      </c>
      <c r="T3" s="274">
        <v>45901</v>
      </c>
      <c r="U3" s="274">
        <v>45931</v>
      </c>
      <c r="V3" s="274">
        <v>45962</v>
      </c>
      <c r="W3" s="274">
        <v>45992</v>
      </c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</row>
    <row r="4" spans="1:40" ht="1.5" customHeight="1">
      <c r="A4" s="499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</row>
    <row r="5" spans="1:40" ht="12.75" customHeight="1">
      <c r="A5" s="278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</row>
    <row r="6" spans="1:40" ht="12.75" customHeight="1">
      <c r="A6" s="175" t="s">
        <v>150</v>
      </c>
      <c r="B6" s="279">
        <f>'Consolidated P&amp;L'!B50-'Consolidated P&amp;L'!B54</f>
        <v>-33570.76</v>
      </c>
      <c r="C6" s="279">
        <f>'Consolidated P&amp;L'!C50-'Consolidated P&amp;L'!C54</f>
        <v>-26981.969999999998</v>
      </c>
      <c r="D6" s="280">
        <f>'Consolidated P&amp;L'!D50-'Consolidated P&amp;L'!D54</f>
        <v>-32061.3</v>
      </c>
      <c r="E6" s="280">
        <f>'Consolidated P&amp;L'!E50-'Consolidated P&amp;L'!E54</f>
        <v>-20291.72</v>
      </c>
      <c r="F6" s="280">
        <f>'Consolidated P&amp;L'!F50-'Consolidated P&amp;L'!F54</f>
        <v>-13601.06</v>
      </c>
      <c r="G6" s="280">
        <f>'Consolidated P&amp;L'!G50-'Consolidated P&amp;L'!G54</f>
        <v>-4710</v>
      </c>
      <c r="H6" s="280">
        <f>'Consolidated P&amp;L'!H50-'Consolidated P&amp;L'!H54</f>
        <v>17482.669999999998</v>
      </c>
      <c r="I6" s="280">
        <f>'Consolidated P&amp;L'!I50-'Consolidated P&amp;L'!I54</f>
        <v>-15543.33</v>
      </c>
      <c r="J6" s="280">
        <f>'Consolidated P&amp;L'!J50-'Consolidated P&amp;L'!J54</f>
        <v>19722.669999999998</v>
      </c>
      <c r="K6" s="280">
        <f>'Consolidated P&amp;L'!K50-'Consolidated P&amp;L'!K54</f>
        <v>3351.67</v>
      </c>
      <c r="L6" s="280">
        <f>'Consolidated P&amp;L'!L50-'Consolidated P&amp;L'!L54</f>
        <v>4526.67</v>
      </c>
      <c r="M6" s="280">
        <f>'Consolidated P&amp;L'!M50-'Consolidated P&amp;L'!M54</f>
        <v>9885.003333333334</v>
      </c>
      <c r="N6" s="280">
        <f>'Consolidated P&amp;L'!N50-'Consolidated P&amp;L'!N54</f>
        <v>11660.003333333334</v>
      </c>
      <c r="O6" s="280">
        <f>'Consolidated P&amp;L'!O50-'Consolidated P&amp;L'!O54</f>
        <v>-15439.996666666666</v>
      </c>
      <c r="P6" s="280">
        <f>'Consolidated P&amp;L'!P50-'Consolidated P&amp;L'!P54</f>
        <v>9710.003333333334</v>
      </c>
      <c r="Q6" s="280">
        <f>'Consolidated P&amp;L'!Q50-'Consolidated P&amp;L'!Q54</f>
        <v>9710.003333333334</v>
      </c>
      <c r="R6" s="280">
        <f>'Consolidated P&amp;L'!R50-'Consolidated P&amp;L'!R54</f>
        <v>36260.003333333334</v>
      </c>
      <c r="S6" s="280">
        <f>'Consolidated P&amp;L'!S50-'Consolidated P&amp;L'!S54</f>
        <v>27160.003333333334</v>
      </c>
      <c r="T6" s="280">
        <f>'Consolidated P&amp;L'!T50-'Consolidated P&amp;L'!T54</f>
        <v>61986.003333333327</v>
      </c>
      <c r="U6" s="280">
        <f>'Consolidated P&amp;L'!U50-'Consolidated P&amp;L'!U54</f>
        <v>4760.003333333334</v>
      </c>
      <c r="V6" s="280">
        <f>'Consolidated P&amp;L'!V50-'Consolidated P&amp;L'!V54</f>
        <v>49516.003333333327</v>
      </c>
      <c r="W6" s="280">
        <f>'Consolidated P&amp;L'!W50-'Consolidated P&amp;L'!W54</f>
        <v>8010.003333333334</v>
      </c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</row>
    <row r="7" spans="1:40" ht="6" customHeight="1">
      <c r="A7" s="175"/>
      <c r="B7" s="279"/>
      <c r="C7" s="279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</row>
    <row r="8" spans="1:40" ht="12.75" customHeight="1">
      <c r="A8" s="281" t="s">
        <v>151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83"/>
    </row>
    <row r="9" spans="1:40" ht="12.75" customHeight="1">
      <c r="A9" s="284" t="s">
        <v>152</v>
      </c>
      <c r="B9" s="282">
        <f>-'Balance Sheet'!B11</f>
        <v>-63292</v>
      </c>
      <c r="C9" s="282">
        <f>-'Balance Sheet'!C11+'Balance Sheet'!B11</f>
        <v>-22170</v>
      </c>
      <c r="D9" s="282">
        <f>-'Balance Sheet'!D11+'Balance Sheet'!C11</f>
        <v>-22170</v>
      </c>
      <c r="E9" s="282">
        <f>-'Balance Sheet'!E11+'Balance Sheet'!D11</f>
        <v>-21510</v>
      </c>
      <c r="F9" s="282">
        <f>-'Balance Sheet'!F11+'Balance Sheet'!E11</f>
        <v>107550</v>
      </c>
      <c r="G9" s="282">
        <f>-'Balance Sheet'!G11+'Balance Sheet'!F11</f>
        <v>0</v>
      </c>
      <c r="H9" s="282">
        <f>-'Balance Sheet'!H11+'Balance Sheet'!G11</f>
        <v>-29031.199999999997</v>
      </c>
      <c r="I9" s="282">
        <f>-'Balance Sheet'!I11+'Balance Sheet'!H11</f>
        <v>44031.199999999997</v>
      </c>
      <c r="J9" s="282">
        <f>-'Balance Sheet'!J11+'Balance Sheet'!I11</f>
        <v>-52567.199999999997</v>
      </c>
      <c r="K9" s="282">
        <f>-'Balance Sheet'!K11+'Balance Sheet'!J11</f>
        <v>19027.199999999997</v>
      </c>
      <c r="L9" s="282">
        <f>-'Balance Sheet'!L11+'Balance Sheet'!K11</f>
        <v>-1500</v>
      </c>
      <c r="M9" s="282">
        <f>-'Balance Sheet'!M11+'Balance Sheet'!L11</f>
        <v>-7120</v>
      </c>
      <c r="N9" s="282">
        <f>-'Balance Sheet'!N11+'Balance Sheet'!M11</f>
        <v>-2220</v>
      </c>
      <c r="O9" s="282">
        <f>-'Balance Sheet'!O11+'Balance Sheet'!N11</f>
        <v>32520</v>
      </c>
      <c r="P9" s="282">
        <f>-'Balance Sheet'!P11+'Balance Sheet'!O11</f>
        <v>-30180</v>
      </c>
      <c r="Q9" s="282">
        <f>-'Balance Sheet'!Q11+'Balance Sheet'!P11</f>
        <v>0</v>
      </c>
      <c r="R9" s="282">
        <f>-'Balance Sheet'!R11+'Balance Sheet'!Q11</f>
        <v>-31860</v>
      </c>
      <c r="S9" s="282">
        <f>-'Balance Sheet'!S11+'Balance Sheet'!R11</f>
        <v>-1080</v>
      </c>
      <c r="T9" s="282">
        <f>-'Balance Sheet'!T11+'Balance Sheet'!S11</f>
        <v>-41791.200000000012</v>
      </c>
      <c r="U9" s="282">
        <f>-'Balance Sheet'!U11+'Balance Sheet'!T11</f>
        <v>68671.199999999997</v>
      </c>
      <c r="V9" s="282">
        <f>-'Balance Sheet'!V11+'Balance Sheet'!U11</f>
        <v>-53707.199999999997</v>
      </c>
      <c r="W9" s="282">
        <f>-'Balance Sheet'!W11+'Balance Sheet'!V11</f>
        <v>49807.199999999997</v>
      </c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</row>
    <row r="10" spans="1:40" ht="12.75" customHeight="1">
      <c r="A10" s="284" t="s">
        <v>153</v>
      </c>
      <c r="B10" s="283">
        <v>0</v>
      </c>
      <c r="C10" s="283">
        <f>-'Balance Sheet'!C12+'Balance Sheet'!B12</f>
        <v>1057.29</v>
      </c>
      <c r="D10" s="282">
        <f>-'Balance Sheet'!D12+'Balance Sheet'!C12</f>
        <v>1057.29</v>
      </c>
      <c r="E10" s="282">
        <f>-'Balance Sheet'!E12+'Balance Sheet'!D12</f>
        <v>1057.29</v>
      </c>
      <c r="F10" s="282">
        <f>-'Balance Sheet'!F12+'Balance Sheet'!E12</f>
        <v>0</v>
      </c>
      <c r="G10" s="282">
        <f>-'Balance Sheet'!G12+'Balance Sheet'!F12</f>
        <v>0</v>
      </c>
      <c r="H10" s="282">
        <f>-'Balance Sheet'!H12+'Balance Sheet'!G12</f>
        <v>0</v>
      </c>
      <c r="I10" s="282">
        <f>-'Balance Sheet'!I12+'Balance Sheet'!H12</f>
        <v>0</v>
      </c>
      <c r="J10" s="282">
        <f>-'Balance Sheet'!J12+'Balance Sheet'!I12</f>
        <v>0</v>
      </c>
      <c r="K10" s="282">
        <f>-'Balance Sheet'!K12+'Balance Sheet'!J12</f>
        <v>0</v>
      </c>
      <c r="L10" s="282">
        <f>-'Balance Sheet'!L12+'Balance Sheet'!K12</f>
        <v>0</v>
      </c>
      <c r="M10" s="282">
        <f>-'Balance Sheet'!M12+'Balance Sheet'!L12</f>
        <v>0</v>
      </c>
      <c r="N10" s="282">
        <f>-'Balance Sheet'!N12+'Balance Sheet'!M12</f>
        <v>0</v>
      </c>
      <c r="O10" s="282">
        <f>-'Balance Sheet'!O12+'Balance Sheet'!N12</f>
        <v>0</v>
      </c>
      <c r="P10" s="282">
        <f>-'Balance Sheet'!P12+'Balance Sheet'!O12</f>
        <v>0</v>
      </c>
      <c r="Q10" s="282">
        <f>-'Balance Sheet'!Q12+'Balance Sheet'!P12</f>
        <v>0</v>
      </c>
      <c r="R10" s="282">
        <f>-'Balance Sheet'!R12+'Balance Sheet'!Q12</f>
        <v>0</v>
      </c>
      <c r="S10" s="282">
        <f>-'Balance Sheet'!S12+'Balance Sheet'!R12</f>
        <v>0</v>
      </c>
      <c r="T10" s="282">
        <f>-'Balance Sheet'!T12+'Balance Sheet'!S12</f>
        <v>0</v>
      </c>
      <c r="U10" s="282">
        <f>-'Balance Sheet'!U12+'Balance Sheet'!T12</f>
        <v>0</v>
      </c>
      <c r="V10" s="282">
        <f>-'Balance Sheet'!V12+'Balance Sheet'!U12</f>
        <v>0</v>
      </c>
      <c r="W10" s="282">
        <f>-'Balance Sheet'!W12+'Balance Sheet'!V12</f>
        <v>0</v>
      </c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</row>
    <row r="11" spans="1:40" ht="6.75" customHeight="1">
      <c r="A11" s="284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</row>
    <row r="12" spans="1:40" ht="12.75" customHeight="1">
      <c r="A12" s="281" t="s">
        <v>154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</row>
    <row r="13" spans="1:40" ht="5.25" customHeight="1">
      <c r="A13" s="284"/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</row>
    <row r="14" spans="1:40" ht="12.75" customHeight="1">
      <c r="A14" s="284" t="s">
        <v>155</v>
      </c>
      <c r="B14" s="283">
        <f>'Balance Sheet'!B27</f>
        <v>78309.98</v>
      </c>
      <c r="C14" s="283">
        <f>'Balance Sheet'!C27-'Balance Sheet'!B27</f>
        <v>37256.400000000009</v>
      </c>
      <c r="D14" s="283">
        <f>'Balance Sheet'!D27-'Balance Sheet'!C27</f>
        <v>9270.5199999999895</v>
      </c>
      <c r="E14" s="283">
        <f>'Balance Sheet'!E27-'Balance Sheet'!D27</f>
        <v>34060.130000000005</v>
      </c>
      <c r="F14" s="283">
        <f>'Balance Sheet'!F27-'Balance Sheet'!E27</f>
        <v>-75445.53</v>
      </c>
      <c r="G14" s="283">
        <f>'Balance Sheet'!G27-'Balance Sheet'!F27</f>
        <v>5652</v>
      </c>
      <c r="H14" s="283">
        <f>'Balance Sheet'!H27-'Balance Sheet'!G27</f>
        <v>12400</v>
      </c>
      <c r="I14" s="283">
        <f>'Balance Sheet'!I27-'Balance Sheet'!H27</f>
        <v>-7900</v>
      </c>
      <c r="J14" s="283">
        <f>'Balance Sheet'!J27-'Balance Sheet'!I27</f>
        <v>6278</v>
      </c>
      <c r="K14" s="283">
        <f>'Balance Sheet'!K27-'Balance Sheet'!J27</f>
        <v>-382</v>
      </c>
      <c r="L14" s="283">
        <f>'Balance Sheet'!L27-'Balance Sheet'!K27</f>
        <v>-910</v>
      </c>
      <c r="M14" s="283">
        <f>'Balance Sheet'!M27-'Balance Sheet'!L27</f>
        <v>-310</v>
      </c>
      <c r="N14" s="283">
        <f>'Balance Sheet'!N27-'Balance Sheet'!M27</f>
        <v>-910</v>
      </c>
      <c r="O14" s="283">
        <f>'Balance Sheet'!O27-'Balance Sheet'!N27</f>
        <v>-1000</v>
      </c>
      <c r="P14" s="283">
        <f>'Balance Sheet'!P27-'Balance Sheet'!O27</f>
        <v>-1000</v>
      </c>
      <c r="Q14" s="283">
        <f>'Balance Sheet'!Q27-'Balance Sheet'!P27</f>
        <v>-1000</v>
      </c>
      <c r="R14" s="283">
        <f>'Balance Sheet'!R27-'Balance Sheet'!Q27</f>
        <v>-1000</v>
      </c>
      <c r="S14" s="283">
        <f>'Balance Sheet'!S27-'Balance Sheet'!R27</f>
        <v>11000</v>
      </c>
      <c r="T14" s="283">
        <f>'Balance Sheet'!T27-'Balance Sheet'!S27</f>
        <v>-1000</v>
      </c>
      <c r="U14" s="283">
        <f>'Balance Sheet'!U27-'Balance Sheet'!T27</f>
        <v>-1000</v>
      </c>
      <c r="V14" s="283">
        <f>'Balance Sheet'!V27-'Balance Sheet'!U27</f>
        <v>-1000</v>
      </c>
      <c r="W14" s="283">
        <f>'Balance Sheet'!W27-'Balance Sheet'!V27</f>
        <v>-1000</v>
      </c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</row>
    <row r="15" spans="1:40" ht="12.75" customHeight="1">
      <c r="A15" s="284" t="s">
        <v>156</v>
      </c>
      <c r="B15" s="283">
        <f>'Balance Sheet'!B30</f>
        <v>-24342.65</v>
      </c>
      <c r="C15" s="283">
        <f>'Balance Sheet'!C30-'Balance Sheet'!B30</f>
        <v>-2830.3999999999978</v>
      </c>
      <c r="D15" s="282">
        <f>'Balance Sheet'!D30-'Balance Sheet'!C30</f>
        <v>22112.76</v>
      </c>
      <c r="E15" s="282">
        <f>'Balance Sheet'!E30-'Balance Sheet'!D30</f>
        <v>-267.80000000000018</v>
      </c>
      <c r="F15" s="282">
        <f>'Balance Sheet'!F30-'Balance Sheet'!E30</f>
        <v>941</v>
      </c>
      <c r="G15" s="282">
        <f>'Balance Sheet'!G30-'Balance Sheet'!F30</f>
        <v>-4942</v>
      </c>
      <c r="H15" s="282">
        <f>'Balance Sheet'!H30-'Balance Sheet'!G30</f>
        <v>3496.5299999999997</v>
      </c>
      <c r="I15" s="282">
        <f>'Balance Sheet'!I30-'Balance Sheet'!H30</f>
        <v>-3108.6699999999992</v>
      </c>
      <c r="J15" s="282">
        <f>'Balance Sheet'!J30-'Balance Sheet'!I30</f>
        <v>9777.09</v>
      </c>
      <c r="K15" s="282">
        <f>'Balance Sheet'!K30-'Balance Sheet'!J30</f>
        <v>670.32999999999993</v>
      </c>
      <c r="L15" s="282">
        <f>'Balance Sheet'!L30-'Balance Sheet'!K30</f>
        <v>905.32999999999993</v>
      </c>
      <c r="M15" s="282">
        <f>'Balance Sheet'!M30-'Balance Sheet'!L30</f>
        <v>470.80999999999949</v>
      </c>
      <c r="N15" s="282">
        <f>'Balance Sheet'!N30-'Balance Sheet'!M30</f>
        <v>2331.9999999999991</v>
      </c>
      <c r="O15" s="282">
        <f>'Balance Sheet'!O30-'Balance Sheet'!N30</f>
        <v>-3088</v>
      </c>
      <c r="P15" s="282">
        <f>'Balance Sheet'!P30-'Balance Sheet'!O30</f>
        <v>-3272.33</v>
      </c>
      <c r="Q15" s="282">
        <f>'Balance Sheet'!Q30-'Balance Sheet'!P30</f>
        <v>1942</v>
      </c>
      <c r="R15" s="282">
        <f>'Balance Sheet'!R30-'Balance Sheet'!Q30</f>
        <v>7252</v>
      </c>
      <c r="S15" s="282">
        <f>'Balance Sheet'!S30-'Balance Sheet'!R30</f>
        <v>4635.9999999999982</v>
      </c>
      <c r="T15" s="282">
        <f>'Balance Sheet'!T30-'Balance Sheet'!S30</f>
        <v>12397.199999999999</v>
      </c>
      <c r="U15" s="282">
        <f>'Balance Sheet'!U30-'Balance Sheet'!T30</f>
        <v>952</v>
      </c>
      <c r="V15" s="282">
        <f>'Balance Sheet'!V30-'Balance Sheet'!U30</f>
        <v>-15178</v>
      </c>
      <c r="W15" s="282">
        <f>'Balance Sheet'!W30-'Balance Sheet'!V30</f>
        <v>1601.9999999999982</v>
      </c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</row>
    <row r="16" spans="1:40" ht="12.75" customHeight="1">
      <c r="A16" s="284" t="s">
        <v>157</v>
      </c>
      <c r="B16" s="283">
        <v>0</v>
      </c>
      <c r="C16" s="283">
        <f>'Balance Sheet'!C28-'Balance Sheet'!B28</f>
        <v>0</v>
      </c>
      <c r="D16" s="282">
        <f>'Balance Sheet'!D28-'Balance Sheet'!C28</f>
        <v>8800</v>
      </c>
      <c r="E16" s="282">
        <f>'Balance Sheet'!E28-'Balance Sheet'!D28</f>
        <v>11300</v>
      </c>
      <c r="F16" s="282">
        <f>'Balance Sheet'!F28-'Balance Sheet'!E28</f>
        <v>0</v>
      </c>
      <c r="G16" s="282">
        <f>'Balance Sheet'!G28-'Balance Sheet'!F28</f>
        <v>0</v>
      </c>
      <c r="H16" s="282">
        <f>'Balance Sheet'!H28-'Balance Sheet'!G28</f>
        <v>0</v>
      </c>
      <c r="I16" s="282">
        <f>'Balance Sheet'!I28-'Balance Sheet'!H28</f>
        <v>0</v>
      </c>
      <c r="J16" s="282">
        <f>'Balance Sheet'!J28-'Balance Sheet'!I28</f>
        <v>0</v>
      </c>
      <c r="K16" s="282">
        <f>'Balance Sheet'!K28-'Balance Sheet'!J28</f>
        <v>0</v>
      </c>
      <c r="L16" s="282">
        <f>'Balance Sheet'!L28-'Balance Sheet'!K28</f>
        <v>0</v>
      </c>
      <c r="M16" s="282">
        <f>'Balance Sheet'!M28-'Balance Sheet'!L28</f>
        <v>0</v>
      </c>
      <c r="N16" s="282">
        <f>'Balance Sheet'!N28-'Balance Sheet'!M28</f>
        <v>0</v>
      </c>
      <c r="O16" s="282">
        <f>'Balance Sheet'!O28-'Balance Sheet'!N28</f>
        <v>0</v>
      </c>
      <c r="P16" s="282">
        <f>'Balance Sheet'!P28-'Balance Sheet'!O28</f>
        <v>0</v>
      </c>
      <c r="Q16" s="282">
        <f>'Balance Sheet'!Q28-'Balance Sheet'!P28</f>
        <v>0</v>
      </c>
      <c r="R16" s="282">
        <f>'Balance Sheet'!R28-'Balance Sheet'!Q28</f>
        <v>0</v>
      </c>
      <c r="S16" s="282">
        <f>'Balance Sheet'!S28-'Balance Sheet'!R28</f>
        <v>0</v>
      </c>
      <c r="T16" s="282">
        <f>'Balance Sheet'!T28-'Balance Sheet'!S28</f>
        <v>0</v>
      </c>
      <c r="U16" s="282">
        <f>'Balance Sheet'!U28-'Balance Sheet'!T28</f>
        <v>0</v>
      </c>
      <c r="V16" s="282">
        <f>'Balance Sheet'!V28-'Balance Sheet'!U28</f>
        <v>0</v>
      </c>
      <c r="W16" s="282">
        <f>'Balance Sheet'!W28-'Balance Sheet'!V28</f>
        <v>0</v>
      </c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  <c r="AM16" s="283"/>
      <c r="AN16" s="283"/>
    </row>
    <row r="17" spans="1:40" ht="12.75" customHeight="1">
      <c r="A17" s="284" t="s">
        <v>158</v>
      </c>
      <c r="B17" s="283"/>
      <c r="C17" s="283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</row>
    <row r="18" spans="1:40" ht="7.5" customHeight="1">
      <c r="A18" s="284"/>
      <c r="B18" s="283"/>
      <c r="C18" s="283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</row>
    <row r="19" spans="1:40" ht="12.75" hidden="1" customHeight="1">
      <c r="A19" s="284" t="s">
        <v>159</v>
      </c>
      <c r="B19" s="283">
        <f>'Consolidated P&amp;L'!B54</f>
        <v>0</v>
      </c>
      <c r="C19" s="283">
        <f>'Consolidated P&amp;L'!C54</f>
        <v>0</v>
      </c>
      <c r="D19" s="282">
        <f>'Consolidated P&amp;L'!D54</f>
        <v>0</v>
      </c>
      <c r="E19" s="282">
        <f>'Consolidated P&amp;L'!E54</f>
        <v>0</v>
      </c>
      <c r="F19" s="282">
        <f>'Consolidated P&amp;L'!F54</f>
        <v>0</v>
      </c>
      <c r="G19" s="282">
        <f>'Consolidated P&amp;L'!G54</f>
        <v>0</v>
      </c>
      <c r="H19" s="282">
        <f>'Consolidated P&amp;L'!H54</f>
        <v>0</v>
      </c>
      <c r="I19" s="282">
        <f>'Consolidated P&amp;L'!I54</f>
        <v>0</v>
      </c>
      <c r="J19" s="282">
        <f>'Consolidated P&amp;L'!J54</f>
        <v>0</v>
      </c>
      <c r="K19" s="282">
        <f>'Consolidated P&amp;L'!K54</f>
        <v>0</v>
      </c>
      <c r="L19" s="282">
        <f>'Consolidated P&amp;L'!L54</f>
        <v>0</v>
      </c>
      <c r="M19" s="282">
        <f>'Consolidated P&amp;L'!M54</f>
        <v>0</v>
      </c>
      <c r="N19" s="282">
        <f>'Consolidated P&amp;L'!N54</f>
        <v>0</v>
      </c>
      <c r="O19" s="282">
        <f>'Consolidated P&amp;L'!O54</f>
        <v>0</v>
      </c>
      <c r="P19" s="282">
        <f>'Consolidated P&amp;L'!P54</f>
        <v>0</v>
      </c>
      <c r="Q19" s="282">
        <f>'Consolidated P&amp;L'!Q54</f>
        <v>0</v>
      </c>
      <c r="R19" s="282">
        <f>'Consolidated P&amp;L'!R54</f>
        <v>0</v>
      </c>
      <c r="S19" s="282">
        <f>'Consolidated P&amp;L'!S54</f>
        <v>0</v>
      </c>
      <c r="T19" s="282">
        <f>'Consolidated P&amp;L'!T54</f>
        <v>0</v>
      </c>
      <c r="U19" s="282">
        <f>'Consolidated P&amp;L'!U54</f>
        <v>0</v>
      </c>
      <c r="V19" s="282">
        <f>'Consolidated P&amp;L'!V54</f>
        <v>0</v>
      </c>
      <c r="W19" s="282">
        <f>'Consolidated P&amp;L'!W54</f>
        <v>0</v>
      </c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</row>
    <row r="20" spans="1:40" ht="6.75" customHeight="1">
      <c r="A20" s="178"/>
      <c r="B20" s="271"/>
      <c r="C20" s="271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</row>
    <row r="21" spans="1:40" ht="12.75" customHeight="1">
      <c r="A21" s="285" t="s">
        <v>160</v>
      </c>
      <c r="B21" s="286">
        <f t="shared" ref="B21:W21" si="0">SUM(B6:B20)</f>
        <v>-42895.430000000015</v>
      </c>
      <c r="C21" s="286">
        <f t="shared" si="0"/>
        <v>-13668.679999999989</v>
      </c>
      <c r="D21" s="287">
        <f t="shared" si="0"/>
        <v>-12990.730000000014</v>
      </c>
      <c r="E21" s="287">
        <f t="shared" si="0"/>
        <v>4347.9000000000042</v>
      </c>
      <c r="F21" s="287">
        <f t="shared" si="0"/>
        <v>19444.410000000003</v>
      </c>
      <c r="G21" s="287">
        <f t="shared" si="0"/>
        <v>-4000</v>
      </c>
      <c r="H21" s="287">
        <f t="shared" si="0"/>
        <v>4348.0000000000009</v>
      </c>
      <c r="I21" s="287">
        <f t="shared" si="0"/>
        <v>17479.199999999997</v>
      </c>
      <c r="J21" s="287">
        <f t="shared" si="0"/>
        <v>-16789.439999999999</v>
      </c>
      <c r="K21" s="287">
        <f t="shared" si="0"/>
        <v>22667.199999999997</v>
      </c>
      <c r="L21" s="287">
        <f t="shared" si="0"/>
        <v>3022</v>
      </c>
      <c r="M21" s="287">
        <f t="shared" si="0"/>
        <v>2925.8133333333335</v>
      </c>
      <c r="N21" s="287">
        <f t="shared" si="0"/>
        <v>10862.003333333334</v>
      </c>
      <c r="O21" s="287">
        <f t="shared" si="0"/>
        <v>12992.003333333334</v>
      </c>
      <c r="P21" s="287">
        <f t="shared" si="0"/>
        <v>-24742.326666666668</v>
      </c>
      <c r="Q21" s="287">
        <f t="shared" si="0"/>
        <v>10652.003333333334</v>
      </c>
      <c r="R21" s="287">
        <f t="shared" si="0"/>
        <v>10652.003333333334</v>
      </c>
      <c r="S21" s="287">
        <f t="shared" si="0"/>
        <v>41716.003333333334</v>
      </c>
      <c r="T21" s="287">
        <f t="shared" si="0"/>
        <v>31592.003333333312</v>
      </c>
      <c r="U21" s="287">
        <f t="shared" si="0"/>
        <v>73383.203333333338</v>
      </c>
      <c r="V21" s="287">
        <f t="shared" si="0"/>
        <v>-20369.19666666667</v>
      </c>
      <c r="W21" s="287">
        <f t="shared" si="0"/>
        <v>58419.203333333331</v>
      </c>
      <c r="X21" s="279"/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</row>
    <row r="22" spans="1:40" ht="9" customHeight="1">
      <c r="A22" s="178"/>
      <c r="B22" s="271"/>
      <c r="C22" s="271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</row>
    <row r="23" spans="1:40" ht="12.75" customHeight="1">
      <c r="A23" s="178" t="s">
        <v>161</v>
      </c>
      <c r="B23" s="283"/>
      <c r="C23" s="283"/>
      <c r="D23" s="288"/>
      <c r="E23" s="288"/>
      <c r="F23" s="288"/>
      <c r="G23" s="288">
        <f>-'Balance Sheet'!G18+'Balance Sheet'!F18-'Balance Sheet'!G16+'Balance Sheet'!F16</f>
        <v>0</v>
      </c>
      <c r="H23" s="288">
        <f>-'Balance Sheet'!H18+'Balance Sheet'!G18-'Balance Sheet'!H16+'Balance Sheet'!G16</f>
        <v>0</v>
      </c>
      <c r="I23" s="288">
        <f>-'Balance Sheet'!I18+'Balance Sheet'!H18-'Balance Sheet'!I16+'Balance Sheet'!H16</f>
        <v>-16900</v>
      </c>
      <c r="J23" s="288">
        <f>-'Balance Sheet'!J18+'Balance Sheet'!I18-'Balance Sheet'!J16+'Balance Sheet'!I16</f>
        <v>-18700</v>
      </c>
      <c r="K23" s="288">
        <f>-'Balance Sheet'!K18+'Balance Sheet'!J18-'Balance Sheet'!K16+'Balance Sheet'!J16</f>
        <v>-18700</v>
      </c>
      <c r="L23" s="288">
        <f>-'Balance Sheet'!L18+'Balance Sheet'!K18-'Balance Sheet'!L16+'Balance Sheet'!K16</f>
        <v>-18700</v>
      </c>
      <c r="M23" s="288">
        <f>-'Balance Sheet'!M18+'Balance Sheet'!L18-'Balance Sheet'!M16+'Balance Sheet'!L16</f>
        <v>-18700</v>
      </c>
      <c r="N23" s="288">
        <f>-'Balance Sheet'!N18+'Balance Sheet'!M18-'Balance Sheet'!N16+'Balance Sheet'!M16</f>
        <v>0</v>
      </c>
      <c r="O23" s="288">
        <f>-'Balance Sheet'!O18+'Balance Sheet'!N18-'Balance Sheet'!O16+'Balance Sheet'!N16</f>
        <v>-19800</v>
      </c>
      <c r="P23" s="288">
        <f>-'Balance Sheet'!P18+'Balance Sheet'!O18-'Balance Sheet'!P16+'Balance Sheet'!O16</f>
        <v>-19800</v>
      </c>
      <c r="Q23" s="288">
        <f>-'Balance Sheet'!Q18+'Balance Sheet'!P18-'Balance Sheet'!Q16+'Balance Sheet'!P16</f>
        <v>-40700</v>
      </c>
      <c r="R23" s="288">
        <f>-'Balance Sheet'!R18+'Balance Sheet'!Q18-'Balance Sheet'!R16+'Balance Sheet'!Q16</f>
        <v>-40700</v>
      </c>
      <c r="S23" s="288">
        <f>-'Balance Sheet'!S18+'Balance Sheet'!R18-'Balance Sheet'!S16+'Balance Sheet'!R16</f>
        <v>-41800</v>
      </c>
      <c r="T23" s="288">
        <f>-'Balance Sheet'!T18+'Balance Sheet'!S18-'Balance Sheet'!T16+'Balance Sheet'!S16</f>
        <v>-20900</v>
      </c>
      <c r="U23" s="288">
        <f>-'Balance Sheet'!U18+'Balance Sheet'!T18-'Balance Sheet'!U16+'Balance Sheet'!T16</f>
        <v>-20900</v>
      </c>
      <c r="V23" s="288">
        <f>-'Balance Sheet'!V18+'Balance Sheet'!U18-'Balance Sheet'!V16+'Balance Sheet'!U16</f>
        <v>0</v>
      </c>
      <c r="W23" s="288">
        <f>-'Balance Sheet'!W18+'Balance Sheet'!V18-'Balance Sheet'!W16+'Balance Sheet'!V16</f>
        <v>0</v>
      </c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</row>
    <row r="24" spans="1:40" ht="12.75" customHeight="1">
      <c r="A24" s="178" t="s">
        <v>162</v>
      </c>
      <c r="B24" s="283">
        <f>-'Consolidated P&amp;L'!B53</f>
        <v>0</v>
      </c>
      <c r="C24" s="283">
        <f>-'Consolidated P&amp;L'!C53</f>
        <v>0</v>
      </c>
      <c r="D24" s="288">
        <f>-'Consolidated P&amp;L'!D53</f>
        <v>0</v>
      </c>
      <c r="E24" s="288">
        <f>-'Consolidated P&amp;L'!E53</f>
        <v>0</v>
      </c>
      <c r="F24" s="288">
        <f>-'Consolidated P&amp;L'!F53</f>
        <v>0</v>
      </c>
      <c r="G24" s="288">
        <f>-'Consolidated P&amp;L'!G53</f>
        <v>0</v>
      </c>
      <c r="H24" s="288">
        <f>-'Consolidated P&amp;L'!H53</f>
        <v>0</v>
      </c>
      <c r="I24" s="288">
        <f>-'Consolidated P&amp;L'!I53</f>
        <v>0</v>
      </c>
      <c r="J24" s="288">
        <f>-'Consolidated P&amp;L'!J53</f>
        <v>0</v>
      </c>
      <c r="K24" s="288">
        <f>-'Consolidated P&amp;L'!K53</f>
        <v>0</v>
      </c>
      <c r="L24" s="288">
        <f>-'Consolidated P&amp;L'!L53</f>
        <v>0</v>
      </c>
      <c r="M24" s="288">
        <f>-'Consolidated P&amp;L'!M53</f>
        <v>0</v>
      </c>
      <c r="N24" s="288">
        <f>-'Consolidated P&amp;L'!N53</f>
        <v>0</v>
      </c>
      <c r="O24" s="288">
        <f>-'Consolidated P&amp;L'!O53</f>
        <v>0</v>
      </c>
      <c r="P24" s="288">
        <f>-'Consolidated P&amp;L'!P53</f>
        <v>0</v>
      </c>
      <c r="Q24" s="288">
        <f>-'Consolidated P&amp;L'!Q53</f>
        <v>0</v>
      </c>
      <c r="R24" s="288">
        <f>-'Consolidated P&amp;L'!R53</f>
        <v>0</v>
      </c>
      <c r="S24" s="288">
        <f>-'Consolidated P&amp;L'!S53</f>
        <v>0</v>
      </c>
      <c r="T24" s="288">
        <f>-'Consolidated P&amp;L'!T53</f>
        <v>0</v>
      </c>
      <c r="U24" s="288">
        <f>-'Consolidated P&amp;L'!U53</f>
        <v>0</v>
      </c>
      <c r="V24" s="288">
        <f>-'Consolidated P&amp;L'!V53</f>
        <v>0</v>
      </c>
      <c r="W24" s="288">
        <f>-'Consolidated P&amp;L'!W53</f>
        <v>0</v>
      </c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</row>
    <row r="25" spans="1:40" ht="15.75" customHeight="1">
      <c r="A25" s="178"/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</row>
    <row r="26" spans="1:40" ht="15.75" customHeight="1">
      <c r="A26" s="285" t="s">
        <v>163</v>
      </c>
      <c r="B26" s="286">
        <f t="shared" ref="B26:W26" si="1">SUM(B21:B25)</f>
        <v>-42895.430000000015</v>
      </c>
      <c r="C26" s="286">
        <f t="shared" si="1"/>
        <v>-13668.679999999989</v>
      </c>
      <c r="D26" s="287">
        <f t="shared" si="1"/>
        <v>-12990.730000000014</v>
      </c>
      <c r="E26" s="287">
        <f t="shared" si="1"/>
        <v>4347.9000000000042</v>
      </c>
      <c r="F26" s="287">
        <f t="shared" si="1"/>
        <v>19444.410000000003</v>
      </c>
      <c r="G26" s="287">
        <f t="shared" si="1"/>
        <v>-4000</v>
      </c>
      <c r="H26" s="287">
        <f t="shared" si="1"/>
        <v>4348.0000000000009</v>
      </c>
      <c r="I26" s="287">
        <f t="shared" si="1"/>
        <v>579.19999999999709</v>
      </c>
      <c r="J26" s="287">
        <f t="shared" si="1"/>
        <v>-35489.440000000002</v>
      </c>
      <c r="K26" s="287">
        <f t="shared" si="1"/>
        <v>3967.1999999999971</v>
      </c>
      <c r="L26" s="287">
        <f t="shared" si="1"/>
        <v>-15678</v>
      </c>
      <c r="M26" s="287">
        <f t="shared" si="1"/>
        <v>-15774.186666666666</v>
      </c>
      <c r="N26" s="287">
        <f t="shared" si="1"/>
        <v>10862.003333333334</v>
      </c>
      <c r="O26" s="287">
        <f t="shared" si="1"/>
        <v>-6807.996666666666</v>
      </c>
      <c r="P26" s="287">
        <f t="shared" si="1"/>
        <v>-44542.326666666668</v>
      </c>
      <c r="Q26" s="287">
        <f t="shared" si="1"/>
        <v>-30047.996666666666</v>
      </c>
      <c r="R26" s="287">
        <f t="shared" si="1"/>
        <v>-30047.996666666666</v>
      </c>
      <c r="S26" s="287">
        <f t="shared" si="1"/>
        <v>-83.996666666665988</v>
      </c>
      <c r="T26" s="287">
        <f t="shared" si="1"/>
        <v>10692.003333333312</v>
      </c>
      <c r="U26" s="287">
        <f t="shared" si="1"/>
        <v>52483.203333333338</v>
      </c>
      <c r="V26" s="287">
        <f t="shared" si="1"/>
        <v>-20369.19666666667</v>
      </c>
      <c r="W26" s="287">
        <f t="shared" si="1"/>
        <v>58419.203333333331</v>
      </c>
      <c r="X26" s="279"/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</row>
    <row r="27" spans="1:40" ht="9.75" customHeight="1">
      <c r="A27" s="178"/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</row>
    <row r="28" spans="1:40" ht="15.75" customHeight="1">
      <c r="A28" s="178" t="s">
        <v>164</v>
      </c>
      <c r="B28" s="288">
        <v>0</v>
      </c>
      <c r="C28" s="288">
        <v>0</v>
      </c>
      <c r="D28" s="288">
        <v>0</v>
      </c>
      <c r="E28" s="288">
        <v>0</v>
      </c>
      <c r="F28" s="288">
        <v>0</v>
      </c>
      <c r="G28" s="288">
        <v>0</v>
      </c>
      <c r="H28" s="288">
        <v>0</v>
      </c>
      <c r="I28" s="288">
        <v>0</v>
      </c>
      <c r="J28" s="288">
        <v>0</v>
      </c>
      <c r="K28" s="288">
        <v>0</v>
      </c>
      <c r="L28" s="288">
        <v>0</v>
      </c>
      <c r="M28" s="288">
        <v>0</v>
      </c>
      <c r="N28" s="288">
        <v>0</v>
      </c>
      <c r="O28" s="288">
        <v>0</v>
      </c>
      <c r="P28" s="288">
        <v>0</v>
      </c>
      <c r="Q28" s="288">
        <v>0</v>
      </c>
      <c r="R28" s="288">
        <v>0</v>
      </c>
      <c r="S28" s="288">
        <v>0</v>
      </c>
      <c r="T28" s="288">
        <v>0</v>
      </c>
      <c r="U28" s="288">
        <v>0</v>
      </c>
      <c r="V28" s="288">
        <v>0</v>
      </c>
      <c r="W28" s="288">
        <v>0</v>
      </c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</row>
    <row r="29" spans="1:40" ht="8.25" customHeight="1">
      <c r="A29" s="178"/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</row>
    <row r="30" spans="1:40" ht="15.75" customHeight="1">
      <c r="A30" s="285" t="s">
        <v>165</v>
      </c>
      <c r="B30" s="286">
        <f t="shared" ref="B30:W30" si="2">SUM(B26:B29)</f>
        <v>-42895.430000000015</v>
      </c>
      <c r="C30" s="286">
        <f t="shared" si="2"/>
        <v>-13668.679999999989</v>
      </c>
      <c r="D30" s="287">
        <f t="shared" si="2"/>
        <v>-12990.730000000014</v>
      </c>
      <c r="E30" s="287">
        <f t="shared" si="2"/>
        <v>4347.9000000000042</v>
      </c>
      <c r="F30" s="287">
        <f t="shared" si="2"/>
        <v>19444.410000000003</v>
      </c>
      <c r="G30" s="287">
        <f t="shared" si="2"/>
        <v>-4000</v>
      </c>
      <c r="H30" s="287">
        <f t="shared" si="2"/>
        <v>4348.0000000000009</v>
      </c>
      <c r="I30" s="287">
        <f t="shared" si="2"/>
        <v>579.19999999999709</v>
      </c>
      <c r="J30" s="287">
        <f t="shared" si="2"/>
        <v>-35489.440000000002</v>
      </c>
      <c r="K30" s="287">
        <f t="shared" si="2"/>
        <v>3967.1999999999971</v>
      </c>
      <c r="L30" s="287">
        <f t="shared" si="2"/>
        <v>-15678</v>
      </c>
      <c r="M30" s="287">
        <f t="shared" si="2"/>
        <v>-15774.186666666666</v>
      </c>
      <c r="N30" s="287">
        <f t="shared" si="2"/>
        <v>10862.003333333334</v>
      </c>
      <c r="O30" s="287">
        <f t="shared" si="2"/>
        <v>-6807.996666666666</v>
      </c>
      <c r="P30" s="287">
        <f t="shared" si="2"/>
        <v>-44542.326666666668</v>
      </c>
      <c r="Q30" s="287">
        <f t="shared" si="2"/>
        <v>-30047.996666666666</v>
      </c>
      <c r="R30" s="287">
        <f t="shared" si="2"/>
        <v>-30047.996666666666</v>
      </c>
      <c r="S30" s="287">
        <f t="shared" si="2"/>
        <v>-83.996666666665988</v>
      </c>
      <c r="T30" s="287">
        <f t="shared" si="2"/>
        <v>10692.003333333312</v>
      </c>
      <c r="U30" s="287">
        <f t="shared" si="2"/>
        <v>52483.203333333338</v>
      </c>
      <c r="V30" s="287">
        <f t="shared" si="2"/>
        <v>-20369.19666666667</v>
      </c>
      <c r="W30" s="287">
        <f t="shared" si="2"/>
        <v>58419.203333333331</v>
      </c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</row>
    <row r="31" spans="1:40" ht="9" customHeight="1">
      <c r="A31" s="17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3"/>
      <c r="Y31" s="283"/>
      <c r="Z31" s="283"/>
      <c r="AA31" s="283"/>
      <c r="AB31" s="283"/>
      <c r="AC31" s="283"/>
      <c r="AD31" s="283"/>
      <c r="AE31" s="283"/>
      <c r="AF31" s="283"/>
      <c r="AG31" s="283"/>
      <c r="AH31" s="283"/>
      <c r="AI31" s="283"/>
      <c r="AJ31" s="283"/>
      <c r="AK31" s="283"/>
      <c r="AL31" s="283"/>
      <c r="AM31" s="283"/>
      <c r="AN31" s="283"/>
    </row>
    <row r="32" spans="1:40" ht="15.75" customHeight="1">
      <c r="A32" s="175" t="s">
        <v>166</v>
      </c>
      <c r="B32" s="280">
        <v>0</v>
      </c>
      <c r="C32" s="280">
        <f t="shared" ref="C32:W32" si="3">B34</f>
        <v>31202.569999999985</v>
      </c>
      <c r="D32" s="280">
        <f t="shared" si="3"/>
        <v>16132.889999999996</v>
      </c>
      <c r="E32" s="280">
        <f t="shared" si="3"/>
        <v>4816.1599999999817</v>
      </c>
      <c r="F32" s="280">
        <f t="shared" si="3"/>
        <v>513.05999999998676</v>
      </c>
      <c r="G32" s="280">
        <f t="shared" si="3"/>
        <v>2419.4699999999903</v>
      </c>
      <c r="H32" s="280">
        <f t="shared" si="3"/>
        <v>-1580.5300000000097</v>
      </c>
      <c r="I32" s="280">
        <f t="shared" si="3"/>
        <v>2767.4699999999912</v>
      </c>
      <c r="J32" s="280">
        <f t="shared" si="3"/>
        <v>3346.6699999999882</v>
      </c>
      <c r="K32" s="280">
        <f t="shared" si="3"/>
        <v>-32142.770000000015</v>
      </c>
      <c r="L32" s="280">
        <f t="shared" si="3"/>
        <v>-28175.570000000018</v>
      </c>
      <c r="M32" s="280">
        <f t="shared" si="3"/>
        <v>-43853.570000000022</v>
      </c>
      <c r="N32" s="280">
        <f t="shared" si="3"/>
        <v>-59627.75666666669</v>
      </c>
      <c r="O32" s="280">
        <f t="shared" si="3"/>
        <v>-48765.753333333356</v>
      </c>
      <c r="P32" s="280">
        <f t="shared" si="3"/>
        <v>-55573.750000000022</v>
      </c>
      <c r="Q32" s="280">
        <f t="shared" si="3"/>
        <v>-100116.07666666669</v>
      </c>
      <c r="R32" s="280">
        <f t="shared" si="3"/>
        <v>-130164.07333333336</v>
      </c>
      <c r="S32" s="280">
        <f t="shared" si="3"/>
        <v>-160212.07000000004</v>
      </c>
      <c r="T32" s="280">
        <f t="shared" si="3"/>
        <v>-160296.06666666671</v>
      </c>
      <c r="U32" s="280">
        <f t="shared" si="3"/>
        <v>-149604.06333333341</v>
      </c>
      <c r="V32" s="280">
        <f t="shared" si="3"/>
        <v>-97120.860000000073</v>
      </c>
      <c r="W32" s="280">
        <f t="shared" si="3"/>
        <v>-117490.05666666674</v>
      </c>
      <c r="X32" s="279"/>
      <c r="Y32" s="279"/>
      <c r="Z32" s="279"/>
      <c r="AA32" s="279"/>
      <c r="AB32" s="279"/>
      <c r="AC32" s="279"/>
      <c r="AD32" s="279"/>
      <c r="AE32" s="279"/>
      <c r="AF32" s="279"/>
      <c r="AG32" s="279"/>
      <c r="AH32" s="279"/>
      <c r="AI32" s="279"/>
      <c r="AJ32" s="279"/>
      <c r="AK32" s="279"/>
      <c r="AL32" s="279"/>
      <c r="AM32" s="279"/>
      <c r="AN32" s="279"/>
    </row>
    <row r="33" spans="1:40" ht="9" customHeight="1">
      <c r="A33" s="178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</row>
    <row r="34" spans="1:40" ht="15.75" customHeight="1">
      <c r="A34" s="289" t="s">
        <v>167</v>
      </c>
      <c r="B34" s="290">
        <f>B30+B32+74098</f>
        <v>31202.569999999985</v>
      </c>
      <c r="C34" s="290">
        <f>C30+C32-1401</f>
        <v>16132.889999999996</v>
      </c>
      <c r="D34" s="291">
        <f>D30+D32+1674</f>
        <v>4816.1599999999817</v>
      </c>
      <c r="E34" s="291">
        <f>E30+E32-8651</f>
        <v>513.05999999998676</v>
      </c>
      <c r="F34" s="291">
        <f>F30+F32-17538</f>
        <v>2419.4699999999903</v>
      </c>
      <c r="G34" s="291">
        <f t="shared" ref="G34:W34" si="4">G30+G32</f>
        <v>-1580.5300000000097</v>
      </c>
      <c r="H34" s="291">
        <f t="shared" si="4"/>
        <v>2767.4699999999912</v>
      </c>
      <c r="I34" s="291">
        <f t="shared" si="4"/>
        <v>3346.6699999999882</v>
      </c>
      <c r="J34" s="291">
        <f t="shared" si="4"/>
        <v>-32142.770000000015</v>
      </c>
      <c r="K34" s="291">
        <f t="shared" si="4"/>
        <v>-28175.570000000018</v>
      </c>
      <c r="L34" s="291">
        <f t="shared" si="4"/>
        <v>-43853.570000000022</v>
      </c>
      <c r="M34" s="291">
        <f t="shared" si="4"/>
        <v>-59627.75666666669</v>
      </c>
      <c r="N34" s="291">
        <f t="shared" si="4"/>
        <v>-48765.753333333356</v>
      </c>
      <c r="O34" s="291">
        <f t="shared" si="4"/>
        <v>-55573.750000000022</v>
      </c>
      <c r="P34" s="291">
        <f t="shared" si="4"/>
        <v>-100116.07666666669</v>
      </c>
      <c r="Q34" s="291">
        <f t="shared" si="4"/>
        <v>-130164.07333333336</v>
      </c>
      <c r="R34" s="291">
        <f t="shared" si="4"/>
        <v>-160212.07000000004</v>
      </c>
      <c r="S34" s="291">
        <f t="shared" si="4"/>
        <v>-160296.06666666671</v>
      </c>
      <c r="T34" s="291">
        <f t="shared" si="4"/>
        <v>-149604.06333333341</v>
      </c>
      <c r="U34" s="291">
        <f t="shared" si="4"/>
        <v>-97120.860000000073</v>
      </c>
      <c r="V34" s="291">
        <f t="shared" si="4"/>
        <v>-117490.05666666674</v>
      </c>
      <c r="W34" s="291">
        <f t="shared" si="4"/>
        <v>-59070.853333333413</v>
      </c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79"/>
      <c r="AM34" s="279"/>
      <c r="AN34" s="279"/>
    </row>
    <row r="35" spans="1:40" ht="15.75" hidden="1" customHeight="1" outlineLevel="1">
      <c r="A35" s="178"/>
      <c r="B35" s="280">
        <f>'Working Capital'!B41</f>
        <v>31202.639999999999</v>
      </c>
      <c r="C35" s="280">
        <f>'Working Capital'!C41</f>
        <v>16132.54</v>
      </c>
      <c r="D35" s="280">
        <f>'Working Capital'!D41</f>
        <v>4816.4799999999996</v>
      </c>
      <c r="E35" s="280">
        <f>'Working Capital'!E41</f>
        <v>512.86</v>
      </c>
      <c r="F35" s="280">
        <f>'Working Capital'!F41</f>
        <v>2419.7600000000002</v>
      </c>
      <c r="G35" s="280">
        <f>'Working Capital'!G41</f>
        <v>-1580.2399999999998</v>
      </c>
      <c r="H35" s="280">
        <f>'Working Capital'!H41</f>
        <v>2767.76</v>
      </c>
      <c r="I35" s="280">
        <f>'Working Capital'!I41</f>
        <v>3346.9599999999991</v>
      </c>
      <c r="J35" s="280">
        <f>'Working Capital'!J41</f>
        <v>-32142.480000000003</v>
      </c>
      <c r="K35" s="280">
        <f>'Working Capital'!K41</f>
        <v>-28175.280000000013</v>
      </c>
      <c r="L35" s="280">
        <f>'Working Capital'!L41</f>
        <v>-43853.280000000013</v>
      </c>
      <c r="M35" s="280">
        <f>'Working Capital'!M41</f>
        <v>-59627.470000000016</v>
      </c>
      <c r="N35" s="280">
        <f>'Working Capital'!N41</f>
        <v>-48765.470000000016</v>
      </c>
      <c r="O35" s="280">
        <f>'Working Capital'!O41</f>
        <v>-55573.470000000016</v>
      </c>
      <c r="P35" s="280">
        <f>'Working Capital'!P41</f>
        <v>-100115.80000000002</v>
      </c>
      <c r="Q35" s="280">
        <f>'Working Capital'!Q41</f>
        <v>-130163.80000000002</v>
      </c>
      <c r="R35" s="280">
        <f>'Working Capital'!R41</f>
        <v>-160211.80000000002</v>
      </c>
      <c r="S35" s="280">
        <f>'Working Capital'!S41</f>
        <v>-160295.80000000002</v>
      </c>
      <c r="T35" s="280">
        <f>'Working Capital'!T41</f>
        <v>-149603.80000000002</v>
      </c>
      <c r="U35" s="280">
        <f>'Working Capital'!U41</f>
        <v>-97120.60000000002</v>
      </c>
      <c r="V35" s="280">
        <f>'Working Capital'!V41</f>
        <v>-117489.80000000002</v>
      </c>
      <c r="W35" s="280">
        <f>'Working Capital'!W41</f>
        <v>-59070.60000000002</v>
      </c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</row>
    <row r="36" spans="1:40" ht="15.75" hidden="1" customHeight="1" outlineLevel="1">
      <c r="A36" s="292"/>
      <c r="B36" s="292">
        <f t="shared" ref="B36:W36" si="5">B34-B35</f>
        <v>-7.0000000014260877E-2</v>
      </c>
      <c r="C36" s="292">
        <f t="shared" si="5"/>
        <v>0.34999999999490683</v>
      </c>
      <c r="D36" s="292">
        <f t="shared" si="5"/>
        <v>-0.32000000001789886</v>
      </c>
      <c r="E36" s="292">
        <f t="shared" si="5"/>
        <v>0.19999999998674411</v>
      </c>
      <c r="F36" s="292">
        <f t="shared" si="5"/>
        <v>-0.29000000000996806</v>
      </c>
      <c r="G36" s="292">
        <f t="shared" si="5"/>
        <v>-0.29000000000996806</v>
      </c>
      <c r="H36" s="292">
        <f t="shared" si="5"/>
        <v>-0.29000000000905857</v>
      </c>
      <c r="I36" s="292">
        <f t="shared" si="5"/>
        <v>-0.29000000001087756</v>
      </c>
      <c r="J36" s="292">
        <f t="shared" si="5"/>
        <v>-0.29000000001178705</v>
      </c>
      <c r="K36" s="292">
        <f t="shared" si="5"/>
        <v>-0.29000000000451109</v>
      </c>
      <c r="L36" s="292">
        <f t="shared" si="5"/>
        <v>-0.29000000000814907</v>
      </c>
      <c r="M36" s="292">
        <f t="shared" si="5"/>
        <v>-0.28666666667413665</v>
      </c>
      <c r="N36" s="292">
        <f t="shared" si="5"/>
        <v>-0.28333333334012423</v>
      </c>
      <c r="O36" s="292">
        <f t="shared" si="5"/>
        <v>-0.2800000000061118</v>
      </c>
      <c r="P36" s="292">
        <f t="shared" si="5"/>
        <v>-0.27666666667209938</v>
      </c>
      <c r="Q36" s="292">
        <f t="shared" si="5"/>
        <v>-0.27333333334536292</v>
      </c>
      <c r="R36" s="292">
        <f t="shared" si="5"/>
        <v>-0.27000000001862645</v>
      </c>
      <c r="S36" s="292">
        <f t="shared" si="5"/>
        <v>-0.26666666669188999</v>
      </c>
      <c r="T36" s="292">
        <f t="shared" si="5"/>
        <v>-0.26333333339425735</v>
      </c>
      <c r="U36" s="292">
        <f t="shared" si="5"/>
        <v>-0.26000000005296897</v>
      </c>
      <c r="V36" s="292">
        <f t="shared" si="5"/>
        <v>-0.25666666672623251</v>
      </c>
      <c r="W36" s="292">
        <f t="shared" si="5"/>
        <v>-0.25333333339222008</v>
      </c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</row>
    <row r="37" spans="1:40" ht="15.75" customHeight="1" collapsed="1">
      <c r="A37" s="278"/>
      <c r="B37" s="278"/>
      <c r="C37" s="292">
        <f>C36+B36</f>
        <v>0.27999999998064595</v>
      </c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</row>
    <row r="38" spans="1:40" ht="15.75" customHeight="1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</row>
    <row r="39" spans="1:40" ht="15.75" customHeight="1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</row>
    <row r="40" spans="1:40" ht="15.75" customHeight="1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</row>
    <row r="41" spans="1:40" ht="15.75" customHeight="1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</row>
    <row r="42" spans="1:40" ht="15.75" customHeight="1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</row>
    <row r="43" spans="1:40" ht="15.75" customHeight="1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</row>
    <row r="44" spans="1:40" ht="15.75" customHeight="1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</row>
    <row r="45" spans="1:40" ht="15.75" customHeight="1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</row>
    <row r="46" spans="1:40" ht="15.75" customHeight="1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</row>
    <row r="47" spans="1:40" ht="15.75" customHeight="1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</row>
    <row r="48" spans="1:40" ht="15.75" customHeight="1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</row>
    <row r="49" spans="1:40" ht="15.75" customHeight="1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</row>
    <row r="50" spans="1:40" ht="15.75" customHeight="1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</row>
    <row r="51" spans="1:40" ht="15.75" customHeight="1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</row>
    <row r="52" spans="1:40" ht="15.75" customHeight="1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</row>
    <row r="53" spans="1:40" ht="15.75" customHeight="1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</row>
    <row r="54" spans="1:40" ht="15.75" customHeight="1">
      <c r="A54" s="278"/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</row>
    <row r="55" spans="1:40" ht="15.75" customHeight="1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</row>
    <row r="56" spans="1:40" ht="15.75" customHeight="1">
      <c r="A56" s="278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</row>
    <row r="57" spans="1:40" ht="15.75" customHeight="1">
      <c r="A57" s="278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</row>
    <row r="58" spans="1:40" ht="15.75" customHeight="1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</row>
    <row r="59" spans="1:40" ht="15.75" customHeight="1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</row>
    <row r="60" spans="1:40" ht="15.75" customHeight="1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</row>
    <row r="61" spans="1:40" ht="15.75" customHeight="1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</row>
    <row r="62" spans="1:40" ht="15.75" customHeight="1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</row>
    <row r="63" spans="1:40" ht="15.75" customHeight="1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</row>
    <row r="64" spans="1:40" ht="15.75" customHeight="1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</row>
    <row r="65" spans="1:40" ht="15.75" customHeight="1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</row>
    <row r="66" spans="1:40" ht="15.75" customHeight="1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</row>
    <row r="67" spans="1:40" ht="15.75" customHeight="1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</row>
    <row r="68" spans="1:40" ht="15.75" customHeight="1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</row>
    <row r="69" spans="1:40" ht="15.75" customHeight="1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</row>
    <row r="70" spans="1:40" ht="15.75" customHeight="1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</row>
    <row r="71" spans="1:40" ht="15.75" customHeight="1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</row>
    <row r="72" spans="1:40" ht="15.75" customHeight="1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</row>
    <row r="73" spans="1:40" ht="15.75" customHeight="1">
      <c r="A73" s="278"/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</row>
    <row r="74" spans="1:40" ht="15.75" customHeight="1">
      <c r="A74" s="278"/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</row>
    <row r="75" spans="1:40" ht="15.75" customHeight="1">
      <c r="A75" s="278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</row>
    <row r="76" spans="1:40" ht="15.75" customHeight="1">
      <c r="A76" s="278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</row>
    <row r="77" spans="1:40" ht="15.75" customHeight="1">
      <c r="A77" s="278"/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</row>
    <row r="78" spans="1:40" ht="15.75" customHeight="1">
      <c r="A78" s="278"/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</row>
    <row r="79" spans="1:40" ht="15.75" customHeight="1">
      <c r="A79" s="278"/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</row>
    <row r="80" spans="1:40" ht="15.75" customHeight="1">
      <c r="A80" s="278"/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</row>
    <row r="81" spans="1:40" ht="15.75" customHeight="1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</row>
    <row r="82" spans="1:40" ht="15.75" customHeight="1">
      <c r="A82" s="278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</row>
    <row r="83" spans="1:40" ht="15.75" customHeight="1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</row>
    <row r="84" spans="1:40" ht="15.75" customHeight="1">
      <c r="A84" s="278"/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</row>
    <row r="85" spans="1:40" ht="15.75" customHeight="1">
      <c r="A85" s="278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</row>
    <row r="86" spans="1:40" ht="15.75" customHeight="1">
      <c r="A86" s="278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</row>
    <row r="87" spans="1:40" ht="15.75" customHeight="1">
      <c r="A87" s="278"/>
      <c r="B87" s="278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</row>
    <row r="88" spans="1:40" ht="15.75" customHeight="1">
      <c r="A88" s="278"/>
      <c r="B88" s="278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278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</row>
    <row r="89" spans="1:40" ht="15.75" customHeight="1">
      <c r="A89" s="278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</row>
    <row r="90" spans="1:40" ht="15.75" customHeight="1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</row>
    <row r="91" spans="1:40" ht="15.75" customHeight="1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</row>
    <row r="92" spans="1:40" ht="15.75" customHeight="1">
      <c r="A92" s="278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</row>
    <row r="93" spans="1:40" ht="15.75" customHeight="1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</row>
    <row r="94" spans="1:40" ht="15.75" customHeight="1">
      <c r="A94" s="278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</row>
    <row r="95" spans="1:40" ht="15.75" customHeight="1">
      <c r="A95" s="278"/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</row>
    <row r="96" spans="1:40" ht="15.75" customHeight="1">
      <c r="A96" s="278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</row>
    <row r="97" spans="1:40" ht="15.75" customHeight="1">
      <c r="A97" s="278"/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</row>
    <row r="98" spans="1:40" ht="15.75" customHeight="1">
      <c r="A98" s="278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271"/>
      <c r="AN98" s="271"/>
    </row>
    <row r="99" spans="1:40" ht="15.75" customHeight="1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</row>
    <row r="100" spans="1:40" ht="15.75" customHeight="1">
      <c r="A100" s="278"/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</row>
    <row r="101" spans="1:40" ht="15.75" customHeight="1">
      <c r="A101" s="278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/>
    </row>
    <row r="102" spans="1:40" ht="15.75" customHeight="1">
      <c r="A102" s="278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</row>
    <row r="103" spans="1:40" ht="15.75" customHeight="1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</row>
    <row r="104" spans="1:40" ht="15.75" customHeight="1">
      <c r="A104" s="278"/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</row>
    <row r="105" spans="1:40" ht="15.75" customHeight="1">
      <c r="A105" s="278"/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</row>
    <row r="106" spans="1:40" ht="15.75" customHeight="1">
      <c r="A106" s="278"/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</row>
    <row r="107" spans="1:40" ht="15.75" customHeight="1">
      <c r="A107" s="278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</row>
    <row r="108" spans="1:40" ht="15.75" customHeight="1">
      <c r="A108" s="278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</row>
    <row r="109" spans="1:40" ht="15.75" customHeight="1">
      <c r="A109" s="278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</row>
    <row r="110" spans="1:40" ht="15.75" customHeight="1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</row>
    <row r="111" spans="1:40" ht="15.75" customHeight="1">
      <c r="A111" s="278"/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</row>
    <row r="112" spans="1:40" ht="15.75" customHeight="1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</row>
    <row r="113" spans="1:40" ht="15.75" customHeight="1">
      <c r="A113" s="278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</row>
    <row r="114" spans="1:40" ht="15.75" customHeight="1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</row>
    <row r="115" spans="1:40" ht="15.75" customHeight="1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</row>
    <row r="116" spans="1:40" ht="15.75" customHeight="1">
      <c r="A116" s="278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</row>
    <row r="117" spans="1:40" ht="15.75" customHeight="1">
      <c r="A117" s="278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</row>
    <row r="118" spans="1:40" ht="15.75" customHeight="1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</row>
    <row r="119" spans="1:40" ht="15.75" customHeight="1">
      <c r="A119" s="278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</row>
    <row r="120" spans="1:40" ht="15.75" customHeight="1">
      <c r="A120" s="278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</row>
    <row r="121" spans="1:40" ht="15.75" customHeight="1">
      <c r="A121" s="27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</row>
    <row r="122" spans="1:40" ht="15.75" customHeight="1">
      <c r="A122" s="278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</row>
    <row r="123" spans="1:40" ht="15.75" customHeight="1">
      <c r="A123" s="278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</row>
    <row r="124" spans="1:40" ht="15.75" customHeight="1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</row>
    <row r="125" spans="1:40" ht="15.75" customHeight="1">
      <c r="A125" s="278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</row>
    <row r="126" spans="1:40" ht="15.75" customHeight="1">
      <c r="A126" s="278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</row>
    <row r="127" spans="1:40" ht="15.75" customHeight="1">
      <c r="A127" s="278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/>
    </row>
    <row r="128" spans="1:40" ht="15.75" customHeight="1">
      <c r="A128" s="278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</row>
    <row r="129" spans="1:40" ht="15.75" customHeight="1">
      <c r="A129" s="278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</row>
    <row r="130" spans="1:40" ht="15.75" customHeight="1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</row>
    <row r="131" spans="1:40" ht="15.75" customHeight="1">
      <c r="A131" s="278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</row>
    <row r="132" spans="1:40" ht="15.75" customHeight="1">
      <c r="A132" s="278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</row>
    <row r="133" spans="1:40" ht="15.75" customHeight="1">
      <c r="A133" s="278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278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</row>
    <row r="134" spans="1:40" ht="15.75" customHeight="1">
      <c r="A134" s="278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</row>
    <row r="135" spans="1:40" ht="15.75" customHeight="1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</row>
    <row r="136" spans="1:40" ht="15.75" customHeight="1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</row>
    <row r="137" spans="1:40" ht="15.75" customHeight="1">
      <c r="A137" s="278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  <c r="AM137" s="271"/>
      <c r="AN137" s="271"/>
    </row>
    <row r="138" spans="1:40" ht="15.75" customHeight="1">
      <c r="A138" s="278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</row>
    <row r="139" spans="1:40" ht="15.75" customHeight="1">
      <c r="A139" s="278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</row>
    <row r="140" spans="1:40" ht="15.75" customHeight="1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</row>
    <row r="141" spans="1:40" ht="15.75" customHeight="1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</row>
    <row r="142" spans="1:40" ht="15.75" customHeight="1">
      <c r="A142" s="278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</row>
    <row r="143" spans="1:40" ht="15.75" customHeight="1">
      <c r="A143" s="278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</row>
    <row r="144" spans="1:40" ht="15.75" customHeight="1">
      <c r="A144" s="278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</row>
    <row r="145" spans="1:40" ht="15.75" customHeight="1">
      <c r="A145" s="278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</row>
    <row r="146" spans="1:40" ht="15.75" customHeight="1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</row>
    <row r="147" spans="1:40" ht="15.75" customHeight="1">
      <c r="A147" s="278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</row>
    <row r="148" spans="1:40" ht="15.75" customHeight="1">
      <c r="A148" s="278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</row>
    <row r="149" spans="1:40" ht="15.75" customHeight="1">
      <c r="A149" s="278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</row>
    <row r="150" spans="1:40" ht="15.75" customHeight="1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</row>
    <row r="151" spans="1:40" ht="15.75" customHeight="1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</row>
    <row r="152" spans="1:40" ht="15.75" customHeight="1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1"/>
      <c r="AK152" s="271"/>
      <c r="AL152" s="271"/>
      <c r="AM152" s="271"/>
      <c r="AN152" s="271"/>
    </row>
    <row r="153" spans="1:40" ht="15.75" customHeight="1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  <c r="AB153" s="271"/>
      <c r="AC153" s="271"/>
      <c r="AD153" s="271"/>
      <c r="AE153" s="271"/>
      <c r="AF153" s="271"/>
      <c r="AG153" s="271"/>
      <c r="AH153" s="271"/>
      <c r="AI153" s="271"/>
      <c r="AJ153" s="271"/>
      <c r="AK153" s="271"/>
      <c r="AL153" s="271"/>
      <c r="AM153" s="271"/>
      <c r="AN153" s="271"/>
    </row>
    <row r="154" spans="1:40" ht="15.75" customHeight="1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  <c r="AB154" s="271"/>
      <c r="AC154" s="271"/>
      <c r="AD154" s="271"/>
      <c r="AE154" s="271"/>
      <c r="AF154" s="271"/>
      <c r="AG154" s="271"/>
      <c r="AH154" s="271"/>
      <c r="AI154" s="271"/>
      <c r="AJ154" s="271"/>
      <c r="AK154" s="271"/>
      <c r="AL154" s="271"/>
      <c r="AM154" s="271"/>
      <c r="AN154" s="271"/>
    </row>
    <row r="155" spans="1:40" ht="15.75" customHeight="1">
      <c r="A155" s="278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</row>
    <row r="156" spans="1:40" ht="15.75" customHeight="1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</row>
    <row r="157" spans="1:40" ht="15.75" customHeight="1">
      <c r="A157" s="278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</row>
    <row r="158" spans="1:40" ht="15.75" customHeight="1">
      <c r="A158" s="278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</row>
    <row r="159" spans="1:40" ht="15.75" customHeight="1">
      <c r="A159" s="278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</row>
    <row r="160" spans="1:40" ht="15.75" customHeight="1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</row>
    <row r="161" spans="1:40" ht="15.75" customHeight="1">
      <c r="A161" s="278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278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</row>
    <row r="162" spans="1:40" ht="15.75" customHeight="1">
      <c r="A162" s="278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  <c r="AB162" s="271"/>
      <c r="AC162" s="271"/>
      <c r="AD162" s="271"/>
      <c r="AE162" s="271"/>
      <c r="AF162" s="271"/>
      <c r="AG162" s="271"/>
      <c r="AH162" s="271"/>
      <c r="AI162" s="271"/>
      <c r="AJ162" s="271"/>
      <c r="AK162" s="271"/>
      <c r="AL162" s="271"/>
      <c r="AM162" s="271"/>
      <c r="AN162" s="271"/>
    </row>
    <row r="163" spans="1:40" ht="15.75" customHeight="1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</row>
    <row r="164" spans="1:40" ht="15.75" customHeight="1">
      <c r="A164" s="278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278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  <c r="AB164" s="271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1"/>
      <c r="AN164" s="271"/>
    </row>
    <row r="165" spans="1:40" ht="15.75" customHeight="1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  <c r="AB165" s="271"/>
      <c r="AC165" s="271"/>
      <c r="AD165" s="271"/>
      <c r="AE165" s="271"/>
      <c r="AF165" s="271"/>
      <c r="AG165" s="271"/>
      <c r="AH165" s="271"/>
      <c r="AI165" s="271"/>
      <c r="AJ165" s="271"/>
      <c r="AK165" s="271"/>
      <c r="AL165" s="271"/>
      <c r="AM165" s="271"/>
      <c r="AN165" s="271"/>
    </row>
    <row r="166" spans="1:40" ht="15.75" customHeight="1">
      <c r="A166" s="278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  <c r="AB166" s="271"/>
      <c r="AC166" s="271"/>
      <c r="AD166" s="271"/>
      <c r="AE166" s="271"/>
      <c r="AF166" s="271"/>
      <c r="AG166" s="271"/>
      <c r="AH166" s="271"/>
      <c r="AI166" s="271"/>
      <c r="AJ166" s="271"/>
      <c r="AK166" s="271"/>
      <c r="AL166" s="271"/>
      <c r="AM166" s="271"/>
      <c r="AN166" s="271"/>
    </row>
    <row r="167" spans="1:40" ht="15.75" customHeight="1">
      <c r="A167" s="278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1"/>
      <c r="AN167" s="271"/>
    </row>
    <row r="168" spans="1:40" ht="15.75" customHeight="1">
      <c r="A168" s="278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</row>
    <row r="169" spans="1:40" ht="15.75" customHeight="1">
      <c r="A169" s="278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278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1"/>
      <c r="AH169" s="271"/>
      <c r="AI169" s="271"/>
      <c r="AJ169" s="271"/>
      <c r="AK169" s="271"/>
      <c r="AL169" s="271"/>
      <c r="AM169" s="271"/>
      <c r="AN169" s="271"/>
    </row>
    <row r="170" spans="1:40" ht="15.75" customHeight="1">
      <c r="A170" s="278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1"/>
      <c r="AL170" s="271"/>
      <c r="AM170" s="271"/>
      <c r="AN170" s="271"/>
    </row>
    <row r="171" spans="1:40" ht="15.75" customHeight="1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1"/>
      <c r="AL171" s="271"/>
      <c r="AM171" s="271"/>
      <c r="AN171" s="271"/>
    </row>
    <row r="172" spans="1:40" ht="15.75" customHeight="1">
      <c r="A172" s="278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1"/>
      <c r="AL172" s="271"/>
      <c r="AM172" s="271"/>
      <c r="AN172" s="271"/>
    </row>
    <row r="173" spans="1:40" ht="15.75" customHeight="1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278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1"/>
      <c r="AL173" s="271"/>
      <c r="AM173" s="271"/>
      <c r="AN173" s="271"/>
    </row>
    <row r="174" spans="1:40" ht="15.75" customHeight="1">
      <c r="A174" s="278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1"/>
      <c r="AL174" s="271"/>
      <c r="AM174" s="271"/>
      <c r="AN174" s="271"/>
    </row>
    <row r="175" spans="1:40" ht="15.75" customHeight="1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  <c r="AA175" s="271"/>
      <c r="AB175" s="271"/>
      <c r="AC175" s="271"/>
      <c r="AD175" s="271"/>
      <c r="AE175" s="271"/>
      <c r="AF175" s="271"/>
      <c r="AG175" s="271"/>
      <c r="AH175" s="271"/>
      <c r="AI175" s="271"/>
      <c r="AJ175" s="271"/>
      <c r="AK175" s="271"/>
      <c r="AL175" s="271"/>
      <c r="AM175" s="271"/>
      <c r="AN175" s="271"/>
    </row>
    <row r="176" spans="1:40" ht="15.75" customHeight="1">
      <c r="A176" s="278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278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  <c r="AA176" s="271"/>
      <c r="AB176" s="271"/>
      <c r="AC176" s="271"/>
      <c r="AD176" s="271"/>
      <c r="AE176" s="271"/>
      <c r="AF176" s="271"/>
      <c r="AG176" s="271"/>
      <c r="AH176" s="271"/>
      <c r="AI176" s="271"/>
      <c r="AJ176" s="271"/>
      <c r="AK176" s="271"/>
      <c r="AL176" s="271"/>
      <c r="AM176" s="271"/>
      <c r="AN176" s="271"/>
    </row>
    <row r="177" spans="1:40" ht="15.75" customHeight="1">
      <c r="A177" s="278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1"/>
      <c r="AL177" s="271"/>
      <c r="AM177" s="271"/>
      <c r="AN177" s="271"/>
    </row>
    <row r="178" spans="1:40" ht="15.75" customHeight="1">
      <c r="A178" s="278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1"/>
      <c r="AL178" s="271"/>
      <c r="AM178" s="271"/>
      <c r="AN178" s="271"/>
    </row>
    <row r="179" spans="1:40" ht="15.75" customHeight="1">
      <c r="A179" s="278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1"/>
      <c r="AL179" s="271"/>
      <c r="AM179" s="271"/>
      <c r="AN179" s="271"/>
    </row>
    <row r="180" spans="1:40" ht="15.75" customHeight="1">
      <c r="A180" s="278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  <c r="AA180" s="271"/>
      <c r="AB180" s="271"/>
      <c r="AC180" s="271"/>
      <c r="AD180" s="271"/>
      <c r="AE180" s="271"/>
      <c r="AF180" s="271"/>
      <c r="AG180" s="271"/>
      <c r="AH180" s="271"/>
      <c r="AI180" s="271"/>
      <c r="AJ180" s="271"/>
      <c r="AK180" s="271"/>
      <c r="AL180" s="271"/>
      <c r="AM180" s="271"/>
      <c r="AN180" s="271"/>
    </row>
    <row r="181" spans="1:40" ht="15.75" customHeight="1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  <c r="AA181" s="271"/>
      <c r="AB181" s="271"/>
      <c r="AC181" s="271"/>
      <c r="AD181" s="271"/>
      <c r="AE181" s="271"/>
      <c r="AF181" s="271"/>
      <c r="AG181" s="271"/>
      <c r="AH181" s="271"/>
      <c r="AI181" s="271"/>
      <c r="AJ181" s="271"/>
      <c r="AK181" s="271"/>
      <c r="AL181" s="271"/>
      <c r="AM181" s="271"/>
      <c r="AN181" s="271"/>
    </row>
    <row r="182" spans="1:40" ht="15.75" customHeight="1">
      <c r="A182" s="27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1"/>
      <c r="AL182" s="271"/>
      <c r="AM182" s="271"/>
      <c r="AN182" s="271"/>
    </row>
    <row r="183" spans="1:40" ht="15.75" customHeight="1">
      <c r="A183" s="278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278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1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1"/>
      <c r="AL183" s="271"/>
      <c r="AM183" s="271"/>
      <c r="AN183" s="271"/>
    </row>
    <row r="184" spans="1:40" ht="15.75" customHeight="1">
      <c r="A184" s="278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278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  <c r="AA184" s="271"/>
      <c r="AB184" s="271"/>
      <c r="AC184" s="271"/>
      <c r="AD184" s="271"/>
      <c r="AE184" s="271"/>
      <c r="AF184" s="271"/>
      <c r="AG184" s="271"/>
      <c r="AH184" s="271"/>
      <c r="AI184" s="271"/>
      <c r="AJ184" s="271"/>
      <c r="AK184" s="271"/>
      <c r="AL184" s="271"/>
      <c r="AM184" s="271"/>
      <c r="AN184" s="271"/>
    </row>
    <row r="185" spans="1:40" ht="15.75" customHeight="1">
      <c r="A185" s="278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278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  <c r="AA185" s="271"/>
      <c r="AB185" s="271"/>
      <c r="AC185" s="271"/>
      <c r="AD185" s="271"/>
      <c r="AE185" s="271"/>
      <c r="AF185" s="271"/>
      <c r="AG185" s="271"/>
      <c r="AH185" s="271"/>
      <c r="AI185" s="271"/>
      <c r="AJ185" s="271"/>
      <c r="AK185" s="271"/>
      <c r="AL185" s="271"/>
      <c r="AM185" s="271"/>
      <c r="AN185" s="271"/>
    </row>
    <row r="186" spans="1:40" ht="15.75" customHeight="1">
      <c r="A186" s="278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  <c r="AA186" s="271"/>
      <c r="AB186" s="271"/>
      <c r="AC186" s="271"/>
      <c r="AD186" s="271"/>
      <c r="AE186" s="271"/>
      <c r="AF186" s="271"/>
      <c r="AG186" s="271"/>
      <c r="AH186" s="271"/>
      <c r="AI186" s="271"/>
      <c r="AJ186" s="271"/>
      <c r="AK186" s="271"/>
      <c r="AL186" s="271"/>
      <c r="AM186" s="271"/>
      <c r="AN186" s="271"/>
    </row>
    <row r="187" spans="1:40" ht="15.75" customHeight="1">
      <c r="A187" s="278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  <c r="AB187" s="271"/>
      <c r="AC187" s="271"/>
      <c r="AD187" s="271"/>
      <c r="AE187" s="271"/>
      <c r="AF187" s="271"/>
      <c r="AG187" s="271"/>
      <c r="AH187" s="271"/>
      <c r="AI187" s="271"/>
      <c r="AJ187" s="271"/>
      <c r="AK187" s="271"/>
      <c r="AL187" s="271"/>
      <c r="AM187" s="271"/>
      <c r="AN187" s="271"/>
    </row>
    <row r="188" spans="1:40" ht="15.75" customHeight="1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/>
      <c r="AC188" s="271"/>
      <c r="AD188" s="271"/>
      <c r="AE188" s="271"/>
      <c r="AF188" s="271"/>
      <c r="AG188" s="271"/>
      <c r="AH188" s="271"/>
      <c r="AI188" s="271"/>
      <c r="AJ188" s="271"/>
      <c r="AK188" s="271"/>
      <c r="AL188" s="271"/>
      <c r="AM188" s="271"/>
      <c r="AN188" s="271"/>
    </row>
    <row r="189" spans="1:40" ht="15.75" customHeight="1">
      <c r="A189" s="278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  <c r="AA189" s="271"/>
      <c r="AB189" s="271"/>
      <c r="AC189" s="271"/>
      <c r="AD189" s="271"/>
      <c r="AE189" s="271"/>
      <c r="AF189" s="271"/>
      <c r="AG189" s="271"/>
      <c r="AH189" s="271"/>
      <c r="AI189" s="271"/>
      <c r="AJ189" s="271"/>
      <c r="AK189" s="271"/>
      <c r="AL189" s="271"/>
      <c r="AM189" s="271"/>
      <c r="AN189" s="271"/>
    </row>
    <row r="190" spans="1:40" ht="15.75" customHeight="1">
      <c r="A190" s="278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  <c r="AA190" s="271"/>
      <c r="AB190" s="271"/>
      <c r="AC190" s="271"/>
      <c r="AD190" s="271"/>
      <c r="AE190" s="271"/>
      <c r="AF190" s="271"/>
      <c r="AG190" s="271"/>
      <c r="AH190" s="271"/>
      <c r="AI190" s="271"/>
      <c r="AJ190" s="271"/>
      <c r="AK190" s="271"/>
      <c r="AL190" s="271"/>
      <c r="AM190" s="271"/>
      <c r="AN190" s="271"/>
    </row>
    <row r="191" spans="1:40" ht="15.75" customHeight="1">
      <c r="A191" s="278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  <c r="AB191" s="271"/>
      <c r="AC191" s="271"/>
      <c r="AD191" s="271"/>
      <c r="AE191" s="271"/>
      <c r="AF191" s="271"/>
      <c r="AG191" s="271"/>
      <c r="AH191" s="271"/>
      <c r="AI191" s="271"/>
      <c r="AJ191" s="271"/>
      <c r="AK191" s="271"/>
      <c r="AL191" s="271"/>
      <c r="AM191" s="271"/>
      <c r="AN191" s="271"/>
    </row>
    <row r="192" spans="1:40" ht="15.75" customHeight="1">
      <c r="A192" s="278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  <c r="AA192" s="271"/>
      <c r="AB192" s="271"/>
      <c r="AC192" s="271"/>
      <c r="AD192" s="271"/>
      <c r="AE192" s="271"/>
      <c r="AF192" s="271"/>
      <c r="AG192" s="271"/>
      <c r="AH192" s="271"/>
      <c r="AI192" s="271"/>
      <c r="AJ192" s="271"/>
      <c r="AK192" s="271"/>
      <c r="AL192" s="271"/>
      <c r="AM192" s="271"/>
      <c r="AN192" s="271"/>
    </row>
    <row r="193" spans="1:40" ht="15.75" customHeight="1">
      <c r="A193" s="278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  <c r="AA193" s="271"/>
      <c r="AB193" s="271"/>
      <c r="AC193" s="271"/>
      <c r="AD193" s="271"/>
      <c r="AE193" s="271"/>
      <c r="AF193" s="271"/>
      <c r="AG193" s="271"/>
      <c r="AH193" s="271"/>
      <c r="AI193" s="271"/>
      <c r="AJ193" s="271"/>
      <c r="AK193" s="271"/>
      <c r="AL193" s="271"/>
      <c r="AM193" s="271"/>
      <c r="AN193" s="271"/>
    </row>
    <row r="194" spans="1:40" ht="15.75" customHeight="1">
      <c r="A194" s="278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278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  <c r="AA194" s="271"/>
      <c r="AB194" s="271"/>
      <c r="AC194" s="271"/>
      <c r="AD194" s="271"/>
      <c r="AE194" s="271"/>
      <c r="AF194" s="271"/>
      <c r="AG194" s="271"/>
      <c r="AH194" s="271"/>
      <c r="AI194" s="271"/>
      <c r="AJ194" s="271"/>
      <c r="AK194" s="271"/>
      <c r="AL194" s="271"/>
      <c r="AM194" s="271"/>
      <c r="AN194" s="271"/>
    </row>
    <row r="195" spans="1:40" ht="15.75" customHeight="1">
      <c r="A195" s="278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  <c r="AA195" s="271"/>
      <c r="AB195" s="271"/>
      <c r="AC195" s="271"/>
      <c r="AD195" s="271"/>
      <c r="AE195" s="271"/>
      <c r="AF195" s="271"/>
      <c r="AG195" s="271"/>
      <c r="AH195" s="271"/>
      <c r="AI195" s="271"/>
      <c r="AJ195" s="271"/>
      <c r="AK195" s="271"/>
      <c r="AL195" s="271"/>
      <c r="AM195" s="271"/>
      <c r="AN195" s="271"/>
    </row>
    <row r="196" spans="1:40" ht="15.75" customHeight="1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  <c r="AA196" s="271"/>
      <c r="AB196" s="271"/>
      <c r="AC196" s="271"/>
      <c r="AD196" s="271"/>
      <c r="AE196" s="271"/>
      <c r="AF196" s="271"/>
      <c r="AG196" s="271"/>
      <c r="AH196" s="271"/>
      <c r="AI196" s="271"/>
      <c r="AJ196" s="271"/>
      <c r="AK196" s="271"/>
      <c r="AL196" s="271"/>
      <c r="AM196" s="271"/>
      <c r="AN196" s="271"/>
    </row>
    <row r="197" spans="1:40" ht="15.75" customHeight="1">
      <c r="A197" s="278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  <c r="AA197" s="271"/>
      <c r="AB197" s="271"/>
      <c r="AC197" s="271"/>
      <c r="AD197" s="271"/>
      <c r="AE197" s="271"/>
      <c r="AF197" s="271"/>
      <c r="AG197" s="271"/>
      <c r="AH197" s="271"/>
      <c r="AI197" s="271"/>
      <c r="AJ197" s="271"/>
      <c r="AK197" s="271"/>
      <c r="AL197" s="271"/>
      <c r="AM197" s="271"/>
      <c r="AN197" s="271"/>
    </row>
    <row r="198" spans="1:40" ht="15.75" customHeight="1">
      <c r="A198" s="278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  <c r="AA198" s="271"/>
      <c r="AB198" s="271"/>
      <c r="AC198" s="271"/>
      <c r="AD198" s="271"/>
      <c r="AE198" s="271"/>
      <c r="AF198" s="271"/>
      <c r="AG198" s="271"/>
      <c r="AH198" s="271"/>
      <c r="AI198" s="271"/>
      <c r="AJ198" s="271"/>
      <c r="AK198" s="271"/>
      <c r="AL198" s="271"/>
      <c r="AM198" s="271"/>
      <c r="AN198" s="271"/>
    </row>
    <row r="199" spans="1:40" ht="15.75" customHeight="1">
      <c r="A199" s="278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  <c r="AB199" s="271"/>
      <c r="AC199" s="271"/>
      <c r="AD199" s="271"/>
      <c r="AE199" s="271"/>
      <c r="AF199" s="271"/>
      <c r="AG199" s="271"/>
      <c r="AH199" s="271"/>
      <c r="AI199" s="271"/>
      <c r="AJ199" s="271"/>
      <c r="AK199" s="271"/>
      <c r="AL199" s="271"/>
      <c r="AM199" s="271"/>
      <c r="AN199" s="271"/>
    </row>
    <row r="200" spans="1:40" ht="15.75" customHeight="1">
      <c r="A200" s="278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  <c r="AB200" s="271"/>
      <c r="AC200" s="271"/>
      <c r="AD200" s="271"/>
      <c r="AE200" s="271"/>
      <c r="AF200" s="271"/>
      <c r="AG200" s="271"/>
      <c r="AH200" s="271"/>
      <c r="AI200" s="271"/>
      <c r="AJ200" s="271"/>
      <c r="AK200" s="271"/>
      <c r="AL200" s="271"/>
      <c r="AM200" s="271"/>
      <c r="AN200" s="271"/>
    </row>
    <row r="201" spans="1:40" ht="15.75" customHeight="1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</row>
    <row r="202" spans="1:40" ht="15.75" customHeight="1">
      <c r="A202" s="278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  <c r="AB202" s="271"/>
      <c r="AC202" s="271"/>
      <c r="AD202" s="271"/>
      <c r="AE202" s="271"/>
      <c r="AF202" s="271"/>
      <c r="AG202" s="271"/>
      <c r="AH202" s="271"/>
      <c r="AI202" s="271"/>
      <c r="AJ202" s="271"/>
      <c r="AK202" s="271"/>
      <c r="AL202" s="271"/>
      <c r="AM202" s="271"/>
      <c r="AN202" s="271"/>
    </row>
    <row r="203" spans="1:40" ht="15.75" customHeight="1">
      <c r="A203" s="278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1"/>
      <c r="AF203" s="271"/>
      <c r="AG203" s="271"/>
      <c r="AH203" s="271"/>
      <c r="AI203" s="271"/>
      <c r="AJ203" s="271"/>
      <c r="AK203" s="271"/>
      <c r="AL203" s="271"/>
      <c r="AM203" s="271"/>
      <c r="AN203" s="271"/>
    </row>
    <row r="204" spans="1:40" ht="15.75" customHeight="1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/>
      <c r="AC204" s="271"/>
      <c r="AD204" s="271"/>
      <c r="AE204" s="271"/>
      <c r="AF204" s="271"/>
      <c r="AG204" s="271"/>
      <c r="AH204" s="271"/>
      <c r="AI204" s="271"/>
      <c r="AJ204" s="271"/>
      <c r="AK204" s="271"/>
      <c r="AL204" s="271"/>
      <c r="AM204" s="271"/>
      <c r="AN204" s="271"/>
    </row>
    <row r="205" spans="1:40" ht="15.75" customHeight="1">
      <c r="A205" s="278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/>
      <c r="AC205" s="271"/>
      <c r="AD205" s="271"/>
      <c r="AE205" s="271"/>
      <c r="AF205" s="271"/>
      <c r="AG205" s="271"/>
      <c r="AH205" s="271"/>
      <c r="AI205" s="271"/>
      <c r="AJ205" s="271"/>
      <c r="AK205" s="271"/>
      <c r="AL205" s="271"/>
      <c r="AM205" s="271"/>
      <c r="AN205" s="271"/>
    </row>
    <row r="206" spans="1:40" ht="15.75" customHeight="1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  <c r="AB206" s="271"/>
      <c r="AC206" s="271"/>
      <c r="AD206" s="271"/>
      <c r="AE206" s="271"/>
      <c r="AF206" s="271"/>
      <c r="AG206" s="271"/>
      <c r="AH206" s="271"/>
      <c r="AI206" s="271"/>
      <c r="AJ206" s="271"/>
      <c r="AK206" s="271"/>
      <c r="AL206" s="271"/>
      <c r="AM206" s="271"/>
      <c r="AN206" s="271"/>
    </row>
    <row r="207" spans="1:40" ht="15.75" customHeight="1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  <c r="AA207" s="271"/>
      <c r="AB207" s="271"/>
      <c r="AC207" s="271"/>
      <c r="AD207" s="271"/>
      <c r="AE207" s="271"/>
      <c r="AF207" s="271"/>
      <c r="AG207" s="271"/>
      <c r="AH207" s="271"/>
      <c r="AI207" s="271"/>
      <c r="AJ207" s="271"/>
      <c r="AK207" s="271"/>
      <c r="AL207" s="271"/>
      <c r="AM207" s="271"/>
      <c r="AN207" s="271"/>
    </row>
    <row r="208" spans="1:40" ht="15.75" customHeight="1">
      <c r="A208" s="278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278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  <c r="AA208" s="271"/>
      <c r="AB208" s="271"/>
      <c r="AC208" s="271"/>
      <c r="AD208" s="271"/>
      <c r="AE208" s="271"/>
      <c r="AF208" s="271"/>
      <c r="AG208" s="271"/>
      <c r="AH208" s="271"/>
      <c r="AI208" s="271"/>
      <c r="AJ208" s="271"/>
      <c r="AK208" s="271"/>
      <c r="AL208" s="271"/>
      <c r="AM208" s="271"/>
      <c r="AN208" s="271"/>
    </row>
    <row r="209" spans="1:40" ht="15.75" customHeight="1">
      <c r="A209" s="278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  <c r="AA209" s="271"/>
      <c r="AB209" s="271"/>
      <c r="AC209" s="271"/>
      <c r="AD209" s="271"/>
      <c r="AE209" s="271"/>
      <c r="AF209" s="271"/>
      <c r="AG209" s="271"/>
      <c r="AH209" s="271"/>
      <c r="AI209" s="271"/>
      <c r="AJ209" s="271"/>
      <c r="AK209" s="271"/>
      <c r="AL209" s="271"/>
      <c r="AM209" s="271"/>
      <c r="AN209" s="271"/>
    </row>
    <row r="210" spans="1:40" ht="15.75" customHeight="1">
      <c r="A210" s="278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  <c r="AB210" s="271"/>
      <c r="AC210" s="271"/>
      <c r="AD210" s="271"/>
      <c r="AE210" s="271"/>
      <c r="AF210" s="271"/>
      <c r="AG210" s="271"/>
      <c r="AH210" s="271"/>
      <c r="AI210" s="271"/>
      <c r="AJ210" s="271"/>
      <c r="AK210" s="271"/>
      <c r="AL210" s="271"/>
      <c r="AM210" s="271"/>
      <c r="AN210" s="271"/>
    </row>
    <row r="211" spans="1:40" ht="15.75" customHeight="1">
      <c r="A211" s="278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  <c r="AB211" s="271"/>
      <c r="AC211" s="271"/>
      <c r="AD211" s="271"/>
      <c r="AE211" s="271"/>
      <c r="AF211" s="271"/>
      <c r="AG211" s="271"/>
      <c r="AH211" s="271"/>
      <c r="AI211" s="271"/>
      <c r="AJ211" s="271"/>
      <c r="AK211" s="271"/>
      <c r="AL211" s="271"/>
      <c r="AM211" s="271"/>
      <c r="AN211" s="271"/>
    </row>
    <row r="212" spans="1:40" ht="15.75" customHeight="1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  <c r="AA212" s="271"/>
      <c r="AB212" s="271"/>
      <c r="AC212" s="271"/>
      <c r="AD212" s="271"/>
      <c r="AE212" s="271"/>
      <c r="AF212" s="271"/>
      <c r="AG212" s="271"/>
      <c r="AH212" s="271"/>
      <c r="AI212" s="271"/>
      <c r="AJ212" s="271"/>
      <c r="AK212" s="271"/>
      <c r="AL212" s="271"/>
      <c r="AM212" s="271"/>
      <c r="AN212" s="271"/>
    </row>
    <row r="213" spans="1:40" ht="15.75" customHeight="1">
      <c r="A213" s="278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  <c r="AA213" s="271"/>
      <c r="AB213" s="271"/>
      <c r="AC213" s="271"/>
      <c r="AD213" s="271"/>
      <c r="AE213" s="271"/>
      <c r="AF213" s="271"/>
      <c r="AG213" s="271"/>
      <c r="AH213" s="271"/>
      <c r="AI213" s="271"/>
      <c r="AJ213" s="271"/>
      <c r="AK213" s="271"/>
      <c r="AL213" s="271"/>
      <c r="AM213" s="271"/>
      <c r="AN213" s="271"/>
    </row>
    <row r="214" spans="1:40" ht="15.75" customHeight="1">
      <c r="A214" s="278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  <c r="AA214" s="271"/>
      <c r="AB214" s="271"/>
      <c r="AC214" s="271"/>
      <c r="AD214" s="271"/>
      <c r="AE214" s="271"/>
      <c r="AF214" s="271"/>
      <c r="AG214" s="271"/>
      <c r="AH214" s="271"/>
      <c r="AI214" s="271"/>
      <c r="AJ214" s="271"/>
      <c r="AK214" s="271"/>
      <c r="AL214" s="271"/>
      <c r="AM214" s="271"/>
      <c r="AN214" s="271"/>
    </row>
    <row r="215" spans="1:40" ht="15.75" customHeight="1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  <c r="AA215" s="271"/>
      <c r="AB215" s="271"/>
      <c r="AC215" s="271"/>
      <c r="AD215" s="271"/>
      <c r="AE215" s="271"/>
      <c r="AF215" s="271"/>
      <c r="AG215" s="271"/>
      <c r="AH215" s="271"/>
      <c r="AI215" s="271"/>
      <c r="AJ215" s="271"/>
      <c r="AK215" s="271"/>
      <c r="AL215" s="271"/>
      <c r="AM215" s="271"/>
      <c r="AN215" s="271"/>
    </row>
    <row r="216" spans="1:40" ht="15.75" customHeight="1">
      <c r="A216" s="278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  <c r="AA216" s="271"/>
      <c r="AB216" s="271"/>
      <c r="AC216" s="271"/>
      <c r="AD216" s="271"/>
      <c r="AE216" s="271"/>
      <c r="AF216" s="271"/>
      <c r="AG216" s="271"/>
      <c r="AH216" s="271"/>
      <c r="AI216" s="271"/>
      <c r="AJ216" s="271"/>
      <c r="AK216" s="271"/>
      <c r="AL216" s="271"/>
      <c r="AM216" s="271"/>
      <c r="AN216" s="271"/>
    </row>
    <row r="217" spans="1:40" ht="15.75" customHeight="1">
      <c r="A217" s="278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  <c r="AA217" s="271"/>
      <c r="AB217" s="271"/>
      <c r="AC217" s="271"/>
      <c r="AD217" s="271"/>
      <c r="AE217" s="271"/>
      <c r="AF217" s="271"/>
      <c r="AG217" s="271"/>
      <c r="AH217" s="271"/>
      <c r="AI217" s="271"/>
      <c r="AJ217" s="271"/>
      <c r="AK217" s="271"/>
      <c r="AL217" s="271"/>
      <c r="AM217" s="271"/>
      <c r="AN217" s="271"/>
    </row>
    <row r="218" spans="1:40" ht="15.75" customHeight="1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  <c r="AA218" s="271"/>
      <c r="AB218" s="271"/>
      <c r="AC218" s="271"/>
      <c r="AD218" s="271"/>
      <c r="AE218" s="271"/>
      <c r="AF218" s="271"/>
      <c r="AG218" s="271"/>
      <c r="AH218" s="271"/>
      <c r="AI218" s="271"/>
      <c r="AJ218" s="271"/>
      <c r="AK218" s="271"/>
      <c r="AL218" s="271"/>
      <c r="AM218" s="271"/>
      <c r="AN218" s="271"/>
    </row>
    <row r="219" spans="1:40" ht="15.75" customHeight="1">
      <c r="A219" s="278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  <c r="AA219" s="271"/>
      <c r="AB219" s="271"/>
      <c r="AC219" s="271"/>
      <c r="AD219" s="271"/>
      <c r="AE219" s="271"/>
      <c r="AF219" s="271"/>
      <c r="AG219" s="271"/>
      <c r="AH219" s="271"/>
      <c r="AI219" s="271"/>
      <c r="AJ219" s="271"/>
      <c r="AK219" s="271"/>
      <c r="AL219" s="271"/>
      <c r="AM219" s="271"/>
      <c r="AN219" s="271"/>
    </row>
    <row r="220" spans="1:40" ht="15.75" customHeight="1">
      <c r="A220" s="278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  <c r="AA220" s="271"/>
      <c r="AB220" s="271"/>
      <c r="AC220" s="271"/>
      <c r="AD220" s="271"/>
      <c r="AE220" s="271"/>
      <c r="AF220" s="271"/>
      <c r="AG220" s="271"/>
      <c r="AH220" s="271"/>
      <c r="AI220" s="271"/>
      <c r="AJ220" s="271"/>
      <c r="AK220" s="271"/>
      <c r="AL220" s="271"/>
      <c r="AM220" s="271"/>
      <c r="AN220" s="271"/>
    </row>
    <row r="221" spans="1:40" ht="15.75" customHeight="1">
      <c r="A221" s="278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1"/>
      <c r="AH221" s="271"/>
      <c r="AI221" s="271"/>
      <c r="AJ221" s="271"/>
      <c r="AK221" s="271"/>
      <c r="AL221" s="271"/>
      <c r="AM221" s="271"/>
      <c r="AN221" s="271"/>
    </row>
    <row r="222" spans="1:40" ht="15.75" customHeight="1">
      <c r="A222" s="278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  <c r="AA222" s="271"/>
      <c r="AB222" s="271"/>
      <c r="AC222" s="271"/>
      <c r="AD222" s="271"/>
      <c r="AE222" s="271"/>
      <c r="AF222" s="271"/>
      <c r="AG222" s="271"/>
      <c r="AH222" s="271"/>
      <c r="AI222" s="271"/>
      <c r="AJ222" s="271"/>
      <c r="AK222" s="271"/>
      <c r="AL222" s="271"/>
      <c r="AM222" s="271"/>
      <c r="AN222" s="271"/>
    </row>
    <row r="223" spans="1:40" ht="15.75" customHeight="1">
      <c r="A223" s="278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  <c r="AA223" s="271"/>
      <c r="AB223" s="271"/>
      <c r="AC223" s="271"/>
      <c r="AD223" s="271"/>
      <c r="AE223" s="271"/>
      <c r="AF223" s="271"/>
      <c r="AG223" s="271"/>
      <c r="AH223" s="271"/>
      <c r="AI223" s="271"/>
      <c r="AJ223" s="271"/>
      <c r="AK223" s="271"/>
      <c r="AL223" s="271"/>
      <c r="AM223" s="271"/>
      <c r="AN223" s="271"/>
    </row>
    <row r="224" spans="1:40" ht="15.75" customHeight="1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  <c r="AA224" s="271"/>
      <c r="AB224" s="271"/>
      <c r="AC224" s="271"/>
      <c r="AD224" s="271"/>
      <c r="AE224" s="271"/>
      <c r="AF224" s="271"/>
      <c r="AG224" s="271"/>
      <c r="AH224" s="271"/>
      <c r="AI224" s="271"/>
      <c r="AJ224" s="271"/>
      <c r="AK224" s="271"/>
      <c r="AL224" s="271"/>
      <c r="AM224" s="271"/>
      <c r="AN224" s="271"/>
    </row>
    <row r="225" spans="1:40" ht="15.75" customHeight="1">
      <c r="A225" s="278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  <c r="AA225" s="271"/>
      <c r="AB225" s="271"/>
      <c r="AC225" s="271"/>
      <c r="AD225" s="271"/>
      <c r="AE225" s="271"/>
      <c r="AF225" s="271"/>
      <c r="AG225" s="271"/>
      <c r="AH225" s="271"/>
      <c r="AI225" s="271"/>
      <c r="AJ225" s="271"/>
      <c r="AK225" s="271"/>
      <c r="AL225" s="271"/>
      <c r="AM225" s="271"/>
      <c r="AN225" s="271"/>
    </row>
    <row r="226" spans="1:40" ht="15.75" customHeight="1">
      <c r="A226" s="278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  <c r="AA226" s="271"/>
      <c r="AB226" s="271"/>
      <c r="AC226" s="271"/>
      <c r="AD226" s="271"/>
      <c r="AE226" s="271"/>
      <c r="AF226" s="271"/>
      <c r="AG226" s="271"/>
      <c r="AH226" s="271"/>
      <c r="AI226" s="271"/>
      <c r="AJ226" s="271"/>
      <c r="AK226" s="271"/>
      <c r="AL226" s="271"/>
      <c r="AM226" s="271"/>
      <c r="AN226" s="271"/>
    </row>
    <row r="227" spans="1:40" ht="15.75" customHeight="1">
      <c r="A227" s="278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  <c r="AA227" s="271"/>
      <c r="AB227" s="271"/>
      <c r="AC227" s="271"/>
      <c r="AD227" s="271"/>
      <c r="AE227" s="271"/>
      <c r="AF227" s="271"/>
      <c r="AG227" s="271"/>
      <c r="AH227" s="271"/>
      <c r="AI227" s="271"/>
      <c r="AJ227" s="271"/>
      <c r="AK227" s="271"/>
      <c r="AL227" s="271"/>
      <c r="AM227" s="271"/>
      <c r="AN227" s="271"/>
    </row>
    <row r="228" spans="1:40" ht="15.75" customHeight="1">
      <c r="A228" s="278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278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  <c r="AA228" s="271"/>
      <c r="AB228" s="271"/>
      <c r="AC228" s="271"/>
      <c r="AD228" s="271"/>
      <c r="AE228" s="271"/>
      <c r="AF228" s="271"/>
      <c r="AG228" s="271"/>
      <c r="AH228" s="271"/>
      <c r="AI228" s="271"/>
      <c r="AJ228" s="271"/>
      <c r="AK228" s="271"/>
      <c r="AL228" s="271"/>
      <c r="AM228" s="271"/>
      <c r="AN228" s="271"/>
    </row>
    <row r="229" spans="1:40" ht="15.75" customHeight="1">
      <c r="A229" s="278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  <c r="AA229" s="271"/>
      <c r="AB229" s="271"/>
      <c r="AC229" s="271"/>
      <c r="AD229" s="271"/>
      <c r="AE229" s="271"/>
      <c r="AF229" s="271"/>
      <c r="AG229" s="271"/>
      <c r="AH229" s="271"/>
      <c r="AI229" s="271"/>
      <c r="AJ229" s="271"/>
      <c r="AK229" s="271"/>
      <c r="AL229" s="271"/>
      <c r="AM229" s="271"/>
      <c r="AN229" s="271"/>
    </row>
    <row r="230" spans="1:40" ht="15.75" customHeight="1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  <c r="AA230" s="271"/>
      <c r="AB230" s="271"/>
      <c r="AC230" s="271"/>
      <c r="AD230" s="271"/>
      <c r="AE230" s="271"/>
      <c r="AF230" s="271"/>
      <c r="AG230" s="271"/>
      <c r="AH230" s="271"/>
      <c r="AI230" s="271"/>
      <c r="AJ230" s="271"/>
      <c r="AK230" s="271"/>
      <c r="AL230" s="271"/>
      <c r="AM230" s="271"/>
      <c r="AN230" s="271"/>
    </row>
    <row r="231" spans="1:40" ht="15.75" customHeight="1">
      <c r="A231" s="278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  <c r="AB231" s="271"/>
      <c r="AC231" s="271"/>
      <c r="AD231" s="271"/>
      <c r="AE231" s="271"/>
      <c r="AF231" s="271"/>
      <c r="AG231" s="271"/>
      <c r="AH231" s="271"/>
      <c r="AI231" s="271"/>
      <c r="AJ231" s="271"/>
      <c r="AK231" s="271"/>
      <c r="AL231" s="271"/>
      <c r="AM231" s="271"/>
      <c r="AN231" s="271"/>
    </row>
    <row r="232" spans="1:40" ht="15.75" customHeight="1">
      <c r="A232" s="278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  <c r="AB232" s="271"/>
      <c r="AC232" s="271"/>
      <c r="AD232" s="271"/>
      <c r="AE232" s="271"/>
      <c r="AF232" s="271"/>
      <c r="AG232" s="271"/>
      <c r="AH232" s="271"/>
      <c r="AI232" s="271"/>
      <c r="AJ232" s="271"/>
      <c r="AK232" s="271"/>
      <c r="AL232" s="271"/>
      <c r="AM232" s="271"/>
      <c r="AN232" s="271"/>
    </row>
    <row r="233" spans="1:40" ht="15.75" customHeight="1">
      <c r="A233" s="278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  <c r="AA233" s="271"/>
      <c r="AB233" s="271"/>
      <c r="AC233" s="271"/>
      <c r="AD233" s="271"/>
      <c r="AE233" s="271"/>
      <c r="AF233" s="271"/>
      <c r="AG233" s="271"/>
      <c r="AH233" s="271"/>
      <c r="AI233" s="271"/>
      <c r="AJ233" s="271"/>
      <c r="AK233" s="271"/>
      <c r="AL233" s="271"/>
      <c r="AM233" s="271"/>
      <c r="AN233" s="271"/>
    </row>
    <row r="234" spans="1:40" ht="15.75" customHeight="1">
      <c r="A234" s="278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  <c r="AA234" s="271"/>
      <c r="AB234" s="271"/>
      <c r="AC234" s="271"/>
      <c r="AD234" s="271"/>
      <c r="AE234" s="271"/>
      <c r="AF234" s="271"/>
      <c r="AG234" s="271"/>
      <c r="AH234" s="271"/>
      <c r="AI234" s="271"/>
      <c r="AJ234" s="271"/>
      <c r="AK234" s="271"/>
      <c r="AL234" s="271"/>
      <c r="AM234" s="271"/>
      <c r="AN234" s="271"/>
    </row>
    <row r="235" spans="1:40" ht="15.75" customHeight="1">
      <c r="A235" s="278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  <c r="AB235" s="271"/>
      <c r="AC235" s="271"/>
      <c r="AD235" s="271"/>
      <c r="AE235" s="271"/>
      <c r="AF235" s="271"/>
      <c r="AG235" s="271"/>
      <c r="AH235" s="271"/>
      <c r="AI235" s="271"/>
      <c r="AJ235" s="271"/>
      <c r="AK235" s="271"/>
      <c r="AL235" s="271"/>
      <c r="AM235" s="271"/>
      <c r="AN235" s="271"/>
    </row>
    <row r="236" spans="1:40" ht="15.75" customHeight="1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  <c r="AB236" s="271"/>
      <c r="AC236" s="271"/>
      <c r="AD236" s="271"/>
      <c r="AE236" s="271"/>
      <c r="AF236" s="271"/>
      <c r="AG236" s="271"/>
      <c r="AH236" s="271"/>
      <c r="AI236" s="271"/>
      <c r="AJ236" s="271"/>
      <c r="AK236" s="271"/>
      <c r="AL236" s="271"/>
      <c r="AM236" s="271"/>
      <c r="AN236" s="271"/>
    </row>
    <row r="237" spans="1:40" ht="12.75" customHeight="1">
      <c r="A237" s="278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  <c r="AA237" s="271"/>
      <c r="AB237" s="271"/>
      <c r="AC237" s="271"/>
      <c r="AD237" s="271"/>
      <c r="AE237" s="271"/>
      <c r="AF237" s="271"/>
      <c r="AG237" s="271"/>
      <c r="AH237" s="271"/>
      <c r="AI237" s="271"/>
      <c r="AJ237" s="271"/>
      <c r="AK237" s="271"/>
      <c r="AL237" s="271"/>
      <c r="AM237" s="271"/>
      <c r="AN237" s="271"/>
    </row>
    <row r="238" spans="1:40" ht="12.75" customHeight="1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  <c r="AA238" s="271"/>
      <c r="AB238" s="271"/>
      <c r="AC238" s="271"/>
      <c r="AD238" s="271"/>
      <c r="AE238" s="271"/>
      <c r="AF238" s="271"/>
      <c r="AG238" s="271"/>
      <c r="AH238" s="271"/>
      <c r="AI238" s="271"/>
      <c r="AJ238" s="271"/>
      <c r="AK238" s="271"/>
      <c r="AL238" s="271"/>
      <c r="AM238" s="271"/>
      <c r="AN238" s="271"/>
    </row>
    <row r="239" spans="1:40" ht="12.75" customHeight="1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  <c r="AB239" s="271"/>
      <c r="AC239" s="271"/>
      <c r="AD239" s="271"/>
      <c r="AE239" s="271"/>
      <c r="AF239" s="271"/>
      <c r="AG239" s="271"/>
      <c r="AH239" s="271"/>
      <c r="AI239" s="271"/>
      <c r="AJ239" s="271"/>
      <c r="AK239" s="271"/>
      <c r="AL239" s="271"/>
      <c r="AM239" s="271"/>
      <c r="AN239" s="271"/>
    </row>
    <row r="240" spans="1:40" ht="12.75" customHeight="1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  <c r="AA240" s="271"/>
      <c r="AB240" s="271"/>
      <c r="AC240" s="271"/>
      <c r="AD240" s="271"/>
      <c r="AE240" s="271"/>
      <c r="AF240" s="271"/>
      <c r="AG240" s="271"/>
      <c r="AH240" s="271"/>
      <c r="AI240" s="271"/>
      <c r="AJ240" s="271"/>
      <c r="AK240" s="271"/>
      <c r="AL240" s="271"/>
      <c r="AM240" s="271"/>
      <c r="AN240" s="271"/>
    </row>
    <row r="241" spans="1:40" ht="12.75" customHeight="1">
      <c r="A241" s="278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  <c r="AA241" s="271"/>
      <c r="AB241" s="271"/>
      <c r="AC241" s="271"/>
      <c r="AD241" s="271"/>
      <c r="AE241" s="271"/>
      <c r="AF241" s="271"/>
      <c r="AG241" s="271"/>
      <c r="AH241" s="271"/>
      <c r="AI241" s="271"/>
      <c r="AJ241" s="271"/>
      <c r="AK241" s="271"/>
      <c r="AL241" s="271"/>
      <c r="AM241" s="271"/>
      <c r="AN241" s="271"/>
    </row>
    <row r="242" spans="1:40" ht="12.75" customHeight="1">
      <c r="A242" s="278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  <c r="AA242" s="271"/>
      <c r="AB242" s="271"/>
      <c r="AC242" s="271"/>
      <c r="AD242" s="271"/>
      <c r="AE242" s="271"/>
      <c r="AF242" s="271"/>
      <c r="AG242" s="271"/>
      <c r="AH242" s="271"/>
      <c r="AI242" s="271"/>
      <c r="AJ242" s="271"/>
      <c r="AK242" s="271"/>
      <c r="AL242" s="271"/>
      <c r="AM242" s="271"/>
      <c r="AN242" s="271"/>
    </row>
    <row r="243" spans="1:40" ht="12.75" customHeight="1">
      <c r="A243" s="278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  <c r="AA243" s="271"/>
      <c r="AB243" s="271"/>
      <c r="AC243" s="271"/>
      <c r="AD243" s="271"/>
      <c r="AE243" s="271"/>
      <c r="AF243" s="271"/>
      <c r="AG243" s="271"/>
      <c r="AH243" s="271"/>
      <c r="AI243" s="271"/>
      <c r="AJ243" s="271"/>
      <c r="AK243" s="271"/>
      <c r="AL243" s="271"/>
      <c r="AM243" s="271"/>
      <c r="AN243" s="271"/>
    </row>
    <row r="244" spans="1:40" ht="12.75" customHeight="1">
      <c r="A244" s="278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  <c r="AA244" s="271"/>
      <c r="AB244" s="271"/>
      <c r="AC244" s="271"/>
      <c r="AD244" s="271"/>
      <c r="AE244" s="271"/>
      <c r="AF244" s="271"/>
      <c r="AG244" s="271"/>
      <c r="AH244" s="271"/>
      <c r="AI244" s="271"/>
      <c r="AJ244" s="271"/>
      <c r="AK244" s="271"/>
      <c r="AL244" s="271"/>
      <c r="AM244" s="271"/>
      <c r="AN244" s="271"/>
    </row>
    <row r="245" spans="1:40" ht="12.75" customHeight="1">
      <c r="A245" s="278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278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  <c r="AA245" s="271"/>
      <c r="AB245" s="271"/>
      <c r="AC245" s="271"/>
      <c r="AD245" s="271"/>
      <c r="AE245" s="271"/>
      <c r="AF245" s="271"/>
      <c r="AG245" s="271"/>
      <c r="AH245" s="271"/>
      <c r="AI245" s="271"/>
      <c r="AJ245" s="271"/>
      <c r="AK245" s="271"/>
      <c r="AL245" s="271"/>
      <c r="AM245" s="271"/>
      <c r="AN245" s="271"/>
    </row>
    <row r="246" spans="1:40" ht="12.75" customHeight="1">
      <c r="A246" s="278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278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  <c r="AB246" s="271"/>
      <c r="AC246" s="271"/>
      <c r="AD246" s="271"/>
      <c r="AE246" s="271"/>
      <c r="AF246" s="271"/>
      <c r="AG246" s="271"/>
      <c r="AH246" s="271"/>
      <c r="AI246" s="271"/>
      <c r="AJ246" s="271"/>
      <c r="AK246" s="271"/>
      <c r="AL246" s="271"/>
      <c r="AM246" s="271"/>
      <c r="AN246" s="271"/>
    </row>
    <row r="247" spans="1:40" ht="12.75" customHeight="1">
      <c r="A247" s="278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  <c r="AB247" s="271"/>
      <c r="AC247" s="271"/>
      <c r="AD247" s="271"/>
      <c r="AE247" s="271"/>
      <c r="AF247" s="271"/>
      <c r="AG247" s="271"/>
      <c r="AH247" s="271"/>
      <c r="AI247" s="271"/>
      <c r="AJ247" s="271"/>
      <c r="AK247" s="271"/>
      <c r="AL247" s="271"/>
      <c r="AM247" s="271"/>
      <c r="AN247" s="271"/>
    </row>
    <row r="248" spans="1:40" ht="12.75" customHeight="1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  <c r="AA248" s="271"/>
      <c r="AB248" s="271"/>
      <c r="AC248" s="271"/>
      <c r="AD248" s="271"/>
      <c r="AE248" s="271"/>
      <c r="AF248" s="271"/>
      <c r="AG248" s="271"/>
      <c r="AH248" s="271"/>
      <c r="AI248" s="271"/>
      <c r="AJ248" s="271"/>
      <c r="AK248" s="271"/>
      <c r="AL248" s="271"/>
      <c r="AM248" s="271"/>
      <c r="AN248" s="271"/>
    </row>
    <row r="249" spans="1:40" ht="12.75" customHeight="1">
      <c r="A249" s="278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  <c r="AA249" s="271"/>
      <c r="AB249" s="271"/>
      <c r="AC249" s="271"/>
      <c r="AD249" s="271"/>
      <c r="AE249" s="271"/>
      <c r="AF249" s="271"/>
      <c r="AG249" s="271"/>
      <c r="AH249" s="271"/>
      <c r="AI249" s="271"/>
      <c r="AJ249" s="271"/>
      <c r="AK249" s="271"/>
      <c r="AL249" s="271"/>
      <c r="AM249" s="271"/>
      <c r="AN249" s="271"/>
    </row>
    <row r="250" spans="1:40" ht="12.75" customHeight="1">
      <c r="A250" s="278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  <c r="AB250" s="271"/>
      <c r="AC250" s="271"/>
      <c r="AD250" s="271"/>
      <c r="AE250" s="271"/>
      <c r="AF250" s="271"/>
      <c r="AG250" s="271"/>
      <c r="AH250" s="271"/>
      <c r="AI250" s="271"/>
      <c r="AJ250" s="271"/>
      <c r="AK250" s="271"/>
      <c r="AL250" s="271"/>
      <c r="AM250" s="271"/>
      <c r="AN250" s="271"/>
    </row>
    <row r="251" spans="1:40" ht="12.75" customHeight="1">
      <c r="A251" s="278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278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  <c r="AB251" s="271"/>
      <c r="AC251" s="271"/>
      <c r="AD251" s="271"/>
      <c r="AE251" s="271"/>
      <c r="AF251" s="271"/>
      <c r="AG251" s="271"/>
      <c r="AH251" s="271"/>
      <c r="AI251" s="271"/>
      <c r="AJ251" s="271"/>
      <c r="AK251" s="271"/>
      <c r="AL251" s="271"/>
      <c r="AM251" s="271"/>
      <c r="AN251" s="271"/>
    </row>
    <row r="252" spans="1:40" ht="12.75" customHeight="1">
      <c r="A252" s="278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/>
      <c r="AC252" s="271"/>
      <c r="AD252" s="271"/>
      <c r="AE252" s="271"/>
      <c r="AF252" s="271"/>
      <c r="AG252" s="271"/>
      <c r="AH252" s="271"/>
      <c r="AI252" s="271"/>
      <c r="AJ252" s="271"/>
      <c r="AK252" s="271"/>
      <c r="AL252" s="271"/>
      <c r="AM252" s="271"/>
      <c r="AN252" s="271"/>
    </row>
    <row r="253" spans="1:40" ht="12.75" customHeight="1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  <c r="AA253" s="271"/>
      <c r="AB253" s="271"/>
      <c r="AC253" s="271"/>
      <c r="AD253" s="271"/>
      <c r="AE253" s="271"/>
      <c r="AF253" s="271"/>
      <c r="AG253" s="271"/>
      <c r="AH253" s="271"/>
      <c r="AI253" s="271"/>
      <c r="AJ253" s="271"/>
      <c r="AK253" s="271"/>
      <c r="AL253" s="271"/>
      <c r="AM253" s="271"/>
      <c r="AN253" s="271"/>
    </row>
    <row r="254" spans="1:40" ht="12.75" customHeight="1">
      <c r="A254" s="278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  <c r="AB254" s="271"/>
      <c r="AC254" s="271"/>
      <c r="AD254" s="271"/>
      <c r="AE254" s="271"/>
      <c r="AF254" s="271"/>
      <c r="AG254" s="271"/>
      <c r="AH254" s="271"/>
      <c r="AI254" s="271"/>
      <c r="AJ254" s="271"/>
      <c r="AK254" s="271"/>
      <c r="AL254" s="271"/>
      <c r="AM254" s="271"/>
      <c r="AN254" s="271"/>
    </row>
    <row r="255" spans="1:40" ht="12.75" customHeight="1">
      <c r="A255" s="278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278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  <c r="AA255" s="271"/>
      <c r="AB255" s="271"/>
      <c r="AC255" s="271"/>
      <c r="AD255" s="271"/>
      <c r="AE255" s="271"/>
      <c r="AF255" s="271"/>
      <c r="AG255" s="271"/>
      <c r="AH255" s="271"/>
      <c r="AI255" s="271"/>
      <c r="AJ255" s="271"/>
      <c r="AK255" s="271"/>
      <c r="AL255" s="271"/>
      <c r="AM255" s="271"/>
      <c r="AN255" s="271"/>
    </row>
    <row r="256" spans="1:40" ht="12.75" customHeight="1">
      <c r="A256" s="278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/>
      <c r="AC256" s="271"/>
      <c r="AD256" s="271"/>
      <c r="AE256" s="271"/>
      <c r="AF256" s="271"/>
      <c r="AG256" s="271"/>
      <c r="AH256" s="271"/>
      <c r="AI256" s="271"/>
      <c r="AJ256" s="271"/>
      <c r="AK256" s="271"/>
      <c r="AL256" s="271"/>
      <c r="AM256" s="271"/>
      <c r="AN256" s="271"/>
    </row>
    <row r="257" spans="1:40" ht="12.75" customHeight="1">
      <c r="A257" s="278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/>
      <c r="AC257" s="271"/>
      <c r="AD257" s="271"/>
      <c r="AE257" s="271"/>
      <c r="AF257" s="271"/>
      <c r="AG257" s="271"/>
      <c r="AH257" s="271"/>
      <c r="AI257" s="271"/>
      <c r="AJ257" s="271"/>
      <c r="AK257" s="271"/>
      <c r="AL257" s="271"/>
      <c r="AM257" s="271"/>
      <c r="AN257" s="271"/>
    </row>
    <row r="258" spans="1:40" ht="12.75" customHeight="1">
      <c r="A258" s="278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/>
      <c r="AC258" s="271"/>
      <c r="AD258" s="271"/>
      <c r="AE258" s="271"/>
      <c r="AF258" s="271"/>
      <c r="AG258" s="271"/>
      <c r="AH258" s="271"/>
      <c r="AI258" s="271"/>
      <c r="AJ258" s="271"/>
      <c r="AK258" s="271"/>
      <c r="AL258" s="271"/>
      <c r="AM258" s="271"/>
      <c r="AN258" s="271"/>
    </row>
    <row r="259" spans="1:40" ht="12.75" customHeight="1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  <c r="AB259" s="271"/>
      <c r="AC259" s="271"/>
      <c r="AD259" s="271"/>
      <c r="AE259" s="271"/>
      <c r="AF259" s="271"/>
      <c r="AG259" s="271"/>
      <c r="AH259" s="271"/>
      <c r="AI259" s="271"/>
      <c r="AJ259" s="271"/>
      <c r="AK259" s="271"/>
      <c r="AL259" s="271"/>
      <c r="AM259" s="271"/>
      <c r="AN259" s="271"/>
    </row>
    <row r="260" spans="1:40" ht="12.75" customHeight="1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1"/>
      <c r="AH260" s="271"/>
      <c r="AI260" s="271"/>
      <c r="AJ260" s="271"/>
      <c r="AK260" s="271"/>
      <c r="AL260" s="271"/>
      <c r="AM260" s="271"/>
      <c r="AN260" s="271"/>
    </row>
    <row r="261" spans="1:40" ht="12.75" customHeight="1">
      <c r="A261" s="278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/>
      <c r="AC261" s="271"/>
      <c r="AD261" s="271"/>
      <c r="AE261" s="271"/>
      <c r="AF261" s="271"/>
      <c r="AG261" s="271"/>
      <c r="AH261" s="271"/>
      <c r="AI261" s="271"/>
      <c r="AJ261" s="271"/>
      <c r="AK261" s="271"/>
      <c r="AL261" s="271"/>
      <c r="AM261" s="271"/>
      <c r="AN261" s="271"/>
    </row>
    <row r="262" spans="1:40" ht="12.75" customHeight="1">
      <c r="A262" s="278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278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  <c r="AB262" s="271"/>
      <c r="AC262" s="271"/>
      <c r="AD262" s="271"/>
      <c r="AE262" s="271"/>
      <c r="AF262" s="271"/>
      <c r="AG262" s="271"/>
      <c r="AH262" s="271"/>
      <c r="AI262" s="271"/>
      <c r="AJ262" s="271"/>
      <c r="AK262" s="271"/>
      <c r="AL262" s="271"/>
      <c r="AM262" s="271"/>
      <c r="AN262" s="271"/>
    </row>
    <row r="263" spans="1:40" ht="12.75" customHeight="1">
      <c r="A263" s="278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278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  <c r="AB263" s="271"/>
      <c r="AC263" s="271"/>
      <c r="AD263" s="271"/>
      <c r="AE263" s="271"/>
      <c r="AF263" s="271"/>
      <c r="AG263" s="271"/>
      <c r="AH263" s="271"/>
      <c r="AI263" s="271"/>
      <c r="AJ263" s="271"/>
      <c r="AK263" s="271"/>
      <c r="AL263" s="271"/>
      <c r="AM263" s="271"/>
      <c r="AN263" s="271"/>
    </row>
    <row r="264" spans="1:40" ht="12.75" customHeight="1">
      <c r="A264" s="278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/>
      <c r="AC264" s="271"/>
      <c r="AD264" s="271"/>
      <c r="AE264" s="271"/>
      <c r="AF264" s="271"/>
      <c r="AG264" s="271"/>
      <c r="AH264" s="271"/>
      <c r="AI264" s="271"/>
      <c r="AJ264" s="271"/>
      <c r="AK264" s="271"/>
      <c r="AL264" s="271"/>
      <c r="AM264" s="271"/>
      <c r="AN264" s="271"/>
    </row>
    <row r="265" spans="1:40" ht="12.75" customHeight="1">
      <c r="A265" s="278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  <c r="AB265" s="271"/>
      <c r="AC265" s="271"/>
      <c r="AD265" s="271"/>
      <c r="AE265" s="271"/>
      <c r="AF265" s="271"/>
      <c r="AG265" s="271"/>
      <c r="AH265" s="271"/>
      <c r="AI265" s="271"/>
      <c r="AJ265" s="271"/>
      <c r="AK265" s="271"/>
      <c r="AL265" s="271"/>
      <c r="AM265" s="271"/>
      <c r="AN265" s="271"/>
    </row>
    <row r="266" spans="1:40" ht="12.75" customHeight="1">
      <c r="A266" s="278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  <c r="AB266" s="271"/>
      <c r="AC266" s="271"/>
      <c r="AD266" s="271"/>
      <c r="AE266" s="271"/>
      <c r="AF266" s="271"/>
      <c r="AG266" s="271"/>
      <c r="AH266" s="271"/>
      <c r="AI266" s="271"/>
      <c r="AJ266" s="271"/>
      <c r="AK266" s="271"/>
      <c r="AL266" s="271"/>
      <c r="AM266" s="271"/>
      <c r="AN266" s="271"/>
    </row>
    <row r="267" spans="1:40" ht="12.75" customHeight="1">
      <c r="A267" s="278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/>
      <c r="AC267" s="271"/>
      <c r="AD267" s="271"/>
      <c r="AE267" s="271"/>
      <c r="AF267" s="271"/>
      <c r="AG267" s="271"/>
      <c r="AH267" s="271"/>
      <c r="AI267" s="271"/>
      <c r="AJ267" s="271"/>
      <c r="AK267" s="271"/>
      <c r="AL267" s="271"/>
      <c r="AM267" s="271"/>
      <c r="AN267" s="271"/>
    </row>
    <row r="268" spans="1:40" ht="12.75" customHeight="1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/>
      <c r="AC268" s="271"/>
      <c r="AD268" s="271"/>
      <c r="AE268" s="271"/>
      <c r="AF268" s="271"/>
      <c r="AG268" s="271"/>
      <c r="AH268" s="271"/>
      <c r="AI268" s="271"/>
      <c r="AJ268" s="271"/>
      <c r="AK268" s="271"/>
      <c r="AL268" s="271"/>
      <c r="AM268" s="271"/>
      <c r="AN268" s="271"/>
    </row>
    <row r="269" spans="1:40" ht="12.75" customHeight="1">
      <c r="A269" s="278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278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/>
      <c r="AC269" s="271"/>
      <c r="AD269" s="271"/>
      <c r="AE269" s="271"/>
      <c r="AF269" s="271"/>
      <c r="AG269" s="271"/>
      <c r="AH269" s="271"/>
      <c r="AI269" s="271"/>
      <c r="AJ269" s="271"/>
      <c r="AK269" s="271"/>
      <c r="AL269" s="271"/>
      <c r="AM269" s="271"/>
      <c r="AN269" s="271"/>
    </row>
    <row r="270" spans="1:40" ht="12.75" customHeight="1">
      <c r="A270" s="278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278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  <c r="AB270" s="271"/>
      <c r="AC270" s="271"/>
      <c r="AD270" s="271"/>
      <c r="AE270" s="271"/>
      <c r="AF270" s="271"/>
      <c r="AG270" s="271"/>
      <c r="AH270" s="271"/>
      <c r="AI270" s="271"/>
      <c r="AJ270" s="271"/>
      <c r="AK270" s="271"/>
      <c r="AL270" s="271"/>
      <c r="AM270" s="271"/>
      <c r="AN270" s="271"/>
    </row>
    <row r="271" spans="1:40" ht="12.75" customHeight="1">
      <c r="A271" s="278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1"/>
      <c r="AH271" s="271"/>
      <c r="AI271" s="271"/>
      <c r="AJ271" s="271"/>
      <c r="AK271" s="271"/>
      <c r="AL271" s="271"/>
      <c r="AM271" s="271"/>
      <c r="AN271" s="271"/>
    </row>
    <row r="272" spans="1:40" ht="12.75" customHeight="1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  <c r="AB272" s="271"/>
      <c r="AC272" s="271"/>
      <c r="AD272" s="271"/>
      <c r="AE272" s="271"/>
      <c r="AF272" s="271"/>
      <c r="AG272" s="271"/>
      <c r="AH272" s="271"/>
      <c r="AI272" s="271"/>
      <c r="AJ272" s="271"/>
      <c r="AK272" s="271"/>
      <c r="AL272" s="271"/>
      <c r="AM272" s="271"/>
      <c r="AN272" s="271"/>
    </row>
    <row r="273" spans="1:40" ht="12.75" customHeight="1">
      <c r="A273" s="278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1"/>
      <c r="AH273" s="271"/>
      <c r="AI273" s="271"/>
      <c r="AJ273" s="271"/>
      <c r="AK273" s="271"/>
      <c r="AL273" s="271"/>
      <c r="AM273" s="271"/>
      <c r="AN273" s="271"/>
    </row>
    <row r="274" spans="1:40" ht="12.75" customHeight="1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  <c r="AB274" s="271"/>
      <c r="AC274" s="271"/>
      <c r="AD274" s="271"/>
      <c r="AE274" s="271"/>
      <c r="AF274" s="271"/>
      <c r="AG274" s="271"/>
      <c r="AH274" s="271"/>
      <c r="AI274" s="271"/>
      <c r="AJ274" s="271"/>
      <c r="AK274" s="271"/>
      <c r="AL274" s="271"/>
      <c r="AM274" s="271"/>
      <c r="AN274" s="271"/>
    </row>
    <row r="275" spans="1:40" ht="12.75" customHeight="1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E275" s="271"/>
      <c r="AF275" s="271"/>
      <c r="AG275" s="271"/>
      <c r="AH275" s="271"/>
      <c r="AI275" s="271"/>
      <c r="AJ275" s="271"/>
      <c r="AK275" s="271"/>
      <c r="AL275" s="271"/>
      <c r="AM275" s="271"/>
      <c r="AN275" s="271"/>
    </row>
    <row r="276" spans="1:40" ht="12.75" customHeight="1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/>
      <c r="AC276" s="271"/>
      <c r="AD276" s="271"/>
      <c r="AE276" s="271"/>
      <c r="AF276" s="271"/>
      <c r="AG276" s="271"/>
      <c r="AH276" s="271"/>
      <c r="AI276" s="271"/>
      <c r="AJ276" s="271"/>
      <c r="AK276" s="271"/>
      <c r="AL276" s="271"/>
      <c r="AM276" s="271"/>
      <c r="AN276" s="271"/>
    </row>
    <row r="277" spans="1:40" ht="12.75" customHeight="1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  <c r="AB277" s="271"/>
      <c r="AC277" s="271"/>
      <c r="AD277" s="271"/>
      <c r="AE277" s="271"/>
      <c r="AF277" s="271"/>
      <c r="AG277" s="271"/>
      <c r="AH277" s="271"/>
      <c r="AI277" s="271"/>
      <c r="AJ277" s="271"/>
      <c r="AK277" s="271"/>
      <c r="AL277" s="271"/>
      <c r="AM277" s="271"/>
      <c r="AN277" s="271"/>
    </row>
    <row r="278" spans="1:40" ht="12.75" customHeight="1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  <c r="AB278" s="271"/>
      <c r="AC278" s="271"/>
      <c r="AD278" s="271"/>
      <c r="AE278" s="271"/>
      <c r="AF278" s="271"/>
      <c r="AG278" s="271"/>
      <c r="AH278" s="271"/>
      <c r="AI278" s="271"/>
      <c r="AJ278" s="271"/>
      <c r="AK278" s="271"/>
      <c r="AL278" s="271"/>
      <c r="AM278" s="271"/>
      <c r="AN278" s="271"/>
    </row>
    <row r="279" spans="1:40" ht="12.75" customHeight="1">
      <c r="A279" s="278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/>
      <c r="AC279" s="271"/>
      <c r="AD279" s="271"/>
      <c r="AE279" s="271"/>
      <c r="AF279" s="271"/>
      <c r="AG279" s="271"/>
      <c r="AH279" s="271"/>
      <c r="AI279" s="271"/>
      <c r="AJ279" s="271"/>
      <c r="AK279" s="271"/>
      <c r="AL279" s="271"/>
      <c r="AM279" s="271"/>
      <c r="AN279" s="271"/>
    </row>
    <row r="280" spans="1:40" ht="12.75" customHeight="1">
      <c r="A280" s="278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  <c r="AB280" s="271"/>
      <c r="AC280" s="271"/>
      <c r="AD280" s="271"/>
      <c r="AE280" s="271"/>
      <c r="AF280" s="271"/>
      <c r="AG280" s="271"/>
      <c r="AH280" s="271"/>
      <c r="AI280" s="271"/>
      <c r="AJ280" s="271"/>
      <c r="AK280" s="271"/>
      <c r="AL280" s="271"/>
      <c r="AM280" s="271"/>
      <c r="AN280" s="271"/>
    </row>
    <row r="281" spans="1:40" ht="12.75" customHeight="1">
      <c r="A281" s="278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  <c r="AB281" s="271"/>
      <c r="AC281" s="271"/>
      <c r="AD281" s="271"/>
      <c r="AE281" s="271"/>
      <c r="AF281" s="271"/>
      <c r="AG281" s="271"/>
      <c r="AH281" s="271"/>
      <c r="AI281" s="271"/>
      <c r="AJ281" s="271"/>
      <c r="AK281" s="271"/>
      <c r="AL281" s="271"/>
      <c r="AM281" s="271"/>
      <c r="AN281" s="271"/>
    </row>
    <row r="282" spans="1:40" ht="12.75" customHeight="1">
      <c r="A282" s="278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  <c r="AB282" s="271"/>
      <c r="AC282" s="271"/>
      <c r="AD282" s="271"/>
      <c r="AE282" s="271"/>
      <c r="AF282" s="271"/>
      <c r="AG282" s="271"/>
      <c r="AH282" s="271"/>
      <c r="AI282" s="271"/>
      <c r="AJ282" s="271"/>
      <c r="AK282" s="271"/>
      <c r="AL282" s="271"/>
      <c r="AM282" s="271"/>
      <c r="AN282" s="271"/>
    </row>
    <row r="283" spans="1:40" ht="12.75" customHeight="1">
      <c r="A283" s="278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  <c r="AB283" s="271"/>
      <c r="AC283" s="271"/>
      <c r="AD283" s="271"/>
      <c r="AE283" s="271"/>
      <c r="AF283" s="271"/>
      <c r="AG283" s="271"/>
      <c r="AH283" s="271"/>
      <c r="AI283" s="271"/>
      <c r="AJ283" s="271"/>
      <c r="AK283" s="271"/>
      <c r="AL283" s="271"/>
      <c r="AM283" s="271"/>
      <c r="AN283" s="271"/>
    </row>
    <row r="284" spans="1:40" ht="12.75" customHeight="1">
      <c r="A284" s="278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/>
      <c r="AC284" s="271"/>
      <c r="AD284" s="271"/>
      <c r="AE284" s="271"/>
      <c r="AF284" s="271"/>
      <c r="AG284" s="271"/>
      <c r="AH284" s="271"/>
      <c r="AI284" s="271"/>
      <c r="AJ284" s="271"/>
      <c r="AK284" s="271"/>
      <c r="AL284" s="271"/>
      <c r="AM284" s="271"/>
      <c r="AN284" s="271"/>
    </row>
    <row r="285" spans="1:40" ht="12.75" customHeight="1">
      <c r="A285" s="278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  <c r="AB285" s="271"/>
      <c r="AC285" s="271"/>
      <c r="AD285" s="271"/>
      <c r="AE285" s="271"/>
      <c r="AF285" s="271"/>
      <c r="AG285" s="271"/>
      <c r="AH285" s="271"/>
      <c r="AI285" s="271"/>
      <c r="AJ285" s="271"/>
      <c r="AK285" s="271"/>
      <c r="AL285" s="271"/>
      <c r="AM285" s="271"/>
      <c r="AN285" s="271"/>
    </row>
    <row r="286" spans="1:40" ht="12.75" customHeight="1">
      <c r="A286" s="278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  <c r="AB286" s="271"/>
      <c r="AC286" s="271"/>
      <c r="AD286" s="271"/>
      <c r="AE286" s="271"/>
      <c r="AF286" s="271"/>
      <c r="AG286" s="271"/>
      <c r="AH286" s="271"/>
      <c r="AI286" s="271"/>
      <c r="AJ286" s="271"/>
      <c r="AK286" s="271"/>
      <c r="AL286" s="271"/>
      <c r="AM286" s="271"/>
      <c r="AN286" s="271"/>
    </row>
    <row r="287" spans="1:40" ht="12.75" customHeight="1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  <c r="AB287" s="271"/>
      <c r="AC287" s="271"/>
      <c r="AD287" s="271"/>
      <c r="AE287" s="271"/>
      <c r="AF287" s="271"/>
      <c r="AG287" s="271"/>
      <c r="AH287" s="271"/>
      <c r="AI287" s="271"/>
      <c r="AJ287" s="271"/>
      <c r="AK287" s="271"/>
      <c r="AL287" s="271"/>
      <c r="AM287" s="271"/>
      <c r="AN287" s="271"/>
    </row>
    <row r="288" spans="1:40" ht="12.75" customHeight="1">
      <c r="A288" s="278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/>
      <c r="AC288" s="271"/>
      <c r="AD288" s="271"/>
      <c r="AE288" s="271"/>
      <c r="AF288" s="271"/>
      <c r="AG288" s="271"/>
      <c r="AH288" s="271"/>
      <c r="AI288" s="271"/>
      <c r="AJ288" s="271"/>
      <c r="AK288" s="271"/>
      <c r="AL288" s="271"/>
      <c r="AM288" s="271"/>
      <c r="AN288" s="271"/>
    </row>
    <row r="289" spans="1:40" ht="12.75" customHeight="1">
      <c r="A289" s="278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  <c r="AB289" s="271"/>
      <c r="AC289" s="271"/>
      <c r="AD289" s="271"/>
      <c r="AE289" s="271"/>
      <c r="AF289" s="271"/>
      <c r="AG289" s="271"/>
      <c r="AH289" s="271"/>
      <c r="AI289" s="271"/>
      <c r="AJ289" s="271"/>
      <c r="AK289" s="271"/>
      <c r="AL289" s="271"/>
      <c r="AM289" s="271"/>
      <c r="AN289" s="271"/>
    </row>
    <row r="290" spans="1:40" ht="12.75" customHeight="1">
      <c r="A290" s="278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  <c r="AB290" s="271"/>
      <c r="AC290" s="271"/>
      <c r="AD290" s="271"/>
      <c r="AE290" s="271"/>
      <c r="AF290" s="271"/>
      <c r="AG290" s="271"/>
      <c r="AH290" s="271"/>
      <c r="AI290" s="271"/>
      <c r="AJ290" s="271"/>
      <c r="AK290" s="271"/>
      <c r="AL290" s="271"/>
      <c r="AM290" s="271"/>
      <c r="AN290" s="271"/>
    </row>
    <row r="291" spans="1:40" ht="12.75" customHeight="1">
      <c r="A291" s="278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/>
      <c r="AC291" s="271"/>
      <c r="AD291" s="271"/>
      <c r="AE291" s="271"/>
      <c r="AF291" s="271"/>
      <c r="AG291" s="271"/>
      <c r="AH291" s="271"/>
      <c r="AI291" s="271"/>
      <c r="AJ291" s="271"/>
      <c r="AK291" s="271"/>
      <c r="AL291" s="271"/>
      <c r="AM291" s="271"/>
      <c r="AN291" s="271"/>
    </row>
    <row r="292" spans="1:40" ht="12.75" customHeight="1">
      <c r="A292" s="278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  <c r="AB292" s="271"/>
      <c r="AC292" s="271"/>
      <c r="AD292" s="271"/>
      <c r="AE292" s="271"/>
      <c r="AF292" s="271"/>
      <c r="AG292" s="271"/>
      <c r="AH292" s="271"/>
      <c r="AI292" s="271"/>
      <c r="AJ292" s="271"/>
      <c r="AK292" s="271"/>
      <c r="AL292" s="271"/>
      <c r="AM292" s="271"/>
      <c r="AN292" s="271"/>
    </row>
    <row r="293" spans="1:40" ht="12.75" customHeight="1">
      <c r="A293" s="278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  <c r="AB293" s="271"/>
      <c r="AC293" s="271"/>
      <c r="AD293" s="271"/>
      <c r="AE293" s="271"/>
      <c r="AF293" s="271"/>
      <c r="AG293" s="271"/>
      <c r="AH293" s="271"/>
      <c r="AI293" s="271"/>
      <c r="AJ293" s="271"/>
      <c r="AK293" s="271"/>
      <c r="AL293" s="271"/>
      <c r="AM293" s="271"/>
      <c r="AN293" s="271"/>
    </row>
    <row r="294" spans="1:40" ht="12.75" customHeight="1">
      <c r="A294" s="278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  <c r="AB294" s="271"/>
      <c r="AC294" s="271"/>
      <c r="AD294" s="271"/>
      <c r="AE294" s="271"/>
      <c r="AF294" s="271"/>
      <c r="AG294" s="271"/>
      <c r="AH294" s="271"/>
      <c r="AI294" s="271"/>
      <c r="AJ294" s="271"/>
      <c r="AK294" s="271"/>
      <c r="AL294" s="271"/>
      <c r="AM294" s="271"/>
      <c r="AN294" s="271"/>
    </row>
    <row r="295" spans="1:40" ht="12.75" customHeight="1">
      <c r="A295" s="278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  <c r="AB295" s="271"/>
      <c r="AC295" s="271"/>
      <c r="AD295" s="271"/>
      <c r="AE295" s="271"/>
      <c r="AF295" s="271"/>
      <c r="AG295" s="271"/>
      <c r="AH295" s="271"/>
      <c r="AI295" s="271"/>
      <c r="AJ295" s="271"/>
      <c r="AK295" s="271"/>
      <c r="AL295" s="271"/>
      <c r="AM295" s="271"/>
      <c r="AN295" s="271"/>
    </row>
    <row r="296" spans="1:40" ht="12.75" customHeight="1">
      <c r="A296" s="278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  <c r="AB296" s="271"/>
      <c r="AC296" s="271"/>
      <c r="AD296" s="271"/>
      <c r="AE296" s="271"/>
      <c r="AF296" s="271"/>
      <c r="AG296" s="271"/>
      <c r="AH296" s="271"/>
      <c r="AI296" s="271"/>
      <c r="AJ296" s="271"/>
      <c r="AK296" s="271"/>
      <c r="AL296" s="271"/>
      <c r="AM296" s="271"/>
      <c r="AN296" s="271"/>
    </row>
    <row r="297" spans="1:40" ht="12.75" customHeight="1">
      <c r="A297" s="278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  <c r="AB297" s="271"/>
      <c r="AC297" s="271"/>
      <c r="AD297" s="271"/>
      <c r="AE297" s="271"/>
      <c r="AF297" s="271"/>
      <c r="AG297" s="271"/>
      <c r="AH297" s="271"/>
      <c r="AI297" s="271"/>
      <c r="AJ297" s="271"/>
      <c r="AK297" s="271"/>
      <c r="AL297" s="271"/>
      <c r="AM297" s="271"/>
      <c r="AN297" s="271"/>
    </row>
    <row r="298" spans="1:40" ht="12.75" customHeight="1">
      <c r="A298" s="278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  <c r="AB298" s="271"/>
      <c r="AC298" s="271"/>
      <c r="AD298" s="271"/>
      <c r="AE298" s="271"/>
      <c r="AF298" s="271"/>
      <c r="AG298" s="271"/>
      <c r="AH298" s="271"/>
      <c r="AI298" s="271"/>
      <c r="AJ298" s="271"/>
      <c r="AK298" s="271"/>
      <c r="AL298" s="271"/>
      <c r="AM298" s="271"/>
      <c r="AN298" s="271"/>
    </row>
    <row r="299" spans="1:40" ht="12.75" customHeight="1">
      <c r="A299" s="278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/>
      <c r="AC299" s="271"/>
      <c r="AD299" s="271"/>
      <c r="AE299" s="271"/>
      <c r="AF299" s="271"/>
      <c r="AG299" s="271"/>
      <c r="AH299" s="271"/>
      <c r="AI299" s="271"/>
      <c r="AJ299" s="271"/>
      <c r="AK299" s="271"/>
      <c r="AL299" s="271"/>
      <c r="AM299" s="271"/>
      <c r="AN299" s="271"/>
    </row>
    <row r="300" spans="1:40" ht="12.75" customHeight="1">
      <c r="A300" s="278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/>
      <c r="AC300" s="271"/>
      <c r="AD300" s="271"/>
      <c r="AE300" s="271"/>
      <c r="AF300" s="271"/>
      <c r="AG300" s="271"/>
      <c r="AH300" s="271"/>
      <c r="AI300" s="271"/>
      <c r="AJ300" s="271"/>
      <c r="AK300" s="271"/>
      <c r="AL300" s="271"/>
      <c r="AM300" s="271"/>
      <c r="AN300" s="271"/>
    </row>
    <row r="301" spans="1:40" ht="12.75" customHeight="1">
      <c r="A301" s="278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/>
      <c r="AI301" s="271"/>
      <c r="AJ301" s="271"/>
      <c r="AK301" s="271"/>
      <c r="AL301" s="271"/>
      <c r="AM301" s="271"/>
      <c r="AN301" s="271"/>
    </row>
    <row r="302" spans="1:40" ht="12.75" customHeight="1">
      <c r="A302" s="278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/>
      <c r="AC302" s="271"/>
      <c r="AD302" s="271"/>
      <c r="AE302" s="271"/>
      <c r="AF302" s="271"/>
      <c r="AG302" s="271"/>
      <c r="AH302" s="271"/>
      <c r="AI302" s="271"/>
      <c r="AJ302" s="271"/>
      <c r="AK302" s="271"/>
      <c r="AL302" s="271"/>
      <c r="AM302" s="271"/>
      <c r="AN302" s="271"/>
    </row>
    <row r="303" spans="1:40" ht="12.75" customHeight="1">
      <c r="A303" s="278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  <c r="AH303" s="271"/>
      <c r="AI303" s="271"/>
      <c r="AJ303" s="271"/>
      <c r="AK303" s="271"/>
      <c r="AL303" s="271"/>
      <c r="AM303" s="271"/>
      <c r="AN303" s="271"/>
    </row>
    <row r="304" spans="1:40" ht="12.75" customHeight="1">
      <c r="A304" s="278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1"/>
      <c r="AH304" s="271"/>
      <c r="AI304" s="271"/>
      <c r="AJ304" s="271"/>
      <c r="AK304" s="271"/>
      <c r="AL304" s="271"/>
      <c r="AM304" s="271"/>
      <c r="AN304" s="271"/>
    </row>
    <row r="305" spans="1:40" ht="12.75" customHeight="1">
      <c r="A305" s="278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  <c r="AB305" s="271"/>
      <c r="AC305" s="271"/>
      <c r="AD305" s="271"/>
      <c r="AE305" s="271"/>
      <c r="AF305" s="271"/>
      <c r="AG305" s="271"/>
      <c r="AH305" s="271"/>
      <c r="AI305" s="271"/>
      <c r="AJ305" s="271"/>
      <c r="AK305" s="271"/>
      <c r="AL305" s="271"/>
      <c r="AM305" s="271"/>
      <c r="AN305" s="271"/>
    </row>
    <row r="306" spans="1:40" ht="12.75" customHeight="1">
      <c r="A306" s="278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  <c r="AB306" s="271"/>
      <c r="AC306" s="271"/>
      <c r="AD306" s="271"/>
      <c r="AE306" s="271"/>
      <c r="AF306" s="271"/>
      <c r="AG306" s="271"/>
      <c r="AH306" s="271"/>
      <c r="AI306" s="271"/>
      <c r="AJ306" s="271"/>
      <c r="AK306" s="271"/>
      <c r="AL306" s="271"/>
      <c r="AM306" s="271"/>
      <c r="AN306" s="271"/>
    </row>
    <row r="307" spans="1:40" ht="12.75" customHeight="1">
      <c r="A307" s="278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  <c r="AA307" s="271"/>
      <c r="AB307" s="271"/>
      <c r="AC307" s="271"/>
      <c r="AD307" s="271"/>
      <c r="AE307" s="271"/>
      <c r="AF307" s="271"/>
      <c r="AG307" s="271"/>
      <c r="AH307" s="271"/>
      <c r="AI307" s="271"/>
      <c r="AJ307" s="271"/>
      <c r="AK307" s="271"/>
      <c r="AL307" s="271"/>
      <c r="AM307" s="271"/>
      <c r="AN307" s="271"/>
    </row>
    <row r="308" spans="1:40" ht="12.75" customHeight="1">
      <c r="A308" s="278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  <c r="AA308" s="271"/>
      <c r="AB308" s="271"/>
      <c r="AC308" s="271"/>
      <c r="AD308" s="271"/>
      <c r="AE308" s="271"/>
      <c r="AF308" s="271"/>
      <c r="AG308" s="271"/>
      <c r="AH308" s="271"/>
      <c r="AI308" s="271"/>
      <c r="AJ308" s="271"/>
      <c r="AK308" s="271"/>
      <c r="AL308" s="271"/>
      <c r="AM308" s="271"/>
      <c r="AN308" s="271"/>
    </row>
    <row r="309" spans="1:40" ht="12.75" customHeight="1">
      <c r="A309" s="278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  <c r="AA309" s="271"/>
      <c r="AB309" s="271"/>
      <c r="AC309" s="271"/>
      <c r="AD309" s="271"/>
      <c r="AE309" s="271"/>
      <c r="AF309" s="271"/>
      <c r="AG309" s="271"/>
      <c r="AH309" s="271"/>
      <c r="AI309" s="271"/>
      <c r="AJ309" s="271"/>
      <c r="AK309" s="271"/>
      <c r="AL309" s="271"/>
      <c r="AM309" s="271"/>
      <c r="AN309" s="271"/>
    </row>
    <row r="310" spans="1:40" ht="12.75" customHeight="1">
      <c r="A310" s="278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L310" s="271"/>
      <c r="AM310" s="271"/>
      <c r="AN310" s="271"/>
    </row>
    <row r="311" spans="1:40" ht="12.75" customHeight="1">
      <c r="A311" s="278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1"/>
      <c r="AN311" s="271"/>
    </row>
    <row r="312" spans="1:40" ht="12.75" customHeight="1">
      <c r="A312" s="278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278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71"/>
      <c r="AL312" s="271"/>
      <c r="AM312" s="271"/>
      <c r="AN312" s="271"/>
    </row>
    <row r="313" spans="1:40" ht="12.75" customHeight="1">
      <c r="A313" s="278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  <c r="AH313" s="271"/>
      <c r="AI313" s="271"/>
      <c r="AJ313" s="271"/>
      <c r="AK313" s="271"/>
      <c r="AL313" s="271"/>
      <c r="AM313" s="271"/>
      <c r="AN313" s="271"/>
    </row>
    <row r="314" spans="1:40" ht="12.75" customHeight="1">
      <c r="A314" s="278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278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  <c r="AB314" s="271"/>
      <c r="AC314" s="271"/>
      <c r="AD314" s="271"/>
      <c r="AE314" s="271"/>
      <c r="AF314" s="271"/>
      <c r="AG314" s="271"/>
      <c r="AH314" s="271"/>
      <c r="AI314" s="271"/>
      <c r="AJ314" s="271"/>
      <c r="AK314" s="271"/>
      <c r="AL314" s="271"/>
      <c r="AM314" s="271"/>
      <c r="AN314" s="271"/>
    </row>
    <row r="315" spans="1:40" ht="12.75" customHeight="1">
      <c r="A315" s="278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278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L315" s="271"/>
      <c r="AM315" s="271"/>
      <c r="AN315" s="271"/>
    </row>
    <row r="316" spans="1:40" ht="12.75" customHeight="1">
      <c r="A316" s="278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278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  <c r="AB316" s="271"/>
      <c r="AC316" s="271"/>
      <c r="AD316" s="271"/>
      <c r="AE316" s="271"/>
      <c r="AF316" s="271"/>
      <c r="AG316" s="271"/>
      <c r="AH316" s="271"/>
      <c r="AI316" s="271"/>
      <c r="AJ316" s="271"/>
      <c r="AK316" s="271"/>
      <c r="AL316" s="271"/>
      <c r="AM316" s="271"/>
      <c r="AN316" s="271"/>
    </row>
    <row r="317" spans="1:40" ht="12.75" customHeight="1">
      <c r="A317" s="278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278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L317" s="271"/>
      <c r="AM317" s="271"/>
      <c r="AN317" s="271"/>
    </row>
    <row r="318" spans="1:40" ht="12.75" customHeight="1">
      <c r="A318" s="278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  <c r="AB318" s="271"/>
      <c r="AC318" s="271"/>
      <c r="AD318" s="271"/>
      <c r="AE318" s="271"/>
      <c r="AF318" s="271"/>
      <c r="AG318" s="271"/>
      <c r="AH318" s="271"/>
      <c r="AI318" s="271"/>
      <c r="AJ318" s="271"/>
      <c r="AK318" s="271"/>
      <c r="AL318" s="271"/>
      <c r="AM318" s="271"/>
      <c r="AN318" s="271"/>
    </row>
    <row r="319" spans="1:40" ht="12.75" customHeight="1">
      <c r="A319" s="278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  <c r="AA319" s="271"/>
      <c r="AB319" s="271"/>
      <c r="AC319" s="271"/>
      <c r="AD319" s="271"/>
      <c r="AE319" s="271"/>
      <c r="AF319" s="271"/>
      <c r="AG319" s="271"/>
      <c r="AH319" s="271"/>
      <c r="AI319" s="271"/>
      <c r="AJ319" s="271"/>
      <c r="AK319" s="271"/>
      <c r="AL319" s="271"/>
      <c r="AM319" s="271"/>
      <c r="AN319" s="271"/>
    </row>
    <row r="320" spans="1:40" ht="12.75" customHeight="1">
      <c r="A320" s="278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278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  <c r="AB320" s="271"/>
      <c r="AC320" s="271"/>
      <c r="AD320" s="271"/>
      <c r="AE320" s="271"/>
      <c r="AF320" s="271"/>
      <c r="AG320" s="271"/>
      <c r="AH320" s="271"/>
      <c r="AI320" s="271"/>
      <c r="AJ320" s="271"/>
      <c r="AK320" s="271"/>
      <c r="AL320" s="271"/>
      <c r="AM320" s="271"/>
      <c r="AN320" s="271"/>
    </row>
    <row r="321" spans="1:40" ht="12.75" customHeight="1">
      <c r="A321" s="278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  <c r="AB321" s="271"/>
      <c r="AC321" s="271"/>
      <c r="AD321" s="271"/>
      <c r="AE321" s="271"/>
      <c r="AF321" s="271"/>
      <c r="AG321" s="271"/>
      <c r="AH321" s="271"/>
      <c r="AI321" s="271"/>
      <c r="AJ321" s="271"/>
      <c r="AK321" s="271"/>
      <c r="AL321" s="271"/>
      <c r="AM321" s="271"/>
      <c r="AN321" s="271"/>
    </row>
    <row r="322" spans="1:40" ht="12.75" customHeight="1">
      <c r="A322" s="278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278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  <c r="AB322" s="271"/>
      <c r="AC322" s="271"/>
      <c r="AD322" s="271"/>
      <c r="AE322" s="271"/>
      <c r="AF322" s="271"/>
      <c r="AG322" s="271"/>
      <c r="AH322" s="271"/>
      <c r="AI322" s="271"/>
      <c r="AJ322" s="271"/>
      <c r="AK322" s="271"/>
      <c r="AL322" s="271"/>
      <c r="AM322" s="271"/>
      <c r="AN322" s="271"/>
    </row>
    <row r="323" spans="1:40" ht="12.75" customHeight="1">
      <c r="A323" s="278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  <c r="AB323" s="271"/>
      <c r="AC323" s="271"/>
      <c r="AD323" s="271"/>
      <c r="AE323" s="271"/>
      <c r="AF323" s="271"/>
      <c r="AG323" s="271"/>
      <c r="AH323" s="271"/>
      <c r="AI323" s="271"/>
      <c r="AJ323" s="271"/>
      <c r="AK323" s="271"/>
      <c r="AL323" s="271"/>
      <c r="AM323" s="271"/>
      <c r="AN323" s="271"/>
    </row>
    <row r="324" spans="1:40" ht="12.75" customHeight="1">
      <c r="A324" s="278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  <c r="AB324" s="271"/>
      <c r="AC324" s="271"/>
      <c r="AD324" s="271"/>
      <c r="AE324" s="271"/>
      <c r="AF324" s="271"/>
      <c r="AG324" s="271"/>
      <c r="AH324" s="271"/>
      <c r="AI324" s="271"/>
      <c r="AJ324" s="271"/>
      <c r="AK324" s="271"/>
      <c r="AL324" s="271"/>
      <c r="AM324" s="271"/>
      <c r="AN324" s="271"/>
    </row>
    <row r="325" spans="1:40" ht="12.75" customHeight="1">
      <c r="A325" s="278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278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  <c r="AH325" s="271"/>
      <c r="AI325" s="271"/>
      <c r="AJ325" s="271"/>
      <c r="AK325" s="271"/>
      <c r="AL325" s="271"/>
      <c r="AM325" s="271"/>
      <c r="AN325" s="271"/>
    </row>
    <row r="326" spans="1:40" ht="12.75" customHeight="1">
      <c r="A326" s="278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278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  <c r="AB326" s="271"/>
      <c r="AC326" s="271"/>
      <c r="AD326" s="271"/>
      <c r="AE326" s="271"/>
      <c r="AF326" s="271"/>
      <c r="AG326" s="271"/>
      <c r="AH326" s="271"/>
      <c r="AI326" s="271"/>
      <c r="AJ326" s="271"/>
      <c r="AK326" s="271"/>
      <c r="AL326" s="271"/>
      <c r="AM326" s="271"/>
      <c r="AN326" s="271"/>
    </row>
    <row r="327" spans="1:40" ht="12.75" customHeight="1">
      <c r="A327" s="278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278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1"/>
      <c r="AN327" s="271"/>
    </row>
    <row r="328" spans="1:40" ht="12.75" customHeight="1">
      <c r="A328" s="278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278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  <c r="AB328" s="271"/>
      <c r="AC328" s="271"/>
      <c r="AD328" s="271"/>
      <c r="AE328" s="271"/>
      <c r="AF328" s="271"/>
      <c r="AG328" s="271"/>
      <c r="AH328" s="271"/>
      <c r="AI328" s="271"/>
      <c r="AJ328" s="271"/>
      <c r="AK328" s="271"/>
      <c r="AL328" s="271"/>
      <c r="AM328" s="271"/>
      <c r="AN328" s="271"/>
    </row>
    <row r="329" spans="1:40" ht="12.75" customHeight="1">
      <c r="A329" s="278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278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  <c r="AB329" s="271"/>
      <c r="AC329" s="271"/>
      <c r="AD329" s="271"/>
      <c r="AE329" s="271"/>
      <c r="AF329" s="271"/>
      <c r="AG329" s="271"/>
      <c r="AH329" s="271"/>
      <c r="AI329" s="271"/>
      <c r="AJ329" s="271"/>
      <c r="AK329" s="271"/>
      <c r="AL329" s="271"/>
      <c r="AM329" s="271"/>
      <c r="AN329" s="271"/>
    </row>
    <row r="330" spans="1:40" ht="12.75" customHeight="1">
      <c r="A330" s="278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278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  <c r="AA330" s="271"/>
      <c r="AB330" s="271"/>
      <c r="AC330" s="271"/>
      <c r="AD330" s="271"/>
      <c r="AE330" s="271"/>
      <c r="AF330" s="271"/>
      <c r="AG330" s="271"/>
      <c r="AH330" s="271"/>
      <c r="AI330" s="271"/>
      <c r="AJ330" s="271"/>
      <c r="AK330" s="271"/>
      <c r="AL330" s="271"/>
      <c r="AM330" s="271"/>
      <c r="AN330" s="271"/>
    </row>
    <row r="331" spans="1:40" ht="12.75" customHeight="1">
      <c r="A331" s="278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278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  <c r="AH331" s="271"/>
      <c r="AI331" s="271"/>
      <c r="AJ331" s="271"/>
      <c r="AK331" s="271"/>
      <c r="AL331" s="271"/>
      <c r="AM331" s="271"/>
      <c r="AN331" s="271"/>
    </row>
    <row r="332" spans="1:40" ht="12.75" customHeight="1">
      <c r="A332" s="278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278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  <c r="AA332" s="271"/>
      <c r="AB332" s="271"/>
      <c r="AC332" s="271"/>
      <c r="AD332" s="271"/>
      <c r="AE332" s="271"/>
      <c r="AF332" s="271"/>
      <c r="AG332" s="271"/>
      <c r="AH332" s="271"/>
      <c r="AI332" s="271"/>
      <c r="AJ332" s="271"/>
      <c r="AK332" s="271"/>
      <c r="AL332" s="271"/>
      <c r="AM332" s="271"/>
      <c r="AN332" s="271"/>
    </row>
    <row r="333" spans="1:40" ht="12.75" customHeight="1">
      <c r="A333" s="278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278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  <c r="AB333" s="271"/>
      <c r="AC333" s="271"/>
      <c r="AD333" s="271"/>
      <c r="AE333" s="271"/>
      <c r="AF333" s="271"/>
      <c r="AG333" s="271"/>
      <c r="AH333" s="271"/>
      <c r="AI333" s="271"/>
      <c r="AJ333" s="271"/>
      <c r="AK333" s="271"/>
      <c r="AL333" s="271"/>
      <c r="AM333" s="271"/>
      <c r="AN333" s="271"/>
    </row>
    <row r="334" spans="1:40" ht="12.75" customHeight="1">
      <c r="A334" s="278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278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  <c r="AA334" s="271"/>
      <c r="AB334" s="271"/>
      <c r="AC334" s="271"/>
      <c r="AD334" s="271"/>
      <c r="AE334" s="271"/>
      <c r="AF334" s="271"/>
      <c r="AG334" s="271"/>
      <c r="AH334" s="271"/>
      <c r="AI334" s="271"/>
      <c r="AJ334" s="271"/>
      <c r="AK334" s="271"/>
      <c r="AL334" s="271"/>
      <c r="AM334" s="271"/>
      <c r="AN334" s="271"/>
    </row>
    <row r="335" spans="1:40" ht="12.75" customHeight="1">
      <c r="A335" s="278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278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  <c r="AA335" s="271"/>
      <c r="AB335" s="271"/>
      <c r="AC335" s="271"/>
      <c r="AD335" s="271"/>
      <c r="AE335" s="271"/>
      <c r="AF335" s="271"/>
      <c r="AG335" s="271"/>
      <c r="AH335" s="271"/>
      <c r="AI335" s="271"/>
      <c r="AJ335" s="271"/>
      <c r="AK335" s="271"/>
      <c r="AL335" s="271"/>
      <c r="AM335" s="271"/>
      <c r="AN335" s="271"/>
    </row>
    <row r="336" spans="1:40" ht="12.75" customHeight="1">
      <c r="A336" s="278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278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  <c r="AA336" s="271"/>
      <c r="AB336" s="271"/>
      <c r="AC336" s="271"/>
      <c r="AD336" s="271"/>
      <c r="AE336" s="271"/>
      <c r="AF336" s="271"/>
      <c r="AG336" s="271"/>
      <c r="AH336" s="271"/>
      <c r="AI336" s="271"/>
      <c r="AJ336" s="271"/>
      <c r="AK336" s="271"/>
      <c r="AL336" s="271"/>
      <c r="AM336" s="271"/>
      <c r="AN336" s="271"/>
    </row>
    <row r="337" spans="1:40" ht="12.75" customHeight="1">
      <c r="A337" s="278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278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  <c r="AA337" s="271"/>
      <c r="AB337" s="271"/>
      <c r="AC337" s="271"/>
      <c r="AD337" s="271"/>
      <c r="AE337" s="271"/>
      <c r="AF337" s="271"/>
      <c r="AG337" s="271"/>
      <c r="AH337" s="271"/>
      <c r="AI337" s="271"/>
      <c r="AJ337" s="271"/>
      <c r="AK337" s="271"/>
      <c r="AL337" s="271"/>
      <c r="AM337" s="271"/>
      <c r="AN337" s="271"/>
    </row>
    <row r="338" spans="1:40" ht="12.75" customHeight="1">
      <c r="A338" s="278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278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  <c r="AA338" s="271"/>
      <c r="AB338" s="271"/>
      <c r="AC338" s="271"/>
      <c r="AD338" s="271"/>
      <c r="AE338" s="271"/>
      <c r="AF338" s="271"/>
      <c r="AG338" s="271"/>
      <c r="AH338" s="271"/>
      <c r="AI338" s="271"/>
      <c r="AJ338" s="271"/>
      <c r="AK338" s="271"/>
      <c r="AL338" s="271"/>
      <c r="AM338" s="271"/>
      <c r="AN338" s="271"/>
    </row>
    <row r="339" spans="1:40" ht="12.75" customHeight="1">
      <c r="A339" s="278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  <c r="AB339" s="271"/>
      <c r="AC339" s="271"/>
      <c r="AD339" s="271"/>
      <c r="AE339" s="271"/>
      <c r="AF339" s="271"/>
      <c r="AG339" s="271"/>
      <c r="AH339" s="271"/>
      <c r="AI339" s="271"/>
      <c r="AJ339" s="271"/>
      <c r="AK339" s="271"/>
      <c r="AL339" s="271"/>
      <c r="AM339" s="271"/>
      <c r="AN339" s="271"/>
    </row>
    <row r="340" spans="1:40" ht="12.75" customHeight="1">
      <c r="A340" s="278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278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  <c r="AA340" s="271"/>
      <c r="AB340" s="271"/>
      <c r="AC340" s="271"/>
      <c r="AD340" s="271"/>
      <c r="AE340" s="271"/>
      <c r="AF340" s="271"/>
      <c r="AG340" s="271"/>
      <c r="AH340" s="271"/>
      <c r="AI340" s="271"/>
      <c r="AJ340" s="271"/>
      <c r="AK340" s="271"/>
      <c r="AL340" s="271"/>
      <c r="AM340" s="271"/>
      <c r="AN340" s="271"/>
    </row>
    <row r="341" spans="1:40" ht="12.75" customHeight="1">
      <c r="A341" s="278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278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  <c r="AA341" s="271"/>
      <c r="AB341" s="271"/>
      <c r="AC341" s="271"/>
      <c r="AD341" s="271"/>
      <c r="AE341" s="271"/>
      <c r="AF341" s="271"/>
      <c r="AG341" s="271"/>
      <c r="AH341" s="271"/>
      <c r="AI341" s="271"/>
      <c r="AJ341" s="271"/>
      <c r="AK341" s="271"/>
      <c r="AL341" s="271"/>
      <c r="AM341" s="271"/>
      <c r="AN341" s="271"/>
    </row>
    <row r="342" spans="1:40" ht="12.75" customHeight="1">
      <c r="A342" s="278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278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  <c r="AA342" s="271"/>
      <c r="AB342" s="271"/>
      <c r="AC342" s="271"/>
      <c r="AD342" s="271"/>
      <c r="AE342" s="271"/>
      <c r="AF342" s="271"/>
      <c r="AG342" s="271"/>
      <c r="AH342" s="271"/>
      <c r="AI342" s="271"/>
      <c r="AJ342" s="271"/>
      <c r="AK342" s="271"/>
      <c r="AL342" s="271"/>
      <c r="AM342" s="271"/>
      <c r="AN342" s="271"/>
    </row>
    <row r="343" spans="1:40" ht="12.75" customHeight="1">
      <c r="A343" s="278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278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  <c r="AA343" s="271"/>
      <c r="AB343" s="271"/>
      <c r="AC343" s="271"/>
      <c r="AD343" s="271"/>
      <c r="AE343" s="271"/>
      <c r="AF343" s="271"/>
      <c r="AG343" s="271"/>
      <c r="AH343" s="271"/>
      <c r="AI343" s="271"/>
      <c r="AJ343" s="271"/>
      <c r="AK343" s="271"/>
      <c r="AL343" s="271"/>
      <c r="AM343" s="271"/>
      <c r="AN343" s="271"/>
    </row>
    <row r="344" spans="1:40" ht="12.75" customHeight="1">
      <c r="A344" s="278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278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271"/>
      <c r="AF344" s="271"/>
      <c r="AG344" s="271"/>
      <c r="AH344" s="271"/>
      <c r="AI344" s="271"/>
      <c r="AJ344" s="271"/>
      <c r="AK344" s="271"/>
      <c r="AL344" s="271"/>
      <c r="AM344" s="271"/>
      <c r="AN344" s="271"/>
    </row>
    <row r="345" spans="1:40" ht="12.75" customHeight="1">
      <c r="A345" s="278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278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  <c r="AA345" s="271"/>
      <c r="AB345" s="271"/>
      <c r="AC345" s="271"/>
      <c r="AD345" s="271"/>
      <c r="AE345" s="271"/>
      <c r="AF345" s="271"/>
      <c r="AG345" s="271"/>
      <c r="AH345" s="271"/>
      <c r="AI345" s="271"/>
      <c r="AJ345" s="271"/>
      <c r="AK345" s="271"/>
      <c r="AL345" s="271"/>
      <c r="AM345" s="271"/>
      <c r="AN345" s="271"/>
    </row>
    <row r="346" spans="1:40" ht="12.75" customHeight="1">
      <c r="A346" s="278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278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  <c r="AA346" s="271"/>
      <c r="AB346" s="271"/>
      <c r="AC346" s="271"/>
      <c r="AD346" s="271"/>
      <c r="AE346" s="271"/>
      <c r="AF346" s="271"/>
      <c r="AG346" s="271"/>
      <c r="AH346" s="271"/>
      <c r="AI346" s="271"/>
      <c r="AJ346" s="271"/>
      <c r="AK346" s="271"/>
      <c r="AL346" s="271"/>
      <c r="AM346" s="271"/>
      <c r="AN346" s="271"/>
    </row>
    <row r="347" spans="1:40" ht="12.75" customHeight="1">
      <c r="A347" s="278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278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  <c r="AA347" s="271"/>
      <c r="AB347" s="271"/>
      <c r="AC347" s="271"/>
      <c r="AD347" s="271"/>
      <c r="AE347" s="271"/>
      <c r="AF347" s="271"/>
      <c r="AG347" s="271"/>
      <c r="AH347" s="271"/>
      <c r="AI347" s="271"/>
      <c r="AJ347" s="271"/>
      <c r="AK347" s="271"/>
      <c r="AL347" s="271"/>
      <c r="AM347" s="271"/>
      <c r="AN347" s="271"/>
    </row>
    <row r="348" spans="1:40" ht="12.75" customHeight="1">
      <c r="A348" s="278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278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  <c r="AA348" s="271"/>
      <c r="AB348" s="271"/>
      <c r="AC348" s="271"/>
      <c r="AD348" s="271"/>
      <c r="AE348" s="271"/>
      <c r="AF348" s="271"/>
      <c r="AG348" s="271"/>
      <c r="AH348" s="271"/>
      <c r="AI348" s="271"/>
      <c r="AJ348" s="271"/>
      <c r="AK348" s="271"/>
      <c r="AL348" s="271"/>
      <c r="AM348" s="271"/>
      <c r="AN348" s="271"/>
    </row>
    <row r="349" spans="1:40" ht="12.75" customHeight="1">
      <c r="A349" s="278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278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  <c r="AA349" s="271"/>
      <c r="AB349" s="271"/>
      <c r="AC349" s="271"/>
      <c r="AD349" s="271"/>
      <c r="AE349" s="271"/>
      <c r="AF349" s="271"/>
      <c r="AG349" s="271"/>
      <c r="AH349" s="271"/>
      <c r="AI349" s="271"/>
      <c r="AJ349" s="271"/>
      <c r="AK349" s="271"/>
      <c r="AL349" s="271"/>
      <c r="AM349" s="271"/>
      <c r="AN349" s="271"/>
    </row>
    <row r="350" spans="1:40" ht="12.75" customHeight="1">
      <c r="A350" s="278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278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  <c r="AA350" s="271"/>
      <c r="AB350" s="271"/>
      <c r="AC350" s="271"/>
      <c r="AD350" s="271"/>
      <c r="AE350" s="271"/>
      <c r="AF350" s="271"/>
      <c r="AG350" s="271"/>
      <c r="AH350" s="271"/>
      <c r="AI350" s="271"/>
      <c r="AJ350" s="271"/>
      <c r="AK350" s="271"/>
      <c r="AL350" s="271"/>
      <c r="AM350" s="271"/>
      <c r="AN350" s="271"/>
    </row>
    <row r="351" spans="1:40" ht="12.75" customHeight="1">
      <c r="A351" s="278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  <c r="AA351" s="271"/>
      <c r="AB351" s="271"/>
      <c r="AC351" s="271"/>
      <c r="AD351" s="271"/>
      <c r="AE351" s="271"/>
      <c r="AF351" s="271"/>
      <c r="AG351" s="271"/>
      <c r="AH351" s="271"/>
      <c r="AI351" s="271"/>
      <c r="AJ351" s="271"/>
      <c r="AK351" s="271"/>
      <c r="AL351" s="271"/>
      <c r="AM351" s="271"/>
      <c r="AN351" s="271"/>
    </row>
    <row r="352" spans="1:40" ht="12.75" customHeight="1">
      <c r="A352" s="278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278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  <c r="AA352" s="271"/>
      <c r="AB352" s="271"/>
      <c r="AC352" s="271"/>
      <c r="AD352" s="271"/>
      <c r="AE352" s="271"/>
      <c r="AF352" s="271"/>
      <c r="AG352" s="271"/>
      <c r="AH352" s="271"/>
      <c r="AI352" s="271"/>
      <c r="AJ352" s="271"/>
      <c r="AK352" s="271"/>
      <c r="AL352" s="271"/>
      <c r="AM352" s="271"/>
      <c r="AN352" s="271"/>
    </row>
    <row r="353" spans="1:40" ht="12.75" customHeight="1">
      <c r="A353" s="278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278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  <c r="AA353" s="271"/>
      <c r="AB353" s="271"/>
      <c r="AC353" s="271"/>
      <c r="AD353" s="271"/>
      <c r="AE353" s="271"/>
      <c r="AF353" s="271"/>
      <c r="AG353" s="271"/>
      <c r="AH353" s="271"/>
      <c r="AI353" s="271"/>
      <c r="AJ353" s="271"/>
      <c r="AK353" s="271"/>
      <c r="AL353" s="271"/>
      <c r="AM353" s="271"/>
      <c r="AN353" s="271"/>
    </row>
    <row r="354" spans="1:40" ht="12.75" customHeight="1">
      <c r="A354" s="278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278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  <c r="AB354" s="271"/>
      <c r="AC354" s="271"/>
      <c r="AD354" s="271"/>
      <c r="AE354" s="271"/>
      <c r="AF354" s="271"/>
      <c r="AG354" s="271"/>
      <c r="AH354" s="271"/>
      <c r="AI354" s="271"/>
      <c r="AJ354" s="271"/>
      <c r="AK354" s="271"/>
      <c r="AL354" s="271"/>
      <c r="AM354" s="271"/>
      <c r="AN354" s="271"/>
    </row>
    <row r="355" spans="1:40" ht="12.75" customHeight="1">
      <c r="A355" s="278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278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  <c r="AA355" s="271"/>
      <c r="AB355" s="271"/>
      <c r="AC355" s="271"/>
      <c r="AD355" s="271"/>
      <c r="AE355" s="271"/>
      <c r="AF355" s="271"/>
      <c r="AG355" s="271"/>
      <c r="AH355" s="271"/>
      <c r="AI355" s="271"/>
      <c r="AJ355" s="271"/>
      <c r="AK355" s="271"/>
      <c r="AL355" s="271"/>
      <c r="AM355" s="271"/>
      <c r="AN355" s="271"/>
    </row>
    <row r="356" spans="1:40" ht="12.75" customHeight="1">
      <c r="A356" s="278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278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  <c r="AA356" s="271"/>
      <c r="AB356" s="271"/>
      <c r="AC356" s="271"/>
      <c r="AD356" s="271"/>
      <c r="AE356" s="271"/>
      <c r="AF356" s="271"/>
      <c r="AG356" s="271"/>
      <c r="AH356" s="271"/>
      <c r="AI356" s="271"/>
      <c r="AJ356" s="271"/>
      <c r="AK356" s="271"/>
      <c r="AL356" s="271"/>
      <c r="AM356" s="271"/>
      <c r="AN356" s="271"/>
    </row>
    <row r="357" spans="1:40" ht="12.75" customHeight="1">
      <c r="A357" s="278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278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  <c r="AA357" s="271"/>
      <c r="AB357" s="271"/>
      <c r="AC357" s="271"/>
      <c r="AD357" s="271"/>
      <c r="AE357" s="271"/>
      <c r="AF357" s="271"/>
      <c r="AG357" s="271"/>
      <c r="AH357" s="271"/>
      <c r="AI357" s="271"/>
      <c r="AJ357" s="271"/>
      <c r="AK357" s="271"/>
      <c r="AL357" s="271"/>
      <c r="AM357" s="271"/>
      <c r="AN357" s="271"/>
    </row>
    <row r="358" spans="1:40" ht="12.75" customHeight="1">
      <c r="A358" s="278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278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  <c r="AH358" s="271"/>
      <c r="AI358" s="271"/>
      <c r="AJ358" s="271"/>
      <c r="AK358" s="271"/>
      <c r="AL358" s="271"/>
      <c r="AM358" s="271"/>
      <c r="AN358" s="271"/>
    </row>
    <row r="359" spans="1:40" ht="12.75" customHeight="1">
      <c r="A359" s="278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278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  <c r="AH359" s="271"/>
      <c r="AI359" s="271"/>
      <c r="AJ359" s="271"/>
      <c r="AK359" s="271"/>
      <c r="AL359" s="271"/>
      <c r="AM359" s="271"/>
      <c r="AN359" s="271"/>
    </row>
    <row r="360" spans="1:40" ht="12.75" customHeight="1">
      <c r="A360" s="278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278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271"/>
      <c r="AJ360" s="271"/>
      <c r="AK360" s="271"/>
      <c r="AL360" s="271"/>
      <c r="AM360" s="271"/>
      <c r="AN360" s="271"/>
    </row>
    <row r="361" spans="1:40" ht="12.75" customHeight="1">
      <c r="A361" s="278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278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  <c r="AA361" s="271"/>
      <c r="AB361" s="271"/>
      <c r="AC361" s="271"/>
      <c r="AD361" s="271"/>
      <c r="AE361" s="271"/>
      <c r="AF361" s="271"/>
      <c r="AG361" s="271"/>
      <c r="AH361" s="271"/>
      <c r="AI361" s="271"/>
      <c r="AJ361" s="271"/>
      <c r="AK361" s="271"/>
      <c r="AL361" s="271"/>
      <c r="AM361" s="271"/>
      <c r="AN361" s="271"/>
    </row>
    <row r="362" spans="1:40" ht="12.75" customHeight="1">
      <c r="A362" s="278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278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  <c r="AA362" s="271"/>
      <c r="AB362" s="271"/>
      <c r="AC362" s="271"/>
      <c r="AD362" s="271"/>
      <c r="AE362" s="271"/>
      <c r="AF362" s="271"/>
      <c r="AG362" s="271"/>
      <c r="AH362" s="271"/>
      <c r="AI362" s="271"/>
      <c r="AJ362" s="271"/>
      <c r="AK362" s="271"/>
      <c r="AL362" s="271"/>
      <c r="AM362" s="271"/>
      <c r="AN362" s="271"/>
    </row>
    <row r="363" spans="1:40" ht="12.75" customHeight="1">
      <c r="A363" s="278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  <c r="AA363" s="271"/>
      <c r="AB363" s="271"/>
      <c r="AC363" s="271"/>
      <c r="AD363" s="271"/>
      <c r="AE363" s="271"/>
      <c r="AF363" s="271"/>
      <c r="AG363" s="271"/>
      <c r="AH363" s="271"/>
      <c r="AI363" s="271"/>
      <c r="AJ363" s="271"/>
      <c r="AK363" s="271"/>
      <c r="AL363" s="271"/>
      <c r="AM363" s="271"/>
      <c r="AN363" s="271"/>
    </row>
    <row r="364" spans="1:40" ht="12.75" customHeight="1">
      <c r="A364" s="278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278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  <c r="AA364" s="271"/>
      <c r="AB364" s="271"/>
      <c r="AC364" s="271"/>
      <c r="AD364" s="271"/>
      <c r="AE364" s="271"/>
      <c r="AF364" s="271"/>
      <c r="AG364" s="271"/>
      <c r="AH364" s="271"/>
      <c r="AI364" s="271"/>
      <c r="AJ364" s="271"/>
      <c r="AK364" s="271"/>
      <c r="AL364" s="271"/>
      <c r="AM364" s="271"/>
      <c r="AN364" s="271"/>
    </row>
    <row r="365" spans="1:40" ht="12.75" customHeight="1">
      <c r="A365" s="278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  <c r="AB365" s="271"/>
      <c r="AC365" s="271"/>
      <c r="AD365" s="271"/>
      <c r="AE365" s="271"/>
      <c r="AF365" s="271"/>
      <c r="AG365" s="271"/>
      <c r="AH365" s="271"/>
      <c r="AI365" s="271"/>
      <c r="AJ365" s="271"/>
      <c r="AK365" s="271"/>
      <c r="AL365" s="271"/>
      <c r="AM365" s="271"/>
      <c r="AN365" s="271"/>
    </row>
    <row r="366" spans="1:40" ht="12.75" customHeight="1">
      <c r="A366" s="278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278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  <c r="AB366" s="271"/>
      <c r="AC366" s="271"/>
      <c r="AD366" s="271"/>
      <c r="AE366" s="271"/>
      <c r="AF366" s="271"/>
      <c r="AG366" s="271"/>
      <c r="AH366" s="271"/>
      <c r="AI366" s="271"/>
      <c r="AJ366" s="271"/>
      <c r="AK366" s="271"/>
      <c r="AL366" s="271"/>
      <c r="AM366" s="271"/>
      <c r="AN366" s="271"/>
    </row>
    <row r="367" spans="1:40" ht="12.75" customHeight="1">
      <c r="A367" s="278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278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  <c r="AA367" s="271"/>
      <c r="AB367" s="271"/>
      <c r="AC367" s="271"/>
      <c r="AD367" s="271"/>
      <c r="AE367" s="271"/>
      <c r="AF367" s="271"/>
      <c r="AG367" s="271"/>
      <c r="AH367" s="271"/>
      <c r="AI367" s="271"/>
      <c r="AJ367" s="271"/>
      <c r="AK367" s="271"/>
      <c r="AL367" s="271"/>
      <c r="AM367" s="271"/>
      <c r="AN367" s="271"/>
    </row>
    <row r="368" spans="1:40" ht="12.75" customHeight="1">
      <c r="A368" s="278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278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  <c r="AB368" s="271"/>
      <c r="AC368" s="271"/>
      <c r="AD368" s="271"/>
      <c r="AE368" s="271"/>
      <c r="AF368" s="271"/>
      <c r="AG368" s="271"/>
      <c r="AH368" s="271"/>
      <c r="AI368" s="271"/>
      <c r="AJ368" s="271"/>
      <c r="AK368" s="271"/>
      <c r="AL368" s="271"/>
      <c r="AM368" s="271"/>
      <c r="AN368" s="271"/>
    </row>
    <row r="369" spans="1:40" ht="12.75" customHeight="1">
      <c r="A369" s="278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278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  <c r="AB369" s="271"/>
      <c r="AC369" s="271"/>
      <c r="AD369" s="271"/>
      <c r="AE369" s="271"/>
      <c r="AF369" s="271"/>
      <c r="AG369" s="271"/>
      <c r="AH369" s="271"/>
      <c r="AI369" s="271"/>
      <c r="AJ369" s="271"/>
      <c r="AK369" s="271"/>
      <c r="AL369" s="271"/>
      <c r="AM369" s="271"/>
      <c r="AN369" s="271"/>
    </row>
    <row r="370" spans="1:40" ht="12.75" customHeight="1">
      <c r="A370" s="278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278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  <c r="AB370" s="271"/>
      <c r="AC370" s="271"/>
      <c r="AD370" s="271"/>
      <c r="AE370" s="271"/>
      <c r="AF370" s="271"/>
      <c r="AG370" s="271"/>
      <c r="AH370" s="271"/>
      <c r="AI370" s="271"/>
      <c r="AJ370" s="271"/>
      <c r="AK370" s="271"/>
      <c r="AL370" s="271"/>
      <c r="AM370" s="271"/>
      <c r="AN370" s="271"/>
    </row>
    <row r="371" spans="1:40" ht="12.75" customHeight="1">
      <c r="A371" s="278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278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  <c r="AA371" s="271"/>
      <c r="AB371" s="271"/>
      <c r="AC371" s="271"/>
      <c r="AD371" s="271"/>
      <c r="AE371" s="271"/>
      <c r="AF371" s="271"/>
      <c r="AG371" s="271"/>
      <c r="AH371" s="271"/>
      <c r="AI371" s="271"/>
      <c r="AJ371" s="271"/>
      <c r="AK371" s="271"/>
      <c r="AL371" s="271"/>
      <c r="AM371" s="271"/>
      <c r="AN371" s="271"/>
    </row>
    <row r="372" spans="1:40" ht="12.75" customHeight="1">
      <c r="A372" s="278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278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  <c r="AB372" s="271"/>
      <c r="AC372" s="271"/>
      <c r="AD372" s="271"/>
      <c r="AE372" s="271"/>
      <c r="AF372" s="271"/>
      <c r="AG372" s="271"/>
      <c r="AH372" s="271"/>
      <c r="AI372" s="271"/>
      <c r="AJ372" s="271"/>
      <c r="AK372" s="271"/>
      <c r="AL372" s="271"/>
      <c r="AM372" s="271"/>
      <c r="AN372" s="271"/>
    </row>
    <row r="373" spans="1:40" ht="12.75" customHeight="1">
      <c r="A373" s="278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278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1"/>
      <c r="AJ373" s="271"/>
      <c r="AK373" s="271"/>
      <c r="AL373" s="271"/>
      <c r="AM373" s="271"/>
      <c r="AN373" s="271"/>
    </row>
    <row r="374" spans="1:40" ht="12.75" customHeight="1">
      <c r="A374" s="278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278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  <c r="AB374" s="271"/>
      <c r="AC374" s="271"/>
      <c r="AD374" s="271"/>
      <c r="AE374" s="271"/>
      <c r="AF374" s="271"/>
      <c r="AG374" s="271"/>
      <c r="AH374" s="271"/>
      <c r="AI374" s="271"/>
      <c r="AJ374" s="271"/>
      <c r="AK374" s="271"/>
      <c r="AL374" s="271"/>
      <c r="AM374" s="271"/>
      <c r="AN374" s="271"/>
    </row>
    <row r="375" spans="1:40" ht="12.75" customHeight="1">
      <c r="A375" s="278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1"/>
      <c r="AH375" s="271"/>
      <c r="AI375" s="271"/>
      <c r="AJ375" s="271"/>
      <c r="AK375" s="271"/>
      <c r="AL375" s="271"/>
      <c r="AM375" s="271"/>
      <c r="AN375" s="271"/>
    </row>
    <row r="376" spans="1:40" ht="12.75" customHeight="1">
      <c r="A376" s="278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278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  <c r="AB376" s="271"/>
      <c r="AC376" s="271"/>
      <c r="AD376" s="271"/>
      <c r="AE376" s="271"/>
      <c r="AF376" s="271"/>
      <c r="AG376" s="271"/>
      <c r="AH376" s="271"/>
      <c r="AI376" s="271"/>
      <c r="AJ376" s="271"/>
      <c r="AK376" s="271"/>
      <c r="AL376" s="271"/>
      <c r="AM376" s="271"/>
      <c r="AN376" s="271"/>
    </row>
    <row r="377" spans="1:40" ht="12.75" customHeight="1">
      <c r="A377" s="278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278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1"/>
      <c r="AH377" s="271"/>
      <c r="AI377" s="271"/>
      <c r="AJ377" s="271"/>
      <c r="AK377" s="271"/>
      <c r="AL377" s="271"/>
      <c r="AM377" s="271"/>
      <c r="AN377" s="271"/>
    </row>
    <row r="378" spans="1:40" ht="12.75" customHeight="1">
      <c r="A378" s="278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278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  <c r="AA378" s="271"/>
      <c r="AB378" s="271"/>
      <c r="AC378" s="271"/>
      <c r="AD378" s="271"/>
      <c r="AE378" s="271"/>
      <c r="AF378" s="271"/>
      <c r="AG378" s="271"/>
      <c r="AH378" s="271"/>
      <c r="AI378" s="271"/>
      <c r="AJ378" s="271"/>
      <c r="AK378" s="271"/>
      <c r="AL378" s="271"/>
      <c r="AM378" s="271"/>
      <c r="AN378" s="271"/>
    </row>
    <row r="379" spans="1:40" ht="12.75" customHeight="1">
      <c r="A379" s="278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  <c r="AB379" s="271"/>
      <c r="AC379" s="271"/>
      <c r="AD379" s="271"/>
      <c r="AE379" s="271"/>
      <c r="AF379" s="271"/>
      <c r="AG379" s="271"/>
      <c r="AH379" s="271"/>
      <c r="AI379" s="271"/>
      <c r="AJ379" s="271"/>
      <c r="AK379" s="271"/>
      <c r="AL379" s="271"/>
      <c r="AM379" s="271"/>
      <c r="AN379" s="271"/>
    </row>
    <row r="380" spans="1:40" ht="12.75" customHeight="1">
      <c r="A380" s="278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278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  <c r="AB380" s="271"/>
      <c r="AC380" s="271"/>
      <c r="AD380" s="271"/>
      <c r="AE380" s="271"/>
      <c r="AF380" s="271"/>
      <c r="AG380" s="271"/>
      <c r="AH380" s="271"/>
      <c r="AI380" s="271"/>
      <c r="AJ380" s="271"/>
      <c r="AK380" s="271"/>
      <c r="AL380" s="271"/>
      <c r="AM380" s="271"/>
      <c r="AN380" s="271"/>
    </row>
    <row r="381" spans="1:40" ht="12.75" customHeight="1">
      <c r="A381" s="278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278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  <c r="AA381" s="271"/>
      <c r="AB381" s="271"/>
      <c r="AC381" s="271"/>
      <c r="AD381" s="271"/>
      <c r="AE381" s="271"/>
      <c r="AF381" s="271"/>
      <c r="AG381" s="271"/>
      <c r="AH381" s="271"/>
      <c r="AI381" s="271"/>
      <c r="AJ381" s="271"/>
      <c r="AK381" s="271"/>
      <c r="AL381" s="271"/>
      <c r="AM381" s="271"/>
      <c r="AN381" s="271"/>
    </row>
    <row r="382" spans="1:40" ht="12.75" customHeight="1">
      <c r="A382" s="278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278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  <c r="AB382" s="271"/>
      <c r="AC382" s="271"/>
      <c r="AD382" s="271"/>
      <c r="AE382" s="271"/>
      <c r="AF382" s="271"/>
      <c r="AG382" s="271"/>
      <c r="AH382" s="271"/>
      <c r="AI382" s="271"/>
      <c r="AJ382" s="271"/>
      <c r="AK382" s="271"/>
      <c r="AL382" s="271"/>
      <c r="AM382" s="271"/>
      <c r="AN382" s="271"/>
    </row>
    <row r="383" spans="1:40" ht="12.75" customHeight="1">
      <c r="A383" s="278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278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  <c r="AB383" s="271"/>
      <c r="AC383" s="271"/>
      <c r="AD383" s="271"/>
      <c r="AE383" s="271"/>
      <c r="AF383" s="271"/>
      <c r="AG383" s="271"/>
      <c r="AH383" s="271"/>
      <c r="AI383" s="271"/>
      <c r="AJ383" s="271"/>
      <c r="AK383" s="271"/>
      <c r="AL383" s="271"/>
      <c r="AM383" s="271"/>
      <c r="AN383" s="271"/>
    </row>
    <row r="384" spans="1:40" ht="12.75" customHeight="1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  <c r="AA384" s="271"/>
      <c r="AB384" s="271"/>
      <c r="AC384" s="271"/>
      <c r="AD384" s="271"/>
      <c r="AE384" s="271"/>
      <c r="AF384" s="271"/>
      <c r="AG384" s="271"/>
      <c r="AH384" s="271"/>
      <c r="AI384" s="271"/>
      <c r="AJ384" s="271"/>
      <c r="AK384" s="271"/>
      <c r="AL384" s="271"/>
      <c r="AM384" s="271"/>
      <c r="AN384" s="271"/>
    </row>
    <row r="385" spans="1:40" ht="12.75" customHeight="1">
      <c r="A385" s="278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  <c r="AA385" s="271"/>
      <c r="AB385" s="271"/>
      <c r="AC385" s="271"/>
      <c r="AD385" s="271"/>
      <c r="AE385" s="271"/>
      <c r="AF385" s="271"/>
      <c r="AG385" s="271"/>
      <c r="AH385" s="271"/>
      <c r="AI385" s="271"/>
      <c r="AJ385" s="271"/>
      <c r="AK385" s="271"/>
      <c r="AL385" s="271"/>
      <c r="AM385" s="271"/>
      <c r="AN385" s="271"/>
    </row>
    <row r="386" spans="1:40" ht="12.75" customHeight="1">
      <c r="A386" s="278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278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  <c r="AA386" s="271"/>
      <c r="AB386" s="271"/>
      <c r="AC386" s="271"/>
      <c r="AD386" s="271"/>
      <c r="AE386" s="271"/>
      <c r="AF386" s="271"/>
      <c r="AG386" s="271"/>
      <c r="AH386" s="271"/>
      <c r="AI386" s="271"/>
      <c r="AJ386" s="271"/>
      <c r="AK386" s="271"/>
      <c r="AL386" s="271"/>
      <c r="AM386" s="271"/>
      <c r="AN386" s="271"/>
    </row>
    <row r="387" spans="1:40" ht="12.75" customHeight="1">
      <c r="A387" s="278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278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  <c r="AA387" s="271"/>
      <c r="AB387" s="271"/>
      <c r="AC387" s="271"/>
      <c r="AD387" s="271"/>
      <c r="AE387" s="271"/>
      <c r="AF387" s="271"/>
      <c r="AG387" s="271"/>
      <c r="AH387" s="271"/>
      <c r="AI387" s="271"/>
      <c r="AJ387" s="271"/>
      <c r="AK387" s="271"/>
      <c r="AL387" s="271"/>
      <c r="AM387" s="271"/>
      <c r="AN387" s="271"/>
    </row>
    <row r="388" spans="1:40" ht="12.75" customHeight="1">
      <c r="A388" s="278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278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  <c r="AA388" s="271"/>
      <c r="AB388" s="271"/>
      <c r="AC388" s="271"/>
      <c r="AD388" s="271"/>
      <c r="AE388" s="271"/>
      <c r="AF388" s="271"/>
      <c r="AG388" s="271"/>
      <c r="AH388" s="271"/>
      <c r="AI388" s="271"/>
      <c r="AJ388" s="271"/>
      <c r="AK388" s="271"/>
      <c r="AL388" s="271"/>
      <c r="AM388" s="271"/>
      <c r="AN388" s="271"/>
    </row>
    <row r="389" spans="1:40" ht="12.75" customHeight="1">
      <c r="A389" s="278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278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  <c r="AA389" s="271"/>
      <c r="AB389" s="271"/>
      <c r="AC389" s="271"/>
      <c r="AD389" s="271"/>
      <c r="AE389" s="271"/>
      <c r="AF389" s="271"/>
      <c r="AG389" s="271"/>
      <c r="AH389" s="271"/>
      <c r="AI389" s="271"/>
      <c r="AJ389" s="271"/>
      <c r="AK389" s="271"/>
      <c r="AL389" s="271"/>
      <c r="AM389" s="271"/>
      <c r="AN389" s="271"/>
    </row>
    <row r="390" spans="1:40" ht="12.75" customHeight="1">
      <c r="A390" s="278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278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  <c r="AA390" s="271"/>
      <c r="AB390" s="271"/>
      <c r="AC390" s="271"/>
      <c r="AD390" s="271"/>
      <c r="AE390" s="271"/>
      <c r="AF390" s="271"/>
      <c r="AG390" s="271"/>
      <c r="AH390" s="271"/>
      <c r="AI390" s="271"/>
      <c r="AJ390" s="271"/>
      <c r="AK390" s="271"/>
      <c r="AL390" s="271"/>
      <c r="AM390" s="271"/>
      <c r="AN390" s="271"/>
    </row>
    <row r="391" spans="1:40" ht="12.75" customHeight="1">
      <c r="A391" s="278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278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  <c r="AA391" s="271"/>
      <c r="AB391" s="271"/>
      <c r="AC391" s="271"/>
      <c r="AD391" s="271"/>
      <c r="AE391" s="271"/>
      <c r="AF391" s="271"/>
      <c r="AG391" s="271"/>
      <c r="AH391" s="271"/>
      <c r="AI391" s="271"/>
      <c r="AJ391" s="271"/>
      <c r="AK391" s="271"/>
      <c r="AL391" s="271"/>
      <c r="AM391" s="271"/>
      <c r="AN391" s="271"/>
    </row>
    <row r="392" spans="1:40" ht="12.75" customHeight="1">
      <c r="A392" s="278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278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  <c r="AA392" s="271"/>
      <c r="AB392" s="271"/>
      <c r="AC392" s="271"/>
      <c r="AD392" s="271"/>
      <c r="AE392" s="271"/>
      <c r="AF392" s="271"/>
      <c r="AG392" s="271"/>
      <c r="AH392" s="271"/>
      <c r="AI392" s="271"/>
      <c r="AJ392" s="271"/>
      <c r="AK392" s="271"/>
      <c r="AL392" s="271"/>
      <c r="AM392" s="271"/>
      <c r="AN392" s="271"/>
    </row>
    <row r="393" spans="1:40" ht="12.75" customHeight="1">
      <c r="A393" s="278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  <c r="AA393" s="271"/>
      <c r="AB393" s="271"/>
      <c r="AC393" s="271"/>
      <c r="AD393" s="271"/>
      <c r="AE393" s="271"/>
      <c r="AF393" s="271"/>
      <c r="AG393" s="271"/>
      <c r="AH393" s="271"/>
      <c r="AI393" s="271"/>
      <c r="AJ393" s="271"/>
      <c r="AK393" s="271"/>
      <c r="AL393" s="271"/>
      <c r="AM393" s="271"/>
      <c r="AN393" s="271"/>
    </row>
    <row r="394" spans="1:40" ht="12.75" customHeight="1">
      <c r="A394" s="278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278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  <c r="AA394" s="271"/>
      <c r="AB394" s="271"/>
      <c r="AC394" s="271"/>
      <c r="AD394" s="271"/>
      <c r="AE394" s="271"/>
      <c r="AF394" s="271"/>
      <c r="AG394" s="271"/>
      <c r="AH394" s="271"/>
      <c r="AI394" s="271"/>
      <c r="AJ394" s="271"/>
      <c r="AK394" s="271"/>
      <c r="AL394" s="271"/>
      <c r="AM394" s="271"/>
      <c r="AN394" s="271"/>
    </row>
    <row r="395" spans="1:40" ht="12.75" customHeight="1">
      <c r="A395" s="278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  <c r="AA395" s="271"/>
      <c r="AB395" s="271"/>
      <c r="AC395" s="271"/>
      <c r="AD395" s="271"/>
      <c r="AE395" s="271"/>
      <c r="AF395" s="271"/>
      <c r="AG395" s="271"/>
      <c r="AH395" s="271"/>
      <c r="AI395" s="271"/>
      <c r="AJ395" s="271"/>
      <c r="AK395" s="271"/>
      <c r="AL395" s="271"/>
      <c r="AM395" s="271"/>
      <c r="AN395" s="271"/>
    </row>
    <row r="396" spans="1:40" ht="12.75" customHeight="1">
      <c r="A396" s="278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278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  <c r="AA396" s="271"/>
      <c r="AB396" s="271"/>
      <c r="AC396" s="271"/>
      <c r="AD396" s="271"/>
      <c r="AE396" s="271"/>
      <c r="AF396" s="271"/>
      <c r="AG396" s="271"/>
      <c r="AH396" s="271"/>
      <c r="AI396" s="271"/>
      <c r="AJ396" s="271"/>
      <c r="AK396" s="271"/>
      <c r="AL396" s="271"/>
      <c r="AM396" s="271"/>
      <c r="AN396" s="271"/>
    </row>
    <row r="397" spans="1:40" ht="12.75" customHeight="1">
      <c r="A397" s="278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278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  <c r="AA397" s="271"/>
      <c r="AB397" s="271"/>
      <c r="AC397" s="271"/>
      <c r="AD397" s="271"/>
      <c r="AE397" s="271"/>
      <c r="AF397" s="271"/>
      <c r="AG397" s="271"/>
      <c r="AH397" s="271"/>
      <c r="AI397" s="271"/>
      <c r="AJ397" s="271"/>
      <c r="AK397" s="271"/>
      <c r="AL397" s="271"/>
      <c r="AM397" s="271"/>
      <c r="AN397" s="271"/>
    </row>
    <row r="398" spans="1:40" ht="12.75" customHeight="1">
      <c r="A398" s="278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278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  <c r="AA398" s="271"/>
      <c r="AB398" s="271"/>
      <c r="AC398" s="271"/>
      <c r="AD398" s="271"/>
      <c r="AE398" s="271"/>
      <c r="AF398" s="271"/>
      <c r="AG398" s="271"/>
      <c r="AH398" s="271"/>
      <c r="AI398" s="271"/>
      <c r="AJ398" s="271"/>
      <c r="AK398" s="271"/>
      <c r="AL398" s="271"/>
      <c r="AM398" s="271"/>
      <c r="AN398" s="271"/>
    </row>
    <row r="399" spans="1:40" ht="12.75" customHeight="1">
      <c r="A399" s="278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278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  <c r="AA399" s="271"/>
      <c r="AB399" s="271"/>
      <c r="AC399" s="271"/>
      <c r="AD399" s="271"/>
      <c r="AE399" s="271"/>
      <c r="AF399" s="271"/>
      <c r="AG399" s="271"/>
      <c r="AH399" s="271"/>
      <c r="AI399" s="271"/>
      <c r="AJ399" s="271"/>
      <c r="AK399" s="271"/>
      <c r="AL399" s="271"/>
      <c r="AM399" s="271"/>
      <c r="AN399" s="271"/>
    </row>
    <row r="400" spans="1:40" ht="12.75" customHeight="1">
      <c r="A400" s="278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278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  <c r="AA400" s="271"/>
      <c r="AB400" s="271"/>
      <c r="AC400" s="271"/>
      <c r="AD400" s="271"/>
      <c r="AE400" s="271"/>
      <c r="AF400" s="271"/>
      <c r="AG400" s="271"/>
      <c r="AH400" s="271"/>
      <c r="AI400" s="271"/>
      <c r="AJ400" s="271"/>
      <c r="AK400" s="271"/>
      <c r="AL400" s="271"/>
      <c r="AM400" s="271"/>
      <c r="AN400" s="271"/>
    </row>
    <row r="401" spans="1:40" ht="12.75" customHeight="1">
      <c r="A401" s="278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278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  <c r="AA401" s="271"/>
      <c r="AB401" s="271"/>
      <c r="AC401" s="271"/>
      <c r="AD401" s="271"/>
      <c r="AE401" s="271"/>
      <c r="AF401" s="271"/>
      <c r="AG401" s="271"/>
      <c r="AH401" s="271"/>
      <c r="AI401" s="271"/>
      <c r="AJ401" s="271"/>
      <c r="AK401" s="271"/>
      <c r="AL401" s="271"/>
      <c r="AM401" s="271"/>
      <c r="AN401" s="271"/>
    </row>
    <row r="402" spans="1:40" ht="12.75" customHeight="1">
      <c r="A402" s="278"/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278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  <c r="AA402" s="271"/>
      <c r="AB402" s="271"/>
      <c r="AC402" s="271"/>
      <c r="AD402" s="271"/>
      <c r="AE402" s="271"/>
      <c r="AF402" s="271"/>
      <c r="AG402" s="271"/>
      <c r="AH402" s="271"/>
      <c r="AI402" s="271"/>
      <c r="AJ402" s="271"/>
      <c r="AK402" s="271"/>
      <c r="AL402" s="271"/>
      <c r="AM402" s="271"/>
      <c r="AN402" s="271"/>
    </row>
    <row r="403" spans="1:40" ht="12.75" customHeight="1">
      <c r="A403" s="278"/>
      <c r="B403" s="278"/>
      <c r="C403" s="278"/>
      <c r="D403" s="278"/>
      <c r="E403" s="278"/>
      <c r="F403" s="278"/>
      <c r="G403" s="278"/>
      <c r="H403" s="278"/>
      <c r="I403" s="278"/>
      <c r="J403" s="278"/>
      <c r="K403" s="278"/>
      <c r="L403" s="278"/>
      <c r="M403" s="278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1"/>
      <c r="AH403" s="271"/>
      <c r="AI403" s="271"/>
      <c r="AJ403" s="271"/>
      <c r="AK403" s="271"/>
      <c r="AL403" s="271"/>
      <c r="AM403" s="271"/>
      <c r="AN403" s="271"/>
    </row>
    <row r="404" spans="1:40" ht="12.75" customHeight="1">
      <c r="A404" s="278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278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  <c r="AA404" s="271"/>
      <c r="AB404" s="271"/>
      <c r="AC404" s="271"/>
      <c r="AD404" s="271"/>
      <c r="AE404" s="271"/>
      <c r="AF404" s="271"/>
      <c r="AG404" s="271"/>
      <c r="AH404" s="271"/>
      <c r="AI404" s="271"/>
      <c r="AJ404" s="271"/>
      <c r="AK404" s="271"/>
      <c r="AL404" s="271"/>
      <c r="AM404" s="271"/>
      <c r="AN404" s="271"/>
    </row>
    <row r="405" spans="1:40" ht="12.75" customHeight="1">
      <c r="A405" s="278"/>
      <c r="B405" s="278"/>
      <c r="C405" s="278"/>
      <c r="D405" s="278"/>
      <c r="E405" s="278"/>
      <c r="F405" s="278"/>
      <c r="G405" s="278"/>
      <c r="H405" s="278"/>
      <c r="I405" s="278"/>
      <c r="J405" s="278"/>
      <c r="K405" s="278"/>
      <c r="L405" s="278"/>
      <c r="M405" s="278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  <c r="AA405" s="271"/>
      <c r="AB405" s="271"/>
      <c r="AC405" s="271"/>
      <c r="AD405" s="271"/>
      <c r="AE405" s="271"/>
      <c r="AF405" s="271"/>
      <c r="AG405" s="271"/>
      <c r="AH405" s="271"/>
      <c r="AI405" s="271"/>
      <c r="AJ405" s="271"/>
      <c r="AK405" s="271"/>
      <c r="AL405" s="271"/>
      <c r="AM405" s="271"/>
      <c r="AN405" s="271"/>
    </row>
    <row r="406" spans="1:40" ht="12.75" customHeight="1">
      <c r="A406" s="278"/>
      <c r="B406" s="278"/>
      <c r="C406" s="278"/>
      <c r="D406" s="278"/>
      <c r="E406" s="278"/>
      <c r="F406" s="278"/>
      <c r="G406" s="278"/>
      <c r="H406" s="278"/>
      <c r="I406" s="278"/>
      <c r="J406" s="278"/>
      <c r="K406" s="278"/>
      <c r="L406" s="278"/>
      <c r="M406" s="278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  <c r="AA406" s="271"/>
      <c r="AB406" s="271"/>
      <c r="AC406" s="271"/>
      <c r="AD406" s="271"/>
      <c r="AE406" s="271"/>
      <c r="AF406" s="271"/>
      <c r="AG406" s="271"/>
      <c r="AH406" s="271"/>
      <c r="AI406" s="271"/>
      <c r="AJ406" s="271"/>
      <c r="AK406" s="271"/>
      <c r="AL406" s="271"/>
      <c r="AM406" s="271"/>
      <c r="AN406" s="271"/>
    </row>
    <row r="407" spans="1:40" ht="12.75" customHeight="1">
      <c r="A407" s="278"/>
      <c r="B407" s="278"/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  <c r="M407" s="278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  <c r="AA407" s="271"/>
      <c r="AB407" s="271"/>
      <c r="AC407" s="271"/>
      <c r="AD407" s="271"/>
      <c r="AE407" s="271"/>
      <c r="AF407" s="271"/>
      <c r="AG407" s="271"/>
      <c r="AH407" s="271"/>
      <c r="AI407" s="271"/>
      <c r="AJ407" s="271"/>
      <c r="AK407" s="271"/>
      <c r="AL407" s="271"/>
      <c r="AM407" s="271"/>
      <c r="AN407" s="271"/>
    </row>
    <row r="408" spans="1:40" ht="12.75" customHeight="1">
      <c r="A408" s="278"/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  <c r="M408" s="278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  <c r="AA408" s="271"/>
      <c r="AB408" s="271"/>
      <c r="AC408" s="271"/>
      <c r="AD408" s="271"/>
      <c r="AE408" s="271"/>
      <c r="AF408" s="271"/>
      <c r="AG408" s="271"/>
      <c r="AH408" s="271"/>
      <c r="AI408" s="271"/>
      <c r="AJ408" s="271"/>
      <c r="AK408" s="271"/>
      <c r="AL408" s="271"/>
      <c r="AM408" s="271"/>
      <c r="AN408" s="271"/>
    </row>
    <row r="409" spans="1:40" ht="12.75" customHeight="1">
      <c r="A409" s="278"/>
      <c r="B409" s="278"/>
      <c r="C409" s="278"/>
      <c r="D409" s="278"/>
      <c r="E409" s="278"/>
      <c r="F409" s="278"/>
      <c r="G409" s="278"/>
      <c r="H409" s="278"/>
      <c r="I409" s="278"/>
      <c r="J409" s="278"/>
      <c r="K409" s="278"/>
      <c r="L409" s="278"/>
      <c r="M409" s="278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  <c r="AB409" s="271"/>
      <c r="AC409" s="271"/>
      <c r="AD409" s="271"/>
      <c r="AE409" s="271"/>
      <c r="AF409" s="271"/>
      <c r="AG409" s="271"/>
      <c r="AH409" s="271"/>
      <c r="AI409" s="271"/>
      <c r="AJ409" s="271"/>
      <c r="AK409" s="271"/>
      <c r="AL409" s="271"/>
      <c r="AM409" s="271"/>
      <c r="AN409" s="271"/>
    </row>
    <row r="410" spans="1:40" ht="12.75" customHeight="1">
      <c r="A410" s="278"/>
      <c r="B410" s="278"/>
      <c r="C410" s="278"/>
      <c r="D410" s="278"/>
      <c r="E410" s="278"/>
      <c r="F410" s="278"/>
      <c r="G410" s="278"/>
      <c r="H410" s="278"/>
      <c r="I410" s="278"/>
      <c r="J410" s="278"/>
      <c r="K410" s="278"/>
      <c r="L410" s="278"/>
      <c r="M410" s="278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  <c r="AA410" s="271"/>
      <c r="AB410" s="271"/>
      <c r="AC410" s="271"/>
      <c r="AD410" s="271"/>
      <c r="AE410" s="271"/>
      <c r="AF410" s="271"/>
      <c r="AG410" s="271"/>
      <c r="AH410" s="271"/>
      <c r="AI410" s="271"/>
      <c r="AJ410" s="271"/>
      <c r="AK410" s="271"/>
      <c r="AL410" s="271"/>
      <c r="AM410" s="271"/>
      <c r="AN410" s="271"/>
    </row>
    <row r="411" spans="1:40" ht="12.75" customHeight="1">
      <c r="A411" s="278"/>
      <c r="B411" s="278"/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278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  <c r="AA411" s="271"/>
      <c r="AB411" s="271"/>
      <c r="AC411" s="271"/>
      <c r="AD411" s="271"/>
      <c r="AE411" s="271"/>
      <c r="AF411" s="271"/>
      <c r="AG411" s="271"/>
      <c r="AH411" s="271"/>
      <c r="AI411" s="271"/>
      <c r="AJ411" s="271"/>
      <c r="AK411" s="271"/>
      <c r="AL411" s="271"/>
      <c r="AM411" s="271"/>
      <c r="AN411" s="271"/>
    </row>
    <row r="412" spans="1:40" ht="12.75" customHeight="1">
      <c r="A412" s="278"/>
      <c r="B412" s="278"/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  <c r="M412" s="278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  <c r="AA412" s="271"/>
      <c r="AB412" s="271"/>
      <c r="AC412" s="271"/>
      <c r="AD412" s="271"/>
      <c r="AE412" s="271"/>
      <c r="AF412" s="271"/>
      <c r="AG412" s="271"/>
      <c r="AH412" s="271"/>
      <c r="AI412" s="271"/>
      <c r="AJ412" s="271"/>
      <c r="AK412" s="271"/>
      <c r="AL412" s="271"/>
      <c r="AM412" s="271"/>
      <c r="AN412" s="271"/>
    </row>
    <row r="413" spans="1:40" ht="12.75" customHeight="1">
      <c r="A413" s="278"/>
      <c r="B413" s="278"/>
      <c r="C413" s="278"/>
      <c r="D413" s="278"/>
      <c r="E413" s="278"/>
      <c r="F413" s="278"/>
      <c r="G413" s="278"/>
      <c r="H413" s="278"/>
      <c r="I413" s="278"/>
      <c r="J413" s="278"/>
      <c r="K413" s="278"/>
      <c r="L413" s="278"/>
      <c r="M413" s="278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  <c r="AA413" s="271"/>
      <c r="AB413" s="271"/>
      <c r="AC413" s="271"/>
      <c r="AD413" s="271"/>
      <c r="AE413" s="271"/>
      <c r="AF413" s="271"/>
      <c r="AG413" s="271"/>
      <c r="AH413" s="271"/>
      <c r="AI413" s="271"/>
      <c r="AJ413" s="271"/>
      <c r="AK413" s="271"/>
      <c r="AL413" s="271"/>
      <c r="AM413" s="271"/>
      <c r="AN413" s="271"/>
    </row>
    <row r="414" spans="1:40" ht="12.75" customHeight="1">
      <c r="A414" s="278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1"/>
      <c r="AE414" s="271"/>
      <c r="AF414" s="271"/>
      <c r="AG414" s="271"/>
      <c r="AH414" s="271"/>
      <c r="AI414" s="271"/>
      <c r="AJ414" s="271"/>
      <c r="AK414" s="271"/>
      <c r="AL414" s="271"/>
      <c r="AM414" s="271"/>
      <c r="AN414" s="271"/>
    </row>
    <row r="415" spans="1:40" ht="12.75" customHeight="1">
      <c r="A415" s="278"/>
      <c r="B415" s="278"/>
      <c r="C415" s="278"/>
      <c r="D415" s="278"/>
      <c r="E415" s="278"/>
      <c r="F415" s="278"/>
      <c r="G415" s="278"/>
      <c r="H415" s="278"/>
      <c r="I415" s="278"/>
      <c r="J415" s="278"/>
      <c r="K415" s="278"/>
      <c r="L415" s="278"/>
      <c r="M415" s="278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  <c r="AA415" s="271"/>
      <c r="AB415" s="271"/>
      <c r="AC415" s="271"/>
      <c r="AD415" s="271"/>
      <c r="AE415" s="271"/>
      <c r="AF415" s="271"/>
      <c r="AG415" s="271"/>
      <c r="AH415" s="271"/>
      <c r="AI415" s="271"/>
      <c r="AJ415" s="271"/>
      <c r="AK415" s="271"/>
      <c r="AL415" s="271"/>
      <c r="AM415" s="271"/>
      <c r="AN415" s="271"/>
    </row>
    <row r="416" spans="1:40" ht="12.75" customHeight="1">
      <c r="A416" s="278"/>
      <c r="B416" s="278"/>
      <c r="C416" s="278"/>
      <c r="D416" s="278"/>
      <c r="E416" s="278"/>
      <c r="F416" s="278"/>
      <c r="G416" s="278"/>
      <c r="H416" s="278"/>
      <c r="I416" s="278"/>
      <c r="J416" s="278"/>
      <c r="K416" s="278"/>
      <c r="L416" s="278"/>
      <c r="M416" s="278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  <c r="AA416" s="271"/>
      <c r="AB416" s="271"/>
      <c r="AC416" s="271"/>
      <c r="AD416" s="271"/>
      <c r="AE416" s="271"/>
      <c r="AF416" s="271"/>
      <c r="AG416" s="271"/>
      <c r="AH416" s="271"/>
      <c r="AI416" s="271"/>
      <c r="AJ416" s="271"/>
      <c r="AK416" s="271"/>
      <c r="AL416" s="271"/>
      <c r="AM416" s="271"/>
      <c r="AN416" s="271"/>
    </row>
    <row r="417" spans="1:40" ht="12.75" customHeight="1">
      <c r="A417" s="278"/>
      <c r="B417" s="278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  <c r="AA417" s="271"/>
      <c r="AB417" s="271"/>
      <c r="AC417" s="271"/>
      <c r="AD417" s="271"/>
      <c r="AE417" s="271"/>
      <c r="AF417" s="271"/>
      <c r="AG417" s="271"/>
      <c r="AH417" s="271"/>
      <c r="AI417" s="271"/>
      <c r="AJ417" s="271"/>
      <c r="AK417" s="271"/>
      <c r="AL417" s="271"/>
      <c r="AM417" s="271"/>
      <c r="AN417" s="271"/>
    </row>
    <row r="418" spans="1:40" ht="12.75" customHeight="1">
      <c r="A418" s="278"/>
      <c r="B418" s="278"/>
      <c r="C418" s="278"/>
      <c r="D418" s="278"/>
      <c r="E418" s="278"/>
      <c r="F418" s="278"/>
      <c r="G418" s="278"/>
      <c r="H418" s="278"/>
      <c r="I418" s="278"/>
      <c r="J418" s="278"/>
      <c r="K418" s="278"/>
      <c r="L418" s="278"/>
      <c r="M418" s="278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  <c r="AA418" s="271"/>
      <c r="AB418" s="271"/>
      <c r="AC418" s="271"/>
      <c r="AD418" s="271"/>
      <c r="AE418" s="271"/>
      <c r="AF418" s="271"/>
      <c r="AG418" s="271"/>
      <c r="AH418" s="271"/>
      <c r="AI418" s="271"/>
      <c r="AJ418" s="271"/>
      <c r="AK418" s="271"/>
      <c r="AL418" s="271"/>
      <c r="AM418" s="271"/>
      <c r="AN418" s="271"/>
    </row>
    <row r="419" spans="1:40" ht="12.75" customHeight="1">
      <c r="A419" s="278"/>
      <c r="B419" s="278"/>
      <c r="C419" s="278"/>
      <c r="D419" s="278"/>
      <c r="E419" s="278"/>
      <c r="F419" s="278"/>
      <c r="G419" s="278"/>
      <c r="H419" s="278"/>
      <c r="I419" s="278"/>
      <c r="J419" s="278"/>
      <c r="K419" s="278"/>
      <c r="L419" s="278"/>
      <c r="M419" s="278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  <c r="AA419" s="271"/>
      <c r="AB419" s="271"/>
      <c r="AC419" s="271"/>
      <c r="AD419" s="271"/>
      <c r="AE419" s="271"/>
      <c r="AF419" s="271"/>
      <c r="AG419" s="271"/>
      <c r="AH419" s="271"/>
      <c r="AI419" s="271"/>
      <c r="AJ419" s="271"/>
      <c r="AK419" s="271"/>
      <c r="AL419" s="271"/>
      <c r="AM419" s="271"/>
      <c r="AN419" s="271"/>
    </row>
    <row r="420" spans="1:40" ht="12.75" customHeight="1">
      <c r="A420" s="278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  <c r="AB420" s="271"/>
      <c r="AC420" s="271"/>
      <c r="AD420" s="271"/>
      <c r="AE420" s="271"/>
      <c r="AF420" s="271"/>
      <c r="AG420" s="271"/>
      <c r="AH420" s="271"/>
      <c r="AI420" s="271"/>
      <c r="AJ420" s="271"/>
      <c r="AK420" s="271"/>
      <c r="AL420" s="271"/>
      <c r="AM420" s="271"/>
      <c r="AN420" s="271"/>
    </row>
    <row r="421" spans="1:40" ht="12.75" customHeight="1">
      <c r="A421" s="278"/>
      <c r="B421" s="278"/>
      <c r="C421" s="278"/>
      <c r="D421" s="278"/>
      <c r="E421" s="278"/>
      <c r="F421" s="278"/>
      <c r="G421" s="278"/>
      <c r="H421" s="278"/>
      <c r="I421" s="278"/>
      <c r="J421" s="278"/>
      <c r="K421" s="278"/>
      <c r="L421" s="278"/>
      <c r="M421" s="278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  <c r="AB421" s="271"/>
      <c r="AC421" s="271"/>
      <c r="AD421" s="271"/>
      <c r="AE421" s="271"/>
      <c r="AF421" s="271"/>
      <c r="AG421" s="271"/>
      <c r="AH421" s="271"/>
      <c r="AI421" s="271"/>
      <c r="AJ421" s="271"/>
      <c r="AK421" s="271"/>
      <c r="AL421" s="271"/>
      <c r="AM421" s="271"/>
      <c r="AN421" s="271"/>
    </row>
    <row r="422" spans="1:40" ht="12.75" customHeight="1">
      <c r="A422" s="278"/>
      <c r="B422" s="278"/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  <c r="M422" s="278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  <c r="AB422" s="271"/>
      <c r="AC422" s="271"/>
      <c r="AD422" s="271"/>
      <c r="AE422" s="271"/>
      <c r="AF422" s="271"/>
      <c r="AG422" s="271"/>
      <c r="AH422" s="271"/>
      <c r="AI422" s="271"/>
      <c r="AJ422" s="271"/>
      <c r="AK422" s="271"/>
      <c r="AL422" s="271"/>
      <c r="AM422" s="271"/>
      <c r="AN422" s="271"/>
    </row>
    <row r="423" spans="1:40" ht="12.75" customHeight="1">
      <c r="A423" s="278"/>
      <c r="B423" s="278"/>
      <c r="C423" s="278"/>
      <c r="D423" s="278"/>
      <c r="E423" s="278"/>
      <c r="F423" s="278"/>
      <c r="G423" s="278"/>
      <c r="H423" s="278"/>
      <c r="I423" s="278"/>
      <c r="J423" s="278"/>
      <c r="K423" s="278"/>
      <c r="L423" s="278"/>
      <c r="M423" s="278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  <c r="AB423" s="271"/>
      <c r="AC423" s="271"/>
      <c r="AD423" s="271"/>
      <c r="AE423" s="271"/>
      <c r="AF423" s="271"/>
      <c r="AG423" s="271"/>
      <c r="AH423" s="271"/>
      <c r="AI423" s="271"/>
      <c r="AJ423" s="271"/>
      <c r="AK423" s="271"/>
      <c r="AL423" s="271"/>
      <c r="AM423" s="271"/>
      <c r="AN423" s="271"/>
    </row>
    <row r="424" spans="1:40" ht="12.75" customHeight="1">
      <c r="A424" s="278"/>
      <c r="B424" s="278"/>
      <c r="C424" s="278"/>
      <c r="D424" s="278"/>
      <c r="E424" s="278"/>
      <c r="F424" s="278"/>
      <c r="G424" s="278"/>
      <c r="H424" s="278"/>
      <c r="I424" s="278"/>
      <c r="J424" s="278"/>
      <c r="K424" s="278"/>
      <c r="L424" s="278"/>
      <c r="M424" s="278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  <c r="AB424" s="271"/>
      <c r="AC424" s="271"/>
      <c r="AD424" s="271"/>
      <c r="AE424" s="271"/>
      <c r="AF424" s="271"/>
      <c r="AG424" s="271"/>
      <c r="AH424" s="271"/>
      <c r="AI424" s="271"/>
      <c r="AJ424" s="271"/>
      <c r="AK424" s="271"/>
      <c r="AL424" s="271"/>
      <c r="AM424" s="271"/>
      <c r="AN424" s="271"/>
    </row>
    <row r="425" spans="1:40" ht="12.75" customHeight="1">
      <c r="A425" s="278"/>
      <c r="B425" s="278"/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  <c r="M425" s="278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  <c r="AB425" s="271"/>
      <c r="AC425" s="271"/>
      <c r="AD425" s="271"/>
      <c r="AE425" s="271"/>
      <c r="AF425" s="271"/>
      <c r="AG425" s="271"/>
      <c r="AH425" s="271"/>
      <c r="AI425" s="271"/>
      <c r="AJ425" s="271"/>
      <c r="AK425" s="271"/>
      <c r="AL425" s="271"/>
      <c r="AM425" s="271"/>
      <c r="AN425" s="271"/>
    </row>
    <row r="426" spans="1:40" ht="12.75" customHeight="1">
      <c r="A426" s="278"/>
      <c r="B426" s="278"/>
      <c r="C426" s="278"/>
      <c r="D426" s="278"/>
      <c r="E426" s="278"/>
      <c r="F426" s="278"/>
      <c r="G426" s="278"/>
      <c r="H426" s="278"/>
      <c r="I426" s="278"/>
      <c r="J426" s="278"/>
      <c r="K426" s="278"/>
      <c r="L426" s="278"/>
      <c r="M426" s="278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  <c r="AA426" s="271"/>
      <c r="AB426" s="271"/>
      <c r="AC426" s="271"/>
      <c r="AD426" s="271"/>
      <c r="AE426" s="271"/>
      <c r="AF426" s="271"/>
      <c r="AG426" s="271"/>
      <c r="AH426" s="271"/>
      <c r="AI426" s="271"/>
      <c r="AJ426" s="271"/>
      <c r="AK426" s="271"/>
      <c r="AL426" s="271"/>
      <c r="AM426" s="271"/>
      <c r="AN426" s="271"/>
    </row>
    <row r="427" spans="1:40" ht="12.75" customHeight="1">
      <c r="A427" s="278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278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  <c r="AA427" s="271"/>
      <c r="AB427" s="271"/>
      <c r="AC427" s="271"/>
      <c r="AD427" s="271"/>
      <c r="AE427" s="271"/>
      <c r="AF427" s="271"/>
      <c r="AG427" s="271"/>
      <c r="AH427" s="271"/>
      <c r="AI427" s="271"/>
      <c r="AJ427" s="271"/>
      <c r="AK427" s="271"/>
      <c r="AL427" s="271"/>
      <c r="AM427" s="271"/>
      <c r="AN427" s="271"/>
    </row>
    <row r="428" spans="1:40" ht="12.75" customHeight="1">
      <c r="A428" s="278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1"/>
      <c r="AH428" s="271"/>
      <c r="AI428" s="271"/>
      <c r="AJ428" s="271"/>
      <c r="AK428" s="271"/>
      <c r="AL428" s="271"/>
      <c r="AM428" s="271"/>
      <c r="AN428" s="271"/>
    </row>
    <row r="429" spans="1:40" ht="12.75" customHeight="1">
      <c r="A429" s="278"/>
      <c r="B429" s="278"/>
      <c r="C429" s="278"/>
      <c r="D429" s="278"/>
      <c r="E429" s="278"/>
      <c r="F429" s="278"/>
      <c r="G429" s="278"/>
      <c r="H429" s="278"/>
      <c r="I429" s="278"/>
      <c r="J429" s="278"/>
      <c r="K429" s="278"/>
      <c r="L429" s="278"/>
      <c r="M429" s="278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1"/>
      <c r="AH429" s="271"/>
      <c r="AI429" s="271"/>
      <c r="AJ429" s="271"/>
      <c r="AK429" s="271"/>
      <c r="AL429" s="271"/>
      <c r="AM429" s="271"/>
      <c r="AN429" s="271"/>
    </row>
    <row r="430" spans="1:40" ht="12.75" customHeight="1">
      <c r="A430" s="278"/>
      <c r="B430" s="278"/>
      <c r="C430" s="278"/>
      <c r="D430" s="278"/>
      <c r="E430" s="278"/>
      <c r="F430" s="278"/>
      <c r="G430" s="278"/>
      <c r="H430" s="278"/>
      <c r="I430" s="278"/>
      <c r="J430" s="278"/>
      <c r="K430" s="278"/>
      <c r="L430" s="278"/>
      <c r="M430" s="278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  <c r="AA430" s="271"/>
      <c r="AB430" s="271"/>
      <c r="AC430" s="271"/>
      <c r="AD430" s="271"/>
      <c r="AE430" s="271"/>
      <c r="AF430" s="271"/>
      <c r="AG430" s="271"/>
      <c r="AH430" s="271"/>
      <c r="AI430" s="271"/>
      <c r="AJ430" s="271"/>
      <c r="AK430" s="271"/>
      <c r="AL430" s="271"/>
      <c r="AM430" s="271"/>
      <c r="AN430" s="271"/>
    </row>
    <row r="431" spans="1:40" ht="12.75" customHeight="1">
      <c r="A431" s="278"/>
      <c r="B431" s="278"/>
      <c r="C431" s="278"/>
      <c r="D431" s="278"/>
      <c r="E431" s="278"/>
      <c r="F431" s="278"/>
      <c r="G431" s="278"/>
      <c r="H431" s="278"/>
      <c r="I431" s="278"/>
      <c r="J431" s="278"/>
      <c r="K431" s="278"/>
      <c r="L431" s="278"/>
      <c r="M431" s="278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  <c r="AB431" s="271"/>
      <c r="AC431" s="271"/>
      <c r="AD431" s="271"/>
      <c r="AE431" s="271"/>
      <c r="AF431" s="271"/>
      <c r="AG431" s="271"/>
      <c r="AH431" s="271"/>
      <c r="AI431" s="271"/>
      <c r="AJ431" s="271"/>
      <c r="AK431" s="271"/>
      <c r="AL431" s="271"/>
      <c r="AM431" s="271"/>
      <c r="AN431" s="271"/>
    </row>
    <row r="432" spans="1:40" ht="12.75" customHeight="1">
      <c r="A432" s="278"/>
      <c r="B432" s="278"/>
      <c r="C432" s="278"/>
      <c r="D432" s="278"/>
      <c r="E432" s="278"/>
      <c r="F432" s="278"/>
      <c r="G432" s="278"/>
      <c r="H432" s="278"/>
      <c r="I432" s="278"/>
      <c r="J432" s="278"/>
      <c r="K432" s="278"/>
      <c r="L432" s="278"/>
      <c r="M432" s="278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  <c r="AH432" s="271"/>
      <c r="AI432" s="271"/>
      <c r="AJ432" s="271"/>
      <c r="AK432" s="271"/>
      <c r="AL432" s="271"/>
      <c r="AM432" s="271"/>
      <c r="AN432" s="271"/>
    </row>
    <row r="433" spans="1:40" ht="12.75" customHeight="1">
      <c r="A433" s="278"/>
      <c r="B433" s="278"/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  <c r="M433" s="278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  <c r="AA433" s="271"/>
      <c r="AB433" s="271"/>
      <c r="AC433" s="271"/>
      <c r="AD433" s="271"/>
      <c r="AE433" s="271"/>
      <c r="AF433" s="271"/>
      <c r="AG433" s="271"/>
      <c r="AH433" s="271"/>
      <c r="AI433" s="271"/>
      <c r="AJ433" s="271"/>
      <c r="AK433" s="271"/>
      <c r="AL433" s="271"/>
      <c r="AM433" s="271"/>
      <c r="AN433" s="271"/>
    </row>
    <row r="434" spans="1:40" ht="12.75" customHeight="1">
      <c r="A434" s="278"/>
      <c r="B434" s="278"/>
      <c r="C434" s="278"/>
      <c r="D434" s="278"/>
      <c r="E434" s="278"/>
      <c r="F434" s="278"/>
      <c r="G434" s="278"/>
      <c r="H434" s="278"/>
      <c r="I434" s="278"/>
      <c r="J434" s="278"/>
      <c r="K434" s="278"/>
      <c r="L434" s="278"/>
      <c r="M434" s="278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  <c r="AA434" s="271"/>
      <c r="AB434" s="271"/>
      <c r="AC434" s="271"/>
      <c r="AD434" s="271"/>
      <c r="AE434" s="271"/>
      <c r="AF434" s="271"/>
      <c r="AG434" s="271"/>
      <c r="AH434" s="271"/>
      <c r="AI434" s="271"/>
      <c r="AJ434" s="271"/>
      <c r="AK434" s="271"/>
      <c r="AL434" s="271"/>
      <c r="AM434" s="271"/>
      <c r="AN434" s="271"/>
    </row>
    <row r="435" spans="1:40" ht="12.75" customHeight="1">
      <c r="A435" s="278"/>
      <c r="B435" s="278"/>
      <c r="C435" s="278"/>
      <c r="D435" s="278"/>
      <c r="E435" s="278"/>
      <c r="F435" s="278"/>
      <c r="G435" s="278"/>
      <c r="H435" s="278"/>
      <c r="I435" s="278"/>
      <c r="J435" s="278"/>
      <c r="K435" s="278"/>
      <c r="L435" s="278"/>
      <c r="M435" s="278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  <c r="AB435" s="271"/>
      <c r="AC435" s="271"/>
      <c r="AD435" s="271"/>
      <c r="AE435" s="271"/>
      <c r="AF435" s="271"/>
      <c r="AG435" s="271"/>
      <c r="AH435" s="271"/>
      <c r="AI435" s="271"/>
      <c r="AJ435" s="271"/>
      <c r="AK435" s="271"/>
      <c r="AL435" s="271"/>
      <c r="AM435" s="271"/>
      <c r="AN435" s="271"/>
    </row>
    <row r="436" spans="1:40" ht="12.75" customHeight="1">
      <c r="A436" s="278"/>
      <c r="B436" s="278"/>
      <c r="C436" s="278"/>
      <c r="D436" s="278"/>
      <c r="E436" s="278"/>
      <c r="F436" s="278"/>
      <c r="G436" s="278"/>
      <c r="H436" s="278"/>
      <c r="I436" s="278"/>
      <c r="J436" s="278"/>
      <c r="K436" s="278"/>
      <c r="L436" s="278"/>
      <c r="M436" s="278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1"/>
      <c r="AC436" s="271"/>
      <c r="AD436" s="271"/>
      <c r="AE436" s="271"/>
      <c r="AF436" s="271"/>
      <c r="AG436" s="271"/>
      <c r="AH436" s="271"/>
      <c r="AI436" s="271"/>
      <c r="AJ436" s="271"/>
      <c r="AK436" s="271"/>
      <c r="AL436" s="271"/>
      <c r="AM436" s="271"/>
      <c r="AN436" s="271"/>
    </row>
    <row r="437" spans="1:40" ht="12.75" customHeight="1">
      <c r="A437" s="278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278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  <c r="AH437" s="271"/>
      <c r="AI437" s="271"/>
      <c r="AJ437" s="271"/>
      <c r="AK437" s="271"/>
      <c r="AL437" s="271"/>
      <c r="AM437" s="271"/>
      <c r="AN437" s="271"/>
    </row>
    <row r="438" spans="1:40" ht="12.75" customHeight="1">
      <c r="A438" s="278"/>
      <c r="B438" s="278"/>
      <c r="C438" s="278"/>
      <c r="D438" s="278"/>
      <c r="E438" s="278"/>
      <c r="F438" s="278"/>
      <c r="G438" s="278"/>
      <c r="H438" s="278"/>
      <c r="I438" s="278"/>
      <c r="J438" s="278"/>
      <c r="K438" s="278"/>
      <c r="L438" s="278"/>
      <c r="M438" s="278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  <c r="AA438" s="271"/>
      <c r="AB438" s="271"/>
      <c r="AC438" s="271"/>
      <c r="AD438" s="271"/>
      <c r="AE438" s="271"/>
      <c r="AF438" s="271"/>
      <c r="AG438" s="271"/>
      <c r="AH438" s="271"/>
      <c r="AI438" s="271"/>
      <c r="AJ438" s="271"/>
      <c r="AK438" s="271"/>
      <c r="AL438" s="271"/>
      <c r="AM438" s="271"/>
      <c r="AN438" s="271"/>
    </row>
    <row r="439" spans="1:40" ht="12.75" customHeight="1">
      <c r="A439" s="278"/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  <c r="M439" s="278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  <c r="AA439" s="271"/>
      <c r="AB439" s="271"/>
      <c r="AC439" s="271"/>
      <c r="AD439" s="271"/>
      <c r="AE439" s="271"/>
      <c r="AF439" s="271"/>
      <c r="AG439" s="271"/>
      <c r="AH439" s="271"/>
      <c r="AI439" s="271"/>
      <c r="AJ439" s="271"/>
      <c r="AK439" s="271"/>
      <c r="AL439" s="271"/>
      <c r="AM439" s="271"/>
      <c r="AN439" s="271"/>
    </row>
    <row r="440" spans="1:40" ht="12.75" customHeight="1">
      <c r="A440" s="278"/>
      <c r="B440" s="278"/>
      <c r="C440" s="278"/>
      <c r="D440" s="278"/>
      <c r="E440" s="278"/>
      <c r="F440" s="278"/>
      <c r="G440" s="278"/>
      <c r="H440" s="278"/>
      <c r="I440" s="278"/>
      <c r="J440" s="278"/>
      <c r="K440" s="278"/>
      <c r="L440" s="278"/>
      <c r="M440" s="278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  <c r="AA440" s="271"/>
      <c r="AB440" s="271"/>
      <c r="AC440" s="271"/>
      <c r="AD440" s="271"/>
      <c r="AE440" s="271"/>
      <c r="AF440" s="271"/>
      <c r="AG440" s="271"/>
      <c r="AH440" s="271"/>
      <c r="AI440" s="271"/>
      <c r="AJ440" s="271"/>
      <c r="AK440" s="271"/>
      <c r="AL440" s="271"/>
      <c r="AM440" s="271"/>
      <c r="AN440" s="271"/>
    </row>
    <row r="441" spans="1:40" ht="12.75" customHeight="1">
      <c r="A441" s="278"/>
      <c r="B441" s="278"/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  <c r="M441" s="278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  <c r="AA441" s="271"/>
      <c r="AB441" s="271"/>
      <c r="AC441" s="271"/>
      <c r="AD441" s="271"/>
      <c r="AE441" s="271"/>
      <c r="AF441" s="271"/>
      <c r="AG441" s="271"/>
      <c r="AH441" s="271"/>
      <c r="AI441" s="271"/>
      <c r="AJ441" s="271"/>
      <c r="AK441" s="271"/>
      <c r="AL441" s="271"/>
      <c r="AM441" s="271"/>
      <c r="AN441" s="271"/>
    </row>
    <row r="442" spans="1:40" ht="12.75" customHeight="1">
      <c r="A442" s="278"/>
      <c r="B442" s="278"/>
      <c r="C442" s="278"/>
      <c r="D442" s="278"/>
      <c r="E442" s="278"/>
      <c r="F442" s="278"/>
      <c r="G442" s="278"/>
      <c r="H442" s="278"/>
      <c r="I442" s="278"/>
      <c r="J442" s="278"/>
      <c r="K442" s="278"/>
      <c r="L442" s="278"/>
      <c r="M442" s="278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  <c r="AA442" s="271"/>
      <c r="AB442" s="271"/>
      <c r="AC442" s="271"/>
      <c r="AD442" s="271"/>
      <c r="AE442" s="271"/>
      <c r="AF442" s="271"/>
      <c r="AG442" s="271"/>
      <c r="AH442" s="271"/>
      <c r="AI442" s="271"/>
      <c r="AJ442" s="271"/>
      <c r="AK442" s="271"/>
      <c r="AL442" s="271"/>
      <c r="AM442" s="271"/>
      <c r="AN442" s="271"/>
    </row>
    <row r="443" spans="1:40" ht="12.75" customHeight="1">
      <c r="A443" s="278"/>
      <c r="B443" s="278"/>
      <c r="C443" s="278"/>
      <c r="D443" s="278"/>
      <c r="E443" s="278"/>
      <c r="F443" s="278"/>
      <c r="G443" s="278"/>
      <c r="H443" s="278"/>
      <c r="I443" s="278"/>
      <c r="J443" s="278"/>
      <c r="K443" s="278"/>
      <c r="L443" s="278"/>
      <c r="M443" s="278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  <c r="AB443" s="271"/>
      <c r="AC443" s="271"/>
      <c r="AD443" s="271"/>
      <c r="AE443" s="271"/>
      <c r="AF443" s="271"/>
      <c r="AG443" s="271"/>
      <c r="AH443" s="271"/>
      <c r="AI443" s="271"/>
      <c r="AJ443" s="271"/>
      <c r="AK443" s="271"/>
      <c r="AL443" s="271"/>
      <c r="AM443" s="271"/>
      <c r="AN443" s="271"/>
    </row>
    <row r="444" spans="1:40" ht="12.75" customHeight="1">
      <c r="A444" s="278"/>
      <c r="B444" s="278"/>
      <c r="C444" s="278"/>
      <c r="D444" s="278"/>
      <c r="E444" s="278"/>
      <c r="F444" s="278"/>
      <c r="G444" s="278"/>
      <c r="H444" s="278"/>
      <c r="I444" s="278"/>
      <c r="J444" s="278"/>
      <c r="K444" s="278"/>
      <c r="L444" s="278"/>
      <c r="M444" s="278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  <c r="AA444" s="271"/>
      <c r="AB444" s="271"/>
      <c r="AC444" s="271"/>
      <c r="AD444" s="271"/>
      <c r="AE444" s="271"/>
      <c r="AF444" s="271"/>
      <c r="AG444" s="271"/>
      <c r="AH444" s="271"/>
      <c r="AI444" s="271"/>
      <c r="AJ444" s="271"/>
      <c r="AK444" s="271"/>
      <c r="AL444" s="271"/>
      <c r="AM444" s="271"/>
      <c r="AN444" s="271"/>
    </row>
    <row r="445" spans="1:40" ht="12.75" customHeight="1">
      <c r="A445" s="278"/>
      <c r="B445" s="278"/>
      <c r="C445" s="278"/>
      <c r="D445" s="278"/>
      <c r="E445" s="278"/>
      <c r="F445" s="278"/>
      <c r="G445" s="278"/>
      <c r="H445" s="278"/>
      <c r="I445" s="278"/>
      <c r="J445" s="278"/>
      <c r="K445" s="278"/>
      <c r="L445" s="278"/>
      <c r="M445" s="278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  <c r="AA445" s="271"/>
      <c r="AB445" s="271"/>
      <c r="AC445" s="271"/>
      <c r="AD445" s="271"/>
      <c r="AE445" s="271"/>
      <c r="AF445" s="271"/>
      <c r="AG445" s="271"/>
      <c r="AH445" s="271"/>
      <c r="AI445" s="271"/>
      <c r="AJ445" s="271"/>
      <c r="AK445" s="271"/>
      <c r="AL445" s="271"/>
      <c r="AM445" s="271"/>
      <c r="AN445" s="271"/>
    </row>
    <row r="446" spans="1:40" ht="12.75" customHeight="1">
      <c r="A446" s="278"/>
      <c r="B446" s="278"/>
      <c r="C446" s="278"/>
      <c r="D446" s="278"/>
      <c r="E446" s="278"/>
      <c r="F446" s="278"/>
      <c r="G446" s="278"/>
      <c r="H446" s="278"/>
      <c r="I446" s="278"/>
      <c r="J446" s="278"/>
      <c r="K446" s="278"/>
      <c r="L446" s="278"/>
      <c r="M446" s="278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  <c r="AA446" s="271"/>
      <c r="AB446" s="271"/>
      <c r="AC446" s="271"/>
      <c r="AD446" s="271"/>
      <c r="AE446" s="271"/>
      <c r="AF446" s="271"/>
      <c r="AG446" s="271"/>
      <c r="AH446" s="271"/>
      <c r="AI446" s="271"/>
      <c r="AJ446" s="271"/>
      <c r="AK446" s="271"/>
      <c r="AL446" s="271"/>
      <c r="AM446" s="271"/>
      <c r="AN446" s="271"/>
    </row>
    <row r="447" spans="1:40" ht="12.75" customHeight="1">
      <c r="A447" s="278"/>
      <c r="B447" s="278"/>
      <c r="C447" s="278"/>
      <c r="D447" s="278"/>
      <c r="E447" s="278"/>
      <c r="F447" s="278"/>
      <c r="G447" s="278"/>
      <c r="H447" s="278"/>
      <c r="I447" s="278"/>
      <c r="J447" s="278"/>
      <c r="K447" s="278"/>
      <c r="L447" s="278"/>
      <c r="M447" s="278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  <c r="AA447" s="271"/>
      <c r="AB447" s="271"/>
      <c r="AC447" s="271"/>
      <c r="AD447" s="271"/>
      <c r="AE447" s="271"/>
      <c r="AF447" s="271"/>
      <c r="AG447" s="271"/>
      <c r="AH447" s="271"/>
      <c r="AI447" s="271"/>
      <c r="AJ447" s="271"/>
      <c r="AK447" s="271"/>
      <c r="AL447" s="271"/>
      <c r="AM447" s="271"/>
      <c r="AN447" s="271"/>
    </row>
    <row r="448" spans="1:40" ht="12.75" customHeight="1">
      <c r="A448" s="278"/>
      <c r="B448" s="278"/>
      <c r="C448" s="278"/>
      <c r="D448" s="278"/>
      <c r="E448" s="278"/>
      <c r="F448" s="278"/>
      <c r="G448" s="278"/>
      <c r="H448" s="278"/>
      <c r="I448" s="278"/>
      <c r="J448" s="278"/>
      <c r="K448" s="278"/>
      <c r="L448" s="278"/>
      <c r="M448" s="278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  <c r="AA448" s="271"/>
      <c r="AB448" s="271"/>
      <c r="AC448" s="271"/>
      <c r="AD448" s="271"/>
      <c r="AE448" s="271"/>
      <c r="AF448" s="271"/>
      <c r="AG448" s="271"/>
      <c r="AH448" s="271"/>
      <c r="AI448" s="271"/>
      <c r="AJ448" s="271"/>
      <c r="AK448" s="271"/>
      <c r="AL448" s="271"/>
      <c r="AM448" s="271"/>
      <c r="AN448" s="271"/>
    </row>
    <row r="449" spans="1:40" ht="12.75" customHeight="1">
      <c r="A449" s="278"/>
      <c r="B449" s="278"/>
      <c r="C449" s="278"/>
      <c r="D449" s="278"/>
      <c r="E449" s="278"/>
      <c r="F449" s="278"/>
      <c r="G449" s="278"/>
      <c r="H449" s="278"/>
      <c r="I449" s="278"/>
      <c r="J449" s="278"/>
      <c r="K449" s="278"/>
      <c r="L449" s="278"/>
      <c r="M449" s="278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  <c r="AA449" s="271"/>
      <c r="AB449" s="271"/>
      <c r="AC449" s="271"/>
      <c r="AD449" s="271"/>
      <c r="AE449" s="271"/>
      <c r="AF449" s="271"/>
      <c r="AG449" s="271"/>
      <c r="AH449" s="271"/>
      <c r="AI449" s="271"/>
      <c r="AJ449" s="271"/>
      <c r="AK449" s="271"/>
      <c r="AL449" s="271"/>
      <c r="AM449" s="271"/>
      <c r="AN449" s="271"/>
    </row>
    <row r="450" spans="1:40" ht="12.75" customHeight="1">
      <c r="A450" s="278"/>
      <c r="B450" s="278"/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  <c r="M450" s="278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  <c r="AA450" s="271"/>
      <c r="AB450" s="271"/>
      <c r="AC450" s="271"/>
      <c r="AD450" s="271"/>
      <c r="AE450" s="271"/>
      <c r="AF450" s="271"/>
      <c r="AG450" s="271"/>
      <c r="AH450" s="271"/>
      <c r="AI450" s="271"/>
      <c r="AJ450" s="271"/>
      <c r="AK450" s="271"/>
      <c r="AL450" s="271"/>
      <c r="AM450" s="271"/>
      <c r="AN450" s="271"/>
    </row>
    <row r="451" spans="1:40" ht="12.75" customHeight="1">
      <c r="A451" s="278"/>
      <c r="B451" s="278"/>
      <c r="C451" s="278"/>
      <c r="D451" s="278"/>
      <c r="E451" s="278"/>
      <c r="F451" s="278"/>
      <c r="G451" s="278"/>
      <c r="H451" s="278"/>
      <c r="I451" s="278"/>
      <c r="J451" s="278"/>
      <c r="K451" s="278"/>
      <c r="L451" s="278"/>
      <c r="M451" s="278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  <c r="AA451" s="271"/>
      <c r="AB451" s="271"/>
      <c r="AC451" s="271"/>
      <c r="AD451" s="271"/>
      <c r="AE451" s="271"/>
      <c r="AF451" s="271"/>
      <c r="AG451" s="271"/>
      <c r="AH451" s="271"/>
      <c r="AI451" s="271"/>
      <c r="AJ451" s="271"/>
      <c r="AK451" s="271"/>
      <c r="AL451" s="271"/>
      <c r="AM451" s="271"/>
      <c r="AN451" s="271"/>
    </row>
    <row r="452" spans="1:40" ht="12.75" customHeight="1">
      <c r="A452" s="278"/>
      <c r="B452" s="278"/>
      <c r="C452" s="278"/>
      <c r="D452" s="278"/>
      <c r="E452" s="278"/>
      <c r="F452" s="278"/>
      <c r="G452" s="278"/>
      <c r="H452" s="278"/>
      <c r="I452" s="278"/>
      <c r="J452" s="278"/>
      <c r="K452" s="278"/>
      <c r="L452" s="278"/>
      <c r="M452" s="278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  <c r="AA452" s="271"/>
      <c r="AB452" s="271"/>
      <c r="AC452" s="271"/>
      <c r="AD452" s="271"/>
      <c r="AE452" s="271"/>
      <c r="AF452" s="271"/>
      <c r="AG452" s="271"/>
      <c r="AH452" s="271"/>
      <c r="AI452" s="271"/>
      <c r="AJ452" s="271"/>
      <c r="AK452" s="271"/>
      <c r="AL452" s="271"/>
      <c r="AM452" s="271"/>
      <c r="AN452" s="271"/>
    </row>
    <row r="453" spans="1:40" ht="12.75" customHeight="1">
      <c r="A453" s="278"/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278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  <c r="AA453" s="271"/>
      <c r="AB453" s="271"/>
      <c r="AC453" s="271"/>
      <c r="AD453" s="271"/>
      <c r="AE453" s="271"/>
      <c r="AF453" s="271"/>
      <c r="AG453" s="271"/>
      <c r="AH453" s="271"/>
      <c r="AI453" s="271"/>
      <c r="AJ453" s="271"/>
      <c r="AK453" s="271"/>
      <c r="AL453" s="271"/>
      <c r="AM453" s="271"/>
      <c r="AN453" s="271"/>
    </row>
    <row r="454" spans="1:40" ht="12.75" customHeight="1">
      <c r="A454" s="278"/>
      <c r="B454" s="278"/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  <c r="M454" s="278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  <c r="AA454" s="271"/>
      <c r="AB454" s="271"/>
      <c r="AC454" s="271"/>
      <c r="AD454" s="271"/>
      <c r="AE454" s="271"/>
      <c r="AF454" s="271"/>
      <c r="AG454" s="271"/>
      <c r="AH454" s="271"/>
      <c r="AI454" s="271"/>
      <c r="AJ454" s="271"/>
      <c r="AK454" s="271"/>
      <c r="AL454" s="271"/>
      <c r="AM454" s="271"/>
      <c r="AN454" s="271"/>
    </row>
    <row r="455" spans="1:40" ht="12.75" customHeight="1">
      <c r="A455" s="278"/>
      <c r="B455" s="278"/>
      <c r="C455" s="278"/>
      <c r="D455" s="278"/>
      <c r="E455" s="278"/>
      <c r="F455" s="278"/>
      <c r="G455" s="278"/>
      <c r="H455" s="278"/>
      <c r="I455" s="278"/>
      <c r="J455" s="278"/>
      <c r="K455" s="278"/>
      <c r="L455" s="278"/>
      <c r="M455" s="278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  <c r="AA455" s="271"/>
      <c r="AB455" s="271"/>
      <c r="AC455" s="271"/>
      <c r="AD455" s="271"/>
      <c r="AE455" s="271"/>
      <c r="AF455" s="271"/>
      <c r="AG455" s="271"/>
      <c r="AH455" s="271"/>
      <c r="AI455" s="271"/>
      <c r="AJ455" s="271"/>
      <c r="AK455" s="271"/>
      <c r="AL455" s="271"/>
      <c r="AM455" s="271"/>
      <c r="AN455" s="271"/>
    </row>
    <row r="456" spans="1:40" ht="12.75" customHeight="1">
      <c r="A456" s="278"/>
      <c r="B456" s="278"/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  <c r="M456" s="278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  <c r="AB456" s="271"/>
      <c r="AC456" s="271"/>
      <c r="AD456" s="271"/>
      <c r="AE456" s="271"/>
      <c r="AF456" s="271"/>
      <c r="AG456" s="271"/>
      <c r="AH456" s="271"/>
      <c r="AI456" s="271"/>
      <c r="AJ456" s="271"/>
      <c r="AK456" s="271"/>
      <c r="AL456" s="271"/>
      <c r="AM456" s="271"/>
      <c r="AN456" s="271"/>
    </row>
    <row r="457" spans="1:40" ht="12.75" customHeight="1">
      <c r="A457" s="278"/>
      <c r="B457" s="278"/>
      <c r="C457" s="278"/>
      <c r="D457" s="278"/>
      <c r="E457" s="278"/>
      <c r="F457" s="278"/>
      <c r="G457" s="278"/>
      <c r="H457" s="278"/>
      <c r="I457" s="278"/>
      <c r="J457" s="278"/>
      <c r="K457" s="278"/>
      <c r="L457" s="278"/>
      <c r="M457" s="278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  <c r="AA457" s="271"/>
      <c r="AB457" s="271"/>
      <c r="AC457" s="271"/>
      <c r="AD457" s="271"/>
      <c r="AE457" s="271"/>
      <c r="AF457" s="271"/>
      <c r="AG457" s="271"/>
      <c r="AH457" s="271"/>
      <c r="AI457" s="271"/>
      <c r="AJ457" s="271"/>
      <c r="AK457" s="271"/>
      <c r="AL457" s="271"/>
      <c r="AM457" s="271"/>
      <c r="AN457" s="271"/>
    </row>
    <row r="458" spans="1:40" ht="12.75" customHeight="1">
      <c r="A458" s="278"/>
      <c r="B458" s="278"/>
      <c r="C458" s="278"/>
      <c r="D458" s="278"/>
      <c r="E458" s="278"/>
      <c r="F458" s="278"/>
      <c r="G458" s="278"/>
      <c r="H458" s="278"/>
      <c r="I458" s="278"/>
      <c r="J458" s="278"/>
      <c r="K458" s="278"/>
      <c r="L458" s="278"/>
      <c r="M458" s="278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  <c r="AA458" s="271"/>
      <c r="AB458" s="271"/>
      <c r="AC458" s="271"/>
      <c r="AD458" s="271"/>
      <c r="AE458" s="271"/>
      <c r="AF458" s="271"/>
      <c r="AG458" s="271"/>
      <c r="AH458" s="271"/>
      <c r="AI458" s="271"/>
      <c r="AJ458" s="271"/>
      <c r="AK458" s="271"/>
      <c r="AL458" s="271"/>
      <c r="AM458" s="271"/>
      <c r="AN458" s="271"/>
    </row>
    <row r="459" spans="1:40" ht="12.75" customHeight="1">
      <c r="A459" s="278"/>
      <c r="B459" s="278"/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  <c r="M459" s="278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  <c r="AA459" s="271"/>
      <c r="AB459" s="271"/>
      <c r="AC459" s="271"/>
      <c r="AD459" s="271"/>
      <c r="AE459" s="271"/>
      <c r="AF459" s="271"/>
      <c r="AG459" s="271"/>
      <c r="AH459" s="271"/>
      <c r="AI459" s="271"/>
      <c r="AJ459" s="271"/>
      <c r="AK459" s="271"/>
      <c r="AL459" s="271"/>
      <c r="AM459" s="271"/>
      <c r="AN459" s="271"/>
    </row>
    <row r="460" spans="1:40" ht="12.75" customHeight="1">
      <c r="A460" s="278"/>
      <c r="B460" s="278"/>
      <c r="C460" s="278"/>
      <c r="D460" s="278"/>
      <c r="E460" s="278"/>
      <c r="F460" s="278"/>
      <c r="G460" s="278"/>
      <c r="H460" s="278"/>
      <c r="I460" s="278"/>
      <c r="J460" s="278"/>
      <c r="K460" s="278"/>
      <c r="L460" s="278"/>
      <c r="M460" s="278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  <c r="AA460" s="271"/>
      <c r="AB460" s="271"/>
      <c r="AC460" s="271"/>
      <c r="AD460" s="271"/>
      <c r="AE460" s="271"/>
      <c r="AF460" s="271"/>
      <c r="AG460" s="271"/>
      <c r="AH460" s="271"/>
      <c r="AI460" s="271"/>
      <c r="AJ460" s="271"/>
      <c r="AK460" s="271"/>
      <c r="AL460" s="271"/>
      <c r="AM460" s="271"/>
      <c r="AN460" s="271"/>
    </row>
    <row r="461" spans="1:40" ht="12.75" customHeight="1">
      <c r="A461" s="278"/>
      <c r="B461" s="278"/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  <c r="M461" s="278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  <c r="AA461" s="271"/>
      <c r="AB461" s="271"/>
      <c r="AC461" s="271"/>
      <c r="AD461" s="271"/>
      <c r="AE461" s="271"/>
      <c r="AF461" s="271"/>
      <c r="AG461" s="271"/>
      <c r="AH461" s="271"/>
      <c r="AI461" s="271"/>
      <c r="AJ461" s="271"/>
      <c r="AK461" s="271"/>
      <c r="AL461" s="271"/>
      <c r="AM461" s="271"/>
      <c r="AN461" s="271"/>
    </row>
    <row r="462" spans="1:40" ht="12.75" customHeight="1">
      <c r="A462" s="278"/>
      <c r="B462" s="278"/>
      <c r="C462" s="278"/>
      <c r="D462" s="278"/>
      <c r="E462" s="278"/>
      <c r="F462" s="278"/>
      <c r="G462" s="278"/>
      <c r="H462" s="278"/>
      <c r="I462" s="278"/>
      <c r="J462" s="278"/>
      <c r="K462" s="278"/>
      <c r="L462" s="278"/>
      <c r="M462" s="278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  <c r="AA462" s="271"/>
      <c r="AB462" s="271"/>
      <c r="AC462" s="271"/>
      <c r="AD462" s="271"/>
      <c r="AE462" s="271"/>
      <c r="AF462" s="271"/>
      <c r="AG462" s="271"/>
      <c r="AH462" s="271"/>
      <c r="AI462" s="271"/>
      <c r="AJ462" s="271"/>
      <c r="AK462" s="271"/>
      <c r="AL462" s="271"/>
      <c r="AM462" s="271"/>
      <c r="AN462" s="271"/>
    </row>
    <row r="463" spans="1:40" ht="12.75" customHeight="1">
      <c r="A463" s="278"/>
      <c r="B463" s="278"/>
      <c r="C463" s="278"/>
      <c r="D463" s="278"/>
      <c r="E463" s="278"/>
      <c r="F463" s="278"/>
      <c r="G463" s="278"/>
      <c r="H463" s="278"/>
      <c r="I463" s="278"/>
      <c r="J463" s="278"/>
      <c r="K463" s="278"/>
      <c r="L463" s="278"/>
      <c r="M463" s="278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  <c r="AA463" s="271"/>
      <c r="AB463" s="271"/>
      <c r="AC463" s="271"/>
      <c r="AD463" s="271"/>
      <c r="AE463" s="271"/>
      <c r="AF463" s="271"/>
      <c r="AG463" s="271"/>
      <c r="AH463" s="271"/>
      <c r="AI463" s="271"/>
      <c r="AJ463" s="271"/>
      <c r="AK463" s="271"/>
      <c r="AL463" s="271"/>
      <c r="AM463" s="271"/>
      <c r="AN463" s="271"/>
    </row>
    <row r="464" spans="1:40" ht="12.75" customHeight="1">
      <c r="A464" s="278"/>
      <c r="B464" s="278"/>
      <c r="C464" s="278"/>
      <c r="D464" s="278"/>
      <c r="E464" s="278"/>
      <c r="F464" s="278"/>
      <c r="G464" s="278"/>
      <c r="H464" s="278"/>
      <c r="I464" s="278"/>
      <c r="J464" s="278"/>
      <c r="K464" s="278"/>
      <c r="L464" s="278"/>
      <c r="M464" s="278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  <c r="AA464" s="271"/>
      <c r="AB464" s="271"/>
      <c r="AC464" s="271"/>
      <c r="AD464" s="271"/>
      <c r="AE464" s="271"/>
      <c r="AF464" s="271"/>
      <c r="AG464" s="271"/>
      <c r="AH464" s="271"/>
      <c r="AI464" s="271"/>
      <c r="AJ464" s="271"/>
      <c r="AK464" s="271"/>
      <c r="AL464" s="271"/>
      <c r="AM464" s="271"/>
      <c r="AN464" s="271"/>
    </row>
    <row r="465" spans="1:40" ht="12.75" customHeight="1">
      <c r="A465" s="278"/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278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  <c r="AA465" s="271"/>
      <c r="AB465" s="271"/>
      <c r="AC465" s="271"/>
      <c r="AD465" s="271"/>
      <c r="AE465" s="271"/>
      <c r="AF465" s="271"/>
      <c r="AG465" s="271"/>
      <c r="AH465" s="271"/>
      <c r="AI465" s="271"/>
      <c r="AJ465" s="271"/>
      <c r="AK465" s="271"/>
      <c r="AL465" s="271"/>
      <c r="AM465" s="271"/>
      <c r="AN465" s="271"/>
    </row>
    <row r="466" spans="1:40" ht="12.75" customHeight="1">
      <c r="A466" s="278"/>
      <c r="B466" s="278"/>
      <c r="C466" s="278"/>
      <c r="D466" s="278"/>
      <c r="E466" s="278"/>
      <c r="F466" s="278"/>
      <c r="G466" s="278"/>
      <c r="H466" s="278"/>
      <c r="I466" s="278"/>
      <c r="J466" s="278"/>
      <c r="K466" s="278"/>
      <c r="L466" s="278"/>
      <c r="M466" s="278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  <c r="AA466" s="271"/>
      <c r="AB466" s="271"/>
      <c r="AC466" s="271"/>
      <c r="AD466" s="271"/>
      <c r="AE466" s="271"/>
      <c r="AF466" s="271"/>
      <c r="AG466" s="271"/>
      <c r="AH466" s="271"/>
      <c r="AI466" s="271"/>
      <c r="AJ466" s="271"/>
      <c r="AK466" s="271"/>
      <c r="AL466" s="271"/>
      <c r="AM466" s="271"/>
      <c r="AN466" s="271"/>
    </row>
    <row r="467" spans="1:40" ht="12.75" customHeight="1">
      <c r="A467" s="278"/>
      <c r="B467" s="278"/>
      <c r="C467" s="278"/>
      <c r="D467" s="278"/>
      <c r="E467" s="278"/>
      <c r="F467" s="278"/>
      <c r="G467" s="278"/>
      <c r="H467" s="278"/>
      <c r="I467" s="278"/>
      <c r="J467" s="278"/>
      <c r="K467" s="278"/>
      <c r="L467" s="278"/>
      <c r="M467" s="278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  <c r="AA467" s="271"/>
      <c r="AB467" s="271"/>
      <c r="AC467" s="271"/>
      <c r="AD467" s="271"/>
      <c r="AE467" s="271"/>
      <c r="AF467" s="271"/>
      <c r="AG467" s="271"/>
      <c r="AH467" s="271"/>
      <c r="AI467" s="271"/>
      <c r="AJ467" s="271"/>
      <c r="AK467" s="271"/>
      <c r="AL467" s="271"/>
      <c r="AM467" s="271"/>
      <c r="AN467" s="271"/>
    </row>
    <row r="468" spans="1:40" ht="12.75" customHeight="1">
      <c r="A468" s="278"/>
      <c r="B468" s="278"/>
      <c r="C468" s="278"/>
      <c r="D468" s="278"/>
      <c r="E468" s="278"/>
      <c r="F468" s="278"/>
      <c r="G468" s="278"/>
      <c r="H468" s="278"/>
      <c r="I468" s="278"/>
      <c r="J468" s="278"/>
      <c r="K468" s="278"/>
      <c r="L468" s="278"/>
      <c r="M468" s="278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  <c r="AA468" s="271"/>
      <c r="AB468" s="271"/>
      <c r="AC468" s="271"/>
      <c r="AD468" s="271"/>
      <c r="AE468" s="271"/>
      <c r="AF468" s="271"/>
      <c r="AG468" s="271"/>
      <c r="AH468" s="271"/>
      <c r="AI468" s="271"/>
      <c r="AJ468" s="271"/>
      <c r="AK468" s="271"/>
      <c r="AL468" s="271"/>
      <c r="AM468" s="271"/>
      <c r="AN468" s="271"/>
    </row>
    <row r="469" spans="1:40" ht="12.75" customHeight="1">
      <c r="A469" s="278"/>
      <c r="B469" s="278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  <c r="AB469" s="271"/>
      <c r="AC469" s="271"/>
      <c r="AD469" s="271"/>
      <c r="AE469" s="271"/>
      <c r="AF469" s="271"/>
      <c r="AG469" s="271"/>
      <c r="AH469" s="271"/>
      <c r="AI469" s="271"/>
      <c r="AJ469" s="271"/>
      <c r="AK469" s="271"/>
      <c r="AL469" s="271"/>
      <c r="AM469" s="271"/>
      <c r="AN469" s="271"/>
    </row>
    <row r="470" spans="1:40" ht="12.75" customHeight="1">
      <c r="A470" s="278"/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  <c r="M470" s="278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  <c r="AA470" s="271"/>
      <c r="AB470" s="271"/>
      <c r="AC470" s="271"/>
      <c r="AD470" s="271"/>
      <c r="AE470" s="271"/>
      <c r="AF470" s="271"/>
      <c r="AG470" s="271"/>
      <c r="AH470" s="271"/>
      <c r="AI470" s="271"/>
      <c r="AJ470" s="271"/>
      <c r="AK470" s="271"/>
      <c r="AL470" s="271"/>
      <c r="AM470" s="271"/>
      <c r="AN470" s="271"/>
    </row>
    <row r="471" spans="1:40" ht="12.75" customHeight="1">
      <c r="A471" s="278"/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278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  <c r="AA471" s="271"/>
      <c r="AB471" s="271"/>
      <c r="AC471" s="271"/>
      <c r="AD471" s="271"/>
      <c r="AE471" s="271"/>
      <c r="AF471" s="271"/>
      <c r="AG471" s="271"/>
      <c r="AH471" s="271"/>
      <c r="AI471" s="271"/>
      <c r="AJ471" s="271"/>
      <c r="AK471" s="271"/>
      <c r="AL471" s="271"/>
      <c r="AM471" s="271"/>
      <c r="AN471" s="271"/>
    </row>
    <row r="472" spans="1:40" ht="12.75" customHeight="1">
      <c r="A472" s="278"/>
      <c r="B472" s="278"/>
      <c r="C472" s="278"/>
      <c r="D472" s="278"/>
      <c r="E472" s="278"/>
      <c r="F472" s="278"/>
      <c r="G472" s="278"/>
      <c r="H472" s="278"/>
      <c r="I472" s="278"/>
      <c r="J472" s="278"/>
      <c r="K472" s="278"/>
      <c r="L472" s="278"/>
      <c r="M472" s="278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  <c r="AA472" s="271"/>
      <c r="AB472" s="271"/>
      <c r="AC472" s="271"/>
      <c r="AD472" s="271"/>
      <c r="AE472" s="271"/>
      <c r="AF472" s="271"/>
      <c r="AG472" s="271"/>
      <c r="AH472" s="271"/>
      <c r="AI472" s="271"/>
      <c r="AJ472" s="271"/>
      <c r="AK472" s="271"/>
      <c r="AL472" s="271"/>
      <c r="AM472" s="271"/>
      <c r="AN472" s="271"/>
    </row>
    <row r="473" spans="1:40" ht="12.75" customHeight="1">
      <c r="A473" s="278"/>
      <c r="B473" s="278"/>
      <c r="C473" s="278"/>
      <c r="D473" s="278"/>
      <c r="E473" s="278"/>
      <c r="F473" s="278"/>
      <c r="G473" s="278"/>
      <c r="H473" s="278"/>
      <c r="I473" s="278"/>
      <c r="J473" s="278"/>
      <c r="K473" s="278"/>
      <c r="L473" s="278"/>
      <c r="M473" s="278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  <c r="AB473" s="271"/>
      <c r="AC473" s="271"/>
      <c r="AD473" s="271"/>
      <c r="AE473" s="271"/>
      <c r="AF473" s="271"/>
      <c r="AG473" s="271"/>
      <c r="AH473" s="271"/>
      <c r="AI473" s="271"/>
      <c r="AJ473" s="271"/>
      <c r="AK473" s="271"/>
      <c r="AL473" s="271"/>
      <c r="AM473" s="271"/>
      <c r="AN473" s="271"/>
    </row>
    <row r="474" spans="1:40" ht="12.75" customHeight="1">
      <c r="A474" s="278"/>
      <c r="B474" s="278"/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  <c r="M474" s="278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  <c r="AB474" s="271"/>
      <c r="AC474" s="271"/>
      <c r="AD474" s="271"/>
      <c r="AE474" s="271"/>
      <c r="AF474" s="271"/>
      <c r="AG474" s="271"/>
      <c r="AH474" s="271"/>
      <c r="AI474" s="271"/>
      <c r="AJ474" s="271"/>
      <c r="AK474" s="271"/>
      <c r="AL474" s="271"/>
      <c r="AM474" s="271"/>
      <c r="AN474" s="271"/>
    </row>
    <row r="475" spans="1:40" ht="12.75" customHeight="1">
      <c r="A475" s="278"/>
      <c r="B475" s="278"/>
      <c r="C475" s="278"/>
      <c r="D475" s="278"/>
      <c r="E475" s="278"/>
      <c r="F475" s="278"/>
      <c r="G475" s="278"/>
      <c r="H475" s="278"/>
      <c r="I475" s="278"/>
      <c r="J475" s="278"/>
      <c r="K475" s="278"/>
      <c r="L475" s="278"/>
      <c r="M475" s="278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  <c r="AA475" s="271"/>
      <c r="AB475" s="271"/>
      <c r="AC475" s="271"/>
      <c r="AD475" s="271"/>
      <c r="AE475" s="271"/>
      <c r="AF475" s="271"/>
      <c r="AG475" s="271"/>
      <c r="AH475" s="271"/>
      <c r="AI475" s="271"/>
      <c r="AJ475" s="271"/>
      <c r="AK475" s="271"/>
      <c r="AL475" s="271"/>
      <c r="AM475" s="271"/>
      <c r="AN475" s="271"/>
    </row>
    <row r="476" spans="1:40" ht="12.75" customHeight="1">
      <c r="A476" s="278"/>
      <c r="B476" s="278"/>
      <c r="C476" s="278"/>
      <c r="D476" s="278"/>
      <c r="E476" s="278"/>
      <c r="F476" s="278"/>
      <c r="G476" s="278"/>
      <c r="H476" s="278"/>
      <c r="I476" s="278"/>
      <c r="J476" s="278"/>
      <c r="K476" s="278"/>
      <c r="L476" s="278"/>
      <c r="M476" s="278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  <c r="AA476" s="271"/>
      <c r="AB476" s="271"/>
      <c r="AC476" s="271"/>
      <c r="AD476" s="271"/>
      <c r="AE476" s="271"/>
      <c r="AF476" s="271"/>
      <c r="AG476" s="271"/>
      <c r="AH476" s="271"/>
      <c r="AI476" s="271"/>
      <c r="AJ476" s="271"/>
      <c r="AK476" s="271"/>
      <c r="AL476" s="271"/>
      <c r="AM476" s="271"/>
      <c r="AN476" s="271"/>
    </row>
    <row r="477" spans="1:40" ht="12.75" customHeight="1">
      <c r="A477" s="278"/>
      <c r="B477" s="278"/>
      <c r="C477" s="278"/>
      <c r="D477" s="278"/>
      <c r="E477" s="278"/>
      <c r="F477" s="278"/>
      <c r="G477" s="278"/>
      <c r="H477" s="278"/>
      <c r="I477" s="278"/>
      <c r="J477" s="278"/>
      <c r="K477" s="278"/>
      <c r="L477" s="278"/>
      <c r="M477" s="278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  <c r="AA477" s="271"/>
      <c r="AB477" s="271"/>
      <c r="AC477" s="271"/>
      <c r="AD477" s="271"/>
      <c r="AE477" s="271"/>
      <c r="AF477" s="271"/>
      <c r="AG477" s="271"/>
      <c r="AH477" s="271"/>
      <c r="AI477" s="271"/>
      <c r="AJ477" s="271"/>
      <c r="AK477" s="271"/>
      <c r="AL477" s="271"/>
      <c r="AM477" s="271"/>
      <c r="AN477" s="271"/>
    </row>
    <row r="478" spans="1:40" ht="12.75" customHeight="1">
      <c r="A478" s="278"/>
      <c r="B478" s="278"/>
      <c r="C478" s="278"/>
      <c r="D478" s="278"/>
      <c r="E478" s="278"/>
      <c r="F478" s="278"/>
      <c r="G478" s="278"/>
      <c r="H478" s="278"/>
      <c r="I478" s="278"/>
      <c r="J478" s="278"/>
      <c r="K478" s="278"/>
      <c r="L478" s="278"/>
      <c r="M478" s="278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  <c r="AA478" s="271"/>
      <c r="AB478" s="271"/>
      <c r="AC478" s="271"/>
      <c r="AD478" s="271"/>
      <c r="AE478" s="271"/>
      <c r="AF478" s="271"/>
      <c r="AG478" s="271"/>
      <c r="AH478" s="271"/>
      <c r="AI478" s="271"/>
      <c r="AJ478" s="271"/>
      <c r="AK478" s="271"/>
      <c r="AL478" s="271"/>
      <c r="AM478" s="271"/>
      <c r="AN478" s="271"/>
    </row>
    <row r="479" spans="1:40" ht="12.75" customHeight="1">
      <c r="A479" s="278"/>
      <c r="B479" s="278"/>
      <c r="C479" s="278"/>
      <c r="D479" s="278"/>
      <c r="E479" s="278"/>
      <c r="F479" s="278"/>
      <c r="G479" s="278"/>
      <c r="H479" s="278"/>
      <c r="I479" s="278"/>
      <c r="J479" s="278"/>
      <c r="K479" s="278"/>
      <c r="L479" s="278"/>
      <c r="M479" s="278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  <c r="AA479" s="271"/>
      <c r="AB479" s="271"/>
      <c r="AC479" s="271"/>
      <c r="AD479" s="271"/>
      <c r="AE479" s="271"/>
      <c r="AF479" s="271"/>
      <c r="AG479" s="271"/>
      <c r="AH479" s="271"/>
      <c r="AI479" s="271"/>
      <c r="AJ479" s="271"/>
      <c r="AK479" s="271"/>
      <c r="AL479" s="271"/>
      <c r="AM479" s="271"/>
      <c r="AN479" s="271"/>
    </row>
    <row r="480" spans="1:40" ht="12.75" customHeight="1">
      <c r="A480" s="278"/>
      <c r="B480" s="278"/>
      <c r="C480" s="278"/>
      <c r="D480" s="278"/>
      <c r="E480" s="278"/>
      <c r="F480" s="278"/>
      <c r="G480" s="278"/>
      <c r="H480" s="278"/>
      <c r="I480" s="278"/>
      <c r="J480" s="278"/>
      <c r="K480" s="278"/>
      <c r="L480" s="278"/>
      <c r="M480" s="278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  <c r="AB480" s="271"/>
      <c r="AC480" s="271"/>
      <c r="AD480" s="271"/>
      <c r="AE480" s="271"/>
      <c r="AF480" s="271"/>
      <c r="AG480" s="271"/>
      <c r="AH480" s="271"/>
      <c r="AI480" s="271"/>
      <c r="AJ480" s="271"/>
      <c r="AK480" s="271"/>
      <c r="AL480" s="271"/>
      <c r="AM480" s="271"/>
      <c r="AN480" s="271"/>
    </row>
    <row r="481" spans="1:40" ht="12.75" customHeight="1">
      <c r="A481" s="278"/>
      <c r="B481" s="278"/>
      <c r="C481" s="278"/>
      <c r="D481" s="278"/>
      <c r="E481" s="278"/>
      <c r="F481" s="278"/>
      <c r="G481" s="278"/>
      <c r="H481" s="278"/>
      <c r="I481" s="278"/>
      <c r="J481" s="278"/>
      <c r="K481" s="278"/>
      <c r="L481" s="278"/>
      <c r="M481" s="278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1"/>
      <c r="AH481" s="271"/>
      <c r="AI481" s="271"/>
      <c r="AJ481" s="271"/>
      <c r="AK481" s="271"/>
      <c r="AL481" s="271"/>
      <c r="AM481" s="271"/>
      <c r="AN481" s="271"/>
    </row>
    <row r="482" spans="1:40" ht="12.75" customHeight="1">
      <c r="A482" s="278"/>
      <c r="B482" s="278"/>
      <c r="C482" s="278"/>
      <c r="D482" s="278"/>
      <c r="E482" s="278"/>
      <c r="F482" s="278"/>
      <c r="G482" s="278"/>
      <c r="H482" s="278"/>
      <c r="I482" s="278"/>
      <c r="J482" s="278"/>
      <c r="K482" s="278"/>
      <c r="L482" s="278"/>
      <c r="M482" s="278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  <c r="AA482" s="271"/>
      <c r="AB482" s="271"/>
      <c r="AC482" s="271"/>
      <c r="AD482" s="271"/>
      <c r="AE482" s="271"/>
      <c r="AF482" s="271"/>
      <c r="AG482" s="271"/>
      <c r="AH482" s="271"/>
      <c r="AI482" s="271"/>
      <c r="AJ482" s="271"/>
      <c r="AK482" s="271"/>
      <c r="AL482" s="271"/>
      <c r="AM482" s="271"/>
      <c r="AN482" s="271"/>
    </row>
    <row r="483" spans="1:40" ht="12.75" customHeight="1">
      <c r="A483" s="278"/>
      <c r="B483" s="278"/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  <c r="M483" s="278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  <c r="AB483" s="271"/>
      <c r="AC483" s="271"/>
      <c r="AD483" s="271"/>
      <c r="AE483" s="271"/>
      <c r="AF483" s="271"/>
      <c r="AG483" s="271"/>
      <c r="AH483" s="271"/>
      <c r="AI483" s="271"/>
      <c r="AJ483" s="271"/>
      <c r="AK483" s="271"/>
      <c r="AL483" s="271"/>
      <c r="AM483" s="271"/>
      <c r="AN483" s="271"/>
    </row>
    <row r="484" spans="1:40" ht="12.75" customHeight="1">
      <c r="A484" s="278"/>
      <c r="B484" s="278"/>
      <c r="C484" s="278"/>
      <c r="D484" s="278"/>
      <c r="E484" s="278"/>
      <c r="F484" s="278"/>
      <c r="G484" s="278"/>
      <c r="H484" s="278"/>
      <c r="I484" s="278"/>
      <c r="J484" s="278"/>
      <c r="K484" s="278"/>
      <c r="L484" s="278"/>
      <c r="M484" s="278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  <c r="AB484" s="271"/>
      <c r="AC484" s="271"/>
      <c r="AD484" s="271"/>
      <c r="AE484" s="271"/>
      <c r="AF484" s="271"/>
      <c r="AG484" s="271"/>
      <c r="AH484" s="271"/>
      <c r="AI484" s="271"/>
      <c r="AJ484" s="271"/>
      <c r="AK484" s="271"/>
      <c r="AL484" s="271"/>
      <c r="AM484" s="271"/>
      <c r="AN484" s="271"/>
    </row>
    <row r="485" spans="1:40" ht="12.75" customHeight="1">
      <c r="A485" s="278"/>
      <c r="B485" s="278"/>
      <c r="C485" s="278"/>
      <c r="D485" s="278"/>
      <c r="E485" s="278"/>
      <c r="F485" s="278"/>
      <c r="G485" s="278"/>
      <c r="H485" s="278"/>
      <c r="I485" s="278"/>
      <c r="J485" s="278"/>
      <c r="K485" s="278"/>
      <c r="L485" s="278"/>
      <c r="M485" s="278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  <c r="AB485" s="271"/>
      <c r="AC485" s="271"/>
      <c r="AD485" s="271"/>
      <c r="AE485" s="271"/>
      <c r="AF485" s="271"/>
      <c r="AG485" s="271"/>
      <c r="AH485" s="271"/>
      <c r="AI485" s="271"/>
      <c r="AJ485" s="271"/>
      <c r="AK485" s="271"/>
      <c r="AL485" s="271"/>
      <c r="AM485" s="271"/>
      <c r="AN485" s="271"/>
    </row>
    <row r="486" spans="1:40" ht="12.75" customHeight="1">
      <c r="A486" s="278"/>
      <c r="B486" s="278"/>
      <c r="C486" s="278"/>
      <c r="D486" s="278"/>
      <c r="E486" s="278"/>
      <c r="F486" s="278"/>
      <c r="G486" s="278"/>
      <c r="H486" s="278"/>
      <c r="I486" s="278"/>
      <c r="J486" s="278"/>
      <c r="K486" s="278"/>
      <c r="L486" s="278"/>
      <c r="M486" s="278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  <c r="AB486" s="271"/>
      <c r="AC486" s="271"/>
      <c r="AD486" s="271"/>
      <c r="AE486" s="271"/>
      <c r="AF486" s="271"/>
      <c r="AG486" s="271"/>
      <c r="AH486" s="271"/>
      <c r="AI486" s="271"/>
      <c r="AJ486" s="271"/>
      <c r="AK486" s="271"/>
      <c r="AL486" s="271"/>
      <c r="AM486" s="271"/>
      <c r="AN486" s="271"/>
    </row>
    <row r="487" spans="1:40" ht="12.75" customHeight="1">
      <c r="A487" s="278"/>
      <c r="B487" s="278"/>
      <c r="C487" s="278"/>
      <c r="D487" s="278"/>
      <c r="E487" s="278"/>
      <c r="F487" s="278"/>
      <c r="G487" s="278"/>
      <c r="H487" s="278"/>
      <c r="I487" s="278"/>
      <c r="J487" s="278"/>
      <c r="K487" s="278"/>
      <c r="L487" s="278"/>
      <c r="M487" s="278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  <c r="AA487" s="271"/>
      <c r="AB487" s="271"/>
      <c r="AC487" s="271"/>
      <c r="AD487" s="271"/>
      <c r="AE487" s="271"/>
      <c r="AF487" s="271"/>
      <c r="AG487" s="271"/>
      <c r="AH487" s="271"/>
      <c r="AI487" s="271"/>
      <c r="AJ487" s="271"/>
      <c r="AK487" s="271"/>
      <c r="AL487" s="271"/>
      <c r="AM487" s="271"/>
      <c r="AN487" s="271"/>
    </row>
    <row r="488" spans="1:40" ht="12.75" customHeight="1">
      <c r="A488" s="278"/>
      <c r="B488" s="278"/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  <c r="M488" s="278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1"/>
      <c r="AK488" s="271"/>
      <c r="AL488" s="271"/>
      <c r="AM488" s="271"/>
      <c r="AN488" s="271"/>
    </row>
    <row r="489" spans="1:40" ht="12.75" customHeight="1">
      <c r="A489" s="278"/>
      <c r="B489" s="278"/>
      <c r="C489" s="278"/>
      <c r="D489" s="278"/>
      <c r="E489" s="278"/>
      <c r="F489" s="278"/>
      <c r="G489" s="278"/>
      <c r="H489" s="278"/>
      <c r="I489" s="278"/>
      <c r="J489" s="278"/>
      <c r="K489" s="278"/>
      <c r="L489" s="278"/>
      <c r="M489" s="278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  <c r="AB489" s="271"/>
      <c r="AC489" s="271"/>
      <c r="AD489" s="271"/>
      <c r="AE489" s="271"/>
      <c r="AF489" s="271"/>
      <c r="AG489" s="271"/>
      <c r="AH489" s="271"/>
      <c r="AI489" s="271"/>
      <c r="AJ489" s="271"/>
      <c r="AK489" s="271"/>
      <c r="AL489" s="271"/>
      <c r="AM489" s="271"/>
      <c r="AN489" s="271"/>
    </row>
    <row r="490" spans="1:40" ht="12.75" customHeight="1">
      <c r="A490" s="278"/>
      <c r="B490" s="278"/>
      <c r="C490" s="278"/>
      <c r="D490" s="278"/>
      <c r="E490" s="278"/>
      <c r="F490" s="278"/>
      <c r="G490" s="278"/>
      <c r="H490" s="278"/>
      <c r="I490" s="278"/>
      <c r="J490" s="278"/>
      <c r="K490" s="278"/>
      <c r="L490" s="278"/>
      <c r="M490" s="278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  <c r="AA490" s="271"/>
      <c r="AB490" s="271"/>
      <c r="AC490" s="271"/>
      <c r="AD490" s="271"/>
      <c r="AE490" s="271"/>
      <c r="AF490" s="271"/>
      <c r="AG490" s="271"/>
      <c r="AH490" s="271"/>
      <c r="AI490" s="271"/>
      <c r="AJ490" s="271"/>
      <c r="AK490" s="271"/>
      <c r="AL490" s="271"/>
      <c r="AM490" s="271"/>
      <c r="AN490" s="271"/>
    </row>
    <row r="491" spans="1:40" ht="12.75" customHeight="1">
      <c r="A491" s="278"/>
      <c r="B491" s="278"/>
      <c r="C491" s="278"/>
      <c r="D491" s="278"/>
      <c r="E491" s="278"/>
      <c r="F491" s="278"/>
      <c r="G491" s="278"/>
      <c r="H491" s="278"/>
      <c r="I491" s="278"/>
      <c r="J491" s="278"/>
      <c r="K491" s="278"/>
      <c r="L491" s="278"/>
      <c r="M491" s="278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  <c r="AB491" s="271"/>
      <c r="AC491" s="271"/>
      <c r="AD491" s="271"/>
      <c r="AE491" s="271"/>
      <c r="AF491" s="271"/>
      <c r="AG491" s="271"/>
      <c r="AH491" s="271"/>
      <c r="AI491" s="271"/>
      <c r="AJ491" s="271"/>
      <c r="AK491" s="271"/>
      <c r="AL491" s="271"/>
      <c r="AM491" s="271"/>
      <c r="AN491" s="271"/>
    </row>
    <row r="492" spans="1:40" ht="12.75" customHeight="1">
      <c r="A492" s="278"/>
      <c r="B492" s="278"/>
      <c r="C492" s="278"/>
      <c r="D492" s="278"/>
      <c r="E492" s="278"/>
      <c r="F492" s="278"/>
      <c r="G492" s="278"/>
      <c r="H492" s="278"/>
      <c r="I492" s="278"/>
      <c r="J492" s="278"/>
      <c r="K492" s="278"/>
      <c r="L492" s="278"/>
      <c r="M492" s="278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  <c r="AB492" s="271"/>
      <c r="AC492" s="271"/>
      <c r="AD492" s="271"/>
      <c r="AE492" s="271"/>
      <c r="AF492" s="271"/>
      <c r="AG492" s="271"/>
      <c r="AH492" s="271"/>
      <c r="AI492" s="271"/>
      <c r="AJ492" s="271"/>
      <c r="AK492" s="271"/>
      <c r="AL492" s="271"/>
      <c r="AM492" s="271"/>
      <c r="AN492" s="271"/>
    </row>
    <row r="493" spans="1:40" ht="12.75" customHeight="1">
      <c r="A493" s="278"/>
      <c r="B493" s="278"/>
      <c r="C493" s="278"/>
      <c r="D493" s="278"/>
      <c r="E493" s="278"/>
      <c r="F493" s="278"/>
      <c r="G493" s="278"/>
      <c r="H493" s="278"/>
      <c r="I493" s="278"/>
      <c r="J493" s="278"/>
      <c r="K493" s="278"/>
      <c r="L493" s="278"/>
      <c r="M493" s="278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  <c r="AB493" s="271"/>
      <c r="AC493" s="271"/>
      <c r="AD493" s="271"/>
      <c r="AE493" s="271"/>
      <c r="AF493" s="271"/>
      <c r="AG493" s="271"/>
      <c r="AH493" s="271"/>
      <c r="AI493" s="271"/>
      <c r="AJ493" s="271"/>
      <c r="AK493" s="271"/>
      <c r="AL493" s="271"/>
      <c r="AM493" s="271"/>
      <c r="AN493" s="271"/>
    </row>
    <row r="494" spans="1:40" ht="12.75" customHeight="1">
      <c r="A494" s="278"/>
      <c r="B494" s="278"/>
      <c r="C494" s="278"/>
      <c r="D494" s="278"/>
      <c r="E494" s="278"/>
      <c r="F494" s="278"/>
      <c r="G494" s="278"/>
      <c r="H494" s="278"/>
      <c r="I494" s="278"/>
      <c r="J494" s="278"/>
      <c r="K494" s="278"/>
      <c r="L494" s="278"/>
      <c r="M494" s="278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  <c r="AB494" s="271"/>
      <c r="AC494" s="271"/>
      <c r="AD494" s="271"/>
      <c r="AE494" s="271"/>
      <c r="AF494" s="271"/>
      <c r="AG494" s="271"/>
      <c r="AH494" s="271"/>
      <c r="AI494" s="271"/>
      <c r="AJ494" s="271"/>
      <c r="AK494" s="271"/>
      <c r="AL494" s="271"/>
      <c r="AM494" s="271"/>
      <c r="AN494" s="271"/>
    </row>
    <row r="495" spans="1:40" ht="12.75" customHeight="1">
      <c r="A495" s="278"/>
      <c r="B495" s="278"/>
      <c r="C495" s="278"/>
      <c r="D495" s="278"/>
      <c r="E495" s="278"/>
      <c r="F495" s="278"/>
      <c r="G495" s="278"/>
      <c r="H495" s="278"/>
      <c r="I495" s="278"/>
      <c r="J495" s="278"/>
      <c r="K495" s="278"/>
      <c r="L495" s="278"/>
      <c r="M495" s="278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  <c r="AB495" s="271"/>
      <c r="AC495" s="271"/>
      <c r="AD495" s="271"/>
      <c r="AE495" s="271"/>
      <c r="AF495" s="271"/>
      <c r="AG495" s="271"/>
      <c r="AH495" s="271"/>
      <c r="AI495" s="271"/>
      <c r="AJ495" s="271"/>
      <c r="AK495" s="271"/>
      <c r="AL495" s="271"/>
      <c r="AM495" s="271"/>
      <c r="AN495" s="271"/>
    </row>
    <row r="496" spans="1:40" ht="12.75" customHeight="1">
      <c r="A496" s="278"/>
      <c r="B496" s="278"/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  <c r="M496" s="278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  <c r="AB496" s="271"/>
      <c r="AC496" s="271"/>
      <c r="AD496" s="271"/>
      <c r="AE496" s="271"/>
      <c r="AF496" s="271"/>
      <c r="AG496" s="271"/>
      <c r="AH496" s="271"/>
      <c r="AI496" s="271"/>
      <c r="AJ496" s="271"/>
      <c r="AK496" s="271"/>
      <c r="AL496" s="271"/>
      <c r="AM496" s="271"/>
      <c r="AN496" s="271"/>
    </row>
    <row r="497" spans="1:40" ht="12.75" customHeight="1">
      <c r="A497" s="278"/>
      <c r="B497" s="278"/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  <c r="M497" s="278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  <c r="AA497" s="271"/>
      <c r="AB497" s="271"/>
      <c r="AC497" s="271"/>
      <c r="AD497" s="271"/>
      <c r="AE497" s="271"/>
      <c r="AF497" s="271"/>
      <c r="AG497" s="271"/>
      <c r="AH497" s="271"/>
      <c r="AI497" s="271"/>
      <c r="AJ497" s="271"/>
      <c r="AK497" s="271"/>
      <c r="AL497" s="271"/>
      <c r="AM497" s="271"/>
      <c r="AN497" s="271"/>
    </row>
    <row r="498" spans="1:40" ht="12.75" customHeight="1">
      <c r="A498" s="278"/>
      <c r="B498" s="278"/>
      <c r="C498" s="278"/>
      <c r="D498" s="278"/>
      <c r="E498" s="278"/>
      <c r="F498" s="278"/>
      <c r="G498" s="278"/>
      <c r="H498" s="278"/>
      <c r="I498" s="278"/>
      <c r="J498" s="278"/>
      <c r="K498" s="278"/>
      <c r="L498" s="278"/>
      <c r="M498" s="278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  <c r="AA498" s="271"/>
      <c r="AB498" s="271"/>
      <c r="AC498" s="271"/>
      <c r="AD498" s="271"/>
      <c r="AE498" s="271"/>
      <c r="AF498" s="271"/>
      <c r="AG498" s="271"/>
      <c r="AH498" s="271"/>
      <c r="AI498" s="271"/>
      <c r="AJ498" s="271"/>
      <c r="AK498" s="271"/>
      <c r="AL498" s="271"/>
      <c r="AM498" s="271"/>
      <c r="AN498" s="271"/>
    </row>
    <row r="499" spans="1:40" ht="12.75" customHeight="1">
      <c r="A499" s="278"/>
      <c r="B499" s="278"/>
      <c r="C499" s="278"/>
      <c r="D499" s="278"/>
      <c r="E499" s="278"/>
      <c r="F499" s="278"/>
      <c r="G499" s="278"/>
      <c r="H499" s="278"/>
      <c r="I499" s="278"/>
      <c r="J499" s="278"/>
      <c r="K499" s="278"/>
      <c r="L499" s="278"/>
      <c r="M499" s="278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  <c r="AA499" s="271"/>
      <c r="AB499" s="271"/>
      <c r="AC499" s="271"/>
      <c r="AD499" s="271"/>
      <c r="AE499" s="271"/>
      <c r="AF499" s="271"/>
      <c r="AG499" s="271"/>
      <c r="AH499" s="271"/>
      <c r="AI499" s="271"/>
      <c r="AJ499" s="271"/>
      <c r="AK499" s="271"/>
      <c r="AL499" s="271"/>
      <c r="AM499" s="271"/>
      <c r="AN499" s="271"/>
    </row>
    <row r="500" spans="1:40" ht="12.75" customHeight="1">
      <c r="A500" s="278"/>
      <c r="B500" s="278"/>
      <c r="C500" s="278"/>
      <c r="D500" s="278"/>
      <c r="E500" s="278"/>
      <c r="F500" s="278"/>
      <c r="G500" s="278"/>
      <c r="H500" s="278"/>
      <c r="I500" s="278"/>
      <c r="J500" s="278"/>
      <c r="K500" s="278"/>
      <c r="L500" s="278"/>
      <c r="M500" s="278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  <c r="AA500" s="271"/>
      <c r="AB500" s="271"/>
      <c r="AC500" s="271"/>
      <c r="AD500" s="271"/>
      <c r="AE500" s="271"/>
      <c r="AF500" s="271"/>
      <c r="AG500" s="271"/>
      <c r="AH500" s="271"/>
      <c r="AI500" s="271"/>
      <c r="AJ500" s="271"/>
      <c r="AK500" s="271"/>
      <c r="AL500" s="271"/>
      <c r="AM500" s="271"/>
      <c r="AN500" s="271"/>
    </row>
    <row r="501" spans="1:40" ht="12.75" customHeight="1">
      <c r="A501" s="278"/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  <c r="M501" s="278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  <c r="AA501" s="271"/>
      <c r="AB501" s="271"/>
      <c r="AC501" s="271"/>
      <c r="AD501" s="271"/>
      <c r="AE501" s="271"/>
      <c r="AF501" s="271"/>
      <c r="AG501" s="271"/>
      <c r="AH501" s="271"/>
      <c r="AI501" s="271"/>
      <c r="AJ501" s="271"/>
      <c r="AK501" s="271"/>
      <c r="AL501" s="271"/>
      <c r="AM501" s="271"/>
      <c r="AN501" s="271"/>
    </row>
    <row r="502" spans="1:40" ht="12.75" customHeight="1">
      <c r="A502" s="278"/>
      <c r="B502" s="278"/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  <c r="M502" s="278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  <c r="AA502" s="271"/>
      <c r="AB502" s="271"/>
      <c r="AC502" s="271"/>
      <c r="AD502" s="271"/>
      <c r="AE502" s="271"/>
      <c r="AF502" s="271"/>
      <c r="AG502" s="271"/>
      <c r="AH502" s="271"/>
      <c r="AI502" s="271"/>
      <c r="AJ502" s="271"/>
      <c r="AK502" s="271"/>
      <c r="AL502" s="271"/>
      <c r="AM502" s="271"/>
      <c r="AN502" s="271"/>
    </row>
    <row r="503" spans="1:40" ht="12.75" customHeight="1">
      <c r="A503" s="278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278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  <c r="AA503" s="271"/>
      <c r="AB503" s="271"/>
      <c r="AC503" s="271"/>
      <c r="AD503" s="271"/>
      <c r="AE503" s="271"/>
      <c r="AF503" s="271"/>
      <c r="AG503" s="271"/>
      <c r="AH503" s="271"/>
      <c r="AI503" s="271"/>
      <c r="AJ503" s="271"/>
      <c r="AK503" s="271"/>
      <c r="AL503" s="271"/>
      <c r="AM503" s="271"/>
      <c r="AN503" s="271"/>
    </row>
    <row r="504" spans="1:40" ht="12.75" customHeight="1">
      <c r="A504" s="278"/>
      <c r="B504" s="278"/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  <c r="M504" s="278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  <c r="AA504" s="271"/>
      <c r="AB504" s="271"/>
      <c r="AC504" s="271"/>
      <c r="AD504" s="271"/>
      <c r="AE504" s="271"/>
      <c r="AF504" s="271"/>
      <c r="AG504" s="271"/>
      <c r="AH504" s="271"/>
      <c r="AI504" s="271"/>
      <c r="AJ504" s="271"/>
      <c r="AK504" s="271"/>
      <c r="AL504" s="271"/>
      <c r="AM504" s="271"/>
      <c r="AN504" s="271"/>
    </row>
    <row r="505" spans="1:40" ht="12.75" customHeight="1">
      <c r="A505" s="278"/>
      <c r="B505" s="278"/>
      <c r="C505" s="278"/>
      <c r="D505" s="278"/>
      <c r="E505" s="278"/>
      <c r="F505" s="278"/>
      <c r="G505" s="278"/>
      <c r="H505" s="278"/>
      <c r="I505" s="278"/>
      <c r="J505" s="278"/>
      <c r="K505" s="278"/>
      <c r="L505" s="278"/>
      <c r="M505" s="278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  <c r="AA505" s="271"/>
      <c r="AB505" s="271"/>
      <c r="AC505" s="271"/>
      <c r="AD505" s="271"/>
      <c r="AE505" s="271"/>
      <c r="AF505" s="271"/>
      <c r="AG505" s="271"/>
      <c r="AH505" s="271"/>
      <c r="AI505" s="271"/>
      <c r="AJ505" s="271"/>
      <c r="AK505" s="271"/>
      <c r="AL505" s="271"/>
      <c r="AM505" s="271"/>
      <c r="AN505" s="271"/>
    </row>
    <row r="506" spans="1:40" ht="12.75" customHeight="1">
      <c r="A506" s="278"/>
      <c r="B506" s="278"/>
      <c r="C506" s="278"/>
      <c r="D506" s="278"/>
      <c r="E506" s="278"/>
      <c r="F506" s="278"/>
      <c r="G506" s="278"/>
      <c r="H506" s="278"/>
      <c r="I506" s="278"/>
      <c r="J506" s="278"/>
      <c r="K506" s="278"/>
      <c r="L506" s="278"/>
      <c r="M506" s="278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  <c r="AA506" s="271"/>
      <c r="AB506" s="271"/>
      <c r="AC506" s="271"/>
      <c r="AD506" s="271"/>
      <c r="AE506" s="271"/>
      <c r="AF506" s="271"/>
      <c r="AG506" s="271"/>
      <c r="AH506" s="271"/>
      <c r="AI506" s="271"/>
      <c r="AJ506" s="271"/>
      <c r="AK506" s="271"/>
      <c r="AL506" s="271"/>
      <c r="AM506" s="271"/>
      <c r="AN506" s="271"/>
    </row>
    <row r="507" spans="1:40" ht="12.75" customHeight="1">
      <c r="A507" s="278"/>
      <c r="B507" s="278"/>
      <c r="C507" s="278"/>
      <c r="D507" s="278"/>
      <c r="E507" s="278"/>
      <c r="F507" s="278"/>
      <c r="G507" s="278"/>
      <c r="H507" s="278"/>
      <c r="I507" s="278"/>
      <c r="J507" s="278"/>
      <c r="K507" s="278"/>
      <c r="L507" s="278"/>
      <c r="M507" s="278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  <c r="AA507" s="271"/>
      <c r="AB507" s="271"/>
      <c r="AC507" s="271"/>
      <c r="AD507" s="271"/>
      <c r="AE507" s="271"/>
      <c r="AF507" s="271"/>
      <c r="AG507" s="271"/>
      <c r="AH507" s="271"/>
      <c r="AI507" s="271"/>
      <c r="AJ507" s="271"/>
      <c r="AK507" s="271"/>
      <c r="AL507" s="271"/>
      <c r="AM507" s="271"/>
      <c r="AN507" s="271"/>
    </row>
    <row r="508" spans="1:40" ht="12.75" customHeight="1">
      <c r="A508" s="278"/>
      <c r="B508" s="278"/>
      <c r="C508" s="278"/>
      <c r="D508" s="278"/>
      <c r="E508" s="278"/>
      <c r="F508" s="278"/>
      <c r="G508" s="278"/>
      <c r="H508" s="278"/>
      <c r="I508" s="278"/>
      <c r="J508" s="278"/>
      <c r="K508" s="278"/>
      <c r="L508" s="278"/>
      <c r="M508" s="278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  <c r="AA508" s="271"/>
      <c r="AB508" s="271"/>
      <c r="AC508" s="271"/>
      <c r="AD508" s="271"/>
      <c r="AE508" s="271"/>
      <c r="AF508" s="271"/>
      <c r="AG508" s="271"/>
      <c r="AH508" s="271"/>
      <c r="AI508" s="271"/>
      <c r="AJ508" s="271"/>
      <c r="AK508" s="271"/>
      <c r="AL508" s="271"/>
      <c r="AM508" s="271"/>
      <c r="AN508" s="271"/>
    </row>
    <row r="509" spans="1:40" ht="12.75" customHeight="1">
      <c r="A509" s="278"/>
      <c r="B509" s="278"/>
      <c r="C509" s="278"/>
      <c r="D509" s="278"/>
      <c r="E509" s="278"/>
      <c r="F509" s="278"/>
      <c r="G509" s="278"/>
      <c r="H509" s="278"/>
      <c r="I509" s="278"/>
      <c r="J509" s="278"/>
      <c r="K509" s="278"/>
      <c r="L509" s="278"/>
      <c r="M509" s="278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  <c r="AA509" s="271"/>
      <c r="AB509" s="271"/>
      <c r="AC509" s="271"/>
      <c r="AD509" s="271"/>
      <c r="AE509" s="271"/>
      <c r="AF509" s="271"/>
      <c r="AG509" s="271"/>
      <c r="AH509" s="271"/>
      <c r="AI509" s="271"/>
      <c r="AJ509" s="271"/>
      <c r="AK509" s="271"/>
      <c r="AL509" s="271"/>
      <c r="AM509" s="271"/>
      <c r="AN509" s="271"/>
    </row>
    <row r="510" spans="1:40" ht="12.75" customHeight="1">
      <c r="A510" s="278"/>
      <c r="B510" s="278"/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  <c r="M510" s="278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  <c r="AA510" s="271"/>
      <c r="AB510" s="271"/>
      <c r="AC510" s="271"/>
      <c r="AD510" s="271"/>
      <c r="AE510" s="271"/>
      <c r="AF510" s="271"/>
      <c r="AG510" s="271"/>
      <c r="AH510" s="271"/>
      <c r="AI510" s="271"/>
      <c r="AJ510" s="271"/>
      <c r="AK510" s="271"/>
      <c r="AL510" s="271"/>
      <c r="AM510" s="271"/>
      <c r="AN510" s="271"/>
    </row>
    <row r="511" spans="1:40" ht="12.75" customHeight="1">
      <c r="A511" s="278"/>
      <c r="B511" s="278"/>
      <c r="C511" s="278"/>
      <c r="D511" s="278"/>
      <c r="E511" s="278"/>
      <c r="F511" s="278"/>
      <c r="G511" s="278"/>
      <c r="H511" s="278"/>
      <c r="I511" s="278"/>
      <c r="J511" s="278"/>
      <c r="K511" s="278"/>
      <c r="L511" s="278"/>
      <c r="M511" s="278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  <c r="AA511" s="271"/>
      <c r="AB511" s="271"/>
      <c r="AC511" s="271"/>
      <c r="AD511" s="271"/>
      <c r="AE511" s="271"/>
      <c r="AF511" s="271"/>
      <c r="AG511" s="271"/>
      <c r="AH511" s="271"/>
      <c r="AI511" s="271"/>
      <c r="AJ511" s="271"/>
      <c r="AK511" s="271"/>
      <c r="AL511" s="271"/>
      <c r="AM511" s="271"/>
      <c r="AN511" s="271"/>
    </row>
    <row r="512" spans="1:40" ht="12.75" customHeight="1">
      <c r="A512" s="278"/>
      <c r="B512" s="278"/>
      <c r="C512" s="278"/>
      <c r="D512" s="278"/>
      <c r="E512" s="278"/>
      <c r="F512" s="278"/>
      <c r="G512" s="278"/>
      <c r="H512" s="278"/>
      <c r="I512" s="278"/>
      <c r="J512" s="278"/>
      <c r="K512" s="278"/>
      <c r="L512" s="278"/>
      <c r="M512" s="278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  <c r="AA512" s="271"/>
      <c r="AB512" s="271"/>
      <c r="AC512" s="271"/>
      <c r="AD512" s="271"/>
      <c r="AE512" s="271"/>
      <c r="AF512" s="271"/>
      <c r="AG512" s="271"/>
      <c r="AH512" s="271"/>
      <c r="AI512" s="271"/>
      <c r="AJ512" s="271"/>
      <c r="AK512" s="271"/>
      <c r="AL512" s="271"/>
      <c r="AM512" s="271"/>
      <c r="AN512" s="271"/>
    </row>
    <row r="513" spans="1:40" ht="12.75" customHeight="1">
      <c r="A513" s="278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278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  <c r="AA513" s="271"/>
      <c r="AB513" s="271"/>
      <c r="AC513" s="271"/>
      <c r="AD513" s="271"/>
      <c r="AE513" s="271"/>
      <c r="AF513" s="271"/>
      <c r="AG513" s="271"/>
      <c r="AH513" s="271"/>
      <c r="AI513" s="271"/>
      <c r="AJ513" s="271"/>
      <c r="AK513" s="271"/>
      <c r="AL513" s="271"/>
      <c r="AM513" s="271"/>
      <c r="AN513" s="271"/>
    </row>
    <row r="514" spans="1:40" ht="12.75" customHeight="1">
      <c r="A514" s="278"/>
      <c r="B514" s="278"/>
      <c r="C514" s="278"/>
      <c r="D514" s="278"/>
      <c r="E514" s="278"/>
      <c r="F514" s="278"/>
      <c r="G514" s="278"/>
      <c r="H514" s="278"/>
      <c r="I514" s="278"/>
      <c r="J514" s="278"/>
      <c r="K514" s="278"/>
      <c r="L514" s="278"/>
      <c r="M514" s="278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  <c r="AA514" s="271"/>
      <c r="AB514" s="271"/>
      <c r="AC514" s="271"/>
      <c r="AD514" s="271"/>
      <c r="AE514" s="271"/>
      <c r="AF514" s="271"/>
      <c r="AG514" s="271"/>
      <c r="AH514" s="271"/>
      <c r="AI514" s="271"/>
      <c r="AJ514" s="271"/>
      <c r="AK514" s="271"/>
      <c r="AL514" s="271"/>
      <c r="AM514" s="271"/>
      <c r="AN514" s="271"/>
    </row>
    <row r="515" spans="1:40" ht="12.75" customHeight="1">
      <c r="A515" s="278"/>
      <c r="B515" s="278"/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  <c r="M515" s="278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  <c r="AA515" s="271"/>
      <c r="AB515" s="271"/>
      <c r="AC515" s="271"/>
      <c r="AD515" s="271"/>
      <c r="AE515" s="271"/>
      <c r="AF515" s="271"/>
      <c r="AG515" s="271"/>
      <c r="AH515" s="271"/>
      <c r="AI515" s="271"/>
      <c r="AJ515" s="271"/>
      <c r="AK515" s="271"/>
      <c r="AL515" s="271"/>
      <c r="AM515" s="271"/>
      <c r="AN515" s="271"/>
    </row>
    <row r="516" spans="1:40" ht="12.75" customHeight="1">
      <c r="A516" s="278"/>
      <c r="B516" s="278"/>
      <c r="C516" s="278"/>
      <c r="D516" s="278"/>
      <c r="E516" s="278"/>
      <c r="F516" s="278"/>
      <c r="G516" s="278"/>
      <c r="H516" s="278"/>
      <c r="I516" s="278"/>
      <c r="J516" s="278"/>
      <c r="K516" s="278"/>
      <c r="L516" s="278"/>
      <c r="M516" s="278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  <c r="AA516" s="271"/>
      <c r="AB516" s="271"/>
      <c r="AC516" s="271"/>
      <c r="AD516" s="271"/>
      <c r="AE516" s="271"/>
      <c r="AF516" s="271"/>
      <c r="AG516" s="271"/>
      <c r="AH516" s="271"/>
      <c r="AI516" s="271"/>
      <c r="AJ516" s="271"/>
      <c r="AK516" s="271"/>
      <c r="AL516" s="271"/>
      <c r="AM516" s="271"/>
      <c r="AN516" s="271"/>
    </row>
    <row r="517" spans="1:40" ht="12.75" customHeight="1">
      <c r="A517" s="278"/>
      <c r="B517" s="278"/>
      <c r="C517" s="278"/>
      <c r="D517" s="278"/>
      <c r="E517" s="278"/>
      <c r="F517" s="278"/>
      <c r="G517" s="278"/>
      <c r="H517" s="278"/>
      <c r="I517" s="278"/>
      <c r="J517" s="278"/>
      <c r="K517" s="278"/>
      <c r="L517" s="278"/>
      <c r="M517" s="278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  <c r="AA517" s="271"/>
      <c r="AB517" s="271"/>
      <c r="AC517" s="271"/>
      <c r="AD517" s="271"/>
      <c r="AE517" s="271"/>
      <c r="AF517" s="271"/>
      <c r="AG517" s="271"/>
      <c r="AH517" s="271"/>
      <c r="AI517" s="271"/>
      <c r="AJ517" s="271"/>
      <c r="AK517" s="271"/>
      <c r="AL517" s="271"/>
      <c r="AM517" s="271"/>
      <c r="AN517" s="271"/>
    </row>
    <row r="518" spans="1:40" ht="12.75" customHeight="1">
      <c r="A518" s="278"/>
      <c r="B518" s="278"/>
      <c r="C518" s="278"/>
      <c r="D518" s="278"/>
      <c r="E518" s="278"/>
      <c r="F518" s="278"/>
      <c r="G518" s="278"/>
      <c r="H518" s="278"/>
      <c r="I518" s="278"/>
      <c r="J518" s="278"/>
      <c r="K518" s="278"/>
      <c r="L518" s="278"/>
      <c r="M518" s="278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  <c r="AA518" s="271"/>
      <c r="AB518" s="271"/>
      <c r="AC518" s="271"/>
      <c r="AD518" s="271"/>
      <c r="AE518" s="271"/>
      <c r="AF518" s="271"/>
      <c r="AG518" s="271"/>
      <c r="AH518" s="271"/>
      <c r="AI518" s="271"/>
      <c r="AJ518" s="271"/>
      <c r="AK518" s="271"/>
      <c r="AL518" s="271"/>
      <c r="AM518" s="271"/>
      <c r="AN518" s="271"/>
    </row>
    <row r="519" spans="1:40" ht="12.75" customHeight="1">
      <c r="A519" s="278"/>
      <c r="B519" s="278"/>
      <c r="C519" s="278"/>
      <c r="D519" s="278"/>
      <c r="E519" s="278"/>
      <c r="F519" s="278"/>
      <c r="G519" s="278"/>
      <c r="H519" s="278"/>
      <c r="I519" s="278"/>
      <c r="J519" s="278"/>
      <c r="K519" s="278"/>
      <c r="L519" s="278"/>
      <c r="M519" s="278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  <c r="AA519" s="271"/>
      <c r="AB519" s="271"/>
      <c r="AC519" s="271"/>
      <c r="AD519" s="271"/>
      <c r="AE519" s="271"/>
      <c r="AF519" s="271"/>
      <c r="AG519" s="271"/>
      <c r="AH519" s="271"/>
      <c r="AI519" s="271"/>
      <c r="AJ519" s="271"/>
      <c r="AK519" s="271"/>
      <c r="AL519" s="271"/>
      <c r="AM519" s="271"/>
      <c r="AN519" s="271"/>
    </row>
    <row r="520" spans="1:40" ht="12.75" customHeight="1">
      <c r="A520" s="278"/>
      <c r="B520" s="278"/>
      <c r="C520" s="278"/>
      <c r="D520" s="278"/>
      <c r="E520" s="278"/>
      <c r="F520" s="278"/>
      <c r="G520" s="278"/>
      <c r="H520" s="278"/>
      <c r="I520" s="278"/>
      <c r="J520" s="278"/>
      <c r="K520" s="278"/>
      <c r="L520" s="278"/>
      <c r="M520" s="278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  <c r="AA520" s="271"/>
      <c r="AB520" s="271"/>
      <c r="AC520" s="271"/>
      <c r="AD520" s="271"/>
      <c r="AE520" s="271"/>
      <c r="AF520" s="271"/>
      <c r="AG520" s="271"/>
      <c r="AH520" s="271"/>
      <c r="AI520" s="271"/>
      <c r="AJ520" s="271"/>
      <c r="AK520" s="271"/>
      <c r="AL520" s="271"/>
      <c r="AM520" s="271"/>
      <c r="AN520" s="271"/>
    </row>
    <row r="521" spans="1:40" ht="12.75" customHeight="1">
      <c r="A521" s="278"/>
      <c r="B521" s="278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  <c r="AA521" s="271"/>
      <c r="AB521" s="271"/>
      <c r="AC521" s="271"/>
      <c r="AD521" s="271"/>
      <c r="AE521" s="271"/>
      <c r="AF521" s="271"/>
      <c r="AG521" s="271"/>
      <c r="AH521" s="271"/>
      <c r="AI521" s="271"/>
      <c r="AJ521" s="271"/>
      <c r="AK521" s="271"/>
      <c r="AL521" s="271"/>
      <c r="AM521" s="271"/>
      <c r="AN521" s="271"/>
    </row>
    <row r="522" spans="1:40" ht="12.75" customHeight="1">
      <c r="A522" s="278"/>
      <c r="B522" s="278"/>
      <c r="C522" s="278"/>
      <c r="D522" s="278"/>
      <c r="E522" s="278"/>
      <c r="F522" s="278"/>
      <c r="G522" s="278"/>
      <c r="H522" s="278"/>
      <c r="I522" s="278"/>
      <c r="J522" s="278"/>
      <c r="K522" s="278"/>
      <c r="L522" s="278"/>
      <c r="M522" s="278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  <c r="AA522" s="271"/>
      <c r="AB522" s="271"/>
      <c r="AC522" s="271"/>
      <c r="AD522" s="271"/>
      <c r="AE522" s="271"/>
      <c r="AF522" s="271"/>
      <c r="AG522" s="271"/>
      <c r="AH522" s="271"/>
      <c r="AI522" s="271"/>
      <c r="AJ522" s="271"/>
      <c r="AK522" s="271"/>
      <c r="AL522" s="271"/>
      <c r="AM522" s="271"/>
      <c r="AN522" s="271"/>
    </row>
    <row r="523" spans="1:40" ht="12.75" customHeight="1">
      <c r="A523" s="278"/>
      <c r="B523" s="278"/>
      <c r="C523" s="278"/>
      <c r="D523" s="278"/>
      <c r="E523" s="278"/>
      <c r="F523" s="278"/>
      <c r="G523" s="278"/>
      <c r="H523" s="278"/>
      <c r="I523" s="278"/>
      <c r="J523" s="278"/>
      <c r="K523" s="278"/>
      <c r="L523" s="278"/>
      <c r="M523" s="278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  <c r="AA523" s="271"/>
      <c r="AB523" s="271"/>
      <c r="AC523" s="271"/>
      <c r="AD523" s="271"/>
      <c r="AE523" s="271"/>
      <c r="AF523" s="271"/>
      <c r="AG523" s="271"/>
      <c r="AH523" s="271"/>
      <c r="AI523" s="271"/>
      <c r="AJ523" s="271"/>
      <c r="AK523" s="271"/>
      <c r="AL523" s="271"/>
      <c r="AM523" s="271"/>
      <c r="AN523" s="271"/>
    </row>
    <row r="524" spans="1:40" ht="12.75" customHeight="1">
      <c r="A524" s="278"/>
      <c r="B524" s="278"/>
      <c r="C524" s="278"/>
      <c r="D524" s="278"/>
      <c r="E524" s="278"/>
      <c r="F524" s="278"/>
      <c r="G524" s="278"/>
      <c r="H524" s="278"/>
      <c r="I524" s="278"/>
      <c r="J524" s="278"/>
      <c r="K524" s="278"/>
      <c r="L524" s="278"/>
      <c r="M524" s="278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  <c r="AA524" s="271"/>
      <c r="AB524" s="271"/>
      <c r="AC524" s="271"/>
      <c r="AD524" s="271"/>
      <c r="AE524" s="271"/>
      <c r="AF524" s="271"/>
      <c r="AG524" s="271"/>
      <c r="AH524" s="271"/>
      <c r="AI524" s="271"/>
      <c r="AJ524" s="271"/>
      <c r="AK524" s="271"/>
      <c r="AL524" s="271"/>
      <c r="AM524" s="271"/>
      <c r="AN524" s="271"/>
    </row>
    <row r="525" spans="1:40" ht="12.75" customHeight="1">
      <c r="A525" s="278"/>
      <c r="B525" s="278"/>
      <c r="C525" s="278"/>
      <c r="D525" s="278"/>
      <c r="E525" s="278"/>
      <c r="F525" s="278"/>
      <c r="G525" s="278"/>
      <c r="H525" s="278"/>
      <c r="I525" s="278"/>
      <c r="J525" s="278"/>
      <c r="K525" s="278"/>
      <c r="L525" s="278"/>
      <c r="M525" s="278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  <c r="AB525" s="271"/>
      <c r="AC525" s="271"/>
      <c r="AD525" s="271"/>
      <c r="AE525" s="271"/>
      <c r="AF525" s="271"/>
      <c r="AG525" s="271"/>
      <c r="AH525" s="271"/>
      <c r="AI525" s="271"/>
      <c r="AJ525" s="271"/>
      <c r="AK525" s="271"/>
      <c r="AL525" s="271"/>
      <c r="AM525" s="271"/>
      <c r="AN525" s="271"/>
    </row>
    <row r="526" spans="1:40" ht="12.75" customHeight="1">
      <c r="A526" s="278"/>
      <c r="B526" s="278"/>
      <c r="C526" s="278"/>
      <c r="D526" s="278"/>
      <c r="E526" s="278"/>
      <c r="F526" s="278"/>
      <c r="G526" s="278"/>
      <c r="H526" s="278"/>
      <c r="I526" s="278"/>
      <c r="J526" s="278"/>
      <c r="K526" s="278"/>
      <c r="L526" s="278"/>
      <c r="M526" s="278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  <c r="AA526" s="271"/>
      <c r="AB526" s="271"/>
      <c r="AC526" s="271"/>
      <c r="AD526" s="271"/>
      <c r="AE526" s="271"/>
      <c r="AF526" s="271"/>
      <c r="AG526" s="271"/>
      <c r="AH526" s="271"/>
      <c r="AI526" s="271"/>
      <c r="AJ526" s="271"/>
      <c r="AK526" s="271"/>
      <c r="AL526" s="271"/>
      <c r="AM526" s="271"/>
      <c r="AN526" s="271"/>
    </row>
    <row r="527" spans="1:40" ht="12.75" customHeight="1">
      <c r="A527" s="278"/>
      <c r="B527" s="278"/>
      <c r="C527" s="278"/>
      <c r="D527" s="278"/>
      <c r="E527" s="278"/>
      <c r="F527" s="278"/>
      <c r="G527" s="278"/>
      <c r="H527" s="278"/>
      <c r="I527" s="278"/>
      <c r="J527" s="278"/>
      <c r="K527" s="278"/>
      <c r="L527" s="278"/>
      <c r="M527" s="278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  <c r="AA527" s="271"/>
      <c r="AB527" s="271"/>
      <c r="AC527" s="271"/>
      <c r="AD527" s="271"/>
      <c r="AE527" s="271"/>
      <c r="AF527" s="271"/>
      <c r="AG527" s="271"/>
      <c r="AH527" s="271"/>
      <c r="AI527" s="271"/>
      <c r="AJ527" s="271"/>
      <c r="AK527" s="271"/>
      <c r="AL527" s="271"/>
      <c r="AM527" s="271"/>
      <c r="AN527" s="271"/>
    </row>
    <row r="528" spans="1:40" ht="12.75" customHeight="1">
      <c r="A528" s="278"/>
      <c r="B528" s="278"/>
      <c r="C528" s="278"/>
      <c r="D528" s="278"/>
      <c r="E528" s="278"/>
      <c r="F528" s="278"/>
      <c r="G528" s="278"/>
      <c r="H528" s="278"/>
      <c r="I528" s="278"/>
      <c r="J528" s="278"/>
      <c r="K528" s="278"/>
      <c r="L528" s="278"/>
      <c r="M528" s="278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  <c r="AA528" s="271"/>
      <c r="AB528" s="271"/>
      <c r="AC528" s="271"/>
      <c r="AD528" s="271"/>
      <c r="AE528" s="271"/>
      <c r="AF528" s="271"/>
      <c r="AG528" s="271"/>
      <c r="AH528" s="271"/>
      <c r="AI528" s="271"/>
      <c r="AJ528" s="271"/>
      <c r="AK528" s="271"/>
      <c r="AL528" s="271"/>
      <c r="AM528" s="271"/>
      <c r="AN528" s="271"/>
    </row>
    <row r="529" spans="1:40" ht="12.75" customHeight="1">
      <c r="A529" s="278"/>
      <c r="B529" s="278"/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  <c r="M529" s="278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  <c r="AA529" s="271"/>
      <c r="AB529" s="271"/>
      <c r="AC529" s="271"/>
      <c r="AD529" s="271"/>
      <c r="AE529" s="271"/>
      <c r="AF529" s="271"/>
      <c r="AG529" s="271"/>
      <c r="AH529" s="271"/>
      <c r="AI529" s="271"/>
      <c r="AJ529" s="271"/>
      <c r="AK529" s="271"/>
      <c r="AL529" s="271"/>
      <c r="AM529" s="271"/>
      <c r="AN529" s="271"/>
    </row>
    <row r="530" spans="1:40" ht="12.75" customHeight="1">
      <c r="A530" s="278"/>
      <c r="B530" s="278"/>
      <c r="C530" s="278"/>
      <c r="D530" s="278"/>
      <c r="E530" s="278"/>
      <c r="F530" s="278"/>
      <c r="G530" s="278"/>
      <c r="H530" s="278"/>
      <c r="I530" s="278"/>
      <c r="J530" s="278"/>
      <c r="K530" s="278"/>
      <c r="L530" s="278"/>
      <c r="M530" s="278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  <c r="AA530" s="271"/>
      <c r="AB530" s="271"/>
      <c r="AC530" s="271"/>
      <c r="AD530" s="271"/>
      <c r="AE530" s="271"/>
      <c r="AF530" s="271"/>
      <c r="AG530" s="271"/>
      <c r="AH530" s="271"/>
      <c r="AI530" s="271"/>
      <c r="AJ530" s="271"/>
      <c r="AK530" s="271"/>
      <c r="AL530" s="271"/>
      <c r="AM530" s="271"/>
      <c r="AN530" s="271"/>
    </row>
    <row r="531" spans="1:40" ht="12.75" customHeight="1">
      <c r="A531" s="278"/>
      <c r="B531" s="278"/>
      <c r="C531" s="278"/>
      <c r="D531" s="278"/>
      <c r="E531" s="278"/>
      <c r="F531" s="278"/>
      <c r="G531" s="278"/>
      <c r="H531" s="278"/>
      <c r="I531" s="278"/>
      <c r="J531" s="278"/>
      <c r="K531" s="278"/>
      <c r="L531" s="278"/>
      <c r="M531" s="278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  <c r="AA531" s="271"/>
      <c r="AB531" s="271"/>
      <c r="AC531" s="271"/>
      <c r="AD531" s="271"/>
      <c r="AE531" s="271"/>
      <c r="AF531" s="271"/>
      <c r="AG531" s="271"/>
      <c r="AH531" s="271"/>
      <c r="AI531" s="271"/>
      <c r="AJ531" s="271"/>
      <c r="AK531" s="271"/>
      <c r="AL531" s="271"/>
      <c r="AM531" s="271"/>
      <c r="AN531" s="271"/>
    </row>
    <row r="532" spans="1:40" ht="12.75" customHeight="1">
      <c r="A532" s="278"/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  <c r="M532" s="278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  <c r="AA532" s="271"/>
      <c r="AB532" s="271"/>
      <c r="AC532" s="271"/>
      <c r="AD532" s="271"/>
      <c r="AE532" s="271"/>
      <c r="AF532" s="271"/>
      <c r="AG532" s="271"/>
      <c r="AH532" s="271"/>
      <c r="AI532" s="271"/>
      <c r="AJ532" s="271"/>
      <c r="AK532" s="271"/>
      <c r="AL532" s="271"/>
      <c r="AM532" s="271"/>
      <c r="AN532" s="271"/>
    </row>
    <row r="533" spans="1:40" ht="12.75" customHeight="1">
      <c r="A533" s="278"/>
      <c r="B533" s="278"/>
      <c r="C533" s="278"/>
      <c r="D533" s="278"/>
      <c r="E533" s="278"/>
      <c r="F533" s="278"/>
      <c r="G533" s="278"/>
      <c r="H533" s="278"/>
      <c r="I533" s="278"/>
      <c r="J533" s="278"/>
      <c r="K533" s="278"/>
      <c r="L533" s="278"/>
      <c r="M533" s="278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  <c r="AA533" s="271"/>
      <c r="AB533" s="271"/>
      <c r="AC533" s="271"/>
      <c r="AD533" s="271"/>
      <c r="AE533" s="271"/>
      <c r="AF533" s="271"/>
      <c r="AG533" s="271"/>
      <c r="AH533" s="271"/>
      <c r="AI533" s="271"/>
      <c r="AJ533" s="271"/>
      <c r="AK533" s="271"/>
      <c r="AL533" s="271"/>
      <c r="AM533" s="271"/>
      <c r="AN533" s="271"/>
    </row>
    <row r="534" spans="1:40" ht="12.75" customHeight="1">
      <c r="A534" s="278"/>
      <c r="B534" s="278"/>
      <c r="C534" s="278"/>
      <c r="D534" s="278"/>
      <c r="E534" s="278"/>
      <c r="F534" s="278"/>
      <c r="G534" s="278"/>
      <c r="H534" s="278"/>
      <c r="I534" s="278"/>
      <c r="J534" s="278"/>
      <c r="K534" s="278"/>
      <c r="L534" s="278"/>
      <c r="M534" s="278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  <c r="AA534" s="271"/>
      <c r="AB534" s="271"/>
      <c r="AC534" s="271"/>
      <c r="AD534" s="271"/>
      <c r="AE534" s="271"/>
      <c r="AF534" s="271"/>
      <c r="AG534" s="271"/>
      <c r="AH534" s="271"/>
      <c r="AI534" s="271"/>
      <c r="AJ534" s="271"/>
      <c r="AK534" s="271"/>
      <c r="AL534" s="271"/>
      <c r="AM534" s="271"/>
      <c r="AN534" s="271"/>
    </row>
    <row r="535" spans="1:40" ht="12.75" customHeight="1">
      <c r="A535" s="278"/>
      <c r="B535" s="278"/>
      <c r="C535" s="278"/>
      <c r="D535" s="278"/>
      <c r="E535" s="278"/>
      <c r="F535" s="278"/>
      <c r="G535" s="278"/>
      <c r="H535" s="278"/>
      <c r="I535" s="278"/>
      <c r="J535" s="278"/>
      <c r="K535" s="278"/>
      <c r="L535" s="278"/>
      <c r="M535" s="278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  <c r="AA535" s="271"/>
      <c r="AB535" s="271"/>
      <c r="AC535" s="271"/>
      <c r="AD535" s="271"/>
      <c r="AE535" s="271"/>
      <c r="AF535" s="271"/>
      <c r="AG535" s="271"/>
      <c r="AH535" s="271"/>
      <c r="AI535" s="271"/>
      <c r="AJ535" s="271"/>
      <c r="AK535" s="271"/>
      <c r="AL535" s="271"/>
      <c r="AM535" s="271"/>
      <c r="AN535" s="271"/>
    </row>
    <row r="536" spans="1:40" ht="12.75" customHeight="1">
      <c r="A536" s="278"/>
      <c r="B536" s="278"/>
      <c r="C536" s="278"/>
      <c r="D536" s="278"/>
      <c r="E536" s="278"/>
      <c r="F536" s="278"/>
      <c r="G536" s="278"/>
      <c r="H536" s="278"/>
      <c r="I536" s="278"/>
      <c r="J536" s="278"/>
      <c r="K536" s="278"/>
      <c r="L536" s="278"/>
      <c r="M536" s="278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  <c r="AB536" s="271"/>
      <c r="AC536" s="271"/>
      <c r="AD536" s="271"/>
      <c r="AE536" s="271"/>
      <c r="AF536" s="271"/>
      <c r="AG536" s="271"/>
      <c r="AH536" s="271"/>
      <c r="AI536" s="271"/>
      <c r="AJ536" s="271"/>
      <c r="AK536" s="271"/>
      <c r="AL536" s="271"/>
      <c r="AM536" s="271"/>
      <c r="AN536" s="271"/>
    </row>
    <row r="537" spans="1:40" ht="12.75" customHeight="1">
      <c r="A537" s="278"/>
      <c r="B537" s="278"/>
      <c r="C537" s="278"/>
      <c r="D537" s="278"/>
      <c r="E537" s="278"/>
      <c r="F537" s="278"/>
      <c r="G537" s="278"/>
      <c r="H537" s="278"/>
      <c r="I537" s="278"/>
      <c r="J537" s="278"/>
      <c r="K537" s="278"/>
      <c r="L537" s="278"/>
      <c r="M537" s="278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  <c r="AB537" s="271"/>
      <c r="AC537" s="271"/>
      <c r="AD537" s="271"/>
      <c r="AE537" s="271"/>
      <c r="AF537" s="271"/>
      <c r="AG537" s="271"/>
      <c r="AH537" s="271"/>
      <c r="AI537" s="271"/>
      <c r="AJ537" s="271"/>
      <c r="AK537" s="271"/>
      <c r="AL537" s="271"/>
      <c r="AM537" s="271"/>
      <c r="AN537" s="271"/>
    </row>
    <row r="538" spans="1:40" ht="12.75" customHeight="1">
      <c r="A538" s="278"/>
      <c r="B538" s="278"/>
      <c r="C538" s="278"/>
      <c r="D538" s="278"/>
      <c r="E538" s="278"/>
      <c r="F538" s="278"/>
      <c r="G538" s="278"/>
      <c r="H538" s="278"/>
      <c r="I538" s="278"/>
      <c r="J538" s="278"/>
      <c r="K538" s="278"/>
      <c r="L538" s="278"/>
      <c r="M538" s="278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  <c r="AB538" s="271"/>
      <c r="AC538" s="271"/>
      <c r="AD538" s="271"/>
      <c r="AE538" s="271"/>
      <c r="AF538" s="271"/>
      <c r="AG538" s="271"/>
      <c r="AH538" s="271"/>
      <c r="AI538" s="271"/>
      <c r="AJ538" s="271"/>
      <c r="AK538" s="271"/>
      <c r="AL538" s="271"/>
      <c r="AM538" s="271"/>
      <c r="AN538" s="271"/>
    </row>
    <row r="539" spans="1:40" ht="12.75" customHeight="1">
      <c r="A539" s="278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278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  <c r="AB539" s="271"/>
      <c r="AC539" s="271"/>
      <c r="AD539" s="271"/>
      <c r="AE539" s="271"/>
      <c r="AF539" s="271"/>
      <c r="AG539" s="271"/>
      <c r="AH539" s="271"/>
      <c r="AI539" s="271"/>
      <c r="AJ539" s="271"/>
      <c r="AK539" s="271"/>
      <c r="AL539" s="271"/>
      <c r="AM539" s="271"/>
      <c r="AN539" s="271"/>
    </row>
    <row r="540" spans="1:40" ht="12.75" customHeight="1">
      <c r="A540" s="278"/>
      <c r="B540" s="278"/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  <c r="M540" s="278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  <c r="AA540" s="271"/>
      <c r="AB540" s="271"/>
      <c r="AC540" s="271"/>
      <c r="AD540" s="271"/>
      <c r="AE540" s="271"/>
      <c r="AF540" s="271"/>
      <c r="AG540" s="271"/>
      <c r="AH540" s="271"/>
      <c r="AI540" s="271"/>
      <c r="AJ540" s="271"/>
      <c r="AK540" s="271"/>
      <c r="AL540" s="271"/>
      <c r="AM540" s="271"/>
      <c r="AN540" s="271"/>
    </row>
    <row r="541" spans="1:40" ht="12.75" customHeight="1">
      <c r="A541" s="278"/>
      <c r="B541" s="278"/>
      <c r="C541" s="278"/>
      <c r="D541" s="278"/>
      <c r="E541" s="278"/>
      <c r="F541" s="278"/>
      <c r="G541" s="278"/>
      <c r="H541" s="278"/>
      <c r="I541" s="278"/>
      <c r="J541" s="278"/>
      <c r="K541" s="278"/>
      <c r="L541" s="278"/>
      <c r="M541" s="278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  <c r="AB541" s="271"/>
      <c r="AC541" s="271"/>
      <c r="AD541" s="271"/>
      <c r="AE541" s="271"/>
      <c r="AF541" s="271"/>
      <c r="AG541" s="271"/>
      <c r="AH541" s="271"/>
      <c r="AI541" s="271"/>
      <c r="AJ541" s="271"/>
      <c r="AK541" s="271"/>
      <c r="AL541" s="271"/>
      <c r="AM541" s="271"/>
      <c r="AN541" s="271"/>
    </row>
    <row r="542" spans="1:40" ht="12.75" customHeight="1">
      <c r="A542" s="278"/>
      <c r="B542" s="278"/>
      <c r="C542" s="278"/>
      <c r="D542" s="278"/>
      <c r="E542" s="278"/>
      <c r="F542" s="278"/>
      <c r="G542" s="278"/>
      <c r="H542" s="278"/>
      <c r="I542" s="278"/>
      <c r="J542" s="278"/>
      <c r="K542" s="278"/>
      <c r="L542" s="278"/>
      <c r="M542" s="278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  <c r="AA542" s="271"/>
      <c r="AB542" s="271"/>
      <c r="AC542" s="271"/>
      <c r="AD542" s="271"/>
      <c r="AE542" s="271"/>
      <c r="AF542" s="271"/>
      <c r="AG542" s="271"/>
      <c r="AH542" s="271"/>
      <c r="AI542" s="271"/>
      <c r="AJ542" s="271"/>
      <c r="AK542" s="271"/>
      <c r="AL542" s="271"/>
      <c r="AM542" s="271"/>
      <c r="AN542" s="271"/>
    </row>
    <row r="543" spans="1:40" ht="12.75" customHeight="1">
      <c r="A543" s="278"/>
      <c r="B543" s="278"/>
      <c r="C543" s="278"/>
      <c r="D543" s="278"/>
      <c r="E543" s="278"/>
      <c r="F543" s="278"/>
      <c r="G543" s="278"/>
      <c r="H543" s="278"/>
      <c r="I543" s="278"/>
      <c r="J543" s="278"/>
      <c r="K543" s="278"/>
      <c r="L543" s="278"/>
      <c r="M543" s="278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1"/>
      <c r="AG543" s="271"/>
      <c r="AH543" s="271"/>
      <c r="AI543" s="271"/>
      <c r="AJ543" s="271"/>
      <c r="AK543" s="271"/>
      <c r="AL543" s="271"/>
      <c r="AM543" s="271"/>
      <c r="AN543" s="271"/>
    </row>
    <row r="544" spans="1:40" ht="12.75" customHeight="1">
      <c r="A544" s="278"/>
      <c r="B544" s="278"/>
      <c r="C544" s="278"/>
      <c r="D544" s="278"/>
      <c r="E544" s="278"/>
      <c r="F544" s="278"/>
      <c r="G544" s="278"/>
      <c r="H544" s="278"/>
      <c r="I544" s="278"/>
      <c r="J544" s="278"/>
      <c r="K544" s="278"/>
      <c r="L544" s="278"/>
      <c r="M544" s="278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1"/>
      <c r="AG544" s="271"/>
      <c r="AH544" s="271"/>
      <c r="AI544" s="271"/>
      <c r="AJ544" s="271"/>
      <c r="AK544" s="271"/>
      <c r="AL544" s="271"/>
      <c r="AM544" s="271"/>
      <c r="AN544" s="271"/>
    </row>
    <row r="545" spans="1:40" ht="12.75" customHeight="1">
      <c r="A545" s="278"/>
      <c r="B545" s="278"/>
      <c r="C545" s="278"/>
      <c r="D545" s="278"/>
      <c r="E545" s="278"/>
      <c r="F545" s="278"/>
      <c r="G545" s="278"/>
      <c r="H545" s="278"/>
      <c r="I545" s="278"/>
      <c r="J545" s="278"/>
      <c r="K545" s="278"/>
      <c r="L545" s="278"/>
      <c r="M545" s="278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1"/>
      <c r="AG545" s="271"/>
      <c r="AH545" s="271"/>
      <c r="AI545" s="271"/>
      <c r="AJ545" s="271"/>
      <c r="AK545" s="271"/>
      <c r="AL545" s="271"/>
      <c r="AM545" s="271"/>
      <c r="AN545" s="271"/>
    </row>
    <row r="546" spans="1:40" ht="12.75" customHeight="1">
      <c r="A546" s="278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278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  <c r="AB546" s="271"/>
      <c r="AC546" s="271"/>
      <c r="AD546" s="271"/>
      <c r="AE546" s="271"/>
      <c r="AF546" s="271"/>
      <c r="AG546" s="271"/>
      <c r="AH546" s="271"/>
      <c r="AI546" s="271"/>
      <c r="AJ546" s="271"/>
      <c r="AK546" s="271"/>
      <c r="AL546" s="271"/>
      <c r="AM546" s="271"/>
      <c r="AN546" s="271"/>
    </row>
    <row r="547" spans="1:40" ht="12.75" customHeight="1">
      <c r="A547" s="278"/>
      <c r="B547" s="278"/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  <c r="M547" s="278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  <c r="AA547" s="271"/>
      <c r="AB547" s="271"/>
      <c r="AC547" s="271"/>
      <c r="AD547" s="271"/>
      <c r="AE547" s="271"/>
      <c r="AF547" s="271"/>
      <c r="AG547" s="271"/>
      <c r="AH547" s="271"/>
      <c r="AI547" s="271"/>
      <c r="AJ547" s="271"/>
      <c r="AK547" s="271"/>
      <c r="AL547" s="271"/>
      <c r="AM547" s="271"/>
      <c r="AN547" s="271"/>
    </row>
    <row r="548" spans="1:40" ht="12.75" customHeight="1">
      <c r="A548" s="278"/>
      <c r="B548" s="278"/>
      <c r="C548" s="278"/>
      <c r="D548" s="278"/>
      <c r="E548" s="278"/>
      <c r="F548" s="278"/>
      <c r="G548" s="278"/>
      <c r="H548" s="278"/>
      <c r="I548" s="278"/>
      <c r="J548" s="278"/>
      <c r="K548" s="278"/>
      <c r="L548" s="278"/>
      <c r="M548" s="278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  <c r="AA548" s="271"/>
      <c r="AB548" s="271"/>
      <c r="AC548" s="271"/>
      <c r="AD548" s="271"/>
      <c r="AE548" s="271"/>
      <c r="AF548" s="271"/>
      <c r="AG548" s="271"/>
      <c r="AH548" s="271"/>
      <c r="AI548" s="271"/>
      <c r="AJ548" s="271"/>
      <c r="AK548" s="271"/>
      <c r="AL548" s="271"/>
      <c r="AM548" s="271"/>
      <c r="AN548" s="271"/>
    </row>
    <row r="549" spans="1:40" ht="12.75" customHeight="1">
      <c r="A549" s="278"/>
      <c r="B549" s="278"/>
      <c r="C549" s="278"/>
      <c r="D549" s="278"/>
      <c r="E549" s="278"/>
      <c r="F549" s="278"/>
      <c r="G549" s="278"/>
      <c r="H549" s="278"/>
      <c r="I549" s="278"/>
      <c r="J549" s="278"/>
      <c r="K549" s="278"/>
      <c r="L549" s="278"/>
      <c r="M549" s="278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  <c r="AA549" s="271"/>
      <c r="AB549" s="271"/>
      <c r="AC549" s="271"/>
      <c r="AD549" s="271"/>
      <c r="AE549" s="271"/>
      <c r="AF549" s="271"/>
      <c r="AG549" s="271"/>
      <c r="AH549" s="271"/>
      <c r="AI549" s="271"/>
      <c r="AJ549" s="271"/>
      <c r="AK549" s="271"/>
      <c r="AL549" s="271"/>
      <c r="AM549" s="271"/>
      <c r="AN549" s="271"/>
    </row>
    <row r="550" spans="1:40" ht="12.75" customHeight="1">
      <c r="A550" s="278"/>
      <c r="B550" s="278"/>
      <c r="C550" s="278"/>
      <c r="D550" s="278"/>
      <c r="E550" s="278"/>
      <c r="F550" s="278"/>
      <c r="G550" s="278"/>
      <c r="H550" s="278"/>
      <c r="I550" s="278"/>
      <c r="J550" s="278"/>
      <c r="K550" s="278"/>
      <c r="L550" s="278"/>
      <c r="M550" s="278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  <c r="AB550" s="271"/>
      <c r="AC550" s="271"/>
      <c r="AD550" s="271"/>
      <c r="AE550" s="271"/>
      <c r="AF550" s="271"/>
      <c r="AG550" s="271"/>
      <c r="AH550" s="271"/>
      <c r="AI550" s="271"/>
      <c r="AJ550" s="271"/>
      <c r="AK550" s="271"/>
      <c r="AL550" s="271"/>
      <c r="AM550" s="271"/>
      <c r="AN550" s="271"/>
    </row>
    <row r="551" spans="1:40" ht="12.75" customHeight="1">
      <c r="A551" s="278"/>
      <c r="B551" s="278"/>
      <c r="C551" s="278"/>
      <c r="D551" s="278"/>
      <c r="E551" s="278"/>
      <c r="F551" s="278"/>
      <c r="G551" s="278"/>
      <c r="H551" s="278"/>
      <c r="I551" s="278"/>
      <c r="J551" s="278"/>
      <c r="K551" s="278"/>
      <c r="L551" s="278"/>
      <c r="M551" s="278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  <c r="AA551" s="271"/>
      <c r="AB551" s="271"/>
      <c r="AC551" s="271"/>
      <c r="AD551" s="271"/>
      <c r="AE551" s="271"/>
      <c r="AF551" s="271"/>
      <c r="AG551" s="271"/>
      <c r="AH551" s="271"/>
      <c r="AI551" s="271"/>
      <c r="AJ551" s="271"/>
      <c r="AK551" s="271"/>
      <c r="AL551" s="271"/>
      <c r="AM551" s="271"/>
      <c r="AN551" s="271"/>
    </row>
    <row r="552" spans="1:40" ht="12.75" customHeight="1">
      <c r="A552" s="278"/>
      <c r="B552" s="278"/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  <c r="M552" s="278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  <c r="AA552" s="271"/>
      <c r="AB552" s="271"/>
      <c r="AC552" s="271"/>
      <c r="AD552" s="271"/>
      <c r="AE552" s="271"/>
      <c r="AF552" s="271"/>
      <c r="AG552" s="271"/>
      <c r="AH552" s="271"/>
      <c r="AI552" s="271"/>
      <c r="AJ552" s="271"/>
      <c r="AK552" s="271"/>
      <c r="AL552" s="271"/>
      <c r="AM552" s="271"/>
      <c r="AN552" s="271"/>
    </row>
    <row r="553" spans="1:40" ht="12.75" customHeight="1">
      <c r="A553" s="278"/>
      <c r="B553" s="278"/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  <c r="M553" s="278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  <c r="AA553" s="271"/>
      <c r="AB553" s="271"/>
      <c r="AC553" s="271"/>
      <c r="AD553" s="271"/>
      <c r="AE553" s="271"/>
      <c r="AF553" s="271"/>
      <c r="AG553" s="271"/>
      <c r="AH553" s="271"/>
      <c r="AI553" s="271"/>
      <c r="AJ553" s="271"/>
      <c r="AK553" s="271"/>
      <c r="AL553" s="271"/>
      <c r="AM553" s="271"/>
      <c r="AN553" s="271"/>
    </row>
    <row r="554" spans="1:40" ht="12.75" customHeight="1">
      <c r="A554" s="278"/>
      <c r="B554" s="278"/>
      <c r="C554" s="278"/>
      <c r="D554" s="278"/>
      <c r="E554" s="278"/>
      <c r="F554" s="278"/>
      <c r="G554" s="278"/>
      <c r="H554" s="278"/>
      <c r="I554" s="278"/>
      <c r="J554" s="278"/>
      <c r="K554" s="278"/>
      <c r="L554" s="278"/>
      <c r="M554" s="278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  <c r="AA554" s="271"/>
      <c r="AB554" s="271"/>
      <c r="AC554" s="271"/>
      <c r="AD554" s="271"/>
      <c r="AE554" s="271"/>
      <c r="AF554" s="271"/>
      <c r="AG554" s="271"/>
      <c r="AH554" s="271"/>
      <c r="AI554" s="271"/>
      <c r="AJ554" s="271"/>
      <c r="AK554" s="271"/>
      <c r="AL554" s="271"/>
      <c r="AM554" s="271"/>
      <c r="AN554" s="271"/>
    </row>
    <row r="555" spans="1:40" ht="12.75" customHeight="1">
      <c r="A555" s="278"/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278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  <c r="AA555" s="271"/>
      <c r="AB555" s="271"/>
      <c r="AC555" s="271"/>
      <c r="AD555" s="271"/>
      <c r="AE555" s="271"/>
      <c r="AF555" s="271"/>
      <c r="AG555" s="271"/>
      <c r="AH555" s="271"/>
      <c r="AI555" s="271"/>
      <c r="AJ555" s="271"/>
      <c r="AK555" s="271"/>
      <c r="AL555" s="271"/>
      <c r="AM555" s="271"/>
      <c r="AN555" s="271"/>
    </row>
    <row r="556" spans="1:40" ht="12.75" customHeight="1">
      <c r="A556" s="278"/>
      <c r="B556" s="278"/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  <c r="M556" s="278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  <c r="AA556" s="271"/>
      <c r="AB556" s="271"/>
      <c r="AC556" s="271"/>
      <c r="AD556" s="271"/>
      <c r="AE556" s="271"/>
      <c r="AF556" s="271"/>
      <c r="AG556" s="271"/>
      <c r="AH556" s="271"/>
      <c r="AI556" s="271"/>
      <c r="AJ556" s="271"/>
      <c r="AK556" s="271"/>
      <c r="AL556" s="271"/>
      <c r="AM556" s="271"/>
      <c r="AN556" s="271"/>
    </row>
    <row r="557" spans="1:40" ht="12.75" customHeight="1">
      <c r="A557" s="278"/>
      <c r="B557" s="278"/>
      <c r="C557" s="278"/>
      <c r="D557" s="278"/>
      <c r="E557" s="278"/>
      <c r="F557" s="278"/>
      <c r="G557" s="278"/>
      <c r="H557" s="278"/>
      <c r="I557" s="278"/>
      <c r="J557" s="278"/>
      <c r="K557" s="278"/>
      <c r="L557" s="278"/>
      <c r="M557" s="278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  <c r="AA557" s="271"/>
      <c r="AB557" s="271"/>
      <c r="AC557" s="271"/>
      <c r="AD557" s="271"/>
      <c r="AE557" s="271"/>
      <c r="AF557" s="271"/>
      <c r="AG557" s="271"/>
      <c r="AH557" s="271"/>
      <c r="AI557" s="271"/>
      <c r="AJ557" s="271"/>
      <c r="AK557" s="271"/>
      <c r="AL557" s="271"/>
      <c r="AM557" s="271"/>
      <c r="AN557" s="271"/>
    </row>
    <row r="558" spans="1:40" ht="12.75" customHeight="1">
      <c r="A558" s="278"/>
      <c r="B558" s="278"/>
      <c r="C558" s="278"/>
      <c r="D558" s="278"/>
      <c r="E558" s="278"/>
      <c r="F558" s="278"/>
      <c r="G558" s="278"/>
      <c r="H558" s="278"/>
      <c r="I558" s="278"/>
      <c r="J558" s="278"/>
      <c r="K558" s="278"/>
      <c r="L558" s="278"/>
      <c r="M558" s="278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  <c r="AA558" s="271"/>
      <c r="AB558" s="271"/>
      <c r="AC558" s="271"/>
      <c r="AD558" s="271"/>
      <c r="AE558" s="271"/>
      <c r="AF558" s="271"/>
      <c r="AG558" s="271"/>
      <c r="AH558" s="271"/>
      <c r="AI558" s="271"/>
      <c r="AJ558" s="271"/>
      <c r="AK558" s="271"/>
      <c r="AL558" s="271"/>
      <c r="AM558" s="271"/>
      <c r="AN558" s="271"/>
    </row>
    <row r="559" spans="1:40" ht="12.75" customHeight="1">
      <c r="A559" s="278"/>
      <c r="B559" s="278"/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  <c r="M559" s="278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  <c r="AA559" s="271"/>
      <c r="AB559" s="271"/>
      <c r="AC559" s="271"/>
      <c r="AD559" s="271"/>
      <c r="AE559" s="271"/>
      <c r="AF559" s="271"/>
      <c r="AG559" s="271"/>
      <c r="AH559" s="271"/>
      <c r="AI559" s="271"/>
      <c r="AJ559" s="271"/>
      <c r="AK559" s="271"/>
      <c r="AL559" s="271"/>
      <c r="AM559" s="271"/>
      <c r="AN559" s="271"/>
    </row>
    <row r="560" spans="1:40" ht="12.75" customHeight="1">
      <c r="A560" s="278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278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  <c r="AA560" s="271"/>
      <c r="AB560" s="271"/>
      <c r="AC560" s="271"/>
      <c r="AD560" s="271"/>
      <c r="AE560" s="271"/>
      <c r="AF560" s="271"/>
      <c r="AG560" s="271"/>
      <c r="AH560" s="271"/>
      <c r="AI560" s="271"/>
      <c r="AJ560" s="271"/>
      <c r="AK560" s="271"/>
      <c r="AL560" s="271"/>
      <c r="AM560" s="271"/>
      <c r="AN560" s="271"/>
    </row>
    <row r="561" spans="1:40" ht="12.75" customHeight="1">
      <c r="A561" s="278"/>
      <c r="B561" s="278"/>
      <c r="C561" s="278"/>
      <c r="D561" s="278"/>
      <c r="E561" s="278"/>
      <c r="F561" s="278"/>
      <c r="G561" s="278"/>
      <c r="H561" s="278"/>
      <c r="I561" s="278"/>
      <c r="J561" s="278"/>
      <c r="K561" s="278"/>
      <c r="L561" s="278"/>
      <c r="M561" s="278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  <c r="AA561" s="271"/>
      <c r="AB561" s="271"/>
      <c r="AC561" s="271"/>
      <c r="AD561" s="271"/>
      <c r="AE561" s="271"/>
      <c r="AF561" s="271"/>
      <c r="AG561" s="271"/>
      <c r="AH561" s="271"/>
      <c r="AI561" s="271"/>
      <c r="AJ561" s="271"/>
      <c r="AK561" s="271"/>
      <c r="AL561" s="271"/>
      <c r="AM561" s="271"/>
      <c r="AN561" s="271"/>
    </row>
    <row r="562" spans="1:40" ht="12.75" customHeight="1">
      <c r="A562" s="278"/>
      <c r="B562" s="278"/>
      <c r="C562" s="278"/>
      <c r="D562" s="278"/>
      <c r="E562" s="278"/>
      <c r="F562" s="278"/>
      <c r="G562" s="278"/>
      <c r="H562" s="278"/>
      <c r="I562" s="278"/>
      <c r="J562" s="278"/>
      <c r="K562" s="278"/>
      <c r="L562" s="278"/>
      <c r="M562" s="278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  <c r="AA562" s="271"/>
      <c r="AB562" s="271"/>
      <c r="AC562" s="271"/>
      <c r="AD562" s="271"/>
      <c r="AE562" s="271"/>
      <c r="AF562" s="271"/>
      <c r="AG562" s="271"/>
      <c r="AH562" s="271"/>
      <c r="AI562" s="271"/>
      <c r="AJ562" s="271"/>
      <c r="AK562" s="271"/>
      <c r="AL562" s="271"/>
      <c r="AM562" s="271"/>
      <c r="AN562" s="271"/>
    </row>
    <row r="563" spans="1:40" ht="12.75" customHeight="1">
      <c r="A563" s="278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278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  <c r="AA563" s="271"/>
      <c r="AB563" s="271"/>
      <c r="AC563" s="271"/>
      <c r="AD563" s="271"/>
      <c r="AE563" s="271"/>
      <c r="AF563" s="271"/>
      <c r="AG563" s="271"/>
      <c r="AH563" s="271"/>
      <c r="AI563" s="271"/>
      <c r="AJ563" s="271"/>
      <c r="AK563" s="271"/>
      <c r="AL563" s="271"/>
      <c r="AM563" s="271"/>
      <c r="AN563" s="271"/>
    </row>
    <row r="564" spans="1:40" ht="12.75" customHeight="1">
      <c r="A564" s="278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278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  <c r="AA564" s="271"/>
      <c r="AB564" s="271"/>
      <c r="AC564" s="271"/>
      <c r="AD564" s="271"/>
      <c r="AE564" s="271"/>
      <c r="AF564" s="271"/>
      <c r="AG564" s="271"/>
      <c r="AH564" s="271"/>
      <c r="AI564" s="271"/>
      <c r="AJ564" s="271"/>
      <c r="AK564" s="271"/>
      <c r="AL564" s="271"/>
      <c r="AM564" s="271"/>
      <c r="AN564" s="271"/>
    </row>
    <row r="565" spans="1:40" ht="12.75" customHeight="1">
      <c r="A565" s="278"/>
      <c r="B565" s="278"/>
      <c r="C565" s="278"/>
      <c r="D565" s="278"/>
      <c r="E565" s="278"/>
      <c r="F565" s="278"/>
      <c r="G565" s="278"/>
      <c r="H565" s="278"/>
      <c r="I565" s="278"/>
      <c r="J565" s="278"/>
      <c r="K565" s="278"/>
      <c r="L565" s="278"/>
      <c r="M565" s="278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  <c r="AA565" s="271"/>
      <c r="AB565" s="271"/>
      <c r="AC565" s="271"/>
      <c r="AD565" s="271"/>
      <c r="AE565" s="271"/>
      <c r="AF565" s="271"/>
      <c r="AG565" s="271"/>
      <c r="AH565" s="271"/>
      <c r="AI565" s="271"/>
      <c r="AJ565" s="271"/>
      <c r="AK565" s="271"/>
      <c r="AL565" s="271"/>
      <c r="AM565" s="271"/>
      <c r="AN565" s="271"/>
    </row>
    <row r="566" spans="1:40" ht="12.75" customHeight="1">
      <c r="A566" s="278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278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  <c r="AA566" s="271"/>
      <c r="AB566" s="271"/>
      <c r="AC566" s="271"/>
      <c r="AD566" s="271"/>
      <c r="AE566" s="271"/>
      <c r="AF566" s="271"/>
      <c r="AG566" s="271"/>
      <c r="AH566" s="271"/>
      <c r="AI566" s="271"/>
      <c r="AJ566" s="271"/>
      <c r="AK566" s="271"/>
      <c r="AL566" s="271"/>
      <c r="AM566" s="271"/>
      <c r="AN566" s="271"/>
    </row>
    <row r="567" spans="1:40" ht="12.75" customHeight="1">
      <c r="A567" s="278"/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278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  <c r="AA567" s="271"/>
      <c r="AB567" s="271"/>
      <c r="AC567" s="271"/>
      <c r="AD567" s="271"/>
      <c r="AE567" s="271"/>
      <c r="AF567" s="271"/>
      <c r="AG567" s="271"/>
      <c r="AH567" s="271"/>
      <c r="AI567" s="271"/>
      <c r="AJ567" s="271"/>
      <c r="AK567" s="271"/>
      <c r="AL567" s="271"/>
      <c r="AM567" s="271"/>
      <c r="AN567" s="271"/>
    </row>
    <row r="568" spans="1:40" ht="12.75" customHeight="1">
      <c r="A568" s="278"/>
      <c r="B568" s="278"/>
      <c r="C568" s="278"/>
      <c r="D568" s="278"/>
      <c r="E568" s="278"/>
      <c r="F568" s="278"/>
      <c r="G568" s="278"/>
      <c r="H568" s="278"/>
      <c r="I568" s="278"/>
      <c r="J568" s="278"/>
      <c r="K568" s="278"/>
      <c r="L568" s="278"/>
      <c r="M568" s="278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  <c r="AA568" s="271"/>
      <c r="AB568" s="271"/>
      <c r="AC568" s="271"/>
      <c r="AD568" s="271"/>
      <c r="AE568" s="271"/>
      <c r="AF568" s="271"/>
      <c r="AG568" s="271"/>
      <c r="AH568" s="271"/>
      <c r="AI568" s="271"/>
      <c r="AJ568" s="271"/>
      <c r="AK568" s="271"/>
      <c r="AL568" s="271"/>
      <c r="AM568" s="271"/>
      <c r="AN568" s="271"/>
    </row>
    <row r="569" spans="1:40" ht="12.75" customHeight="1">
      <c r="A569" s="278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278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  <c r="AA569" s="271"/>
      <c r="AB569" s="271"/>
      <c r="AC569" s="271"/>
      <c r="AD569" s="271"/>
      <c r="AE569" s="271"/>
      <c r="AF569" s="271"/>
      <c r="AG569" s="271"/>
      <c r="AH569" s="271"/>
      <c r="AI569" s="271"/>
      <c r="AJ569" s="271"/>
      <c r="AK569" s="271"/>
      <c r="AL569" s="271"/>
      <c r="AM569" s="271"/>
      <c r="AN569" s="271"/>
    </row>
    <row r="570" spans="1:40" ht="12.75" customHeight="1">
      <c r="A570" s="278"/>
      <c r="B570" s="278"/>
      <c r="C570" s="278"/>
      <c r="D570" s="278"/>
      <c r="E570" s="278"/>
      <c r="F570" s="278"/>
      <c r="G570" s="278"/>
      <c r="H570" s="278"/>
      <c r="I570" s="278"/>
      <c r="J570" s="278"/>
      <c r="K570" s="278"/>
      <c r="L570" s="278"/>
      <c r="M570" s="278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  <c r="AA570" s="271"/>
      <c r="AB570" s="271"/>
      <c r="AC570" s="271"/>
      <c r="AD570" s="271"/>
      <c r="AE570" s="271"/>
      <c r="AF570" s="271"/>
      <c r="AG570" s="271"/>
      <c r="AH570" s="271"/>
      <c r="AI570" s="271"/>
      <c r="AJ570" s="271"/>
      <c r="AK570" s="271"/>
      <c r="AL570" s="271"/>
      <c r="AM570" s="271"/>
      <c r="AN570" s="271"/>
    </row>
    <row r="571" spans="1:40" ht="12.75" customHeight="1">
      <c r="A571" s="278"/>
      <c r="B571" s="278"/>
      <c r="C571" s="278"/>
      <c r="D571" s="278"/>
      <c r="E571" s="278"/>
      <c r="F571" s="278"/>
      <c r="G571" s="278"/>
      <c r="H571" s="278"/>
      <c r="I571" s="278"/>
      <c r="J571" s="278"/>
      <c r="K571" s="278"/>
      <c r="L571" s="278"/>
      <c r="M571" s="278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  <c r="AA571" s="271"/>
      <c r="AB571" s="271"/>
      <c r="AC571" s="271"/>
      <c r="AD571" s="271"/>
      <c r="AE571" s="271"/>
      <c r="AF571" s="271"/>
      <c r="AG571" s="271"/>
      <c r="AH571" s="271"/>
      <c r="AI571" s="271"/>
      <c r="AJ571" s="271"/>
      <c r="AK571" s="271"/>
      <c r="AL571" s="271"/>
      <c r="AM571" s="271"/>
      <c r="AN571" s="271"/>
    </row>
    <row r="572" spans="1:40" ht="12.75" customHeight="1">
      <c r="A572" s="278"/>
      <c r="B572" s="278"/>
      <c r="C572" s="278"/>
      <c r="D572" s="278"/>
      <c r="E572" s="278"/>
      <c r="F572" s="278"/>
      <c r="G572" s="278"/>
      <c r="H572" s="278"/>
      <c r="I572" s="278"/>
      <c r="J572" s="278"/>
      <c r="K572" s="278"/>
      <c r="L572" s="278"/>
      <c r="M572" s="278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  <c r="AA572" s="271"/>
      <c r="AB572" s="271"/>
      <c r="AC572" s="271"/>
      <c r="AD572" s="271"/>
      <c r="AE572" s="271"/>
      <c r="AF572" s="271"/>
      <c r="AG572" s="271"/>
      <c r="AH572" s="271"/>
      <c r="AI572" s="271"/>
      <c r="AJ572" s="271"/>
      <c r="AK572" s="271"/>
      <c r="AL572" s="271"/>
      <c r="AM572" s="271"/>
      <c r="AN572" s="271"/>
    </row>
    <row r="573" spans="1:40" ht="12.75" customHeight="1">
      <c r="A573" s="278"/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278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  <c r="AA573" s="271"/>
      <c r="AB573" s="271"/>
      <c r="AC573" s="271"/>
      <c r="AD573" s="271"/>
      <c r="AE573" s="271"/>
      <c r="AF573" s="271"/>
      <c r="AG573" s="271"/>
      <c r="AH573" s="271"/>
      <c r="AI573" s="271"/>
      <c r="AJ573" s="271"/>
      <c r="AK573" s="271"/>
      <c r="AL573" s="271"/>
      <c r="AM573" s="271"/>
      <c r="AN573" s="271"/>
    </row>
    <row r="574" spans="1:40" ht="12.75" customHeight="1">
      <c r="A574" s="278"/>
      <c r="B574" s="278"/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  <c r="M574" s="278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  <c r="AA574" s="271"/>
      <c r="AB574" s="271"/>
      <c r="AC574" s="271"/>
      <c r="AD574" s="271"/>
      <c r="AE574" s="271"/>
      <c r="AF574" s="271"/>
      <c r="AG574" s="271"/>
      <c r="AH574" s="271"/>
      <c r="AI574" s="271"/>
      <c r="AJ574" s="271"/>
      <c r="AK574" s="271"/>
      <c r="AL574" s="271"/>
      <c r="AM574" s="271"/>
      <c r="AN574" s="271"/>
    </row>
    <row r="575" spans="1:40" ht="12.75" customHeight="1">
      <c r="A575" s="278"/>
      <c r="B575" s="278"/>
      <c r="C575" s="278"/>
      <c r="D575" s="278"/>
      <c r="E575" s="278"/>
      <c r="F575" s="278"/>
      <c r="G575" s="278"/>
      <c r="H575" s="278"/>
      <c r="I575" s="278"/>
      <c r="J575" s="278"/>
      <c r="K575" s="278"/>
      <c r="L575" s="278"/>
      <c r="M575" s="278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  <c r="AA575" s="271"/>
      <c r="AB575" s="271"/>
      <c r="AC575" s="271"/>
      <c r="AD575" s="271"/>
      <c r="AE575" s="271"/>
      <c r="AF575" s="271"/>
      <c r="AG575" s="271"/>
      <c r="AH575" s="271"/>
      <c r="AI575" s="271"/>
      <c r="AJ575" s="271"/>
      <c r="AK575" s="271"/>
      <c r="AL575" s="271"/>
      <c r="AM575" s="271"/>
      <c r="AN575" s="271"/>
    </row>
    <row r="576" spans="1:40" ht="12.75" customHeight="1">
      <c r="A576" s="278"/>
      <c r="B576" s="278"/>
      <c r="C576" s="278"/>
      <c r="D576" s="278"/>
      <c r="E576" s="278"/>
      <c r="F576" s="278"/>
      <c r="G576" s="278"/>
      <c r="H576" s="278"/>
      <c r="I576" s="278"/>
      <c r="J576" s="278"/>
      <c r="K576" s="278"/>
      <c r="L576" s="278"/>
      <c r="M576" s="278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  <c r="AA576" s="271"/>
      <c r="AB576" s="271"/>
      <c r="AC576" s="271"/>
      <c r="AD576" s="271"/>
      <c r="AE576" s="271"/>
      <c r="AF576" s="271"/>
      <c r="AG576" s="271"/>
      <c r="AH576" s="271"/>
      <c r="AI576" s="271"/>
      <c r="AJ576" s="271"/>
      <c r="AK576" s="271"/>
      <c r="AL576" s="271"/>
      <c r="AM576" s="271"/>
      <c r="AN576" s="271"/>
    </row>
    <row r="577" spans="1:40" ht="12.75" customHeight="1">
      <c r="A577" s="278"/>
      <c r="B577" s="278"/>
      <c r="C577" s="278"/>
      <c r="D577" s="278"/>
      <c r="E577" s="278"/>
      <c r="F577" s="278"/>
      <c r="G577" s="278"/>
      <c r="H577" s="278"/>
      <c r="I577" s="278"/>
      <c r="J577" s="278"/>
      <c r="K577" s="278"/>
      <c r="L577" s="278"/>
      <c r="M577" s="278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  <c r="AA577" s="271"/>
      <c r="AB577" s="271"/>
      <c r="AC577" s="271"/>
      <c r="AD577" s="271"/>
      <c r="AE577" s="271"/>
      <c r="AF577" s="271"/>
      <c r="AG577" s="271"/>
      <c r="AH577" s="271"/>
      <c r="AI577" s="271"/>
      <c r="AJ577" s="271"/>
      <c r="AK577" s="271"/>
      <c r="AL577" s="271"/>
      <c r="AM577" s="271"/>
      <c r="AN577" s="271"/>
    </row>
    <row r="578" spans="1:40" ht="12.75" customHeight="1">
      <c r="A578" s="278"/>
      <c r="B578" s="278"/>
      <c r="C578" s="278"/>
      <c r="D578" s="278"/>
      <c r="E578" s="278"/>
      <c r="F578" s="278"/>
      <c r="G578" s="278"/>
      <c r="H578" s="278"/>
      <c r="I578" s="278"/>
      <c r="J578" s="278"/>
      <c r="K578" s="278"/>
      <c r="L578" s="278"/>
      <c r="M578" s="278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  <c r="AA578" s="271"/>
      <c r="AB578" s="271"/>
      <c r="AC578" s="271"/>
      <c r="AD578" s="271"/>
      <c r="AE578" s="271"/>
      <c r="AF578" s="271"/>
      <c r="AG578" s="271"/>
      <c r="AH578" s="271"/>
      <c r="AI578" s="271"/>
      <c r="AJ578" s="271"/>
      <c r="AK578" s="271"/>
      <c r="AL578" s="271"/>
      <c r="AM578" s="271"/>
      <c r="AN578" s="271"/>
    </row>
    <row r="579" spans="1:40" ht="12.75" customHeight="1">
      <c r="A579" s="278"/>
      <c r="B579" s="278"/>
      <c r="C579" s="278"/>
      <c r="D579" s="278"/>
      <c r="E579" s="278"/>
      <c r="F579" s="278"/>
      <c r="G579" s="278"/>
      <c r="H579" s="278"/>
      <c r="I579" s="278"/>
      <c r="J579" s="278"/>
      <c r="K579" s="278"/>
      <c r="L579" s="278"/>
      <c r="M579" s="278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  <c r="AA579" s="271"/>
      <c r="AB579" s="271"/>
      <c r="AC579" s="271"/>
      <c r="AD579" s="271"/>
      <c r="AE579" s="271"/>
      <c r="AF579" s="271"/>
      <c r="AG579" s="271"/>
      <c r="AH579" s="271"/>
      <c r="AI579" s="271"/>
      <c r="AJ579" s="271"/>
      <c r="AK579" s="271"/>
      <c r="AL579" s="271"/>
      <c r="AM579" s="271"/>
      <c r="AN579" s="271"/>
    </row>
    <row r="580" spans="1:40" ht="12.75" customHeight="1">
      <c r="A580" s="278"/>
      <c r="B580" s="278"/>
      <c r="C580" s="278"/>
      <c r="D580" s="278"/>
      <c r="E580" s="278"/>
      <c r="F580" s="278"/>
      <c r="G580" s="278"/>
      <c r="H580" s="278"/>
      <c r="I580" s="278"/>
      <c r="J580" s="278"/>
      <c r="K580" s="278"/>
      <c r="L580" s="278"/>
      <c r="M580" s="278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  <c r="AA580" s="271"/>
      <c r="AB580" s="271"/>
      <c r="AC580" s="271"/>
      <c r="AD580" s="271"/>
      <c r="AE580" s="271"/>
      <c r="AF580" s="271"/>
      <c r="AG580" s="271"/>
      <c r="AH580" s="271"/>
      <c r="AI580" s="271"/>
      <c r="AJ580" s="271"/>
      <c r="AK580" s="271"/>
      <c r="AL580" s="271"/>
      <c r="AM580" s="271"/>
      <c r="AN580" s="271"/>
    </row>
    <row r="581" spans="1:40" ht="12.75" customHeight="1">
      <c r="A581" s="278"/>
      <c r="B581" s="278"/>
      <c r="C581" s="278"/>
      <c r="D581" s="278"/>
      <c r="E581" s="278"/>
      <c r="F581" s="278"/>
      <c r="G581" s="278"/>
      <c r="H581" s="278"/>
      <c r="I581" s="278"/>
      <c r="J581" s="278"/>
      <c r="K581" s="278"/>
      <c r="L581" s="278"/>
      <c r="M581" s="278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  <c r="AA581" s="271"/>
      <c r="AB581" s="271"/>
      <c r="AC581" s="271"/>
      <c r="AD581" s="271"/>
      <c r="AE581" s="271"/>
      <c r="AF581" s="271"/>
      <c r="AG581" s="271"/>
      <c r="AH581" s="271"/>
      <c r="AI581" s="271"/>
      <c r="AJ581" s="271"/>
      <c r="AK581" s="271"/>
      <c r="AL581" s="271"/>
      <c r="AM581" s="271"/>
      <c r="AN581" s="271"/>
    </row>
    <row r="582" spans="1:40" ht="12.75" customHeight="1">
      <c r="A582" s="278"/>
      <c r="B582" s="278"/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  <c r="M582" s="278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  <c r="AA582" s="271"/>
      <c r="AB582" s="271"/>
      <c r="AC582" s="271"/>
      <c r="AD582" s="271"/>
      <c r="AE582" s="271"/>
      <c r="AF582" s="271"/>
      <c r="AG582" s="271"/>
      <c r="AH582" s="271"/>
      <c r="AI582" s="271"/>
      <c r="AJ582" s="271"/>
      <c r="AK582" s="271"/>
      <c r="AL582" s="271"/>
      <c r="AM582" s="271"/>
      <c r="AN582" s="271"/>
    </row>
    <row r="583" spans="1:40" ht="12.75" customHeight="1">
      <c r="A583" s="278"/>
      <c r="B583" s="278"/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  <c r="M583" s="278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  <c r="AA583" s="271"/>
      <c r="AB583" s="271"/>
      <c r="AC583" s="271"/>
      <c r="AD583" s="271"/>
      <c r="AE583" s="271"/>
      <c r="AF583" s="271"/>
      <c r="AG583" s="271"/>
      <c r="AH583" s="271"/>
      <c r="AI583" s="271"/>
      <c r="AJ583" s="271"/>
      <c r="AK583" s="271"/>
      <c r="AL583" s="271"/>
      <c r="AM583" s="271"/>
      <c r="AN583" s="271"/>
    </row>
    <row r="584" spans="1:40" ht="12.75" customHeight="1">
      <c r="A584" s="278"/>
      <c r="B584" s="278"/>
      <c r="C584" s="278"/>
      <c r="D584" s="278"/>
      <c r="E584" s="278"/>
      <c r="F584" s="278"/>
      <c r="G584" s="278"/>
      <c r="H584" s="278"/>
      <c r="I584" s="278"/>
      <c r="J584" s="278"/>
      <c r="K584" s="278"/>
      <c r="L584" s="278"/>
      <c r="M584" s="278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  <c r="AA584" s="271"/>
      <c r="AB584" s="271"/>
      <c r="AC584" s="271"/>
      <c r="AD584" s="271"/>
      <c r="AE584" s="271"/>
      <c r="AF584" s="271"/>
      <c r="AG584" s="271"/>
      <c r="AH584" s="271"/>
      <c r="AI584" s="271"/>
      <c r="AJ584" s="271"/>
      <c r="AK584" s="271"/>
      <c r="AL584" s="271"/>
      <c r="AM584" s="271"/>
      <c r="AN584" s="271"/>
    </row>
    <row r="585" spans="1:40" ht="12.75" customHeight="1">
      <c r="A585" s="278"/>
      <c r="B585" s="278"/>
      <c r="C585" s="278"/>
      <c r="D585" s="278"/>
      <c r="E585" s="278"/>
      <c r="F585" s="278"/>
      <c r="G585" s="278"/>
      <c r="H585" s="278"/>
      <c r="I585" s="278"/>
      <c r="J585" s="278"/>
      <c r="K585" s="278"/>
      <c r="L585" s="278"/>
      <c r="M585" s="278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  <c r="AA585" s="271"/>
      <c r="AB585" s="271"/>
      <c r="AC585" s="271"/>
      <c r="AD585" s="271"/>
      <c r="AE585" s="271"/>
      <c r="AF585" s="271"/>
      <c r="AG585" s="271"/>
      <c r="AH585" s="271"/>
      <c r="AI585" s="271"/>
      <c r="AJ585" s="271"/>
      <c r="AK585" s="271"/>
      <c r="AL585" s="271"/>
      <c r="AM585" s="271"/>
      <c r="AN585" s="271"/>
    </row>
    <row r="586" spans="1:40" ht="12.75" customHeight="1">
      <c r="A586" s="278"/>
      <c r="B586" s="278"/>
      <c r="C586" s="278"/>
      <c r="D586" s="278"/>
      <c r="E586" s="278"/>
      <c r="F586" s="278"/>
      <c r="G586" s="278"/>
      <c r="H586" s="278"/>
      <c r="I586" s="278"/>
      <c r="J586" s="278"/>
      <c r="K586" s="278"/>
      <c r="L586" s="278"/>
      <c r="M586" s="278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  <c r="AA586" s="271"/>
      <c r="AB586" s="271"/>
      <c r="AC586" s="271"/>
      <c r="AD586" s="271"/>
      <c r="AE586" s="271"/>
      <c r="AF586" s="271"/>
      <c r="AG586" s="271"/>
      <c r="AH586" s="271"/>
      <c r="AI586" s="271"/>
      <c r="AJ586" s="271"/>
      <c r="AK586" s="271"/>
      <c r="AL586" s="271"/>
      <c r="AM586" s="271"/>
      <c r="AN586" s="271"/>
    </row>
    <row r="587" spans="1:40" ht="12.75" customHeight="1">
      <c r="A587" s="278"/>
      <c r="B587" s="278"/>
      <c r="C587" s="278"/>
      <c r="D587" s="278"/>
      <c r="E587" s="278"/>
      <c r="F587" s="278"/>
      <c r="G587" s="278"/>
      <c r="H587" s="278"/>
      <c r="I587" s="278"/>
      <c r="J587" s="278"/>
      <c r="K587" s="278"/>
      <c r="L587" s="278"/>
      <c r="M587" s="278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  <c r="AA587" s="271"/>
      <c r="AB587" s="271"/>
      <c r="AC587" s="271"/>
      <c r="AD587" s="271"/>
      <c r="AE587" s="271"/>
      <c r="AF587" s="271"/>
      <c r="AG587" s="271"/>
      <c r="AH587" s="271"/>
      <c r="AI587" s="271"/>
      <c r="AJ587" s="271"/>
      <c r="AK587" s="271"/>
      <c r="AL587" s="271"/>
      <c r="AM587" s="271"/>
      <c r="AN587" s="271"/>
    </row>
    <row r="588" spans="1:40" ht="12.75" customHeight="1">
      <c r="A588" s="278"/>
      <c r="B588" s="278"/>
      <c r="C588" s="278"/>
      <c r="D588" s="278"/>
      <c r="E588" s="278"/>
      <c r="F588" s="278"/>
      <c r="G588" s="278"/>
      <c r="H588" s="278"/>
      <c r="I588" s="278"/>
      <c r="J588" s="278"/>
      <c r="K588" s="278"/>
      <c r="L588" s="278"/>
      <c r="M588" s="278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  <c r="AA588" s="271"/>
      <c r="AB588" s="271"/>
      <c r="AC588" s="271"/>
      <c r="AD588" s="271"/>
      <c r="AE588" s="271"/>
      <c r="AF588" s="271"/>
      <c r="AG588" s="271"/>
      <c r="AH588" s="271"/>
      <c r="AI588" s="271"/>
      <c r="AJ588" s="271"/>
      <c r="AK588" s="271"/>
      <c r="AL588" s="271"/>
      <c r="AM588" s="271"/>
      <c r="AN588" s="271"/>
    </row>
    <row r="589" spans="1:40" ht="12.75" customHeight="1">
      <c r="A589" s="278"/>
      <c r="B589" s="278"/>
      <c r="C589" s="278"/>
      <c r="D589" s="278"/>
      <c r="E589" s="278"/>
      <c r="F589" s="278"/>
      <c r="G589" s="278"/>
      <c r="H589" s="278"/>
      <c r="I589" s="278"/>
      <c r="J589" s="278"/>
      <c r="K589" s="278"/>
      <c r="L589" s="278"/>
      <c r="M589" s="278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  <c r="AA589" s="271"/>
      <c r="AB589" s="271"/>
      <c r="AC589" s="271"/>
      <c r="AD589" s="271"/>
      <c r="AE589" s="271"/>
      <c r="AF589" s="271"/>
      <c r="AG589" s="271"/>
      <c r="AH589" s="271"/>
      <c r="AI589" s="271"/>
      <c r="AJ589" s="271"/>
      <c r="AK589" s="271"/>
      <c r="AL589" s="271"/>
      <c r="AM589" s="271"/>
      <c r="AN589" s="271"/>
    </row>
    <row r="590" spans="1:40" ht="12.75" customHeight="1">
      <c r="A590" s="278"/>
      <c r="B590" s="278"/>
      <c r="C590" s="278"/>
      <c r="D590" s="278"/>
      <c r="E590" s="278"/>
      <c r="F590" s="278"/>
      <c r="G590" s="278"/>
      <c r="H590" s="278"/>
      <c r="I590" s="278"/>
      <c r="J590" s="278"/>
      <c r="K590" s="278"/>
      <c r="L590" s="278"/>
      <c r="M590" s="278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  <c r="AA590" s="271"/>
      <c r="AB590" s="271"/>
      <c r="AC590" s="271"/>
      <c r="AD590" s="271"/>
      <c r="AE590" s="271"/>
      <c r="AF590" s="271"/>
      <c r="AG590" s="271"/>
      <c r="AH590" s="271"/>
      <c r="AI590" s="271"/>
      <c r="AJ590" s="271"/>
      <c r="AK590" s="271"/>
      <c r="AL590" s="271"/>
      <c r="AM590" s="271"/>
      <c r="AN590" s="271"/>
    </row>
    <row r="591" spans="1:40" ht="12.75" customHeight="1">
      <c r="A591" s="278"/>
      <c r="B591" s="278"/>
      <c r="C591" s="278"/>
      <c r="D591" s="278"/>
      <c r="E591" s="278"/>
      <c r="F591" s="278"/>
      <c r="G591" s="278"/>
      <c r="H591" s="278"/>
      <c r="I591" s="278"/>
      <c r="J591" s="278"/>
      <c r="K591" s="278"/>
      <c r="L591" s="278"/>
      <c r="M591" s="278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  <c r="AA591" s="271"/>
      <c r="AB591" s="271"/>
      <c r="AC591" s="271"/>
      <c r="AD591" s="271"/>
      <c r="AE591" s="271"/>
      <c r="AF591" s="271"/>
      <c r="AG591" s="271"/>
      <c r="AH591" s="271"/>
      <c r="AI591" s="271"/>
      <c r="AJ591" s="271"/>
      <c r="AK591" s="271"/>
      <c r="AL591" s="271"/>
      <c r="AM591" s="271"/>
      <c r="AN591" s="271"/>
    </row>
    <row r="592" spans="1:40" ht="12.75" customHeight="1">
      <c r="A592" s="278"/>
      <c r="B592" s="278"/>
      <c r="C592" s="278"/>
      <c r="D592" s="278"/>
      <c r="E592" s="278"/>
      <c r="F592" s="278"/>
      <c r="G592" s="278"/>
      <c r="H592" s="278"/>
      <c r="I592" s="278"/>
      <c r="J592" s="278"/>
      <c r="K592" s="278"/>
      <c r="L592" s="278"/>
      <c r="M592" s="278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  <c r="AA592" s="271"/>
      <c r="AB592" s="271"/>
      <c r="AC592" s="271"/>
      <c r="AD592" s="271"/>
      <c r="AE592" s="271"/>
      <c r="AF592" s="271"/>
      <c r="AG592" s="271"/>
      <c r="AH592" s="271"/>
      <c r="AI592" s="271"/>
      <c r="AJ592" s="271"/>
      <c r="AK592" s="271"/>
      <c r="AL592" s="271"/>
      <c r="AM592" s="271"/>
      <c r="AN592" s="271"/>
    </row>
    <row r="593" spans="1:40" ht="12.75" customHeight="1">
      <c r="A593" s="278"/>
      <c r="B593" s="278"/>
      <c r="C593" s="278"/>
      <c r="D593" s="278"/>
      <c r="E593" s="278"/>
      <c r="F593" s="278"/>
      <c r="G593" s="278"/>
      <c r="H593" s="278"/>
      <c r="I593" s="278"/>
      <c r="J593" s="278"/>
      <c r="K593" s="278"/>
      <c r="L593" s="278"/>
      <c r="M593" s="278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  <c r="AA593" s="271"/>
      <c r="AB593" s="271"/>
      <c r="AC593" s="271"/>
      <c r="AD593" s="271"/>
      <c r="AE593" s="271"/>
      <c r="AF593" s="271"/>
      <c r="AG593" s="271"/>
      <c r="AH593" s="271"/>
      <c r="AI593" s="271"/>
      <c r="AJ593" s="271"/>
      <c r="AK593" s="271"/>
      <c r="AL593" s="271"/>
      <c r="AM593" s="271"/>
      <c r="AN593" s="271"/>
    </row>
    <row r="594" spans="1:40" ht="12.75" customHeight="1">
      <c r="A594" s="278"/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  <c r="M594" s="278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  <c r="AA594" s="271"/>
      <c r="AB594" s="271"/>
      <c r="AC594" s="271"/>
      <c r="AD594" s="271"/>
      <c r="AE594" s="271"/>
      <c r="AF594" s="271"/>
      <c r="AG594" s="271"/>
      <c r="AH594" s="271"/>
      <c r="AI594" s="271"/>
      <c r="AJ594" s="271"/>
      <c r="AK594" s="271"/>
      <c r="AL594" s="271"/>
      <c r="AM594" s="271"/>
      <c r="AN594" s="271"/>
    </row>
    <row r="595" spans="1:40" ht="12.75" customHeight="1">
      <c r="A595" s="278"/>
      <c r="B595" s="278"/>
      <c r="C595" s="278"/>
      <c r="D595" s="278"/>
      <c r="E595" s="278"/>
      <c r="F595" s="278"/>
      <c r="G595" s="278"/>
      <c r="H595" s="278"/>
      <c r="I595" s="278"/>
      <c r="J595" s="278"/>
      <c r="K595" s="278"/>
      <c r="L595" s="278"/>
      <c r="M595" s="278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  <c r="AA595" s="271"/>
      <c r="AB595" s="271"/>
      <c r="AC595" s="271"/>
      <c r="AD595" s="271"/>
      <c r="AE595" s="271"/>
      <c r="AF595" s="271"/>
      <c r="AG595" s="271"/>
      <c r="AH595" s="271"/>
      <c r="AI595" s="271"/>
      <c r="AJ595" s="271"/>
      <c r="AK595" s="271"/>
      <c r="AL595" s="271"/>
      <c r="AM595" s="271"/>
      <c r="AN595" s="271"/>
    </row>
    <row r="596" spans="1:40" ht="12.75" customHeight="1">
      <c r="A596" s="278"/>
      <c r="B596" s="278"/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  <c r="M596" s="278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  <c r="AA596" s="271"/>
      <c r="AB596" s="271"/>
      <c r="AC596" s="271"/>
      <c r="AD596" s="271"/>
      <c r="AE596" s="271"/>
      <c r="AF596" s="271"/>
      <c r="AG596" s="271"/>
      <c r="AH596" s="271"/>
      <c r="AI596" s="271"/>
      <c r="AJ596" s="271"/>
      <c r="AK596" s="271"/>
      <c r="AL596" s="271"/>
      <c r="AM596" s="271"/>
      <c r="AN596" s="271"/>
    </row>
    <row r="597" spans="1:40" ht="12.75" customHeight="1">
      <c r="A597" s="278"/>
      <c r="B597" s="278"/>
      <c r="C597" s="278"/>
      <c r="D597" s="278"/>
      <c r="E597" s="278"/>
      <c r="F597" s="278"/>
      <c r="G597" s="278"/>
      <c r="H597" s="278"/>
      <c r="I597" s="278"/>
      <c r="J597" s="278"/>
      <c r="K597" s="278"/>
      <c r="L597" s="278"/>
      <c r="M597" s="278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  <c r="AA597" s="271"/>
      <c r="AB597" s="271"/>
      <c r="AC597" s="271"/>
      <c r="AD597" s="271"/>
      <c r="AE597" s="271"/>
      <c r="AF597" s="271"/>
      <c r="AG597" s="271"/>
      <c r="AH597" s="271"/>
      <c r="AI597" s="271"/>
      <c r="AJ597" s="271"/>
      <c r="AK597" s="271"/>
      <c r="AL597" s="271"/>
      <c r="AM597" s="271"/>
      <c r="AN597" s="271"/>
    </row>
    <row r="598" spans="1:40" ht="12.75" customHeight="1">
      <c r="A598" s="278"/>
      <c r="B598" s="278"/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  <c r="M598" s="278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  <c r="AA598" s="271"/>
      <c r="AB598" s="271"/>
      <c r="AC598" s="271"/>
      <c r="AD598" s="271"/>
      <c r="AE598" s="271"/>
      <c r="AF598" s="271"/>
      <c r="AG598" s="271"/>
      <c r="AH598" s="271"/>
      <c r="AI598" s="271"/>
      <c r="AJ598" s="271"/>
      <c r="AK598" s="271"/>
      <c r="AL598" s="271"/>
      <c r="AM598" s="271"/>
      <c r="AN598" s="271"/>
    </row>
    <row r="599" spans="1:40" ht="12.75" customHeight="1">
      <c r="A599" s="278"/>
      <c r="B599" s="278"/>
      <c r="C599" s="278"/>
      <c r="D599" s="278"/>
      <c r="E599" s="278"/>
      <c r="F599" s="278"/>
      <c r="G599" s="278"/>
      <c r="H599" s="278"/>
      <c r="I599" s="278"/>
      <c r="J599" s="278"/>
      <c r="K599" s="278"/>
      <c r="L599" s="278"/>
      <c r="M599" s="278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  <c r="AA599" s="271"/>
      <c r="AB599" s="271"/>
      <c r="AC599" s="271"/>
      <c r="AD599" s="271"/>
      <c r="AE599" s="271"/>
      <c r="AF599" s="271"/>
      <c r="AG599" s="271"/>
      <c r="AH599" s="271"/>
      <c r="AI599" s="271"/>
      <c r="AJ599" s="271"/>
      <c r="AK599" s="271"/>
      <c r="AL599" s="271"/>
      <c r="AM599" s="271"/>
      <c r="AN599" s="271"/>
    </row>
    <row r="600" spans="1:40" ht="12.75" customHeight="1">
      <c r="A600" s="278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278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  <c r="AA600" s="271"/>
      <c r="AB600" s="271"/>
      <c r="AC600" s="271"/>
      <c r="AD600" s="271"/>
      <c r="AE600" s="271"/>
      <c r="AF600" s="271"/>
      <c r="AG600" s="271"/>
      <c r="AH600" s="271"/>
      <c r="AI600" s="271"/>
      <c r="AJ600" s="271"/>
      <c r="AK600" s="271"/>
      <c r="AL600" s="271"/>
      <c r="AM600" s="271"/>
      <c r="AN600" s="271"/>
    </row>
    <row r="601" spans="1:40" ht="12.75" customHeight="1">
      <c r="A601" s="278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278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  <c r="AA601" s="271"/>
      <c r="AB601" s="271"/>
      <c r="AC601" s="271"/>
      <c r="AD601" s="271"/>
      <c r="AE601" s="271"/>
      <c r="AF601" s="271"/>
      <c r="AG601" s="271"/>
      <c r="AH601" s="271"/>
      <c r="AI601" s="271"/>
      <c r="AJ601" s="271"/>
      <c r="AK601" s="271"/>
      <c r="AL601" s="271"/>
      <c r="AM601" s="271"/>
      <c r="AN601" s="271"/>
    </row>
    <row r="602" spans="1:40" ht="12.75" customHeight="1">
      <c r="A602" s="278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278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  <c r="AA602" s="271"/>
      <c r="AB602" s="271"/>
      <c r="AC602" s="271"/>
      <c r="AD602" s="271"/>
      <c r="AE602" s="271"/>
      <c r="AF602" s="271"/>
      <c r="AG602" s="271"/>
      <c r="AH602" s="271"/>
      <c r="AI602" s="271"/>
      <c r="AJ602" s="271"/>
      <c r="AK602" s="271"/>
      <c r="AL602" s="271"/>
      <c r="AM602" s="271"/>
      <c r="AN602" s="271"/>
    </row>
    <row r="603" spans="1:40" ht="12.75" customHeight="1">
      <c r="A603" s="278"/>
      <c r="B603" s="278"/>
      <c r="C603" s="278"/>
      <c r="D603" s="278"/>
      <c r="E603" s="278"/>
      <c r="F603" s="278"/>
      <c r="G603" s="278"/>
      <c r="H603" s="278"/>
      <c r="I603" s="278"/>
      <c r="J603" s="278"/>
      <c r="K603" s="278"/>
      <c r="L603" s="278"/>
      <c r="M603" s="278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  <c r="AA603" s="271"/>
      <c r="AB603" s="271"/>
      <c r="AC603" s="271"/>
      <c r="AD603" s="271"/>
      <c r="AE603" s="271"/>
      <c r="AF603" s="271"/>
      <c r="AG603" s="271"/>
      <c r="AH603" s="271"/>
      <c r="AI603" s="271"/>
      <c r="AJ603" s="271"/>
      <c r="AK603" s="271"/>
      <c r="AL603" s="271"/>
      <c r="AM603" s="271"/>
      <c r="AN603" s="271"/>
    </row>
    <row r="604" spans="1:40" ht="12.75" customHeight="1">
      <c r="A604" s="278"/>
      <c r="B604" s="278"/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  <c r="M604" s="278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  <c r="AA604" s="271"/>
      <c r="AB604" s="271"/>
      <c r="AC604" s="271"/>
      <c r="AD604" s="271"/>
      <c r="AE604" s="271"/>
      <c r="AF604" s="271"/>
      <c r="AG604" s="271"/>
      <c r="AH604" s="271"/>
      <c r="AI604" s="271"/>
      <c r="AJ604" s="271"/>
      <c r="AK604" s="271"/>
      <c r="AL604" s="271"/>
      <c r="AM604" s="271"/>
      <c r="AN604" s="271"/>
    </row>
    <row r="605" spans="1:40" ht="12.75" customHeight="1">
      <c r="A605" s="278"/>
      <c r="B605" s="278"/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  <c r="M605" s="278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  <c r="AA605" s="271"/>
      <c r="AB605" s="271"/>
      <c r="AC605" s="271"/>
      <c r="AD605" s="271"/>
      <c r="AE605" s="271"/>
      <c r="AF605" s="271"/>
      <c r="AG605" s="271"/>
      <c r="AH605" s="271"/>
      <c r="AI605" s="271"/>
      <c r="AJ605" s="271"/>
      <c r="AK605" s="271"/>
      <c r="AL605" s="271"/>
      <c r="AM605" s="271"/>
      <c r="AN605" s="271"/>
    </row>
    <row r="606" spans="1:40" ht="12.75" customHeight="1">
      <c r="A606" s="278"/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278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  <c r="AA606" s="271"/>
      <c r="AB606" s="271"/>
      <c r="AC606" s="271"/>
      <c r="AD606" s="271"/>
      <c r="AE606" s="271"/>
      <c r="AF606" s="271"/>
      <c r="AG606" s="271"/>
      <c r="AH606" s="271"/>
      <c r="AI606" s="271"/>
      <c r="AJ606" s="271"/>
      <c r="AK606" s="271"/>
      <c r="AL606" s="271"/>
      <c r="AM606" s="271"/>
      <c r="AN606" s="271"/>
    </row>
    <row r="607" spans="1:40" ht="12.75" customHeight="1">
      <c r="A607" s="278"/>
      <c r="B607" s="278"/>
      <c r="C607" s="278"/>
      <c r="D607" s="278"/>
      <c r="E607" s="278"/>
      <c r="F607" s="278"/>
      <c r="G607" s="278"/>
      <c r="H607" s="278"/>
      <c r="I607" s="278"/>
      <c r="J607" s="278"/>
      <c r="K607" s="278"/>
      <c r="L607" s="278"/>
      <c r="M607" s="278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  <c r="AA607" s="271"/>
      <c r="AB607" s="271"/>
      <c r="AC607" s="271"/>
      <c r="AD607" s="271"/>
      <c r="AE607" s="271"/>
      <c r="AF607" s="271"/>
      <c r="AG607" s="271"/>
      <c r="AH607" s="271"/>
      <c r="AI607" s="271"/>
      <c r="AJ607" s="271"/>
      <c r="AK607" s="271"/>
      <c r="AL607" s="271"/>
      <c r="AM607" s="271"/>
      <c r="AN607" s="271"/>
    </row>
    <row r="608" spans="1:40" ht="12.75" customHeight="1">
      <c r="A608" s="278"/>
      <c r="B608" s="278"/>
      <c r="C608" s="278"/>
      <c r="D608" s="278"/>
      <c r="E608" s="278"/>
      <c r="F608" s="278"/>
      <c r="G608" s="278"/>
      <c r="H608" s="278"/>
      <c r="I608" s="278"/>
      <c r="J608" s="278"/>
      <c r="K608" s="278"/>
      <c r="L608" s="278"/>
      <c r="M608" s="278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  <c r="AA608" s="271"/>
      <c r="AB608" s="271"/>
      <c r="AC608" s="271"/>
      <c r="AD608" s="271"/>
      <c r="AE608" s="271"/>
      <c r="AF608" s="271"/>
      <c r="AG608" s="271"/>
      <c r="AH608" s="271"/>
      <c r="AI608" s="271"/>
      <c r="AJ608" s="271"/>
      <c r="AK608" s="271"/>
      <c r="AL608" s="271"/>
      <c r="AM608" s="271"/>
      <c r="AN608" s="271"/>
    </row>
    <row r="609" spans="1:40" ht="12.75" customHeight="1">
      <c r="A609" s="278"/>
      <c r="B609" s="278"/>
      <c r="C609" s="278"/>
      <c r="D609" s="278"/>
      <c r="E609" s="278"/>
      <c r="F609" s="278"/>
      <c r="G609" s="278"/>
      <c r="H609" s="278"/>
      <c r="I609" s="278"/>
      <c r="J609" s="278"/>
      <c r="K609" s="278"/>
      <c r="L609" s="278"/>
      <c r="M609" s="278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  <c r="AA609" s="271"/>
      <c r="AB609" s="271"/>
      <c r="AC609" s="271"/>
      <c r="AD609" s="271"/>
      <c r="AE609" s="271"/>
      <c r="AF609" s="271"/>
      <c r="AG609" s="271"/>
      <c r="AH609" s="271"/>
      <c r="AI609" s="271"/>
      <c r="AJ609" s="271"/>
      <c r="AK609" s="271"/>
      <c r="AL609" s="271"/>
      <c r="AM609" s="271"/>
      <c r="AN609" s="271"/>
    </row>
    <row r="610" spans="1:40" ht="12.75" customHeight="1">
      <c r="A610" s="278"/>
      <c r="B610" s="278"/>
      <c r="C610" s="278"/>
      <c r="D610" s="278"/>
      <c r="E610" s="278"/>
      <c r="F610" s="278"/>
      <c r="G610" s="278"/>
      <c r="H610" s="278"/>
      <c r="I610" s="278"/>
      <c r="J610" s="278"/>
      <c r="K610" s="278"/>
      <c r="L610" s="278"/>
      <c r="M610" s="278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  <c r="AA610" s="271"/>
      <c r="AB610" s="271"/>
      <c r="AC610" s="271"/>
      <c r="AD610" s="271"/>
      <c r="AE610" s="271"/>
      <c r="AF610" s="271"/>
      <c r="AG610" s="271"/>
      <c r="AH610" s="271"/>
      <c r="AI610" s="271"/>
      <c r="AJ610" s="271"/>
      <c r="AK610" s="271"/>
      <c r="AL610" s="271"/>
      <c r="AM610" s="271"/>
      <c r="AN610" s="271"/>
    </row>
    <row r="611" spans="1:40" ht="12.75" customHeight="1">
      <c r="A611" s="278"/>
      <c r="B611" s="278"/>
      <c r="C611" s="278"/>
      <c r="D611" s="278"/>
      <c r="E611" s="278"/>
      <c r="F611" s="278"/>
      <c r="G611" s="278"/>
      <c r="H611" s="278"/>
      <c r="I611" s="278"/>
      <c r="J611" s="278"/>
      <c r="K611" s="278"/>
      <c r="L611" s="278"/>
      <c r="M611" s="278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  <c r="AA611" s="271"/>
      <c r="AB611" s="271"/>
      <c r="AC611" s="271"/>
      <c r="AD611" s="271"/>
      <c r="AE611" s="271"/>
      <c r="AF611" s="271"/>
      <c r="AG611" s="271"/>
      <c r="AH611" s="271"/>
      <c r="AI611" s="271"/>
      <c r="AJ611" s="271"/>
      <c r="AK611" s="271"/>
      <c r="AL611" s="271"/>
      <c r="AM611" s="271"/>
      <c r="AN611" s="271"/>
    </row>
    <row r="612" spans="1:40" ht="12.75" customHeight="1">
      <c r="A612" s="278"/>
      <c r="B612" s="278"/>
      <c r="C612" s="278"/>
      <c r="D612" s="278"/>
      <c r="E612" s="278"/>
      <c r="F612" s="278"/>
      <c r="G612" s="278"/>
      <c r="H612" s="278"/>
      <c r="I612" s="278"/>
      <c r="J612" s="278"/>
      <c r="K612" s="278"/>
      <c r="L612" s="278"/>
      <c r="M612" s="278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  <c r="AA612" s="271"/>
      <c r="AB612" s="271"/>
      <c r="AC612" s="271"/>
      <c r="AD612" s="271"/>
      <c r="AE612" s="271"/>
      <c r="AF612" s="271"/>
      <c r="AG612" s="271"/>
      <c r="AH612" s="271"/>
      <c r="AI612" s="271"/>
      <c r="AJ612" s="271"/>
      <c r="AK612" s="271"/>
      <c r="AL612" s="271"/>
      <c r="AM612" s="271"/>
      <c r="AN612" s="271"/>
    </row>
    <row r="613" spans="1:40" ht="12.75" customHeight="1">
      <c r="A613" s="278"/>
      <c r="B613" s="278"/>
      <c r="C613" s="278"/>
      <c r="D613" s="278"/>
      <c r="E613" s="278"/>
      <c r="F613" s="278"/>
      <c r="G613" s="278"/>
      <c r="H613" s="278"/>
      <c r="I613" s="278"/>
      <c r="J613" s="278"/>
      <c r="K613" s="278"/>
      <c r="L613" s="278"/>
      <c r="M613" s="278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  <c r="AA613" s="271"/>
      <c r="AB613" s="271"/>
      <c r="AC613" s="271"/>
      <c r="AD613" s="271"/>
      <c r="AE613" s="271"/>
      <c r="AF613" s="271"/>
      <c r="AG613" s="271"/>
      <c r="AH613" s="271"/>
      <c r="AI613" s="271"/>
      <c r="AJ613" s="271"/>
      <c r="AK613" s="271"/>
      <c r="AL613" s="271"/>
      <c r="AM613" s="271"/>
      <c r="AN613" s="271"/>
    </row>
    <row r="614" spans="1:40" ht="12.75" customHeight="1">
      <c r="A614" s="278"/>
      <c r="B614" s="278"/>
      <c r="C614" s="278"/>
      <c r="D614" s="278"/>
      <c r="E614" s="278"/>
      <c r="F614" s="278"/>
      <c r="G614" s="278"/>
      <c r="H614" s="278"/>
      <c r="I614" s="278"/>
      <c r="J614" s="278"/>
      <c r="K614" s="278"/>
      <c r="L614" s="278"/>
      <c r="M614" s="278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  <c r="AA614" s="271"/>
      <c r="AB614" s="271"/>
      <c r="AC614" s="271"/>
      <c r="AD614" s="271"/>
      <c r="AE614" s="271"/>
      <c r="AF614" s="271"/>
      <c r="AG614" s="271"/>
      <c r="AH614" s="271"/>
      <c r="AI614" s="271"/>
      <c r="AJ614" s="271"/>
      <c r="AK614" s="271"/>
      <c r="AL614" s="271"/>
      <c r="AM614" s="271"/>
      <c r="AN614" s="271"/>
    </row>
    <row r="615" spans="1:40" ht="12.75" customHeight="1">
      <c r="A615" s="278"/>
      <c r="B615" s="278"/>
      <c r="C615" s="278"/>
      <c r="D615" s="278"/>
      <c r="E615" s="278"/>
      <c r="F615" s="278"/>
      <c r="G615" s="278"/>
      <c r="H615" s="278"/>
      <c r="I615" s="278"/>
      <c r="J615" s="278"/>
      <c r="K615" s="278"/>
      <c r="L615" s="278"/>
      <c r="M615" s="278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  <c r="AA615" s="271"/>
      <c r="AB615" s="271"/>
      <c r="AC615" s="271"/>
      <c r="AD615" s="271"/>
      <c r="AE615" s="271"/>
      <c r="AF615" s="271"/>
      <c r="AG615" s="271"/>
      <c r="AH615" s="271"/>
      <c r="AI615" s="271"/>
      <c r="AJ615" s="271"/>
      <c r="AK615" s="271"/>
      <c r="AL615" s="271"/>
      <c r="AM615" s="271"/>
      <c r="AN615" s="271"/>
    </row>
    <row r="616" spans="1:40" ht="12.75" customHeight="1">
      <c r="A616" s="278"/>
      <c r="B616" s="278"/>
      <c r="C616" s="278"/>
      <c r="D616" s="278"/>
      <c r="E616" s="278"/>
      <c r="F616" s="278"/>
      <c r="G616" s="278"/>
      <c r="H616" s="278"/>
      <c r="I616" s="278"/>
      <c r="J616" s="278"/>
      <c r="K616" s="278"/>
      <c r="L616" s="278"/>
      <c r="M616" s="278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  <c r="AA616" s="271"/>
      <c r="AB616" s="271"/>
      <c r="AC616" s="271"/>
      <c r="AD616" s="271"/>
      <c r="AE616" s="271"/>
      <c r="AF616" s="271"/>
      <c r="AG616" s="271"/>
      <c r="AH616" s="271"/>
      <c r="AI616" s="271"/>
      <c r="AJ616" s="271"/>
      <c r="AK616" s="271"/>
      <c r="AL616" s="271"/>
      <c r="AM616" s="271"/>
      <c r="AN616" s="271"/>
    </row>
    <row r="617" spans="1:40" ht="12.75" customHeight="1">
      <c r="A617" s="278"/>
      <c r="B617" s="278"/>
      <c r="C617" s="278"/>
      <c r="D617" s="278"/>
      <c r="E617" s="278"/>
      <c r="F617" s="278"/>
      <c r="G617" s="278"/>
      <c r="H617" s="278"/>
      <c r="I617" s="278"/>
      <c r="J617" s="278"/>
      <c r="K617" s="278"/>
      <c r="L617" s="278"/>
      <c r="M617" s="278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  <c r="AA617" s="271"/>
      <c r="AB617" s="271"/>
      <c r="AC617" s="271"/>
      <c r="AD617" s="271"/>
      <c r="AE617" s="271"/>
      <c r="AF617" s="271"/>
      <c r="AG617" s="271"/>
      <c r="AH617" s="271"/>
      <c r="AI617" s="271"/>
      <c r="AJ617" s="271"/>
      <c r="AK617" s="271"/>
      <c r="AL617" s="271"/>
      <c r="AM617" s="271"/>
      <c r="AN617" s="271"/>
    </row>
    <row r="618" spans="1:40" ht="12.75" customHeight="1">
      <c r="A618" s="278"/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278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  <c r="AA618" s="271"/>
      <c r="AB618" s="271"/>
      <c r="AC618" s="271"/>
      <c r="AD618" s="271"/>
      <c r="AE618" s="271"/>
      <c r="AF618" s="271"/>
      <c r="AG618" s="271"/>
      <c r="AH618" s="271"/>
      <c r="AI618" s="271"/>
      <c r="AJ618" s="271"/>
      <c r="AK618" s="271"/>
      <c r="AL618" s="271"/>
      <c r="AM618" s="271"/>
      <c r="AN618" s="271"/>
    </row>
    <row r="619" spans="1:40" ht="12.75" customHeight="1">
      <c r="A619" s="278"/>
      <c r="B619" s="278"/>
      <c r="C619" s="278"/>
      <c r="D619" s="278"/>
      <c r="E619" s="278"/>
      <c r="F619" s="278"/>
      <c r="G619" s="278"/>
      <c r="H619" s="278"/>
      <c r="I619" s="278"/>
      <c r="J619" s="278"/>
      <c r="K619" s="278"/>
      <c r="L619" s="278"/>
      <c r="M619" s="278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  <c r="AA619" s="271"/>
      <c r="AB619" s="271"/>
      <c r="AC619" s="271"/>
      <c r="AD619" s="271"/>
      <c r="AE619" s="271"/>
      <c r="AF619" s="271"/>
      <c r="AG619" s="271"/>
      <c r="AH619" s="271"/>
      <c r="AI619" s="271"/>
      <c r="AJ619" s="271"/>
      <c r="AK619" s="271"/>
      <c r="AL619" s="271"/>
      <c r="AM619" s="271"/>
      <c r="AN619" s="271"/>
    </row>
    <row r="620" spans="1:40" ht="12.75" customHeight="1">
      <c r="A620" s="278"/>
      <c r="B620" s="278"/>
      <c r="C620" s="278"/>
      <c r="D620" s="278"/>
      <c r="E620" s="278"/>
      <c r="F620" s="278"/>
      <c r="G620" s="278"/>
      <c r="H620" s="278"/>
      <c r="I620" s="278"/>
      <c r="J620" s="278"/>
      <c r="K620" s="278"/>
      <c r="L620" s="278"/>
      <c r="M620" s="278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  <c r="AA620" s="271"/>
      <c r="AB620" s="271"/>
      <c r="AC620" s="271"/>
      <c r="AD620" s="271"/>
      <c r="AE620" s="271"/>
      <c r="AF620" s="271"/>
      <c r="AG620" s="271"/>
      <c r="AH620" s="271"/>
      <c r="AI620" s="271"/>
      <c r="AJ620" s="271"/>
      <c r="AK620" s="271"/>
      <c r="AL620" s="271"/>
      <c r="AM620" s="271"/>
      <c r="AN620" s="271"/>
    </row>
    <row r="621" spans="1:40" ht="12.75" customHeight="1">
      <c r="A621" s="278"/>
      <c r="B621" s="278"/>
      <c r="C621" s="278"/>
      <c r="D621" s="278"/>
      <c r="E621" s="278"/>
      <c r="F621" s="278"/>
      <c r="G621" s="278"/>
      <c r="H621" s="278"/>
      <c r="I621" s="278"/>
      <c r="J621" s="278"/>
      <c r="K621" s="278"/>
      <c r="L621" s="278"/>
      <c r="M621" s="278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  <c r="AA621" s="271"/>
      <c r="AB621" s="271"/>
      <c r="AC621" s="271"/>
      <c r="AD621" s="271"/>
      <c r="AE621" s="271"/>
      <c r="AF621" s="271"/>
      <c r="AG621" s="271"/>
      <c r="AH621" s="271"/>
      <c r="AI621" s="271"/>
      <c r="AJ621" s="271"/>
      <c r="AK621" s="271"/>
      <c r="AL621" s="271"/>
      <c r="AM621" s="271"/>
      <c r="AN621" s="271"/>
    </row>
    <row r="622" spans="1:40" ht="12.75" customHeight="1">
      <c r="A622" s="278"/>
      <c r="B622" s="278"/>
      <c r="C622" s="278"/>
      <c r="D622" s="278"/>
      <c r="E622" s="278"/>
      <c r="F622" s="278"/>
      <c r="G622" s="278"/>
      <c r="H622" s="278"/>
      <c r="I622" s="278"/>
      <c r="J622" s="278"/>
      <c r="K622" s="278"/>
      <c r="L622" s="278"/>
      <c r="M622" s="278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  <c r="AA622" s="271"/>
      <c r="AB622" s="271"/>
      <c r="AC622" s="271"/>
      <c r="AD622" s="271"/>
      <c r="AE622" s="271"/>
      <c r="AF622" s="271"/>
      <c r="AG622" s="271"/>
      <c r="AH622" s="271"/>
      <c r="AI622" s="271"/>
      <c r="AJ622" s="271"/>
      <c r="AK622" s="271"/>
      <c r="AL622" s="271"/>
      <c r="AM622" s="271"/>
      <c r="AN622" s="271"/>
    </row>
    <row r="623" spans="1:40" ht="12.75" customHeight="1">
      <c r="A623" s="278"/>
      <c r="B623" s="278"/>
      <c r="C623" s="278"/>
      <c r="D623" s="278"/>
      <c r="E623" s="278"/>
      <c r="F623" s="278"/>
      <c r="G623" s="278"/>
      <c r="H623" s="278"/>
      <c r="I623" s="278"/>
      <c r="J623" s="278"/>
      <c r="K623" s="278"/>
      <c r="L623" s="278"/>
      <c r="M623" s="278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  <c r="AA623" s="271"/>
      <c r="AB623" s="271"/>
      <c r="AC623" s="271"/>
      <c r="AD623" s="271"/>
      <c r="AE623" s="271"/>
      <c r="AF623" s="271"/>
      <c r="AG623" s="271"/>
      <c r="AH623" s="271"/>
      <c r="AI623" s="271"/>
      <c r="AJ623" s="271"/>
      <c r="AK623" s="271"/>
      <c r="AL623" s="271"/>
      <c r="AM623" s="271"/>
      <c r="AN623" s="271"/>
    </row>
    <row r="624" spans="1:40" ht="12.75" customHeight="1">
      <c r="A624" s="278"/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278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  <c r="AA624" s="271"/>
      <c r="AB624" s="271"/>
      <c r="AC624" s="271"/>
      <c r="AD624" s="271"/>
      <c r="AE624" s="271"/>
      <c r="AF624" s="271"/>
      <c r="AG624" s="271"/>
      <c r="AH624" s="271"/>
      <c r="AI624" s="271"/>
      <c r="AJ624" s="271"/>
      <c r="AK624" s="271"/>
      <c r="AL624" s="271"/>
      <c r="AM624" s="271"/>
      <c r="AN624" s="271"/>
    </row>
    <row r="625" spans="1:40" ht="12.75" customHeight="1">
      <c r="A625" s="278"/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  <c r="M625" s="278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  <c r="AA625" s="271"/>
      <c r="AB625" s="271"/>
      <c r="AC625" s="271"/>
      <c r="AD625" s="271"/>
      <c r="AE625" s="271"/>
      <c r="AF625" s="271"/>
      <c r="AG625" s="271"/>
      <c r="AH625" s="271"/>
      <c r="AI625" s="271"/>
      <c r="AJ625" s="271"/>
      <c r="AK625" s="271"/>
      <c r="AL625" s="271"/>
      <c r="AM625" s="271"/>
      <c r="AN625" s="271"/>
    </row>
    <row r="626" spans="1:40" ht="12.75" customHeight="1">
      <c r="A626" s="278"/>
      <c r="B626" s="278"/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  <c r="M626" s="278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  <c r="AA626" s="271"/>
      <c r="AB626" s="271"/>
      <c r="AC626" s="271"/>
      <c r="AD626" s="271"/>
      <c r="AE626" s="271"/>
      <c r="AF626" s="271"/>
      <c r="AG626" s="271"/>
      <c r="AH626" s="271"/>
      <c r="AI626" s="271"/>
      <c r="AJ626" s="271"/>
      <c r="AK626" s="271"/>
      <c r="AL626" s="271"/>
      <c r="AM626" s="271"/>
      <c r="AN626" s="271"/>
    </row>
    <row r="627" spans="1:40" ht="12.75" customHeight="1">
      <c r="A627" s="278"/>
      <c r="B627" s="278"/>
      <c r="C627" s="278"/>
      <c r="D627" s="278"/>
      <c r="E627" s="278"/>
      <c r="F627" s="278"/>
      <c r="G627" s="278"/>
      <c r="H627" s="278"/>
      <c r="I627" s="278"/>
      <c r="J627" s="278"/>
      <c r="K627" s="278"/>
      <c r="L627" s="278"/>
      <c r="M627" s="278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  <c r="AA627" s="271"/>
      <c r="AB627" s="271"/>
      <c r="AC627" s="271"/>
      <c r="AD627" s="271"/>
      <c r="AE627" s="271"/>
      <c r="AF627" s="271"/>
      <c r="AG627" s="271"/>
      <c r="AH627" s="271"/>
      <c r="AI627" s="271"/>
      <c r="AJ627" s="271"/>
      <c r="AK627" s="271"/>
      <c r="AL627" s="271"/>
      <c r="AM627" s="271"/>
      <c r="AN627" s="271"/>
    </row>
    <row r="628" spans="1:40" ht="12.75" customHeight="1">
      <c r="A628" s="278"/>
      <c r="B628" s="278"/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  <c r="M628" s="278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  <c r="AA628" s="271"/>
      <c r="AB628" s="271"/>
      <c r="AC628" s="271"/>
      <c r="AD628" s="271"/>
      <c r="AE628" s="271"/>
      <c r="AF628" s="271"/>
      <c r="AG628" s="271"/>
      <c r="AH628" s="271"/>
      <c r="AI628" s="271"/>
      <c r="AJ628" s="271"/>
      <c r="AK628" s="271"/>
      <c r="AL628" s="271"/>
      <c r="AM628" s="271"/>
      <c r="AN628" s="271"/>
    </row>
    <row r="629" spans="1:40" ht="12.75" customHeight="1">
      <c r="A629" s="278"/>
      <c r="B629" s="278"/>
      <c r="C629" s="278"/>
      <c r="D629" s="278"/>
      <c r="E629" s="278"/>
      <c r="F629" s="278"/>
      <c r="G629" s="278"/>
      <c r="H629" s="278"/>
      <c r="I629" s="278"/>
      <c r="J629" s="278"/>
      <c r="K629" s="278"/>
      <c r="L629" s="278"/>
      <c r="M629" s="278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  <c r="AA629" s="271"/>
      <c r="AB629" s="271"/>
      <c r="AC629" s="271"/>
      <c r="AD629" s="271"/>
      <c r="AE629" s="271"/>
      <c r="AF629" s="271"/>
      <c r="AG629" s="271"/>
      <c r="AH629" s="271"/>
      <c r="AI629" s="271"/>
      <c r="AJ629" s="271"/>
      <c r="AK629" s="271"/>
      <c r="AL629" s="271"/>
      <c r="AM629" s="271"/>
      <c r="AN629" s="271"/>
    </row>
    <row r="630" spans="1:40" ht="12.75" customHeight="1">
      <c r="A630" s="278"/>
      <c r="B630" s="278"/>
      <c r="C630" s="278"/>
      <c r="D630" s="278"/>
      <c r="E630" s="278"/>
      <c r="F630" s="278"/>
      <c r="G630" s="278"/>
      <c r="H630" s="278"/>
      <c r="I630" s="278"/>
      <c r="J630" s="278"/>
      <c r="K630" s="278"/>
      <c r="L630" s="278"/>
      <c r="M630" s="278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  <c r="AA630" s="271"/>
      <c r="AB630" s="271"/>
      <c r="AC630" s="271"/>
      <c r="AD630" s="271"/>
      <c r="AE630" s="271"/>
      <c r="AF630" s="271"/>
      <c r="AG630" s="271"/>
      <c r="AH630" s="271"/>
      <c r="AI630" s="271"/>
      <c r="AJ630" s="271"/>
      <c r="AK630" s="271"/>
      <c r="AL630" s="271"/>
      <c r="AM630" s="271"/>
      <c r="AN630" s="271"/>
    </row>
    <row r="631" spans="1:40" ht="12.75" customHeight="1">
      <c r="A631" s="278"/>
      <c r="B631" s="278"/>
      <c r="C631" s="278"/>
      <c r="D631" s="278"/>
      <c r="E631" s="278"/>
      <c r="F631" s="278"/>
      <c r="G631" s="278"/>
      <c r="H631" s="278"/>
      <c r="I631" s="278"/>
      <c r="J631" s="278"/>
      <c r="K631" s="278"/>
      <c r="L631" s="278"/>
      <c r="M631" s="278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  <c r="AA631" s="271"/>
      <c r="AB631" s="271"/>
      <c r="AC631" s="271"/>
      <c r="AD631" s="271"/>
      <c r="AE631" s="271"/>
      <c r="AF631" s="271"/>
      <c r="AG631" s="271"/>
      <c r="AH631" s="271"/>
      <c r="AI631" s="271"/>
      <c r="AJ631" s="271"/>
      <c r="AK631" s="271"/>
      <c r="AL631" s="271"/>
      <c r="AM631" s="271"/>
      <c r="AN631" s="271"/>
    </row>
    <row r="632" spans="1:40" ht="12.75" customHeight="1">
      <c r="A632" s="278"/>
      <c r="B632" s="278"/>
      <c r="C632" s="278"/>
      <c r="D632" s="278"/>
      <c r="E632" s="278"/>
      <c r="F632" s="278"/>
      <c r="G632" s="278"/>
      <c r="H632" s="278"/>
      <c r="I632" s="278"/>
      <c r="J632" s="278"/>
      <c r="K632" s="278"/>
      <c r="L632" s="278"/>
      <c r="M632" s="278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  <c r="AA632" s="271"/>
      <c r="AB632" s="271"/>
      <c r="AC632" s="271"/>
      <c r="AD632" s="271"/>
      <c r="AE632" s="271"/>
      <c r="AF632" s="271"/>
      <c r="AG632" s="271"/>
      <c r="AH632" s="271"/>
      <c r="AI632" s="271"/>
      <c r="AJ632" s="271"/>
      <c r="AK632" s="271"/>
      <c r="AL632" s="271"/>
      <c r="AM632" s="271"/>
      <c r="AN632" s="271"/>
    </row>
    <row r="633" spans="1:40" ht="12.75" customHeight="1">
      <c r="A633" s="278"/>
      <c r="B633" s="278"/>
      <c r="C633" s="278"/>
      <c r="D633" s="278"/>
      <c r="E633" s="278"/>
      <c r="F633" s="278"/>
      <c r="G633" s="278"/>
      <c r="H633" s="278"/>
      <c r="I633" s="278"/>
      <c r="J633" s="278"/>
      <c r="K633" s="278"/>
      <c r="L633" s="278"/>
      <c r="M633" s="278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  <c r="AA633" s="271"/>
      <c r="AB633" s="271"/>
      <c r="AC633" s="271"/>
      <c r="AD633" s="271"/>
      <c r="AE633" s="271"/>
      <c r="AF633" s="271"/>
      <c r="AG633" s="271"/>
      <c r="AH633" s="271"/>
      <c r="AI633" s="271"/>
      <c r="AJ633" s="271"/>
      <c r="AK633" s="271"/>
      <c r="AL633" s="271"/>
      <c r="AM633" s="271"/>
      <c r="AN633" s="271"/>
    </row>
    <row r="634" spans="1:40" ht="12.75" customHeight="1">
      <c r="A634" s="278"/>
      <c r="B634" s="278"/>
      <c r="C634" s="278"/>
      <c r="D634" s="278"/>
      <c r="E634" s="278"/>
      <c r="F634" s="278"/>
      <c r="G634" s="278"/>
      <c r="H634" s="278"/>
      <c r="I634" s="278"/>
      <c r="J634" s="278"/>
      <c r="K634" s="278"/>
      <c r="L634" s="278"/>
      <c r="M634" s="278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  <c r="AA634" s="271"/>
      <c r="AB634" s="271"/>
      <c r="AC634" s="271"/>
      <c r="AD634" s="271"/>
      <c r="AE634" s="271"/>
      <c r="AF634" s="271"/>
      <c r="AG634" s="271"/>
      <c r="AH634" s="271"/>
      <c r="AI634" s="271"/>
      <c r="AJ634" s="271"/>
      <c r="AK634" s="271"/>
      <c r="AL634" s="271"/>
      <c r="AM634" s="271"/>
      <c r="AN634" s="271"/>
    </row>
    <row r="635" spans="1:40" ht="12.75" customHeight="1">
      <c r="A635" s="278"/>
      <c r="B635" s="278"/>
      <c r="C635" s="278"/>
      <c r="D635" s="278"/>
      <c r="E635" s="278"/>
      <c r="F635" s="278"/>
      <c r="G635" s="278"/>
      <c r="H635" s="278"/>
      <c r="I635" s="278"/>
      <c r="J635" s="278"/>
      <c r="K635" s="278"/>
      <c r="L635" s="278"/>
      <c r="M635" s="278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  <c r="AA635" s="271"/>
      <c r="AB635" s="271"/>
      <c r="AC635" s="271"/>
      <c r="AD635" s="271"/>
      <c r="AE635" s="271"/>
      <c r="AF635" s="271"/>
      <c r="AG635" s="271"/>
      <c r="AH635" s="271"/>
      <c r="AI635" s="271"/>
      <c r="AJ635" s="271"/>
      <c r="AK635" s="271"/>
      <c r="AL635" s="271"/>
      <c r="AM635" s="271"/>
      <c r="AN635" s="271"/>
    </row>
    <row r="636" spans="1:40" ht="12.75" customHeight="1">
      <c r="A636" s="278"/>
      <c r="B636" s="278"/>
      <c r="C636" s="278"/>
      <c r="D636" s="278"/>
      <c r="E636" s="278"/>
      <c r="F636" s="278"/>
      <c r="G636" s="278"/>
      <c r="H636" s="278"/>
      <c r="I636" s="278"/>
      <c r="J636" s="278"/>
      <c r="K636" s="278"/>
      <c r="L636" s="278"/>
      <c r="M636" s="278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  <c r="AA636" s="271"/>
      <c r="AB636" s="271"/>
      <c r="AC636" s="271"/>
      <c r="AD636" s="271"/>
      <c r="AE636" s="271"/>
      <c r="AF636" s="271"/>
      <c r="AG636" s="271"/>
      <c r="AH636" s="271"/>
      <c r="AI636" s="271"/>
      <c r="AJ636" s="271"/>
      <c r="AK636" s="271"/>
      <c r="AL636" s="271"/>
      <c r="AM636" s="271"/>
      <c r="AN636" s="271"/>
    </row>
    <row r="637" spans="1:40" ht="12.75" customHeight="1">
      <c r="A637" s="278"/>
      <c r="B637" s="278"/>
      <c r="C637" s="278"/>
      <c r="D637" s="278"/>
      <c r="E637" s="278"/>
      <c r="F637" s="278"/>
      <c r="G637" s="278"/>
      <c r="H637" s="278"/>
      <c r="I637" s="278"/>
      <c r="J637" s="278"/>
      <c r="K637" s="278"/>
      <c r="L637" s="278"/>
      <c r="M637" s="278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  <c r="AA637" s="271"/>
      <c r="AB637" s="271"/>
      <c r="AC637" s="271"/>
      <c r="AD637" s="271"/>
      <c r="AE637" s="271"/>
      <c r="AF637" s="271"/>
      <c r="AG637" s="271"/>
      <c r="AH637" s="271"/>
      <c r="AI637" s="271"/>
      <c r="AJ637" s="271"/>
      <c r="AK637" s="271"/>
      <c r="AL637" s="271"/>
      <c r="AM637" s="271"/>
      <c r="AN637" s="271"/>
    </row>
    <row r="638" spans="1:40" ht="12.75" customHeight="1">
      <c r="A638" s="278"/>
      <c r="B638" s="278"/>
      <c r="C638" s="278"/>
      <c r="D638" s="278"/>
      <c r="E638" s="278"/>
      <c r="F638" s="278"/>
      <c r="G638" s="278"/>
      <c r="H638" s="278"/>
      <c r="I638" s="278"/>
      <c r="J638" s="278"/>
      <c r="K638" s="278"/>
      <c r="L638" s="278"/>
      <c r="M638" s="278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  <c r="AA638" s="271"/>
      <c r="AB638" s="271"/>
      <c r="AC638" s="271"/>
      <c r="AD638" s="271"/>
      <c r="AE638" s="271"/>
      <c r="AF638" s="271"/>
      <c r="AG638" s="271"/>
      <c r="AH638" s="271"/>
      <c r="AI638" s="271"/>
      <c r="AJ638" s="271"/>
      <c r="AK638" s="271"/>
      <c r="AL638" s="271"/>
      <c r="AM638" s="271"/>
      <c r="AN638" s="271"/>
    </row>
    <row r="639" spans="1:40" ht="12.75" customHeight="1">
      <c r="A639" s="278"/>
      <c r="B639" s="278"/>
      <c r="C639" s="278"/>
      <c r="D639" s="278"/>
      <c r="E639" s="278"/>
      <c r="F639" s="278"/>
      <c r="G639" s="278"/>
      <c r="H639" s="278"/>
      <c r="I639" s="278"/>
      <c r="J639" s="278"/>
      <c r="K639" s="278"/>
      <c r="L639" s="278"/>
      <c r="M639" s="278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  <c r="AA639" s="271"/>
      <c r="AB639" s="271"/>
      <c r="AC639" s="271"/>
      <c r="AD639" s="271"/>
      <c r="AE639" s="271"/>
      <c r="AF639" s="271"/>
      <c r="AG639" s="271"/>
      <c r="AH639" s="271"/>
      <c r="AI639" s="271"/>
      <c r="AJ639" s="271"/>
      <c r="AK639" s="271"/>
      <c r="AL639" s="271"/>
      <c r="AM639" s="271"/>
      <c r="AN639" s="271"/>
    </row>
    <row r="640" spans="1:40" ht="12.75" customHeight="1">
      <c r="A640" s="278"/>
      <c r="B640" s="278"/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  <c r="M640" s="278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  <c r="AA640" s="271"/>
      <c r="AB640" s="271"/>
      <c r="AC640" s="271"/>
      <c r="AD640" s="271"/>
      <c r="AE640" s="271"/>
      <c r="AF640" s="271"/>
      <c r="AG640" s="271"/>
      <c r="AH640" s="271"/>
      <c r="AI640" s="271"/>
      <c r="AJ640" s="271"/>
      <c r="AK640" s="271"/>
      <c r="AL640" s="271"/>
      <c r="AM640" s="271"/>
      <c r="AN640" s="271"/>
    </row>
    <row r="641" spans="1:40" ht="12.75" customHeight="1">
      <c r="A641" s="278"/>
      <c r="B641" s="278"/>
      <c r="C641" s="278"/>
      <c r="D641" s="278"/>
      <c r="E641" s="278"/>
      <c r="F641" s="278"/>
      <c r="G641" s="278"/>
      <c r="H641" s="278"/>
      <c r="I641" s="278"/>
      <c r="J641" s="278"/>
      <c r="K641" s="278"/>
      <c r="L641" s="278"/>
      <c r="M641" s="278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  <c r="AA641" s="271"/>
      <c r="AB641" s="271"/>
      <c r="AC641" s="271"/>
      <c r="AD641" s="271"/>
      <c r="AE641" s="271"/>
      <c r="AF641" s="271"/>
      <c r="AG641" s="271"/>
      <c r="AH641" s="271"/>
      <c r="AI641" s="271"/>
      <c r="AJ641" s="271"/>
      <c r="AK641" s="271"/>
      <c r="AL641" s="271"/>
      <c r="AM641" s="271"/>
      <c r="AN641" s="271"/>
    </row>
    <row r="642" spans="1:40" ht="12.75" customHeight="1">
      <c r="A642" s="278"/>
      <c r="B642" s="278"/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  <c r="M642" s="278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  <c r="AA642" s="271"/>
      <c r="AB642" s="271"/>
      <c r="AC642" s="271"/>
      <c r="AD642" s="271"/>
      <c r="AE642" s="271"/>
      <c r="AF642" s="271"/>
      <c r="AG642" s="271"/>
      <c r="AH642" s="271"/>
      <c r="AI642" s="271"/>
      <c r="AJ642" s="271"/>
      <c r="AK642" s="271"/>
      <c r="AL642" s="271"/>
      <c r="AM642" s="271"/>
      <c r="AN642" s="271"/>
    </row>
    <row r="643" spans="1:40" ht="12.75" customHeight="1">
      <c r="A643" s="278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  <c r="AA643" s="271"/>
      <c r="AB643" s="271"/>
      <c r="AC643" s="271"/>
      <c r="AD643" s="271"/>
      <c r="AE643" s="271"/>
      <c r="AF643" s="271"/>
      <c r="AG643" s="271"/>
      <c r="AH643" s="271"/>
      <c r="AI643" s="271"/>
      <c r="AJ643" s="271"/>
      <c r="AK643" s="271"/>
      <c r="AL643" s="271"/>
      <c r="AM643" s="271"/>
      <c r="AN643" s="271"/>
    </row>
    <row r="644" spans="1:40" ht="12.75" customHeight="1">
      <c r="A644" s="278"/>
      <c r="B644" s="278"/>
      <c r="C644" s="278"/>
      <c r="D644" s="278"/>
      <c r="E644" s="278"/>
      <c r="F644" s="278"/>
      <c r="G644" s="278"/>
      <c r="H644" s="278"/>
      <c r="I644" s="278"/>
      <c r="J644" s="278"/>
      <c r="K644" s="278"/>
      <c r="L644" s="278"/>
      <c r="M644" s="278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  <c r="AA644" s="271"/>
      <c r="AB644" s="271"/>
      <c r="AC644" s="271"/>
      <c r="AD644" s="271"/>
      <c r="AE644" s="271"/>
      <c r="AF644" s="271"/>
      <c r="AG644" s="271"/>
      <c r="AH644" s="271"/>
      <c r="AI644" s="271"/>
      <c r="AJ644" s="271"/>
      <c r="AK644" s="271"/>
      <c r="AL644" s="271"/>
      <c r="AM644" s="271"/>
      <c r="AN644" s="271"/>
    </row>
    <row r="645" spans="1:40" ht="12.75" customHeight="1">
      <c r="A645" s="278"/>
      <c r="B645" s="278"/>
      <c r="C645" s="278"/>
      <c r="D645" s="278"/>
      <c r="E645" s="278"/>
      <c r="F645" s="278"/>
      <c r="G645" s="278"/>
      <c r="H645" s="278"/>
      <c r="I645" s="278"/>
      <c r="J645" s="278"/>
      <c r="K645" s="278"/>
      <c r="L645" s="278"/>
      <c r="M645" s="278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  <c r="AA645" s="271"/>
      <c r="AB645" s="271"/>
      <c r="AC645" s="271"/>
      <c r="AD645" s="271"/>
      <c r="AE645" s="271"/>
      <c r="AF645" s="271"/>
      <c r="AG645" s="271"/>
      <c r="AH645" s="271"/>
      <c r="AI645" s="271"/>
      <c r="AJ645" s="271"/>
      <c r="AK645" s="271"/>
      <c r="AL645" s="271"/>
      <c r="AM645" s="271"/>
      <c r="AN645" s="271"/>
    </row>
    <row r="646" spans="1:40" ht="12.75" customHeight="1">
      <c r="A646" s="278"/>
      <c r="B646" s="278"/>
      <c r="C646" s="278"/>
      <c r="D646" s="278"/>
      <c r="E646" s="278"/>
      <c r="F646" s="278"/>
      <c r="G646" s="278"/>
      <c r="H646" s="278"/>
      <c r="I646" s="278"/>
      <c r="J646" s="278"/>
      <c r="K646" s="278"/>
      <c r="L646" s="278"/>
      <c r="M646" s="278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  <c r="AA646" s="271"/>
      <c r="AB646" s="271"/>
      <c r="AC646" s="271"/>
      <c r="AD646" s="271"/>
      <c r="AE646" s="271"/>
      <c r="AF646" s="271"/>
      <c r="AG646" s="271"/>
      <c r="AH646" s="271"/>
      <c r="AI646" s="271"/>
      <c r="AJ646" s="271"/>
      <c r="AK646" s="271"/>
      <c r="AL646" s="271"/>
      <c r="AM646" s="271"/>
      <c r="AN646" s="271"/>
    </row>
    <row r="647" spans="1:40" ht="12.75" customHeight="1">
      <c r="A647" s="278"/>
      <c r="B647" s="278"/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  <c r="M647" s="278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  <c r="AA647" s="271"/>
      <c r="AB647" s="271"/>
      <c r="AC647" s="271"/>
      <c r="AD647" s="271"/>
      <c r="AE647" s="271"/>
      <c r="AF647" s="271"/>
      <c r="AG647" s="271"/>
      <c r="AH647" s="271"/>
      <c r="AI647" s="271"/>
      <c r="AJ647" s="271"/>
      <c r="AK647" s="271"/>
      <c r="AL647" s="271"/>
      <c r="AM647" s="271"/>
      <c r="AN647" s="271"/>
    </row>
    <row r="648" spans="1:40" ht="12.75" customHeight="1">
      <c r="A648" s="278"/>
      <c r="B648" s="278"/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  <c r="M648" s="278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  <c r="AA648" s="271"/>
      <c r="AB648" s="271"/>
      <c r="AC648" s="271"/>
      <c r="AD648" s="271"/>
      <c r="AE648" s="271"/>
      <c r="AF648" s="271"/>
      <c r="AG648" s="271"/>
      <c r="AH648" s="271"/>
      <c r="AI648" s="271"/>
      <c r="AJ648" s="271"/>
      <c r="AK648" s="271"/>
      <c r="AL648" s="271"/>
      <c r="AM648" s="271"/>
      <c r="AN648" s="271"/>
    </row>
    <row r="649" spans="1:40" ht="12.75" customHeight="1">
      <c r="A649" s="278"/>
      <c r="B649" s="278"/>
      <c r="C649" s="278"/>
      <c r="D649" s="278"/>
      <c r="E649" s="278"/>
      <c r="F649" s="278"/>
      <c r="G649" s="278"/>
      <c r="H649" s="278"/>
      <c r="I649" s="278"/>
      <c r="J649" s="278"/>
      <c r="K649" s="278"/>
      <c r="L649" s="278"/>
      <c r="M649" s="278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  <c r="AA649" s="271"/>
      <c r="AB649" s="271"/>
      <c r="AC649" s="271"/>
      <c r="AD649" s="271"/>
      <c r="AE649" s="271"/>
      <c r="AF649" s="271"/>
      <c r="AG649" s="271"/>
      <c r="AH649" s="271"/>
      <c r="AI649" s="271"/>
      <c r="AJ649" s="271"/>
      <c r="AK649" s="271"/>
      <c r="AL649" s="271"/>
      <c r="AM649" s="271"/>
      <c r="AN649" s="271"/>
    </row>
    <row r="650" spans="1:40" ht="12.75" customHeight="1">
      <c r="A650" s="278"/>
      <c r="B650" s="278"/>
      <c r="C650" s="278"/>
      <c r="D650" s="278"/>
      <c r="E650" s="278"/>
      <c r="F650" s="278"/>
      <c r="G650" s="278"/>
      <c r="H650" s="278"/>
      <c r="I650" s="278"/>
      <c r="J650" s="278"/>
      <c r="K650" s="278"/>
      <c r="L650" s="278"/>
      <c r="M650" s="278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  <c r="AA650" s="271"/>
      <c r="AB650" s="271"/>
      <c r="AC650" s="271"/>
      <c r="AD650" s="271"/>
      <c r="AE650" s="271"/>
      <c r="AF650" s="271"/>
      <c r="AG650" s="271"/>
      <c r="AH650" s="271"/>
      <c r="AI650" s="271"/>
      <c r="AJ650" s="271"/>
      <c r="AK650" s="271"/>
      <c r="AL650" s="271"/>
      <c r="AM650" s="271"/>
      <c r="AN650" s="271"/>
    </row>
    <row r="651" spans="1:40" ht="12.75" customHeight="1">
      <c r="A651" s="278"/>
      <c r="B651" s="278"/>
      <c r="C651" s="278"/>
      <c r="D651" s="278"/>
      <c r="E651" s="278"/>
      <c r="F651" s="278"/>
      <c r="G651" s="278"/>
      <c r="H651" s="278"/>
      <c r="I651" s="278"/>
      <c r="J651" s="278"/>
      <c r="K651" s="278"/>
      <c r="L651" s="278"/>
      <c r="M651" s="278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  <c r="AA651" s="271"/>
      <c r="AB651" s="271"/>
      <c r="AC651" s="271"/>
      <c r="AD651" s="271"/>
      <c r="AE651" s="271"/>
      <c r="AF651" s="271"/>
      <c r="AG651" s="271"/>
      <c r="AH651" s="271"/>
      <c r="AI651" s="271"/>
      <c r="AJ651" s="271"/>
      <c r="AK651" s="271"/>
      <c r="AL651" s="271"/>
      <c r="AM651" s="271"/>
      <c r="AN651" s="271"/>
    </row>
    <row r="652" spans="1:40" ht="12.75" customHeight="1">
      <c r="A652" s="278"/>
      <c r="B652" s="278"/>
      <c r="C652" s="278"/>
      <c r="D652" s="278"/>
      <c r="E652" s="278"/>
      <c r="F652" s="278"/>
      <c r="G652" s="278"/>
      <c r="H652" s="278"/>
      <c r="I652" s="278"/>
      <c r="J652" s="278"/>
      <c r="K652" s="278"/>
      <c r="L652" s="278"/>
      <c r="M652" s="278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  <c r="AA652" s="271"/>
      <c r="AB652" s="271"/>
      <c r="AC652" s="271"/>
      <c r="AD652" s="271"/>
      <c r="AE652" s="271"/>
      <c r="AF652" s="271"/>
      <c r="AG652" s="271"/>
      <c r="AH652" s="271"/>
      <c r="AI652" s="271"/>
      <c r="AJ652" s="271"/>
      <c r="AK652" s="271"/>
      <c r="AL652" s="271"/>
      <c r="AM652" s="271"/>
      <c r="AN652" s="271"/>
    </row>
    <row r="653" spans="1:40" ht="12.75" customHeight="1">
      <c r="A653" s="278"/>
      <c r="B653" s="278"/>
      <c r="C653" s="278"/>
      <c r="D653" s="278"/>
      <c r="E653" s="278"/>
      <c r="F653" s="278"/>
      <c r="G653" s="278"/>
      <c r="H653" s="278"/>
      <c r="I653" s="278"/>
      <c r="J653" s="278"/>
      <c r="K653" s="278"/>
      <c r="L653" s="278"/>
      <c r="M653" s="278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  <c r="AA653" s="271"/>
      <c r="AB653" s="271"/>
      <c r="AC653" s="271"/>
      <c r="AD653" s="271"/>
      <c r="AE653" s="271"/>
      <c r="AF653" s="271"/>
      <c r="AG653" s="271"/>
      <c r="AH653" s="271"/>
      <c r="AI653" s="271"/>
      <c r="AJ653" s="271"/>
      <c r="AK653" s="271"/>
      <c r="AL653" s="271"/>
      <c r="AM653" s="271"/>
      <c r="AN653" s="271"/>
    </row>
    <row r="654" spans="1:40" ht="12.75" customHeight="1">
      <c r="A654" s="278"/>
      <c r="B654" s="278"/>
      <c r="C654" s="278"/>
      <c r="D654" s="278"/>
      <c r="E654" s="278"/>
      <c r="F654" s="278"/>
      <c r="G654" s="278"/>
      <c r="H654" s="278"/>
      <c r="I654" s="278"/>
      <c r="J654" s="278"/>
      <c r="K654" s="278"/>
      <c r="L654" s="278"/>
      <c r="M654" s="278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  <c r="AA654" s="271"/>
      <c r="AB654" s="271"/>
      <c r="AC654" s="271"/>
      <c r="AD654" s="271"/>
      <c r="AE654" s="271"/>
      <c r="AF654" s="271"/>
      <c r="AG654" s="271"/>
      <c r="AH654" s="271"/>
      <c r="AI654" s="271"/>
      <c r="AJ654" s="271"/>
      <c r="AK654" s="271"/>
      <c r="AL654" s="271"/>
      <c r="AM654" s="271"/>
      <c r="AN654" s="271"/>
    </row>
    <row r="655" spans="1:40" ht="12.75" customHeight="1">
      <c r="A655" s="278"/>
      <c r="B655" s="278"/>
      <c r="C655" s="278"/>
      <c r="D655" s="278"/>
      <c r="E655" s="278"/>
      <c r="F655" s="278"/>
      <c r="G655" s="278"/>
      <c r="H655" s="278"/>
      <c r="I655" s="278"/>
      <c r="J655" s="278"/>
      <c r="K655" s="278"/>
      <c r="L655" s="278"/>
      <c r="M655" s="278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  <c r="AB655" s="271"/>
      <c r="AC655" s="271"/>
      <c r="AD655" s="271"/>
      <c r="AE655" s="271"/>
      <c r="AF655" s="271"/>
      <c r="AG655" s="271"/>
      <c r="AH655" s="271"/>
      <c r="AI655" s="271"/>
      <c r="AJ655" s="271"/>
      <c r="AK655" s="271"/>
      <c r="AL655" s="271"/>
      <c r="AM655" s="271"/>
      <c r="AN655" s="271"/>
    </row>
    <row r="656" spans="1:40" ht="12.75" customHeight="1">
      <c r="A656" s="278"/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  <c r="M656" s="278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  <c r="AA656" s="271"/>
      <c r="AB656" s="271"/>
      <c r="AC656" s="271"/>
      <c r="AD656" s="271"/>
      <c r="AE656" s="271"/>
      <c r="AF656" s="271"/>
      <c r="AG656" s="271"/>
      <c r="AH656" s="271"/>
      <c r="AI656" s="271"/>
      <c r="AJ656" s="271"/>
      <c r="AK656" s="271"/>
      <c r="AL656" s="271"/>
      <c r="AM656" s="271"/>
      <c r="AN656" s="271"/>
    </row>
    <row r="657" spans="1:40" ht="12.75" customHeight="1">
      <c r="A657" s="278"/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278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  <c r="AA657" s="271"/>
      <c r="AB657" s="271"/>
      <c r="AC657" s="271"/>
      <c r="AD657" s="271"/>
      <c r="AE657" s="271"/>
      <c r="AF657" s="271"/>
      <c r="AG657" s="271"/>
      <c r="AH657" s="271"/>
      <c r="AI657" s="271"/>
      <c r="AJ657" s="271"/>
      <c r="AK657" s="271"/>
      <c r="AL657" s="271"/>
      <c r="AM657" s="271"/>
      <c r="AN657" s="271"/>
    </row>
    <row r="658" spans="1:40" ht="12.75" customHeight="1">
      <c r="A658" s="278"/>
      <c r="B658" s="278"/>
      <c r="C658" s="278"/>
      <c r="D658" s="278"/>
      <c r="E658" s="278"/>
      <c r="F658" s="278"/>
      <c r="G658" s="278"/>
      <c r="H658" s="278"/>
      <c r="I658" s="278"/>
      <c r="J658" s="278"/>
      <c r="K658" s="278"/>
      <c r="L658" s="278"/>
      <c r="M658" s="278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  <c r="AA658" s="271"/>
      <c r="AB658" s="271"/>
      <c r="AC658" s="271"/>
      <c r="AD658" s="271"/>
      <c r="AE658" s="271"/>
      <c r="AF658" s="271"/>
      <c r="AG658" s="271"/>
      <c r="AH658" s="271"/>
      <c r="AI658" s="271"/>
      <c r="AJ658" s="271"/>
      <c r="AK658" s="271"/>
      <c r="AL658" s="271"/>
      <c r="AM658" s="271"/>
      <c r="AN658" s="271"/>
    </row>
    <row r="659" spans="1:40" ht="12.75" customHeight="1">
      <c r="A659" s="278"/>
      <c r="B659" s="278"/>
      <c r="C659" s="278"/>
      <c r="D659" s="278"/>
      <c r="E659" s="278"/>
      <c r="F659" s="278"/>
      <c r="G659" s="278"/>
      <c r="H659" s="278"/>
      <c r="I659" s="278"/>
      <c r="J659" s="278"/>
      <c r="K659" s="278"/>
      <c r="L659" s="278"/>
      <c r="M659" s="278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  <c r="AA659" s="271"/>
      <c r="AB659" s="271"/>
      <c r="AC659" s="271"/>
      <c r="AD659" s="271"/>
      <c r="AE659" s="271"/>
      <c r="AF659" s="271"/>
      <c r="AG659" s="271"/>
      <c r="AH659" s="271"/>
      <c r="AI659" s="271"/>
      <c r="AJ659" s="271"/>
      <c r="AK659" s="271"/>
      <c r="AL659" s="271"/>
      <c r="AM659" s="271"/>
      <c r="AN659" s="271"/>
    </row>
    <row r="660" spans="1:40" ht="12.75" customHeight="1">
      <c r="A660" s="278"/>
      <c r="B660" s="278"/>
      <c r="C660" s="278"/>
      <c r="D660" s="278"/>
      <c r="E660" s="278"/>
      <c r="F660" s="278"/>
      <c r="G660" s="278"/>
      <c r="H660" s="278"/>
      <c r="I660" s="278"/>
      <c r="J660" s="278"/>
      <c r="K660" s="278"/>
      <c r="L660" s="278"/>
      <c r="M660" s="278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  <c r="AA660" s="271"/>
      <c r="AB660" s="271"/>
      <c r="AC660" s="271"/>
      <c r="AD660" s="271"/>
      <c r="AE660" s="271"/>
      <c r="AF660" s="271"/>
      <c r="AG660" s="271"/>
      <c r="AH660" s="271"/>
      <c r="AI660" s="271"/>
      <c r="AJ660" s="271"/>
      <c r="AK660" s="271"/>
      <c r="AL660" s="271"/>
      <c r="AM660" s="271"/>
      <c r="AN660" s="271"/>
    </row>
    <row r="661" spans="1:40" ht="12.75" customHeight="1">
      <c r="A661" s="278"/>
      <c r="B661" s="278"/>
      <c r="C661" s="278"/>
      <c r="D661" s="278"/>
      <c r="E661" s="278"/>
      <c r="F661" s="278"/>
      <c r="G661" s="278"/>
      <c r="H661" s="278"/>
      <c r="I661" s="278"/>
      <c r="J661" s="278"/>
      <c r="K661" s="278"/>
      <c r="L661" s="278"/>
      <c r="M661" s="278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  <c r="AA661" s="271"/>
      <c r="AB661" s="271"/>
      <c r="AC661" s="271"/>
      <c r="AD661" s="271"/>
      <c r="AE661" s="271"/>
      <c r="AF661" s="271"/>
      <c r="AG661" s="271"/>
      <c r="AH661" s="271"/>
      <c r="AI661" s="271"/>
      <c r="AJ661" s="271"/>
      <c r="AK661" s="271"/>
      <c r="AL661" s="271"/>
      <c r="AM661" s="271"/>
      <c r="AN661" s="271"/>
    </row>
    <row r="662" spans="1:40" ht="12.75" customHeight="1">
      <c r="A662" s="278"/>
      <c r="B662" s="278"/>
      <c r="C662" s="278"/>
      <c r="D662" s="278"/>
      <c r="E662" s="278"/>
      <c r="F662" s="278"/>
      <c r="G662" s="278"/>
      <c r="H662" s="278"/>
      <c r="I662" s="278"/>
      <c r="J662" s="278"/>
      <c r="K662" s="278"/>
      <c r="L662" s="278"/>
      <c r="M662" s="278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  <c r="AA662" s="271"/>
      <c r="AB662" s="271"/>
      <c r="AC662" s="271"/>
      <c r="AD662" s="271"/>
      <c r="AE662" s="271"/>
      <c r="AF662" s="271"/>
      <c r="AG662" s="271"/>
      <c r="AH662" s="271"/>
      <c r="AI662" s="271"/>
      <c r="AJ662" s="271"/>
      <c r="AK662" s="271"/>
      <c r="AL662" s="271"/>
      <c r="AM662" s="271"/>
      <c r="AN662" s="271"/>
    </row>
    <row r="663" spans="1:40" ht="12.75" customHeight="1">
      <c r="A663" s="278"/>
      <c r="B663" s="278"/>
      <c r="C663" s="278"/>
      <c r="D663" s="278"/>
      <c r="E663" s="278"/>
      <c r="F663" s="278"/>
      <c r="G663" s="278"/>
      <c r="H663" s="278"/>
      <c r="I663" s="278"/>
      <c r="J663" s="278"/>
      <c r="K663" s="278"/>
      <c r="L663" s="278"/>
      <c r="M663" s="278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  <c r="AA663" s="271"/>
      <c r="AB663" s="271"/>
      <c r="AC663" s="271"/>
      <c r="AD663" s="271"/>
      <c r="AE663" s="271"/>
      <c r="AF663" s="271"/>
      <c r="AG663" s="271"/>
      <c r="AH663" s="271"/>
      <c r="AI663" s="271"/>
      <c r="AJ663" s="271"/>
      <c r="AK663" s="271"/>
      <c r="AL663" s="271"/>
      <c r="AM663" s="271"/>
      <c r="AN663" s="271"/>
    </row>
    <row r="664" spans="1:40" ht="12.75" customHeight="1">
      <c r="A664" s="278"/>
      <c r="B664" s="278"/>
      <c r="C664" s="278"/>
      <c r="D664" s="278"/>
      <c r="E664" s="278"/>
      <c r="F664" s="278"/>
      <c r="G664" s="278"/>
      <c r="H664" s="278"/>
      <c r="I664" s="278"/>
      <c r="J664" s="278"/>
      <c r="K664" s="278"/>
      <c r="L664" s="278"/>
      <c r="M664" s="278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  <c r="AA664" s="271"/>
      <c r="AB664" s="271"/>
      <c r="AC664" s="271"/>
      <c r="AD664" s="271"/>
      <c r="AE664" s="271"/>
      <c r="AF664" s="271"/>
      <c r="AG664" s="271"/>
      <c r="AH664" s="271"/>
      <c r="AI664" s="271"/>
      <c r="AJ664" s="271"/>
      <c r="AK664" s="271"/>
      <c r="AL664" s="271"/>
      <c r="AM664" s="271"/>
      <c r="AN664" s="271"/>
    </row>
    <row r="665" spans="1:40" ht="12.75" customHeight="1">
      <c r="A665" s="278"/>
      <c r="B665" s="278"/>
      <c r="C665" s="278"/>
      <c r="D665" s="278"/>
      <c r="E665" s="278"/>
      <c r="F665" s="278"/>
      <c r="G665" s="278"/>
      <c r="H665" s="278"/>
      <c r="I665" s="278"/>
      <c r="J665" s="278"/>
      <c r="K665" s="278"/>
      <c r="L665" s="278"/>
      <c r="M665" s="278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  <c r="AA665" s="271"/>
      <c r="AB665" s="271"/>
      <c r="AC665" s="271"/>
      <c r="AD665" s="271"/>
      <c r="AE665" s="271"/>
      <c r="AF665" s="271"/>
      <c r="AG665" s="271"/>
      <c r="AH665" s="271"/>
      <c r="AI665" s="271"/>
      <c r="AJ665" s="271"/>
      <c r="AK665" s="271"/>
      <c r="AL665" s="271"/>
      <c r="AM665" s="271"/>
      <c r="AN665" s="271"/>
    </row>
    <row r="666" spans="1:40" ht="12.75" customHeight="1">
      <c r="A666" s="278"/>
      <c r="B666" s="278"/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  <c r="M666" s="278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  <c r="AA666" s="271"/>
      <c r="AB666" s="271"/>
      <c r="AC666" s="271"/>
      <c r="AD666" s="271"/>
      <c r="AE666" s="271"/>
      <c r="AF666" s="271"/>
      <c r="AG666" s="271"/>
      <c r="AH666" s="271"/>
      <c r="AI666" s="271"/>
      <c r="AJ666" s="271"/>
      <c r="AK666" s="271"/>
      <c r="AL666" s="271"/>
      <c r="AM666" s="271"/>
      <c r="AN666" s="271"/>
    </row>
    <row r="667" spans="1:40" ht="12.75" customHeight="1">
      <c r="A667" s="278"/>
      <c r="B667" s="278"/>
      <c r="C667" s="278"/>
      <c r="D667" s="278"/>
      <c r="E667" s="278"/>
      <c r="F667" s="278"/>
      <c r="G667" s="278"/>
      <c r="H667" s="278"/>
      <c r="I667" s="278"/>
      <c r="J667" s="278"/>
      <c r="K667" s="278"/>
      <c r="L667" s="278"/>
      <c r="M667" s="278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  <c r="AA667" s="271"/>
      <c r="AB667" s="271"/>
      <c r="AC667" s="271"/>
      <c r="AD667" s="271"/>
      <c r="AE667" s="271"/>
      <c r="AF667" s="271"/>
      <c r="AG667" s="271"/>
      <c r="AH667" s="271"/>
      <c r="AI667" s="271"/>
      <c r="AJ667" s="271"/>
      <c r="AK667" s="271"/>
      <c r="AL667" s="271"/>
      <c r="AM667" s="271"/>
      <c r="AN667" s="271"/>
    </row>
    <row r="668" spans="1:40" ht="12.75" customHeight="1">
      <c r="A668" s="278"/>
      <c r="B668" s="278"/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  <c r="M668" s="278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  <c r="AA668" s="271"/>
      <c r="AB668" s="271"/>
      <c r="AC668" s="271"/>
      <c r="AD668" s="271"/>
      <c r="AE668" s="271"/>
      <c r="AF668" s="271"/>
      <c r="AG668" s="271"/>
      <c r="AH668" s="271"/>
      <c r="AI668" s="271"/>
      <c r="AJ668" s="271"/>
      <c r="AK668" s="271"/>
      <c r="AL668" s="271"/>
      <c r="AM668" s="271"/>
      <c r="AN668" s="271"/>
    </row>
    <row r="669" spans="1:40" ht="12.75" customHeight="1">
      <c r="A669" s="278"/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278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  <c r="AA669" s="271"/>
      <c r="AB669" s="271"/>
      <c r="AC669" s="271"/>
      <c r="AD669" s="271"/>
      <c r="AE669" s="271"/>
      <c r="AF669" s="271"/>
      <c r="AG669" s="271"/>
      <c r="AH669" s="271"/>
      <c r="AI669" s="271"/>
      <c r="AJ669" s="271"/>
      <c r="AK669" s="271"/>
      <c r="AL669" s="271"/>
      <c r="AM669" s="271"/>
      <c r="AN669" s="271"/>
    </row>
    <row r="670" spans="1:40" ht="12.75" customHeight="1">
      <c r="A670" s="278"/>
      <c r="B670" s="278"/>
      <c r="C670" s="278"/>
      <c r="D670" s="278"/>
      <c r="E670" s="278"/>
      <c r="F670" s="278"/>
      <c r="G670" s="278"/>
      <c r="H670" s="278"/>
      <c r="I670" s="278"/>
      <c r="J670" s="278"/>
      <c r="K670" s="278"/>
      <c r="L670" s="278"/>
      <c r="M670" s="278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  <c r="AA670" s="271"/>
      <c r="AB670" s="271"/>
      <c r="AC670" s="271"/>
      <c r="AD670" s="271"/>
      <c r="AE670" s="271"/>
      <c r="AF670" s="271"/>
      <c r="AG670" s="271"/>
      <c r="AH670" s="271"/>
      <c r="AI670" s="271"/>
      <c r="AJ670" s="271"/>
      <c r="AK670" s="271"/>
      <c r="AL670" s="271"/>
      <c r="AM670" s="271"/>
      <c r="AN670" s="271"/>
    </row>
    <row r="671" spans="1:40" ht="12.75" customHeight="1">
      <c r="A671" s="278"/>
      <c r="B671" s="278"/>
      <c r="C671" s="278"/>
      <c r="D671" s="278"/>
      <c r="E671" s="278"/>
      <c r="F671" s="278"/>
      <c r="G671" s="278"/>
      <c r="H671" s="278"/>
      <c r="I671" s="278"/>
      <c r="J671" s="278"/>
      <c r="K671" s="278"/>
      <c r="L671" s="278"/>
      <c r="M671" s="278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  <c r="AA671" s="271"/>
      <c r="AB671" s="271"/>
      <c r="AC671" s="271"/>
      <c r="AD671" s="271"/>
      <c r="AE671" s="271"/>
      <c r="AF671" s="271"/>
      <c r="AG671" s="271"/>
      <c r="AH671" s="271"/>
      <c r="AI671" s="271"/>
      <c r="AJ671" s="271"/>
      <c r="AK671" s="271"/>
      <c r="AL671" s="271"/>
      <c r="AM671" s="271"/>
      <c r="AN671" s="271"/>
    </row>
    <row r="672" spans="1:40" ht="12.75" customHeight="1">
      <c r="A672" s="278"/>
      <c r="B672" s="278"/>
      <c r="C672" s="278"/>
      <c r="D672" s="278"/>
      <c r="E672" s="278"/>
      <c r="F672" s="278"/>
      <c r="G672" s="278"/>
      <c r="H672" s="278"/>
      <c r="I672" s="278"/>
      <c r="J672" s="278"/>
      <c r="K672" s="278"/>
      <c r="L672" s="278"/>
      <c r="M672" s="278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  <c r="AA672" s="271"/>
      <c r="AB672" s="271"/>
      <c r="AC672" s="271"/>
      <c r="AD672" s="271"/>
      <c r="AE672" s="271"/>
      <c r="AF672" s="271"/>
      <c r="AG672" s="271"/>
      <c r="AH672" s="271"/>
      <c r="AI672" s="271"/>
      <c r="AJ672" s="271"/>
      <c r="AK672" s="271"/>
      <c r="AL672" s="271"/>
      <c r="AM672" s="271"/>
      <c r="AN672" s="271"/>
    </row>
    <row r="673" spans="1:40" ht="12.75" customHeight="1">
      <c r="A673" s="278"/>
      <c r="B673" s="278"/>
      <c r="C673" s="278"/>
      <c r="D673" s="278"/>
      <c r="E673" s="278"/>
      <c r="F673" s="278"/>
      <c r="G673" s="278"/>
      <c r="H673" s="278"/>
      <c r="I673" s="278"/>
      <c r="J673" s="278"/>
      <c r="K673" s="278"/>
      <c r="L673" s="278"/>
      <c r="M673" s="278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  <c r="AA673" s="271"/>
      <c r="AB673" s="271"/>
      <c r="AC673" s="271"/>
      <c r="AD673" s="271"/>
      <c r="AE673" s="271"/>
      <c r="AF673" s="271"/>
      <c r="AG673" s="271"/>
      <c r="AH673" s="271"/>
      <c r="AI673" s="271"/>
      <c r="AJ673" s="271"/>
      <c r="AK673" s="271"/>
      <c r="AL673" s="271"/>
      <c r="AM673" s="271"/>
      <c r="AN673" s="271"/>
    </row>
    <row r="674" spans="1:40" ht="12.75" customHeight="1">
      <c r="A674" s="278"/>
      <c r="B674" s="278"/>
      <c r="C674" s="278"/>
      <c r="D674" s="278"/>
      <c r="E674" s="278"/>
      <c r="F674" s="278"/>
      <c r="G674" s="278"/>
      <c r="H674" s="278"/>
      <c r="I674" s="278"/>
      <c r="J674" s="278"/>
      <c r="K674" s="278"/>
      <c r="L674" s="278"/>
      <c r="M674" s="278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  <c r="AA674" s="271"/>
      <c r="AB674" s="271"/>
      <c r="AC674" s="271"/>
      <c r="AD674" s="271"/>
      <c r="AE674" s="271"/>
      <c r="AF674" s="271"/>
      <c r="AG674" s="271"/>
      <c r="AH674" s="271"/>
      <c r="AI674" s="271"/>
      <c r="AJ674" s="271"/>
      <c r="AK674" s="271"/>
      <c r="AL674" s="271"/>
      <c r="AM674" s="271"/>
      <c r="AN674" s="271"/>
    </row>
    <row r="675" spans="1:40" ht="12.75" customHeight="1">
      <c r="A675" s="278"/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278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  <c r="AA675" s="271"/>
      <c r="AB675" s="271"/>
      <c r="AC675" s="271"/>
      <c r="AD675" s="271"/>
      <c r="AE675" s="271"/>
      <c r="AF675" s="271"/>
      <c r="AG675" s="271"/>
      <c r="AH675" s="271"/>
      <c r="AI675" s="271"/>
      <c r="AJ675" s="271"/>
      <c r="AK675" s="271"/>
      <c r="AL675" s="271"/>
      <c r="AM675" s="271"/>
      <c r="AN675" s="271"/>
    </row>
    <row r="676" spans="1:40" ht="12.75" customHeight="1">
      <c r="A676" s="278"/>
      <c r="B676" s="278"/>
      <c r="C676" s="278"/>
      <c r="D676" s="278"/>
      <c r="E676" s="278"/>
      <c r="F676" s="278"/>
      <c r="G676" s="278"/>
      <c r="H676" s="278"/>
      <c r="I676" s="278"/>
      <c r="J676" s="278"/>
      <c r="K676" s="278"/>
      <c r="L676" s="278"/>
      <c r="M676" s="278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  <c r="AA676" s="271"/>
      <c r="AB676" s="271"/>
      <c r="AC676" s="271"/>
      <c r="AD676" s="271"/>
      <c r="AE676" s="271"/>
      <c r="AF676" s="271"/>
      <c r="AG676" s="271"/>
      <c r="AH676" s="271"/>
      <c r="AI676" s="271"/>
      <c r="AJ676" s="271"/>
      <c r="AK676" s="271"/>
      <c r="AL676" s="271"/>
      <c r="AM676" s="271"/>
      <c r="AN676" s="271"/>
    </row>
    <row r="677" spans="1:40" ht="12.75" customHeight="1">
      <c r="A677" s="278"/>
      <c r="B677" s="278"/>
      <c r="C677" s="278"/>
      <c r="D677" s="278"/>
      <c r="E677" s="278"/>
      <c r="F677" s="278"/>
      <c r="G677" s="278"/>
      <c r="H677" s="278"/>
      <c r="I677" s="278"/>
      <c r="J677" s="278"/>
      <c r="K677" s="278"/>
      <c r="L677" s="278"/>
      <c r="M677" s="278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  <c r="AA677" s="271"/>
      <c r="AB677" s="271"/>
      <c r="AC677" s="271"/>
      <c r="AD677" s="271"/>
      <c r="AE677" s="271"/>
      <c r="AF677" s="271"/>
      <c r="AG677" s="271"/>
      <c r="AH677" s="271"/>
      <c r="AI677" s="271"/>
      <c r="AJ677" s="271"/>
      <c r="AK677" s="271"/>
      <c r="AL677" s="271"/>
      <c r="AM677" s="271"/>
      <c r="AN677" s="271"/>
    </row>
    <row r="678" spans="1:40" ht="12.75" customHeight="1">
      <c r="A678" s="278"/>
      <c r="B678" s="278"/>
      <c r="C678" s="278"/>
      <c r="D678" s="278"/>
      <c r="E678" s="278"/>
      <c r="F678" s="278"/>
      <c r="G678" s="278"/>
      <c r="H678" s="278"/>
      <c r="I678" s="278"/>
      <c r="J678" s="278"/>
      <c r="K678" s="278"/>
      <c r="L678" s="278"/>
      <c r="M678" s="278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  <c r="AA678" s="271"/>
      <c r="AB678" s="271"/>
      <c r="AC678" s="271"/>
      <c r="AD678" s="271"/>
      <c r="AE678" s="271"/>
      <c r="AF678" s="271"/>
      <c r="AG678" s="271"/>
      <c r="AH678" s="271"/>
      <c r="AI678" s="271"/>
      <c r="AJ678" s="271"/>
      <c r="AK678" s="271"/>
      <c r="AL678" s="271"/>
      <c r="AM678" s="271"/>
      <c r="AN678" s="271"/>
    </row>
    <row r="679" spans="1:40" ht="12.75" customHeight="1">
      <c r="A679" s="278"/>
      <c r="B679" s="278"/>
      <c r="C679" s="278"/>
      <c r="D679" s="278"/>
      <c r="E679" s="278"/>
      <c r="F679" s="278"/>
      <c r="G679" s="278"/>
      <c r="H679" s="278"/>
      <c r="I679" s="278"/>
      <c r="J679" s="278"/>
      <c r="K679" s="278"/>
      <c r="L679" s="278"/>
      <c r="M679" s="278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  <c r="AA679" s="271"/>
      <c r="AB679" s="271"/>
      <c r="AC679" s="271"/>
      <c r="AD679" s="271"/>
      <c r="AE679" s="271"/>
      <c r="AF679" s="271"/>
      <c r="AG679" s="271"/>
      <c r="AH679" s="271"/>
      <c r="AI679" s="271"/>
      <c r="AJ679" s="271"/>
      <c r="AK679" s="271"/>
      <c r="AL679" s="271"/>
      <c r="AM679" s="271"/>
      <c r="AN679" s="271"/>
    </row>
    <row r="680" spans="1:40" ht="12.75" customHeight="1">
      <c r="A680" s="278"/>
      <c r="B680" s="278"/>
      <c r="C680" s="278"/>
      <c r="D680" s="278"/>
      <c r="E680" s="278"/>
      <c r="F680" s="278"/>
      <c r="G680" s="278"/>
      <c r="H680" s="278"/>
      <c r="I680" s="278"/>
      <c r="J680" s="278"/>
      <c r="K680" s="278"/>
      <c r="L680" s="278"/>
      <c r="M680" s="278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  <c r="AA680" s="271"/>
      <c r="AB680" s="271"/>
      <c r="AC680" s="271"/>
      <c r="AD680" s="271"/>
      <c r="AE680" s="271"/>
      <c r="AF680" s="271"/>
      <c r="AG680" s="271"/>
      <c r="AH680" s="271"/>
      <c r="AI680" s="271"/>
      <c r="AJ680" s="271"/>
      <c r="AK680" s="271"/>
      <c r="AL680" s="271"/>
      <c r="AM680" s="271"/>
      <c r="AN680" s="271"/>
    </row>
    <row r="681" spans="1:40" ht="12.75" customHeight="1">
      <c r="A681" s="278"/>
      <c r="B681" s="278"/>
      <c r="C681" s="278"/>
      <c r="D681" s="278"/>
      <c r="E681" s="278"/>
      <c r="F681" s="278"/>
      <c r="G681" s="278"/>
      <c r="H681" s="278"/>
      <c r="I681" s="278"/>
      <c r="J681" s="278"/>
      <c r="K681" s="278"/>
      <c r="L681" s="278"/>
      <c r="M681" s="278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  <c r="AA681" s="271"/>
      <c r="AB681" s="271"/>
      <c r="AC681" s="271"/>
      <c r="AD681" s="271"/>
      <c r="AE681" s="271"/>
      <c r="AF681" s="271"/>
      <c r="AG681" s="271"/>
      <c r="AH681" s="271"/>
      <c r="AI681" s="271"/>
      <c r="AJ681" s="271"/>
      <c r="AK681" s="271"/>
      <c r="AL681" s="271"/>
      <c r="AM681" s="271"/>
      <c r="AN681" s="271"/>
    </row>
    <row r="682" spans="1:40" ht="12.75" customHeight="1">
      <c r="A682" s="278"/>
      <c r="B682" s="278"/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  <c r="M682" s="278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  <c r="AA682" s="271"/>
      <c r="AB682" s="271"/>
      <c r="AC682" s="271"/>
      <c r="AD682" s="271"/>
      <c r="AE682" s="271"/>
      <c r="AF682" s="271"/>
      <c r="AG682" s="271"/>
      <c r="AH682" s="271"/>
      <c r="AI682" s="271"/>
      <c r="AJ682" s="271"/>
      <c r="AK682" s="271"/>
      <c r="AL682" s="271"/>
      <c r="AM682" s="271"/>
      <c r="AN682" s="271"/>
    </row>
    <row r="683" spans="1:40" ht="12.75" customHeight="1">
      <c r="A683" s="278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278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  <c r="AA683" s="271"/>
      <c r="AB683" s="271"/>
      <c r="AC683" s="271"/>
      <c r="AD683" s="271"/>
      <c r="AE683" s="271"/>
      <c r="AF683" s="271"/>
      <c r="AG683" s="271"/>
      <c r="AH683" s="271"/>
      <c r="AI683" s="271"/>
      <c r="AJ683" s="271"/>
      <c r="AK683" s="271"/>
      <c r="AL683" s="271"/>
      <c r="AM683" s="271"/>
      <c r="AN683" s="271"/>
    </row>
    <row r="684" spans="1:40" ht="12.75" customHeight="1">
      <c r="A684" s="278"/>
      <c r="B684" s="278"/>
      <c r="C684" s="278"/>
      <c r="D684" s="278"/>
      <c r="E684" s="278"/>
      <c r="F684" s="278"/>
      <c r="G684" s="278"/>
      <c r="H684" s="278"/>
      <c r="I684" s="278"/>
      <c r="J684" s="278"/>
      <c r="K684" s="278"/>
      <c r="L684" s="278"/>
      <c r="M684" s="278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  <c r="AA684" s="271"/>
      <c r="AB684" s="271"/>
      <c r="AC684" s="271"/>
      <c r="AD684" s="271"/>
      <c r="AE684" s="271"/>
      <c r="AF684" s="271"/>
      <c r="AG684" s="271"/>
      <c r="AH684" s="271"/>
      <c r="AI684" s="271"/>
      <c r="AJ684" s="271"/>
      <c r="AK684" s="271"/>
      <c r="AL684" s="271"/>
      <c r="AM684" s="271"/>
      <c r="AN684" s="271"/>
    </row>
    <row r="685" spans="1:40" ht="12.75" customHeight="1">
      <c r="A685" s="278"/>
      <c r="B685" s="278"/>
      <c r="C685" s="278"/>
      <c r="D685" s="278"/>
      <c r="E685" s="278"/>
      <c r="F685" s="278"/>
      <c r="G685" s="278"/>
      <c r="H685" s="278"/>
      <c r="I685" s="278"/>
      <c r="J685" s="278"/>
      <c r="K685" s="278"/>
      <c r="L685" s="278"/>
      <c r="M685" s="278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  <c r="AA685" s="271"/>
      <c r="AB685" s="271"/>
      <c r="AC685" s="271"/>
      <c r="AD685" s="271"/>
      <c r="AE685" s="271"/>
      <c r="AF685" s="271"/>
      <c r="AG685" s="271"/>
      <c r="AH685" s="271"/>
      <c r="AI685" s="271"/>
      <c r="AJ685" s="271"/>
      <c r="AK685" s="271"/>
      <c r="AL685" s="271"/>
      <c r="AM685" s="271"/>
      <c r="AN685" s="271"/>
    </row>
    <row r="686" spans="1:40" ht="12.75" customHeight="1">
      <c r="A686" s="278"/>
      <c r="B686" s="278"/>
      <c r="C686" s="278"/>
      <c r="D686" s="278"/>
      <c r="E686" s="278"/>
      <c r="F686" s="278"/>
      <c r="G686" s="278"/>
      <c r="H686" s="278"/>
      <c r="I686" s="278"/>
      <c r="J686" s="278"/>
      <c r="K686" s="278"/>
      <c r="L686" s="278"/>
      <c r="M686" s="278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  <c r="AA686" s="271"/>
      <c r="AB686" s="271"/>
      <c r="AC686" s="271"/>
      <c r="AD686" s="271"/>
      <c r="AE686" s="271"/>
      <c r="AF686" s="271"/>
      <c r="AG686" s="271"/>
      <c r="AH686" s="271"/>
      <c r="AI686" s="271"/>
      <c r="AJ686" s="271"/>
      <c r="AK686" s="271"/>
      <c r="AL686" s="271"/>
      <c r="AM686" s="271"/>
      <c r="AN686" s="271"/>
    </row>
    <row r="687" spans="1:40" ht="12.75" customHeight="1">
      <c r="A687" s="278"/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  <c r="M687" s="278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  <c r="AA687" s="271"/>
      <c r="AB687" s="271"/>
      <c r="AC687" s="271"/>
      <c r="AD687" s="271"/>
      <c r="AE687" s="271"/>
      <c r="AF687" s="271"/>
      <c r="AG687" s="271"/>
      <c r="AH687" s="271"/>
      <c r="AI687" s="271"/>
      <c r="AJ687" s="271"/>
      <c r="AK687" s="271"/>
      <c r="AL687" s="271"/>
      <c r="AM687" s="271"/>
      <c r="AN687" s="271"/>
    </row>
    <row r="688" spans="1:40" ht="12.75" customHeight="1">
      <c r="A688" s="278"/>
      <c r="B688" s="278"/>
      <c r="C688" s="278"/>
      <c r="D688" s="278"/>
      <c r="E688" s="278"/>
      <c r="F688" s="278"/>
      <c r="G688" s="278"/>
      <c r="H688" s="278"/>
      <c r="I688" s="278"/>
      <c r="J688" s="278"/>
      <c r="K688" s="278"/>
      <c r="L688" s="278"/>
      <c r="M688" s="278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  <c r="AA688" s="271"/>
      <c r="AB688" s="271"/>
      <c r="AC688" s="271"/>
      <c r="AD688" s="271"/>
      <c r="AE688" s="271"/>
      <c r="AF688" s="271"/>
      <c r="AG688" s="271"/>
      <c r="AH688" s="271"/>
      <c r="AI688" s="271"/>
      <c r="AJ688" s="271"/>
      <c r="AK688" s="271"/>
      <c r="AL688" s="271"/>
      <c r="AM688" s="271"/>
      <c r="AN688" s="271"/>
    </row>
    <row r="689" spans="1:40" ht="12.75" customHeight="1">
      <c r="A689" s="278"/>
      <c r="B689" s="278"/>
      <c r="C689" s="278"/>
      <c r="D689" s="278"/>
      <c r="E689" s="278"/>
      <c r="F689" s="278"/>
      <c r="G689" s="278"/>
      <c r="H689" s="278"/>
      <c r="I689" s="278"/>
      <c r="J689" s="278"/>
      <c r="K689" s="278"/>
      <c r="L689" s="278"/>
      <c r="M689" s="278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  <c r="AA689" s="271"/>
      <c r="AB689" s="271"/>
      <c r="AC689" s="271"/>
      <c r="AD689" s="271"/>
      <c r="AE689" s="271"/>
      <c r="AF689" s="271"/>
      <c r="AG689" s="271"/>
      <c r="AH689" s="271"/>
      <c r="AI689" s="271"/>
      <c r="AJ689" s="271"/>
      <c r="AK689" s="271"/>
      <c r="AL689" s="271"/>
      <c r="AM689" s="271"/>
      <c r="AN689" s="271"/>
    </row>
    <row r="690" spans="1:40" ht="12.75" customHeight="1">
      <c r="A690" s="278"/>
      <c r="B690" s="278"/>
      <c r="C690" s="278"/>
      <c r="D690" s="278"/>
      <c r="E690" s="278"/>
      <c r="F690" s="278"/>
      <c r="G690" s="278"/>
      <c r="H690" s="278"/>
      <c r="I690" s="278"/>
      <c r="J690" s="278"/>
      <c r="K690" s="278"/>
      <c r="L690" s="278"/>
      <c r="M690" s="278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  <c r="AA690" s="271"/>
      <c r="AB690" s="271"/>
      <c r="AC690" s="271"/>
      <c r="AD690" s="271"/>
      <c r="AE690" s="271"/>
      <c r="AF690" s="271"/>
      <c r="AG690" s="271"/>
      <c r="AH690" s="271"/>
      <c r="AI690" s="271"/>
      <c r="AJ690" s="271"/>
      <c r="AK690" s="271"/>
      <c r="AL690" s="271"/>
      <c r="AM690" s="271"/>
      <c r="AN690" s="271"/>
    </row>
    <row r="691" spans="1:40" ht="12.75" customHeight="1">
      <c r="A691" s="278"/>
      <c r="B691" s="278"/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  <c r="M691" s="278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  <c r="AA691" s="271"/>
      <c r="AB691" s="271"/>
      <c r="AC691" s="271"/>
      <c r="AD691" s="271"/>
      <c r="AE691" s="271"/>
      <c r="AF691" s="271"/>
      <c r="AG691" s="271"/>
      <c r="AH691" s="271"/>
      <c r="AI691" s="271"/>
      <c r="AJ691" s="271"/>
      <c r="AK691" s="271"/>
      <c r="AL691" s="271"/>
      <c r="AM691" s="271"/>
      <c r="AN691" s="271"/>
    </row>
    <row r="692" spans="1:40" ht="12.75" customHeight="1">
      <c r="A692" s="278"/>
      <c r="B692" s="278"/>
      <c r="C692" s="278"/>
      <c r="D692" s="278"/>
      <c r="E692" s="278"/>
      <c r="F692" s="278"/>
      <c r="G692" s="278"/>
      <c r="H692" s="278"/>
      <c r="I692" s="278"/>
      <c r="J692" s="278"/>
      <c r="K692" s="278"/>
      <c r="L692" s="278"/>
      <c r="M692" s="278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  <c r="AA692" s="271"/>
      <c r="AB692" s="271"/>
      <c r="AC692" s="271"/>
      <c r="AD692" s="271"/>
      <c r="AE692" s="271"/>
      <c r="AF692" s="271"/>
      <c r="AG692" s="271"/>
      <c r="AH692" s="271"/>
      <c r="AI692" s="271"/>
      <c r="AJ692" s="271"/>
      <c r="AK692" s="271"/>
      <c r="AL692" s="271"/>
      <c r="AM692" s="271"/>
      <c r="AN692" s="271"/>
    </row>
    <row r="693" spans="1:40" ht="12.75" customHeight="1">
      <c r="A693" s="278"/>
      <c r="B693" s="278"/>
      <c r="C693" s="278"/>
      <c r="D693" s="278"/>
      <c r="E693" s="278"/>
      <c r="F693" s="278"/>
      <c r="G693" s="278"/>
      <c r="H693" s="278"/>
      <c r="I693" s="278"/>
      <c r="J693" s="278"/>
      <c r="K693" s="278"/>
      <c r="L693" s="278"/>
      <c r="M693" s="278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  <c r="AA693" s="271"/>
      <c r="AB693" s="271"/>
      <c r="AC693" s="271"/>
      <c r="AD693" s="271"/>
      <c r="AE693" s="271"/>
      <c r="AF693" s="271"/>
      <c r="AG693" s="271"/>
      <c r="AH693" s="271"/>
      <c r="AI693" s="271"/>
      <c r="AJ693" s="271"/>
      <c r="AK693" s="271"/>
      <c r="AL693" s="271"/>
      <c r="AM693" s="271"/>
      <c r="AN693" s="271"/>
    </row>
    <row r="694" spans="1:40" ht="12.75" customHeight="1">
      <c r="A694" s="278"/>
      <c r="B694" s="278"/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  <c r="M694" s="278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  <c r="AA694" s="271"/>
      <c r="AB694" s="271"/>
      <c r="AC694" s="271"/>
      <c r="AD694" s="271"/>
      <c r="AE694" s="271"/>
      <c r="AF694" s="271"/>
      <c r="AG694" s="271"/>
      <c r="AH694" s="271"/>
      <c r="AI694" s="271"/>
      <c r="AJ694" s="271"/>
      <c r="AK694" s="271"/>
      <c r="AL694" s="271"/>
      <c r="AM694" s="271"/>
      <c r="AN694" s="271"/>
    </row>
    <row r="695" spans="1:40" ht="12.75" customHeight="1">
      <c r="A695" s="278"/>
      <c r="B695" s="278"/>
      <c r="C695" s="278"/>
      <c r="D695" s="278"/>
      <c r="E695" s="278"/>
      <c r="F695" s="278"/>
      <c r="G695" s="278"/>
      <c r="H695" s="278"/>
      <c r="I695" s="278"/>
      <c r="J695" s="278"/>
      <c r="K695" s="278"/>
      <c r="L695" s="278"/>
      <c r="M695" s="278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  <c r="AA695" s="271"/>
      <c r="AB695" s="271"/>
      <c r="AC695" s="271"/>
      <c r="AD695" s="271"/>
      <c r="AE695" s="271"/>
      <c r="AF695" s="271"/>
      <c r="AG695" s="271"/>
      <c r="AH695" s="271"/>
      <c r="AI695" s="271"/>
      <c r="AJ695" s="271"/>
      <c r="AK695" s="271"/>
      <c r="AL695" s="271"/>
      <c r="AM695" s="271"/>
      <c r="AN695" s="271"/>
    </row>
    <row r="696" spans="1:40" ht="12.75" customHeight="1">
      <c r="A696" s="278"/>
      <c r="B696" s="278"/>
      <c r="C696" s="278"/>
      <c r="D696" s="278"/>
      <c r="E696" s="278"/>
      <c r="F696" s="278"/>
      <c r="G696" s="278"/>
      <c r="H696" s="278"/>
      <c r="I696" s="278"/>
      <c r="J696" s="278"/>
      <c r="K696" s="278"/>
      <c r="L696" s="278"/>
      <c r="M696" s="278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  <c r="AA696" s="271"/>
      <c r="AB696" s="271"/>
      <c r="AC696" s="271"/>
      <c r="AD696" s="271"/>
      <c r="AE696" s="271"/>
      <c r="AF696" s="271"/>
      <c r="AG696" s="271"/>
      <c r="AH696" s="271"/>
      <c r="AI696" s="271"/>
      <c r="AJ696" s="271"/>
      <c r="AK696" s="271"/>
      <c r="AL696" s="271"/>
      <c r="AM696" s="271"/>
      <c r="AN696" s="271"/>
    </row>
    <row r="697" spans="1:40" ht="12.75" customHeight="1">
      <c r="A697" s="278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278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  <c r="AA697" s="271"/>
      <c r="AB697" s="271"/>
      <c r="AC697" s="271"/>
      <c r="AD697" s="271"/>
      <c r="AE697" s="271"/>
      <c r="AF697" s="271"/>
      <c r="AG697" s="271"/>
      <c r="AH697" s="271"/>
      <c r="AI697" s="271"/>
      <c r="AJ697" s="271"/>
      <c r="AK697" s="271"/>
      <c r="AL697" s="271"/>
      <c r="AM697" s="271"/>
      <c r="AN697" s="271"/>
    </row>
    <row r="698" spans="1:40" ht="12.75" customHeight="1">
      <c r="A698" s="278"/>
      <c r="B698" s="278"/>
      <c r="C698" s="278"/>
      <c r="D698" s="278"/>
      <c r="E698" s="278"/>
      <c r="F698" s="278"/>
      <c r="G698" s="278"/>
      <c r="H698" s="278"/>
      <c r="I698" s="278"/>
      <c r="J698" s="278"/>
      <c r="K698" s="278"/>
      <c r="L698" s="278"/>
      <c r="M698" s="278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  <c r="AA698" s="271"/>
      <c r="AB698" s="271"/>
      <c r="AC698" s="271"/>
      <c r="AD698" s="271"/>
      <c r="AE698" s="271"/>
      <c r="AF698" s="271"/>
      <c r="AG698" s="271"/>
      <c r="AH698" s="271"/>
      <c r="AI698" s="271"/>
      <c r="AJ698" s="271"/>
      <c r="AK698" s="271"/>
      <c r="AL698" s="271"/>
      <c r="AM698" s="271"/>
      <c r="AN698" s="271"/>
    </row>
    <row r="699" spans="1:40" ht="12.75" customHeight="1">
      <c r="A699" s="278"/>
      <c r="B699" s="278"/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  <c r="M699" s="278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  <c r="AA699" s="271"/>
      <c r="AB699" s="271"/>
      <c r="AC699" s="271"/>
      <c r="AD699" s="271"/>
      <c r="AE699" s="271"/>
      <c r="AF699" s="271"/>
      <c r="AG699" s="271"/>
      <c r="AH699" s="271"/>
      <c r="AI699" s="271"/>
      <c r="AJ699" s="271"/>
      <c r="AK699" s="271"/>
      <c r="AL699" s="271"/>
      <c r="AM699" s="271"/>
      <c r="AN699" s="271"/>
    </row>
    <row r="700" spans="1:40" ht="12.75" customHeight="1">
      <c r="A700" s="278"/>
      <c r="B700" s="278"/>
      <c r="C700" s="278"/>
      <c r="D700" s="278"/>
      <c r="E700" s="278"/>
      <c r="F700" s="278"/>
      <c r="G700" s="278"/>
      <c r="H700" s="278"/>
      <c r="I700" s="278"/>
      <c r="J700" s="278"/>
      <c r="K700" s="278"/>
      <c r="L700" s="278"/>
      <c r="M700" s="278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  <c r="AA700" s="271"/>
      <c r="AB700" s="271"/>
      <c r="AC700" s="271"/>
      <c r="AD700" s="271"/>
      <c r="AE700" s="271"/>
      <c r="AF700" s="271"/>
      <c r="AG700" s="271"/>
      <c r="AH700" s="271"/>
      <c r="AI700" s="271"/>
      <c r="AJ700" s="271"/>
      <c r="AK700" s="271"/>
      <c r="AL700" s="271"/>
      <c r="AM700" s="271"/>
      <c r="AN700" s="271"/>
    </row>
    <row r="701" spans="1:40" ht="12.75" customHeight="1">
      <c r="A701" s="278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278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  <c r="AA701" s="271"/>
      <c r="AB701" s="271"/>
      <c r="AC701" s="271"/>
      <c r="AD701" s="271"/>
      <c r="AE701" s="271"/>
      <c r="AF701" s="271"/>
      <c r="AG701" s="271"/>
      <c r="AH701" s="271"/>
      <c r="AI701" s="271"/>
      <c r="AJ701" s="271"/>
      <c r="AK701" s="271"/>
      <c r="AL701" s="271"/>
      <c r="AM701" s="271"/>
      <c r="AN701" s="271"/>
    </row>
    <row r="702" spans="1:40" ht="12.75" customHeight="1">
      <c r="A702" s="278"/>
      <c r="B702" s="278"/>
      <c r="C702" s="278"/>
      <c r="D702" s="278"/>
      <c r="E702" s="278"/>
      <c r="F702" s="278"/>
      <c r="G702" s="278"/>
      <c r="H702" s="278"/>
      <c r="I702" s="278"/>
      <c r="J702" s="278"/>
      <c r="K702" s="278"/>
      <c r="L702" s="278"/>
      <c r="M702" s="278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  <c r="AA702" s="271"/>
      <c r="AB702" s="271"/>
      <c r="AC702" s="271"/>
      <c r="AD702" s="271"/>
      <c r="AE702" s="271"/>
      <c r="AF702" s="271"/>
      <c r="AG702" s="271"/>
      <c r="AH702" s="271"/>
      <c r="AI702" s="271"/>
      <c r="AJ702" s="271"/>
      <c r="AK702" s="271"/>
      <c r="AL702" s="271"/>
      <c r="AM702" s="271"/>
      <c r="AN702" s="271"/>
    </row>
    <row r="703" spans="1:40" ht="12.75" customHeight="1">
      <c r="A703" s="278"/>
      <c r="B703" s="278"/>
      <c r="C703" s="278"/>
      <c r="D703" s="278"/>
      <c r="E703" s="278"/>
      <c r="F703" s="278"/>
      <c r="G703" s="278"/>
      <c r="H703" s="278"/>
      <c r="I703" s="278"/>
      <c r="J703" s="278"/>
      <c r="K703" s="278"/>
      <c r="L703" s="278"/>
      <c r="M703" s="278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  <c r="AA703" s="271"/>
      <c r="AB703" s="271"/>
      <c r="AC703" s="271"/>
      <c r="AD703" s="271"/>
      <c r="AE703" s="271"/>
      <c r="AF703" s="271"/>
      <c r="AG703" s="271"/>
      <c r="AH703" s="271"/>
      <c r="AI703" s="271"/>
      <c r="AJ703" s="271"/>
      <c r="AK703" s="271"/>
      <c r="AL703" s="271"/>
      <c r="AM703" s="271"/>
      <c r="AN703" s="271"/>
    </row>
    <row r="704" spans="1:40" ht="12.75" customHeight="1">
      <c r="A704" s="278"/>
      <c r="B704" s="278"/>
      <c r="C704" s="278"/>
      <c r="D704" s="278"/>
      <c r="E704" s="278"/>
      <c r="F704" s="278"/>
      <c r="G704" s="278"/>
      <c r="H704" s="278"/>
      <c r="I704" s="278"/>
      <c r="J704" s="278"/>
      <c r="K704" s="278"/>
      <c r="L704" s="278"/>
      <c r="M704" s="278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  <c r="AA704" s="271"/>
      <c r="AB704" s="271"/>
      <c r="AC704" s="271"/>
      <c r="AD704" s="271"/>
      <c r="AE704" s="271"/>
      <c r="AF704" s="271"/>
      <c r="AG704" s="271"/>
      <c r="AH704" s="271"/>
      <c r="AI704" s="271"/>
      <c r="AJ704" s="271"/>
      <c r="AK704" s="271"/>
      <c r="AL704" s="271"/>
      <c r="AM704" s="271"/>
      <c r="AN704" s="271"/>
    </row>
    <row r="705" spans="1:40" ht="12.75" customHeight="1">
      <c r="A705" s="278"/>
      <c r="B705" s="278"/>
      <c r="C705" s="278"/>
      <c r="D705" s="278"/>
      <c r="E705" s="278"/>
      <c r="F705" s="278"/>
      <c r="G705" s="278"/>
      <c r="H705" s="278"/>
      <c r="I705" s="278"/>
      <c r="J705" s="278"/>
      <c r="K705" s="278"/>
      <c r="L705" s="278"/>
      <c r="M705" s="278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  <c r="AA705" s="271"/>
      <c r="AB705" s="271"/>
      <c r="AC705" s="271"/>
      <c r="AD705" s="271"/>
      <c r="AE705" s="271"/>
      <c r="AF705" s="271"/>
      <c r="AG705" s="271"/>
      <c r="AH705" s="271"/>
      <c r="AI705" s="271"/>
      <c r="AJ705" s="271"/>
      <c r="AK705" s="271"/>
      <c r="AL705" s="271"/>
      <c r="AM705" s="271"/>
      <c r="AN705" s="271"/>
    </row>
    <row r="706" spans="1:40" ht="12.75" customHeight="1">
      <c r="A706" s="278"/>
      <c r="B706" s="278"/>
      <c r="C706" s="278"/>
      <c r="D706" s="278"/>
      <c r="E706" s="278"/>
      <c r="F706" s="278"/>
      <c r="G706" s="278"/>
      <c r="H706" s="278"/>
      <c r="I706" s="278"/>
      <c r="J706" s="278"/>
      <c r="K706" s="278"/>
      <c r="L706" s="278"/>
      <c r="M706" s="278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  <c r="AA706" s="271"/>
      <c r="AB706" s="271"/>
      <c r="AC706" s="271"/>
      <c r="AD706" s="271"/>
      <c r="AE706" s="271"/>
      <c r="AF706" s="271"/>
      <c r="AG706" s="271"/>
      <c r="AH706" s="271"/>
      <c r="AI706" s="271"/>
      <c r="AJ706" s="271"/>
      <c r="AK706" s="271"/>
      <c r="AL706" s="271"/>
      <c r="AM706" s="271"/>
      <c r="AN706" s="271"/>
    </row>
    <row r="707" spans="1:40" ht="12.75" customHeight="1">
      <c r="A707" s="278"/>
      <c r="B707" s="278"/>
      <c r="C707" s="278"/>
      <c r="D707" s="278"/>
      <c r="E707" s="278"/>
      <c r="F707" s="278"/>
      <c r="G707" s="278"/>
      <c r="H707" s="278"/>
      <c r="I707" s="278"/>
      <c r="J707" s="278"/>
      <c r="K707" s="278"/>
      <c r="L707" s="278"/>
      <c r="M707" s="278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  <c r="AA707" s="271"/>
      <c r="AB707" s="271"/>
      <c r="AC707" s="271"/>
      <c r="AD707" s="271"/>
      <c r="AE707" s="271"/>
      <c r="AF707" s="271"/>
      <c r="AG707" s="271"/>
      <c r="AH707" s="271"/>
      <c r="AI707" s="271"/>
      <c r="AJ707" s="271"/>
      <c r="AK707" s="271"/>
      <c r="AL707" s="271"/>
      <c r="AM707" s="271"/>
      <c r="AN707" s="271"/>
    </row>
    <row r="708" spans="1:40" ht="12.75" customHeight="1">
      <c r="A708" s="278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  <c r="AA708" s="271"/>
      <c r="AB708" s="271"/>
      <c r="AC708" s="271"/>
      <c r="AD708" s="271"/>
      <c r="AE708" s="271"/>
      <c r="AF708" s="271"/>
      <c r="AG708" s="271"/>
      <c r="AH708" s="271"/>
      <c r="AI708" s="271"/>
      <c r="AJ708" s="271"/>
      <c r="AK708" s="271"/>
      <c r="AL708" s="271"/>
      <c r="AM708" s="271"/>
      <c r="AN708" s="271"/>
    </row>
    <row r="709" spans="1:40" ht="12.75" customHeight="1">
      <c r="A709" s="278"/>
      <c r="B709" s="278"/>
      <c r="C709" s="278"/>
      <c r="D709" s="278"/>
      <c r="E709" s="278"/>
      <c r="F709" s="278"/>
      <c r="G709" s="278"/>
      <c r="H709" s="278"/>
      <c r="I709" s="278"/>
      <c r="J709" s="278"/>
      <c r="K709" s="278"/>
      <c r="L709" s="278"/>
      <c r="M709" s="278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  <c r="AA709" s="271"/>
      <c r="AB709" s="271"/>
      <c r="AC709" s="271"/>
      <c r="AD709" s="271"/>
      <c r="AE709" s="271"/>
      <c r="AF709" s="271"/>
      <c r="AG709" s="271"/>
      <c r="AH709" s="271"/>
      <c r="AI709" s="271"/>
      <c r="AJ709" s="271"/>
      <c r="AK709" s="271"/>
      <c r="AL709" s="271"/>
      <c r="AM709" s="271"/>
      <c r="AN709" s="271"/>
    </row>
    <row r="710" spans="1:40" ht="12.75" customHeight="1">
      <c r="A710" s="278"/>
      <c r="B710" s="278"/>
      <c r="C710" s="278"/>
      <c r="D710" s="278"/>
      <c r="E710" s="278"/>
      <c r="F710" s="278"/>
      <c r="G710" s="278"/>
      <c r="H710" s="278"/>
      <c r="I710" s="278"/>
      <c r="J710" s="278"/>
      <c r="K710" s="278"/>
      <c r="L710" s="278"/>
      <c r="M710" s="278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  <c r="AA710" s="271"/>
      <c r="AB710" s="271"/>
      <c r="AC710" s="271"/>
      <c r="AD710" s="271"/>
      <c r="AE710" s="271"/>
      <c r="AF710" s="271"/>
      <c r="AG710" s="271"/>
      <c r="AH710" s="271"/>
      <c r="AI710" s="271"/>
      <c r="AJ710" s="271"/>
      <c r="AK710" s="271"/>
      <c r="AL710" s="271"/>
      <c r="AM710" s="271"/>
      <c r="AN710" s="271"/>
    </row>
    <row r="711" spans="1:40" ht="12.75" customHeight="1">
      <c r="A711" s="278"/>
      <c r="B711" s="278"/>
      <c r="C711" s="278"/>
      <c r="D711" s="278"/>
      <c r="E711" s="278"/>
      <c r="F711" s="278"/>
      <c r="G711" s="278"/>
      <c r="H711" s="278"/>
      <c r="I711" s="278"/>
      <c r="J711" s="278"/>
      <c r="K711" s="278"/>
      <c r="L711" s="278"/>
      <c r="M711" s="278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  <c r="AA711" s="271"/>
      <c r="AB711" s="271"/>
      <c r="AC711" s="271"/>
      <c r="AD711" s="271"/>
      <c r="AE711" s="271"/>
      <c r="AF711" s="271"/>
      <c r="AG711" s="271"/>
      <c r="AH711" s="271"/>
      <c r="AI711" s="271"/>
      <c r="AJ711" s="271"/>
      <c r="AK711" s="271"/>
      <c r="AL711" s="271"/>
      <c r="AM711" s="271"/>
      <c r="AN711" s="271"/>
    </row>
    <row r="712" spans="1:40" ht="12.75" customHeight="1">
      <c r="A712" s="278"/>
      <c r="B712" s="278"/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  <c r="M712" s="278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  <c r="AA712" s="271"/>
      <c r="AB712" s="271"/>
      <c r="AC712" s="271"/>
      <c r="AD712" s="271"/>
      <c r="AE712" s="271"/>
      <c r="AF712" s="271"/>
      <c r="AG712" s="271"/>
      <c r="AH712" s="271"/>
      <c r="AI712" s="271"/>
      <c r="AJ712" s="271"/>
      <c r="AK712" s="271"/>
      <c r="AL712" s="271"/>
      <c r="AM712" s="271"/>
      <c r="AN712" s="271"/>
    </row>
    <row r="713" spans="1:40" ht="12.75" customHeight="1">
      <c r="A713" s="278"/>
      <c r="B713" s="278"/>
      <c r="C713" s="278"/>
      <c r="D713" s="278"/>
      <c r="E713" s="278"/>
      <c r="F713" s="278"/>
      <c r="G713" s="278"/>
      <c r="H713" s="278"/>
      <c r="I713" s="278"/>
      <c r="J713" s="278"/>
      <c r="K713" s="278"/>
      <c r="L713" s="278"/>
      <c r="M713" s="278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  <c r="AA713" s="271"/>
      <c r="AB713" s="271"/>
      <c r="AC713" s="271"/>
      <c r="AD713" s="271"/>
      <c r="AE713" s="271"/>
      <c r="AF713" s="271"/>
      <c r="AG713" s="271"/>
      <c r="AH713" s="271"/>
      <c r="AI713" s="271"/>
      <c r="AJ713" s="271"/>
      <c r="AK713" s="271"/>
      <c r="AL713" s="271"/>
      <c r="AM713" s="271"/>
      <c r="AN713" s="271"/>
    </row>
    <row r="714" spans="1:40" ht="12.75" customHeight="1">
      <c r="A714" s="278"/>
      <c r="B714" s="278"/>
      <c r="C714" s="278"/>
      <c r="D714" s="278"/>
      <c r="E714" s="278"/>
      <c r="F714" s="278"/>
      <c r="G714" s="278"/>
      <c r="H714" s="278"/>
      <c r="I714" s="278"/>
      <c r="J714" s="278"/>
      <c r="K714" s="278"/>
      <c r="L714" s="278"/>
      <c r="M714" s="278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  <c r="AA714" s="271"/>
      <c r="AB714" s="271"/>
      <c r="AC714" s="271"/>
      <c r="AD714" s="271"/>
      <c r="AE714" s="271"/>
      <c r="AF714" s="271"/>
      <c r="AG714" s="271"/>
      <c r="AH714" s="271"/>
      <c r="AI714" s="271"/>
      <c r="AJ714" s="271"/>
      <c r="AK714" s="271"/>
      <c r="AL714" s="271"/>
      <c r="AM714" s="271"/>
      <c r="AN714" s="271"/>
    </row>
    <row r="715" spans="1:40" ht="12.75" customHeight="1">
      <c r="A715" s="278"/>
      <c r="B715" s="278"/>
      <c r="C715" s="278"/>
      <c r="D715" s="278"/>
      <c r="E715" s="278"/>
      <c r="F715" s="278"/>
      <c r="G715" s="278"/>
      <c r="H715" s="278"/>
      <c r="I715" s="278"/>
      <c r="J715" s="278"/>
      <c r="K715" s="278"/>
      <c r="L715" s="278"/>
      <c r="M715" s="278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  <c r="AA715" s="271"/>
      <c r="AB715" s="271"/>
      <c r="AC715" s="271"/>
      <c r="AD715" s="271"/>
      <c r="AE715" s="271"/>
      <c r="AF715" s="271"/>
      <c r="AG715" s="271"/>
      <c r="AH715" s="271"/>
      <c r="AI715" s="271"/>
      <c r="AJ715" s="271"/>
      <c r="AK715" s="271"/>
      <c r="AL715" s="271"/>
      <c r="AM715" s="271"/>
      <c r="AN715" s="271"/>
    </row>
    <row r="716" spans="1:40" ht="12.75" customHeight="1">
      <c r="A716" s="278"/>
      <c r="B716" s="278"/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  <c r="M716" s="278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  <c r="AA716" s="271"/>
      <c r="AB716" s="271"/>
      <c r="AC716" s="271"/>
      <c r="AD716" s="271"/>
      <c r="AE716" s="271"/>
      <c r="AF716" s="271"/>
      <c r="AG716" s="271"/>
      <c r="AH716" s="271"/>
      <c r="AI716" s="271"/>
      <c r="AJ716" s="271"/>
      <c r="AK716" s="271"/>
      <c r="AL716" s="271"/>
      <c r="AM716" s="271"/>
      <c r="AN716" s="271"/>
    </row>
    <row r="717" spans="1:40" ht="12.75" customHeight="1">
      <c r="A717" s="278"/>
      <c r="B717" s="278"/>
      <c r="C717" s="278"/>
      <c r="D717" s="278"/>
      <c r="E717" s="278"/>
      <c r="F717" s="278"/>
      <c r="G717" s="278"/>
      <c r="H717" s="278"/>
      <c r="I717" s="278"/>
      <c r="J717" s="278"/>
      <c r="K717" s="278"/>
      <c r="L717" s="278"/>
      <c r="M717" s="278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  <c r="AA717" s="271"/>
      <c r="AB717" s="271"/>
      <c r="AC717" s="271"/>
      <c r="AD717" s="271"/>
      <c r="AE717" s="271"/>
      <c r="AF717" s="271"/>
      <c r="AG717" s="271"/>
      <c r="AH717" s="271"/>
      <c r="AI717" s="271"/>
      <c r="AJ717" s="271"/>
      <c r="AK717" s="271"/>
      <c r="AL717" s="271"/>
      <c r="AM717" s="271"/>
      <c r="AN717" s="271"/>
    </row>
    <row r="718" spans="1:40" ht="12.75" customHeight="1">
      <c r="A718" s="278"/>
      <c r="B718" s="278"/>
      <c r="C718" s="278"/>
      <c r="D718" s="278"/>
      <c r="E718" s="278"/>
      <c r="F718" s="278"/>
      <c r="G718" s="278"/>
      <c r="H718" s="278"/>
      <c r="I718" s="278"/>
      <c r="J718" s="278"/>
      <c r="K718" s="278"/>
      <c r="L718" s="278"/>
      <c r="M718" s="278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  <c r="AA718" s="271"/>
      <c r="AB718" s="271"/>
      <c r="AC718" s="271"/>
      <c r="AD718" s="271"/>
      <c r="AE718" s="271"/>
      <c r="AF718" s="271"/>
      <c r="AG718" s="271"/>
      <c r="AH718" s="271"/>
      <c r="AI718" s="271"/>
      <c r="AJ718" s="271"/>
      <c r="AK718" s="271"/>
      <c r="AL718" s="271"/>
      <c r="AM718" s="271"/>
      <c r="AN718" s="271"/>
    </row>
    <row r="719" spans="1:40" ht="12.75" customHeight="1">
      <c r="A719" s="278"/>
      <c r="B719" s="278"/>
      <c r="C719" s="278"/>
      <c r="D719" s="278"/>
      <c r="E719" s="278"/>
      <c r="F719" s="278"/>
      <c r="G719" s="278"/>
      <c r="H719" s="278"/>
      <c r="I719" s="278"/>
      <c r="J719" s="278"/>
      <c r="K719" s="278"/>
      <c r="L719" s="278"/>
      <c r="M719" s="278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  <c r="AA719" s="271"/>
      <c r="AB719" s="271"/>
      <c r="AC719" s="271"/>
      <c r="AD719" s="271"/>
      <c r="AE719" s="271"/>
      <c r="AF719" s="271"/>
      <c r="AG719" s="271"/>
      <c r="AH719" s="271"/>
      <c r="AI719" s="271"/>
      <c r="AJ719" s="271"/>
      <c r="AK719" s="271"/>
      <c r="AL719" s="271"/>
      <c r="AM719" s="271"/>
      <c r="AN719" s="271"/>
    </row>
    <row r="720" spans="1:40" ht="12.75" customHeight="1">
      <c r="A720" s="278"/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278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  <c r="AA720" s="271"/>
      <c r="AB720" s="271"/>
      <c r="AC720" s="271"/>
      <c r="AD720" s="271"/>
      <c r="AE720" s="271"/>
      <c r="AF720" s="271"/>
      <c r="AG720" s="271"/>
      <c r="AH720" s="271"/>
      <c r="AI720" s="271"/>
      <c r="AJ720" s="271"/>
      <c r="AK720" s="271"/>
      <c r="AL720" s="271"/>
      <c r="AM720" s="271"/>
      <c r="AN720" s="271"/>
    </row>
    <row r="721" spans="1:40" ht="12.75" customHeight="1">
      <c r="A721" s="278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278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  <c r="AA721" s="271"/>
      <c r="AB721" s="271"/>
      <c r="AC721" s="271"/>
      <c r="AD721" s="271"/>
      <c r="AE721" s="271"/>
      <c r="AF721" s="271"/>
      <c r="AG721" s="271"/>
      <c r="AH721" s="271"/>
      <c r="AI721" s="271"/>
      <c r="AJ721" s="271"/>
      <c r="AK721" s="271"/>
      <c r="AL721" s="271"/>
      <c r="AM721" s="271"/>
      <c r="AN721" s="271"/>
    </row>
    <row r="722" spans="1:40" ht="12.75" customHeight="1">
      <c r="A722" s="278"/>
      <c r="B722" s="278"/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  <c r="M722" s="278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  <c r="AA722" s="271"/>
      <c r="AB722" s="271"/>
      <c r="AC722" s="271"/>
      <c r="AD722" s="271"/>
      <c r="AE722" s="271"/>
      <c r="AF722" s="271"/>
      <c r="AG722" s="271"/>
      <c r="AH722" s="271"/>
      <c r="AI722" s="271"/>
      <c r="AJ722" s="271"/>
      <c r="AK722" s="271"/>
      <c r="AL722" s="271"/>
      <c r="AM722" s="271"/>
      <c r="AN722" s="271"/>
    </row>
    <row r="723" spans="1:40" ht="12.75" customHeight="1">
      <c r="A723" s="278"/>
      <c r="B723" s="278"/>
      <c r="C723" s="278"/>
      <c r="D723" s="278"/>
      <c r="E723" s="278"/>
      <c r="F723" s="278"/>
      <c r="G723" s="278"/>
      <c r="H723" s="278"/>
      <c r="I723" s="278"/>
      <c r="J723" s="278"/>
      <c r="K723" s="278"/>
      <c r="L723" s="278"/>
      <c r="M723" s="278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  <c r="AA723" s="271"/>
      <c r="AB723" s="271"/>
      <c r="AC723" s="271"/>
      <c r="AD723" s="271"/>
      <c r="AE723" s="271"/>
      <c r="AF723" s="271"/>
      <c r="AG723" s="271"/>
      <c r="AH723" s="271"/>
      <c r="AI723" s="271"/>
      <c r="AJ723" s="271"/>
      <c r="AK723" s="271"/>
      <c r="AL723" s="271"/>
      <c r="AM723" s="271"/>
      <c r="AN723" s="271"/>
    </row>
    <row r="724" spans="1:40" ht="12.75" customHeight="1">
      <c r="A724" s="278"/>
      <c r="B724" s="278"/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  <c r="M724" s="278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  <c r="AA724" s="271"/>
      <c r="AB724" s="271"/>
      <c r="AC724" s="271"/>
      <c r="AD724" s="271"/>
      <c r="AE724" s="271"/>
      <c r="AF724" s="271"/>
      <c r="AG724" s="271"/>
      <c r="AH724" s="271"/>
      <c r="AI724" s="271"/>
      <c r="AJ724" s="271"/>
      <c r="AK724" s="271"/>
      <c r="AL724" s="271"/>
      <c r="AM724" s="271"/>
      <c r="AN724" s="271"/>
    </row>
    <row r="725" spans="1:40" ht="12.75" customHeight="1">
      <c r="A725" s="278"/>
      <c r="B725" s="278"/>
      <c r="C725" s="278"/>
      <c r="D725" s="278"/>
      <c r="E725" s="278"/>
      <c r="F725" s="278"/>
      <c r="G725" s="278"/>
      <c r="H725" s="278"/>
      <c r="I725" s="278"/>
      <c r="J725" s="278"/>
      <c r="K725" s="278"/>
      <c r="L725" s="278"/>
      <c r="M725" s="278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  <c r="AA725" s="271"/>
      <c r="AB725" s="271"/>
      <c r="AC725" s="271"/>
      <c r="AD725" s="271"/>
      <c r="AE725" s="271"/>
      <c r="AF725" s="271"/>
      <c r="AG725" s="271"/>
      <c r="AH725" s="271"/>
      <c r="AI725" s="271"/>
      <c r="AJ725" s="271"/>
      <c r="AK725" s="271"/>
      <c r="AL725" s="271"/>
      <c r="AM725" s="271"/>
      <c r="AN725" s="271"/>
    </row>
    <row r="726" spans="1:40" ht="12.75" customHeight="1">
      <c r="A726" s="278"/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278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  <c r="AA726" s="271"/>
      <c r="AB726" s="271"/>
      <c r="AC726" s="271"/>
      <c r="AD726" s="271"/>
      <c r="AE726" s="271"/>
      <c r="AF726" s="271"/>
      <c r="AG726" s="271"/>
      <c r="AH726" s="271"/>
      <c r="AI726" s="271"/>
      <c r="AJ726" s="271"/>
      <c r="AK726" s="271"/>
      <c r="AL726" s="271"/>
      <c r="AM726" s="271"/>
      <c r="AN726" s="271"/>
    </row>
    <row r="727" spans="1:40" ht="12.75" customHeight="1">
      <c r="A727" s="278"/>
      <c r="B727" s="278"/>
      <c r="C727" s="278"/>
      <c r="D727" s="278"/>
      <c r="E727" s="278"/>
      <c r="F727" s="278"/>
      <c r="G727" s="278"/>
      <c r="H727" s="278"/>
      <c r="I727" s="278"/>
      <c r="J727" s="278"/>
      <c r="K727" s="278"/>
      <c r="L727" s="278"/>
      <c r="M727" s="278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  <c r="AA727" s="271"/>
      <c r="AB727" s="271"/>
      <c r="AC727" s="271"/>
      <c r="AD727" s="271"/>
      <c r="AE727" s="271"/>
      <c r="AF727" s="271"/>
      <c r="AG727" s="271"/>
      <c r="AH727" s="271"/>
      <c r="AI727" s="271"/>
      <c r="AJ727" s="271"/>
      <c r="AK727" s="271"/>
      <c r="AL727" s="271"/>
      <c r="AM727" s="271"/>
      <c r="AN727" s="271"/>
    </row>
    <row r="728" spans="1:40" ht="12.75" customHeight="1">
      <c r="A728" s="278"/>
      <c r="B728" s="278"/>
      <c r="C728" s="278"/>
      <c r="D728" s="278"/>
      <c r="E728" s="278"/>
      <c r="F728" s="278"/>
      <c r="G728" s="278"/>
      <c r="H728" s="278"/>
      <c r="I728" s="278"/>
      <c r="J728" s="278"/>
      <c r="K728" s="278"/>
      <c r="L728" s="278"/>
      <c r="M728" s="278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  <c r="AA728" s="271"/>
      <c r="AB728" s="271"/>
      <c r="AC728" s="271"/>
      <c r="AD728" s="271"/>
      <c r="AE728" s="271"/>
      <c r="AF728" s="271"/>
      <c r="AG728" s="271"/>
      <c r="AH728" s="271"/>
      <c r="AI728" s="271"/>
      <c r="AJ728" s="271"/>
      <c r="AK728" s="271"/>
      <c r="AL728" s="271"/>
      <c r="AM728" s="271"/>
      <c r="AN728" s="271"/>
    </row>
    <row r="729" spans="1:40" ht="12.75" customHeight="1">
      <c r="A729" s="278"/>
      <c r="B729" s="278"/>
      <c r="C729" s="278"/>
      <c r="D729" s="278"/>
      <c r="E729" s="278"/>
      <c r="F729" s="278"/>
      <c r="G729" s="278"/>
      <c r="H729" s="278"/>
      <c r="I729" s="278"/>
      <c r="J729" s="278"/>
      <c r="K729" s="278"/>
      <c r="L729" s="278"/>
      <c r="M729" s="278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  <c r="AA729" s="271"/>
      <c r="AB729" s="271"/>
      <c r="AC729" s="271"/>
      <c r="AD729" s="271"/>
      <c r="AE729" s="271"/>
      <c r="AF729" s="271"/>
      <c r="AG729" s="271"/>
      <c r="AH729" s="271"/>
      <c r="AI729" s="271"/>
      <c r="AJ729" s="271"/>
      <c r="AK729" s="271"/>
      <c r="AL729" s="271"/>
      <c r="AM729" s="271"/>
      <c r="AN729" s="271"/>
    </row>
    <row r="730" spans="1:40" ht="12.75" customHeight="1">
      <c r="A730" s="278"/>
      <c r="B730" s="278"/>
      <c r="C730" s="278"/>
      <c r="D730" s="278"/>
      <c r="E730" s="278"/>
      <c r="F730" s="278"/>
      <c r="G730" s="278"/>
      <c r="H730" s="278"/>
      <c r="I730" s="278"/>
      <c r="J730" s="278"/>
      <c r="K730" s="278"/>
      <c r="L730" s="278"/>
      <c r="M730" s="278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  <c r="AA730" s="271"/>
      <c r="AB730" s="271"/>
      <c r="AC730" s="271"/>
      <c r="AD730" s="271"/>
      <c r="AE730" s="271"/>
      <c r="AF730" s="271"/>
      <c r="AG730" s="271"/>
      <c r="AH730" s="271"/>
      <c r="AI730" s="271"/>
      <c r="AJ730" s="271"/>
      <c r="AK730" s="271"/>
      <c r="AL730" s="271"/>
      <c r="AM730" s="271"/>
      <c r="AN730" s="271"/>
    </row>
    <row r="731" spans="1:40" ht="12.75" customHeight="1">
      <c r="A731" s="278"/>
      <c r="B731" s="278"/>
      <c r="C731" s="278"/>
      <c r="D731" s="278"/>
      <c r="E731" s="278"/>
      <c r="F731" s="278"/>
      <c r="G731" s="278"/>
      <c r="H731" s="278"/>
      <c r="I731" s="278"/>
      <c r="J731" s="278"/>
      <c r="K731" s="278"/>
      <c r="L731" s="278"/>
      <c r="M731" s="278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  <c r="AA731" s="271"/>
      <c r="AB731" s="271"/>
      <c r="AC731" s="271"/>
      <c r="AD731" s="271"/>
      <c r="AE731" s="271"/>
      <c r="AF731" s="271"/>
      <c r="AG731" s="271"/>
      <c r="AH731" s="271"/>
      <c r="AI731" s="271"/>
      <c r="AJ731" s="271"/>
      <c r="AK731" s="271"/>
      <c r="AL731" s="271"/>
      <c r="AM731" s="271"/>
      <c r="AN731" s="271"/>
    </row>
    <row r="732" spans="1:40" ht="12.75" customHeight="1">
      <c r="A732" s="278"/>
      <c r="B732" s="278"/>
      <c r="C732" s="278"/>
      <c r="D732" s="278"/>
      <c r="E732" s="278"/>
      <c r="F732" s="278"/>
      <c r="G732" s="278"/>
      <c r="H732" s="278"/>
      <c r="I732" s="278"/>
      <c r="J732" s="278"/>
      <c r="K732" s="278"/>
      <c r="L732" s="278"/>
      <c r="M732" s="278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  <c r="AA732" s="271"/>
      <c r="AB732" s="271"/>
      <c r="AC732" s="271"/>
      <c r="AD732" s="271"/>
      <c r="AE732" s="271"/>
      <c r="AF732" s="271"/>
      <c r="AG732" s="271"/>
      <c r="AH732" s="271"/>
      <c r="AI732" s="271"/>
      <c r="AJ732" s="271"/>
      <c r="AK732" s="271"/>
      <c r="AL732" s="271"/>
      <c r="AM732" s="271"/>
      <c r="AN732" s="271"/>
    </row>
    <row r="733" spans="1:40" ht="12.75" customHeight="1">
      <c r="A733" s="278"/>
      <c r="B733" s="278"/>
      <c r="C733" s="278"/>
      <c r="D733" s="278"/>
      <c r="E733" s="278"/>
      <c r="F733" s="278"/>
      <c r="G733" s="278"/>
      <c r="H733" s="278"/>
      <c r="I733" s="278"/>
      <c r="J733" s="278"/>
      <c r="K733" s="278"/>
      <c r="L733" s="278"/>
      <c r="M733" s="278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  <c r="AA733" s="271"/>
      <c r="AB733" s="271"/>
      <c r="AC733" s="271"/>
      <c r="AD733" s="271"/>
      <c r="AE733" s="271"/>
      <c r="AF733" s="271"/>
      <c r="AG733" s="271"/>
      <c r="AH733" s="271"/>
      <c r="AI733" s="271"/>
      <c r="AJ733" s="271"/>
      <c r="AK733" s="271"/>
      <c r="AL733" s="271"/>
      <c r="AM733" s="271"/>
      <c r="AN733" s="271"/>
    </row>
    <row r="734" spans="1:40" ht="12.75" customHeight="1">
      <c r="A734" s="278"/>
      <c r="B734" s="278"/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  <c r="M734" s="278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  <c r="AA734" s="271"/>
      <c r="AB734" s="271"/>
      <c r="AC734" s="271"/>
      <c r="AD734" s="271"/>
      <c r="AE734" s="271"/>
      <c r="AF734" s="271"/>
      <c r="AG734" s="271"/>
      <c r="AH734" s="271"/>
      <c r="AI734" s="271"/>
      <c r="AJ734" s="271"/>
      <c r="AK734" s="271"/>
      <c r="AL734" s="271"/>
      <c r="AM734" s="271"/>
      <c r="AN734" s="271"/>
    </row>
    <row r="735" spans="1:40" ht="12.75" customHeight="1">
      <c r="A735" s="278"/>
      <c r="B735" s="278"/>
      <c r="C735" s="278"/>
      <c r="D735" s="278"/>
      <c r="E735" s="278"/>
      <c r="F735" s="278"/>
      <c r="G735" s="278"/>
      <c r="H735" s="278"/>
      <c r="I735" s="278"/>
      <c r="J735" s="278"/>
      <c r="K735" s="278"/>
      <c r="L735" s="278"/>
      <c r="M735" s="278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  <c r="AA735" s="271"/>
      <c r="AB735" s="271"/>
      <c r="AC735" s="271"/>
      <c r="AD735" s="271"/>
      <c r="AE735" s="271"/>
      <c r="AF735" s="271"/>
      <c r="AG735" s="271"/>
      <c r="AH735" s="271"/>
      <c r="AI735" s="271"/>
      <c r="AJ735" s="271"/>
      <c r="AK735" s="271"/>
      <c r="AL735" s="271"/>
      <c r="AM735" s="271"/>
      <c r="AN735" s="271"/>
    </row>
    <row r="736" spans="1:40" ht="12.75" customHeight="1">
      <c r="A736" s="278"/>
      <c r="B736" s="278"/>
      <c r="C736" s="278"/>
      <c r="D736" s="278"/>
      <c r="E736" s="278"/>
      <c r="F736" s="278"/>
      <c r="G736" s="278"/>
      <c r="H736" s="278"/>
      <c r="I736" s="278"/>
      <c r="J736" s="278"/>
      <c r="K736" s="278"/>
      <c r="L736" s="278"/>
      <c r="M736" s="278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  <c r="AA736" s="271"/>
      <c r="AB736" s="271"/>
      <c r="AC736" s="271"/>
      <c r="AD736" s="271"/>
      <c r="AE736" s="271"/>
      <c r="AF736" s="271"/>
      <c r="AG736" s="271"/>
      <c r="AH736" s="271"/>
      <c r="AI736" s="271"/>
      <c r="AJ736" s="271"/>
      <c r="AK736" s="271"/>
      <c r="AL736" s="271"/>
      <c r="AM736" s="271"/>
      <c r="AN736" s="271"/>
    </row>
    <row r="737" spans="1:40" ht="12.75" customHeight="1">
      <c r="A737" s="278"/>
      <c r="B737" s="278"/>
      <c r="C737" s="278"/>
      <c r="D737" s="278"/>
      <c r="E737" s="278"/>
      <c r="F737" s="278"/>
      <c r="G737" s="278"/>
      <c r="H737" s="278"/>
      <c r="I737" s="278"/>
      <c r="J737" s="278"/>
      <c r="K737" s="278"/>
      <c r="L737" s="278"/>
      <c r="M737" s="278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  <c r="AA737" s="271"/>
      <c r="AB737" s="271"/>
      <c r="AC737" s="271"/>
      <c r="AD737" s="271"/>
      <c r="AE737" s="271"/>
      <c r="AF737" s="271"/>
      <c r="AG737" s="271"/>
      <c r="AH737" s="271"/>
      <c r="AI737" s="271"/>
      <c r="AJ737" s="271"/>
      <c r="AK737" s="271"/>
      <c r="AL737" s="271"/>
      <c r="AM737" s="271"/>
      <c r="AN737" s="271"/>
    </row>
    <row r="738" spans="1:40" ht="12.75" customHeight="1">
      <c r="A738" s="278"/>
      <c r="B738" s="278"/>
      <c r="C738" s="278"/>
      <c r="D738" s="278"/>
      <c r="E738" s="278"/>
      <c r="F738" s="278"/>
      <c r="G738" s="278"/>
      <c r="H738" s="278"/>
      <c r="I738" s="278"/>
      <c r="J738" s="278"/>
      <c r="K738" s="278"/>
      <c r="L738" s="278"/>
      <c r="M738" s="278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  <c r="AA738" s="271"/>
      <c r="AB738" s="271"/>
      <c r="AC738" s="271"/>
      <c r="AD738" s="271"/>
      <c r="AE738" s="271"/>
      <c r="AF738" s="271"/>
      <c r="AG738" s="271"/>
      <c r="AH738" s="271"/>
      <c r="AI738" s="271"/>
      <c r="AJ738" s="271"/>
      <c r="AK738" s="271"/>
      <c r="AL738" s="271"/>
      <c r="AM738" s="271"/>
      <c r="AN738" s="271"/>
    </row>
    <row r="739" spans="1:40" ht="12.75" customHeight="1">
      <c r="A739" s="278"/>
      <c r="B739" s="278"/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  <c r="M739" s="278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  <c r="AA739" s="271"/>
      <c r="AB739" s="271"/>
      <c r="AC739" s="271"/>
      <c r="AD739" s="271"/>
      <c r="AE739" s="271"/>
      <c r="AF739" s="271"/>
      <c r="AG739" s="271"/>
      <c r="AH739" s="271"/>
      <c r="AI739" s="271"/>
      <c r="AJ739" s="271"/>
      <c r="AK739" s="271"/>
      <c r="AL739" s="271"/>
      <c r="AM739" s="271"/>
      <c r="AN739" s="271"/>
    </row>
    <row r="740" spans="1:40" ht="12.75" customHeight="1">
      <c r="A740" s="278"/>
      <c r="B740" s="278"/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  <c r="M740" s="278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  <c r="AA740" s="271"/>
      <c r="AB740" s="271"/>
      <c r="AC740" s="271"/>
      <c r="AD740" s="271"/>
      <c r="AE740" s="271"/>
      <c r="AF740" s="271"/>
      <c r="AG740" s="271"/>
      <c r="AH740" s="271"/>
      <c r="AI740" s="271"/>
      <c r="AJ740" s="271"/>
      <c r="AK740" s="271"/>
      <c r="AL740" s="271"/>
      <c r="AM740" s="271"/>
      <c r="AN740" s="271"/>
    </row>
    <row r="741" spans="1:40" ht="12.75" customHeight="1">
      <c r="A741" s="278"/>
      <c r="B741" s="278"/>
      <c r="C741" s="278"/>
      <c r="D741" s="278"/>
      <c r="E741" s="278"/>
      <c r="F741" s="278"/>
      <c r="G741" s="278"/>
      <c r="H741" s="278"/>
      <c r="I741" s="278"/>
      <c r="J741" s="278"/>
      <c r="K741" s="278"/>
      <c r="L741" s="278"/>
      <c r="M741" s="278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  <c r="AA741" s="271"/>
      <c r="AB741" s="271"/>
      <c r="AC741" s="271"/>
      <c r="AD741" s="271"/>
      <c r="AE741" s="271"/>
      <c r="AF741" s="271"/>
      <c r="AG741" s="271"/>
      <c r="AH741" s="271"/>
      <c r="AI741" s="271"/>
      <c r="AJ741" s="271"/>
      <c r="AK741" s="271"/>
      <c r="AL741" s="271"/>
      <c r="AM741" s="271"/>
      <c r="AN741" s="271"/>
    </row>
    <row r="742" spans="1:40" ht="12.75" customHeight="1">
      <c r="A742" s="278"/>
      <c r="B742" s="278"/>
      <c r="C742" s="278"/>
      <c r="D742" s="278"/>
      <c r="E742" s="278"/>
      <c r="F742" s="278"/>
      <c r="G742" s="278"/>
      <c r="H742" s="278"/>
      <c r="I742" s="278"/>
      <c r="J742" s="278"/>
      <c r="K742" s="278"/>
      <c r="L742" s="278"/>
      <c r="M742" s="278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  <c r="AA742" s="271"/>
      <c r="AB742" s="271"/>
      <c r="AC742" s="271"/>
      <c r="AD742" s="271"/>
      <c r="AE742" s="271"/>
      <c r="AF742" s="271"/>
      <c r="AG742" s="271"/>
      <c r="AH742" s="271"/>
      <c r="AI742" s="271"/>
      <c r="AJ742" s="271"/>
      <c r="AK742" s="271"/>
      <c r="AL742" s="271"/>
      <c r="AM742" s="271"/>
      <c r="AN742" s="271"/>
    </row>
    <row r="743" spans="1:40" ht="12.75" customHeight="1">
      <c r="A743" s="278"/>
      <c r="B743" s="278"/>
      <c r="C743" s="278"/>
      <c r="D743" s="278"/>
      <c r="E743" s="278"/>
      <c r="F743" s="278"/>
      <c r="G743" s="278"/>
      <c r="H743" s="278"/>
      <c r="I743" s="278"/>
      <c r="J743" s="278"/>
      <c r="K743" s="278"/>
      <c r="L743" s="278"/>
      <c r="M743" s="278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  <c r="AA743" s="271"/>
      <c r="AB743" s="271"/>
      <c r="AC743" s="271"/>
      <c r="AD743" s="271"/>
      <c r="AE743" s="271"/>
      <c r="AF743" s="271"/>
      <c r="AG743" s="271"/>
      <c r="AH743" s="271"/>
      <c r="AI743" s="271"/>
      <c r="AJ743" s="271"/>
      <c r="AK743" s="271"/>
      <c r="AL743" s="271"/>
      <c r="AM743" s="271"/>
      <c r="AN743" s="271"/>
    </row>
    <row r="744" spans="1:40" ht="12.75" customHeight="1">
      <c r="A744" s="278"/>
      <c r="B744" s="278"/>
      <c r="C744" s="278"/>
      <c r="D744" s="278"/>
      <c r="E744" s="278"/>
      <c r="F744" s="278"/>
      <c r="G744" s="278"/>
      <c r="H744" s="278"/>
      <c r="I744" s="278"/>
      <c r="J744" s="278"/>
      <c r="K744" s="278"/>
      <c r="L744" s="278"/>
      <c r="M744" s="278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  <c r="AA744" s="271"/>
      <c r="AB744" s="271"/>
      <c r="AC744" s="271"/>
      <c r="AD744" s="271"/>
      <c r="AE744" s="271"/>
      <c r="AF744" s="271"/>
      <c r="AG744" s="271"/>
      <c r="AH744" s="271"/>
      <c r="AI744" s="271"/>
      <c r="AJ744" s="271"/>
      <c r="AK744" s="271"/>
      <c r="AL744" s="271"/>
      <c r="AM744" s="271"/>
      <c r="AN744" s="271"/>
    </row>
    <row r="745" spans="1:40" ht="12.75" customHeight="1">
      <c r="A745" s="278"/>
      <c r="B745" s="278"/>
      <c r="C745" s="278"/>
      <c r="D745" s="278"/>
      <c r="E745" s="278"/>
      <c r="F745" s="278"/>
      <c r="G745" s="278"/>
      <c r="H745" s="278"/>
      <c r="I745" s="278"/>
      <c r="J745" s="278"/>
      <c r="K745" s="278"/>
      <c r="L745" s="278"/>
      <c r="M745" s="278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  <c r="AA745" s="271"/>
      <c r="AB745" s="271"/>
      <c r="AC745" s="271"/>
      <c r="AD745" s="271"/>
      <c r="AE745" s="271"/>
      <c r="AF745" s="271"/>
      <c r="AG745" s="271"/>
      <c r="AH745" s="271"/>
      <c r="AI745" s="271"/>
      <c r="AJ745" s="271"/>
      <c r="AK745" s="271"/>
      <c r="AL745" s="271"/>
      <c r="AM745" s="271"/>
      <c r="AN745" s="271"/>
    </row>
    <row r="746" spans="1:40" ht="12.75" customHeight="1">
      <c r="A746" s="278"/>
      <c r="B746" s="278"/>
      <c r="C746" s="278"/>
      <c r="D746" s="278"/>
      <c r="E746" s="278"/>
      <c r="F746" s="278"/>
      <c r="G746" s="278"/>
      <c r="H746" s="278"/>
      <c r="I746" s="278"/>
      <c r="J746" s="278"/>
      <c r="K746" s="278"/>
      <c r="L746" s="278"/>
      <c r="M746" s="278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  <c r="AA746" s="271"/>
      <c r="AB746" s="271"/>
      <c r="AC746" s="271"/>
      <c r="AD746" s="271"/>
      <c r="AE746" s="271"/>
      <c r="AF746" s="271"/>
      <c r="AG746" s="271"/>
      <c r="AH746" s="271"/>
      <c r="AI746" s="271"/>
      <c r="AJ746" s="271"/>
      <c r="AK746" s="271"/>
      <c r="AL746" s="271"/>
      <c r="AM746" s="271"/>
      <c r="AN746" s="271"/>
    </row>
    <row r="747" spans="1:40" ht="12.75" customHeight="1">
      <c r="A747" s="278"/>
      <c r="B747" s="278"/>
      <c r="C747" s="278"/>
      <c r="D747" s="278"/>
      <c r="E747" s="278"/>
      <c r="F747" s="278"/>
      <c r="G747" s="278"/>
      <c r="H747" s="278"/>
      <c r="I747" s="278"/>
      <c r="J747" s="278"/>
      <c r="K747" s="278"/>
      <c r="L747" s="278"/>
      <c r="M747" s="278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  <c r="AA747" s="271"/>
      <c r="AB747" s="271"/>
      <c r="AC747" s="271"/>
      <c r="AD747" s="271"/>
      <c r="AE747" s="271"/>
      <c r="AF747" s="271"/>
      <c r="AG747" s="271"/>
      <c r="AH747" s="271"/>
      <c r="AI747" s="271"/>
      <c r="AJ747" s="271"/>
      <c r="AK747" s="271"/>
      <c r="AL747" s="271"/>
      <c r="AM747" s="271"/>
      <c r="AN747" s="271"/>
    </row>
    <row r="748" spans="1:40" ht="12.75" customHeight="1">
      <c r="A748" s="278"/>
      <c r="B748" s="278"/>
      <c r="C748" s="278"/>
      <c r="D748" s="278"/>
      <c r="E748" s="278"/>
      <c r="F748" s="278"/>
      <c r="G748" s="278"/>
      <c r="H748" s="278"/>
      <c r="I748" s="278"/>
      <c r="J748" s="278"/>
      <c r="K748" s="278"/>
      <c r="L748" s="278"/>
      <c r="M748" s="278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  <c r="AA748" s="271"/>
      <c r="AB748" s="271"/>
      <c r="AC748" s="271"/>
      <c r="AD748" s="271"/>
      <c r="AE748" s="271"/>
      <c r="AF748" s="271"/>
      <c r="AG748" s="271"/>
      <c r="AH748" s="271"/>
      <c r="AI748" s="271"/>
      <c r="AJ748" s="271"/>
      <c r="AK748" s="271"/>
      <c r="AL748" s="271"/>
      <c r="AM748" s="271"/>
      <c r="AN748" s="271"/>
    </row>
    <row r="749" spans="1:40" ht="12.75" customHeight="1">
      <c r="A749" s="278"/>
      <c r="B749" s="278"/>
      <c r="C749" s="278"/>
      <c r="D749" s="278"/>
      <c r="E749" s="278"/>
      <c r="F749" s="278"/>
      <c r="G749" s="278"/>
      <c r="H749" s="278"/>
      <c r="I749" s="278"/>
      <c r="J749" s="278"/>
      <c r="K749" s="278"/>
      <c r="L749" s="278"/>
      <c r="M749" s="278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  <c r="AA749" s="271"/>
      <c r="AB749" s="271"/>
      <c r="AC749" s="271"/>
      <c r="AD749" s="271"/>
      <c r="AE749" s="271"/>
      <c r="AF749" s="271"/>
      <c r="AG749" s="271"/>
      <c r="AH749" s="271"/>
      <c r="AI749" s="271"/>
      <c r="AJ749" s="271"/>
      <c r="AK749" s="271"/>
      <c r="AL749" s="271"/>
      <c r="AM749" s="271"/>
      <c r="AN749" s="271"/>
    </row>
    <row r="750" spans="1:40" ht="12.75" customHeight="1">
      <c r="A750" s="278"/>
      <c r="B750" s="278"/>
      <c r="C750" s="278"/>
      <c r="D750" s="278"/>
      <c r="E750" s="278"/>
      <c r="F750" s="278"/>
      <c r="G750" s="278"/>
      <c r="H750" s="278"/>
      <c r="I750" s="278"/>
      <c r="J750" s="278"/>
      <c r="K750" s="278"/>
      <c r="L750" s="278"/>
      <c r="M750" s="278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  <c r="AA750" s="271"/>
      <c r="AB750" s="271"/>
      <c r="AC750" s="271"/>
      <c r="AD750" s="271"/>
      <c r="AE750" s="271"/>
      <c r="AF750" s="271"/>
      <c r="AG750" s="271"/>
      <c r="AH750" s="271"/>
      <c r="AI750" s="271"/>
      <c r="AJ750" s="271"/>
      <c r="AK750" s="271"/>
      <c r="AL750" s="271"/>
      <c r="AM750" s="271"/>
      <c r="AN750" s="271"/>
    </row>
    <row r="751" spans="1:40" ht="12.75" customHeight="1">
      <c r="A751" s="278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278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  <c r="AA751" s="271"/>
      <c r="AB751" s="271"/>
      <c r="AC751" s="271"/>
      <c r="AD751" s="271"/>
      <c r="AE751" s="271"/>
      <c r="AF751" s="271"/>
      <c r="AG751" s="271"/>
      <c r="AH751" s="271"/>
      <c r="AI751" s="271"/>
      <c r="AJ751" s="271"/>
      <c r="AK751" s="271"/>
      <c r="AL751" s="271"/>
      <c r="AM751" s="271"/>
      <c r="AN751" s="271"/>
    </row>
    <row r="752" spans="1:40" ht="12.75" customHeight="1">
      <c r="A752" s="278"/>
      <c r="B752" s="278"/>
      <c r="C752" s="278"/>
      <c r="D752" s="278"/>
      <c r="E752" s="278"/>
      <c r="F752" s="278"/>
      <c r="G752" s="278"/>
      <c r="H752" s="278"/>
      <c r="I752" s="278"/>
      <c r="J752" s="278"/>
      <c r="K752" s="278"/>
      <c r="L752" s="278"/>
      <c r="M752" s="278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  <c r="AA752" s="271"/>
      <c r="AB752" s="271"/>
      <c r="AC752" s="271"/>
      <c r="AD752" s="271"/>
      <c r="AE752" s="271"/>
      <c r="AF752" s="271"/>
      <c r="AG752" s="271"/>
      <c r="AH752" s="271"/>
      <c r="AI752" s="271"/>
      <c r="AJ752" s="271"/>
      <c r="AK752" s="271"/>
      <c r="AL752" s="271"/>
      <c r="AM752" s="271"/>
      <c r="AN752" s="271"/>
    </row>
    <row r="753" spans="1:40" ht="12.75" customHeight="1">
      <c r="A753" s="278"/>
      <c r="B753" s="278"/>
      <c r="C753" s="278"/>
      <c r="D753" s="278"/>
      <c r="E753" s="278"/>
      <c r="F753" s="278"/>
      <c r="G753" s="278"/>
      <c r="H753" s="278"/>
      <c r="I753" s="278"/>
      <c r="J753" s="278"/>
      <c r="K753" s="278"/>
      <c r="L753" s="278"/>
      <c r="M753" s="278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  <c r="AA753" s="271"/>
      <c r="AB753" s="271"/>
      <c r="AC753" s="271"/>
      <c r="AD753" s="271"/>
      <c r="AE753" s="271"/>
      <c r="AF753" s="271"/>
      <c r="AG753" s="271"/>
      <c r="AH753" s="271"/>
      <c r="AI753" s="271"/>
      <c r="AJ753" s="271"/>
      <c r="AK753" s="271"/>
      <c r="AL753" s="271"/>
      <c r="AM753" s="271"/>
      <c r="AN753" s="271"/>
    </row>
    <row r="754" spans="1:40" ht="12.75" customHeight="1">
      <c r="A754" s="278"/>
      <c r="B754" s="278"/>
      <c r="C754" s="278"/>
      <c r="D754" s="278"/>
      <c r="E754" s="278"/>
      <c r="F754" s="278"/>
      <c r="G754" s="278"/>
      <c r="H754" s="278"/>
      <c r="I754" s="278"/>
      <c r="J754" s="278"/>
      <c r="K754" s="278"/>
      <c r="L754" s="278"/>
      <c r="M754" s="278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  <c r="AA754" s="271"/>
      <c r="AB754" s="271"/>
      <c r="AC754" s="271"/>
      <c r="AD754" s="271"/>
      <c r="AE754" s="271"/>
      <c r="AF754" s="271"/>
      <c r="AG754" s="271"/>
      <c r="AH754" s="271"/>
      <c r="AI754" s="271"/>
      <c r="AJ754" s="271"/>
      <c r="AK754" s="271"/>
      <c r="AL754" s="271"/>
      <c r="AM754" s="271"/>
      <c r="AN754" s="271"/>
    </row>
    <row r="755" spans="1:40" ht="12.75" customHeight="1">
      <c r="A755" s="278"/>
      <c r="B755" s="278"/>
      <c r="C755" s="278"/>
      <c r="D755" s="278"/>
      <c r="E755" s="278"/>
      <c r="F755" s="278"/>
      <c r="G755" s="278"/>
      <c r="H755" s="278"/>
      <c r="I755" s="278"/>
      <c r="J755" s="278"/>
      <c r="K755" s="278"/>
      <c r="L755" s="278"/>
      <c r="M755" s="278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  <c r="AA755" s="271"/>
      <c r="AB755" s="271"/>
      <c r="AC755" s="271"/>
      <c r="AD755" s="271"/>
      <c r="AE755" s="271"/>
      <c r="AF755" s="271"/>
      <c r="AG755" s="271"/>
      <c r="AH755" s="271"/>
      <c r="AI755" s="271"/>
      <c r="AJ755" s="271"/>
      <c r="AK755" s="271"/>
      <c r="AL755" s="271"/>
      <c r="AM755" s="271"/>
      <c r="AN755" s="271"/>
    </row>
    <row r="756" spans="1:40" ht="12.75" customHeight="1">
      <c r="A756" s="278"/>
      <c r="B756" s="278"/>
      <c r="C756" s="278"/>
      <c r="D756" s="278"/>
      <c r="E756" s="278"/>
      <c r="F756" s="278"/>
      <c r="G756" s="278"/>
      <c r="H756" s="278"/>
      <c r="I756" s="278"/>
      <c r="J756" s="278"/>
      <c r="K756" s="278"/>
      <c r="L756" s="278"/>
      <c r="M756" s="278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  <c r="AA756" s="271"/>
      <c r="AB756" s="271"/>
      <c r="AC756" s="271"/>
      <c r="AD756" s="271"/>
      <c r="AE756" s="271"/>
      <c r="AF756" s="271"/>
      <c r="AG756" s="271"/>
      <c r="AH756" s="271"/>
      <c r="AI756" s="271"/>
      <c r="AJ756" s="271"/>
      <c r="AK756" s="271"/>
      <c r="AL756" s="271"/>
      <c r="AM756" s="271"/>
      <c r="AN756" s="271"/>
    </row>
    <row r="757" spans="1:40" ht="12.75" customHeight="1">
      <c r="A757" s="278"/>
      <c r="B757" s="278"/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  <c r="M757" s="278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  <c r="AA757" s="271"/>
      <c r="AB757" s="271"/>
      <c r="AC757" s="271"/>
      <c r="AD757" s="271"/>
      <c r="AE757" s="271"/>
      <c r="AF757" s="271"/>
      <c r="AG757" s="271"/>
      <c r="AH757" s="271"/>
      <c r="AI757" s="271"/>
      <c r="AJ757" s="271"/>
      <c r="AK757" s="271"/>
      <c r="AL757" s="271"/>
      <c r="AM757" s="271"/>
      <c r="AN757" s="271"/>
    </row>
    <row r="758" spans="1:40" ht="12.75" customHeight="1">
      <c r="A758" s="278"/>
      <c r="B758" s="278"/>
      <c r="C758" s="278"/>
      <c r="D758" s="278"/>
      <c r="E758" s="278"/>
      <c r="F758" s="278"/>
      <c r="G758" s="278"/>
      <c r="H758" s="278"/>
      <c r="I758" s="278"/>
      <c r="J758" s="278"/>
      <c r="K758" s="278"/>
      <c r="L758" s="278"/>
      <c r="M758" s="278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  <c r="AA758" s="271"/>
      <c r="AB758" s="271"/>
      <c r="AC758" s="271"/>
      <c r="AD758" s="271"/>
      <c r="AE758" s="271"/>
      <c r="AF758" s="271"/>
      <c r="AG758" s="271"/>
      <c r="AH758" s="271"/>
      <c r="AI758" s="271"/>
      <c r="AJ758" s="271"/>
      <c r="AK758" s="271"/>
      <c r="AL758" s="271"/>
      <c r="AM758" s="271"/>
      <c r="AN758" s="271"/>
    </row>
    <row r="759" spans="1:40" ht="12.75" customHeight="1">
      <c r="A759" s="278"/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278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  <c r="AA759" s="271"/>
      <c r="AB759" s="271"/>
      <c r="AC759" s="271"/>
      <c r="AD759" s="271"/>
      <c r="AE759" s="271"/>
      <c r="AF759" s="271"/>
      <c r="AG759" s="271"/>
      <c r="AH759" s="271"/>
      <c r="AI759" s="271"/>
      <c r="AJ759" s="271"/>
      <c r="AK759" s="271"/>
      <c r="AL759" s="271"/>
      <c r="AM759" s="271"/>
      <c r="AN759" s="271"/>
    </row>
    <row r="760" spans="1:40" ht="12.75" customHeight="1">
      <c r="A760" s="278"/>
      <c r="B760" s="278"/>
      <c r="C760" s="278"/>
      <c r="D760" s="278"/>
      <c r="E760" s="278"/>
      <c r="F760" s="278"/>
      <c r="G760" s="278"/>
      <c r="H760" s="278"/>
      <c r="I760" s="278"/>
      <c r="J760" s="278"/>
      <c r="K760" s="278"/>
      <c r="L760" s="278"/>
      <c r="M760" s="278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  <c r="AA760" s="271"/>
      <c r="AB760" s="271"/>
      <c r="AC760" s="271"/>
      <c r="AD760" s="271"/>
      <c r="AE760" s="271"/>
      <c r="AF760" s="271"/>
      <c r="AG760" s="271"/>
      <c r="AH760" s="271"/>
      <c r="AI760" s="271"/>
      <c r="AJ760" s="271"/>
      <c r="AK760" s="271"/>
      <c r="AL760" s="271"/>
      <c r="AM760" s="271"/>
      <c r="AN760" s="271"/>
    </row>
    <row r="761" spans="1:40" ht="12.75" customHeight="1">
      <c r="A761" s="278"/>
      <c r="B761" s="278"/>
      <c r="C761" s="278"/>
      <c r="D761" s="278"/>
      <c r="E761" s="278"/>
      <c r="F761" s="278"/>
      <c r="G761" s="278"/>
      <c r="H761" s="278"/>
      <c r="I761" s="278"/>
      <c r="J761" s="278"/>
      <c r="K761" s="278"/>
      <c r="L761" s="278"/>
      <c r="M761" s="278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  <c r="AA761" s="271"/>
      <c r="AB761" s="271"/>
      <c r="AC761" s="271"/>
      <c r="AD761" s="271"/>
      <c r="AE761" s="271"/>
      <c r="AF761" s="271"/>
      <c r="AG761" s="271"/>
      <c r="AH761" s="271"/>
      <c r="AI761" s="271"/>
      <c r="AJ761" s="271"/>
      <c r="AK761" s="271"/>
      <c r="AL761" s="271"/>
      <c r="AM761" s="271"/>
      <c r="AN761" s="271"/>
    </row>
    <row r="762" spans="1:40" ht="12.75" customHeight="1">
      <c r="A762" s="278"/>
      <c r="B762" s="278"/>
      <c r="C762" s="278"/>
      <c r="D762" s="278"/>
      <c r="E762" s="278"/>
      <c r="F762" s="278"/>
      <c r="G762" s="278"/>
      <c r="H762" s="278"/>
      <c r="I762" s="278"/>
      <c r="J762" s="278"/>
      <c r="K762" s="278"/>
      <c r="L762" s="278"/>
      <c r="M762" s="278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  <c r="AA762" s="271"/>
      <c r="AB762" s="271"/>
      <c r="AC762" s="271"/>
      <c r="AD762" s="271"/>
      <c r="AE762" s="271"/>
      <c r="AF762" s="271"/>
      <c r="AG762" s="271"/>
      <c r="AH762" s="271"/>
      <c r="AI762" s="271"/>
      <c r="AJ762" s="271"/>
      <c r="AK762" s="271"/>
      <c r="AL762" s="271"/>
      <c r="AM762" s="271"/>
      <c r="AN762" s="271"/>
    </row>
    <row r="763" spans="1:40" ht="12.75" customHeight="1">
      <c r="A763" s="278"/>
      <c r="B763" s="278"/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  <c r="M763" s="278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  <c r="AA763" s="271"/>
      <c r="AB763" s="271"/>
      <c r="AC763" s="271"/>
      <c r="AD763" s="271"/>
      <c r="AE763" s="271"/>
      <c r="AF763" s="271"/>
      <c r="AG763" s="271"/>
      <c r="AH763" s="271"/>
      <c r="AI763" s="271"/>
      <c r="AJ763" s="271"/>
      <c r="AK763" s="271"/>
      <c r="AL763" s="271"/>
      <c r="AM763" s="271"/>
      <c r="AN763" s="271"/>
    </row>
    <row r="764" spans="1:40" ht="12.75" customHeight="1">
      <c r="A764" s="278"/>
      <c r="B764" s="278"/>
      <c r="C764" s="278"/>
      <c r="D764" s="278"/>
      <c r="E764" s="278"/>
      <c r="F764" s="278"/>
      <c r="G764" s="278"/>
      <c r="H764" s="278"/>
      <c r="I764" s="278"/>
      <c r="J764" s="278"/>
      <c r="K764" s="278"/>
      <c r="L764" s="278"/>
      <c r="M764" s="278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  <c r="AA764" s="271"/>
      <c r="AB764" s="271"/>
      <c r="AC764" s="271"/>
      <c r="AD764" s="271"/>
      <c r="AE764" s="271"/>
      <c r="AF764" s="271"/>
      <c r="AG764" s="271"/>
      <c r="AH764" s="271"/>
      <c r="AI764" s="271"/>
      <c r="AJ764" s="271"/>
      <c r="AK764" s="271"/>
      <c r="AL764" s="271"/>
      <c r="AM764" s="271"/>
      <c r="AN764" s="271"/>
    </row>
    <row r="765" spans="1:40" ht="12.75" customHeight="1">
      <c r="A765" s="278"/>
      <c r="B765" s="278"/>
      <c r="C765" s="278"/>
      <c r="D765" s="278"/>
      <c r="E765" s="278"/>
      <c r="F765" s="278"/>
      <c r="G765" s="278"/>
      <c r="H765" s="278"/>
      <c r="I765" s="278"/>
      <c r="J765" s="278"/>
      <c r="K765" s="278"/>
      <c r="L765" s="278"/>
      <c r="M765" s="278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  <c r="AA765" s="271"/>
      <c r="AB765" s="271"/>
      <c r="AC765" s="271"/>
      <c r="AD765" s="271"/>
      <c r="AE765" s="271"/>
      <c r="AF765" s="271"/>
      <c r="AG765" s="271"/>
      <c r="AH765" s="271"/>
      <c r="AI765" s="271"/>
      <c r="AJ765" s="271"/>
      <c r="AK765" s="271"/>
      <c r="AL765" s="271"/>
      <c r="AM765" s="271"/>
      <c r="AN765" s="271"/>
    </row>
    <row r="766" spans="1:40" ht="12.75" customHeight="1">
      <c r="A766" s="278"/>
      <c r="B766" s="278"/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  <c r="M766" s="278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  <c r="AA766" s="271"/>
      <c r="AB766" s="271"/>
      <c r="AC766" s="271"/>
      <c r="AD766" s="271"/>
      <c r="AE766" s="271"/>
      <c r="AF766" s="271"/>
      <c r="AG766" s="271"/>
      <c r="AH766" s="271"/>
      <c r="AI766" s="271"/>
      <c r="AJ766" s="271"/>
      <c r="AK766" s="271"/>
      <c r="AL766" s="271"/>
      <c r="AM766" s="271"/>
      <c r="AN766" s="271"/>
    </row>
    <row r="767" spans="1:40" ht="12.75" customHeight="1">
      <c r="A767" s="278"/>
      <c r="B767" s="278"/>
      <c r="C767" s="278"/>
      <c r="D767" s="278"/>
      <c r="E767" s="278"/>
      <c r="F767" s="278"/>
      <c r="G767" s="278"/>
      <c r="H767" s="278"/>
      <c r="I767" s="278"/>
      <c r="J767" s="278"/>
      <c r="K767" s="278"/>
      <c r="L767" s="278"/>
      <c r="M767" s="278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  <c r="AA767" s="271"/>
      <c r="AB767" s="271"/>
      <c r="AC767" s="271"/>
      <c r="AD767" s="271"/>
      <c r="AE767" s="271"/>
      <c r="AF767" s="271"/>
      <c r="AG767" s="271"/>
      <c r="AH767" s="271"/>
      <c r="AI767" s="271"/>
      <c r="AJ767" s="271"/>
      <c r="AK767" s="271"/>
      <c r="AL767" s="271"/>
      <c r="AM767" s="271"/>
      <c r="AN767" s="271"/>
    </row>
    <row r="768" spans="1:40" ht="12.75" customHeight="1">
      <c r="A768" s="278"/>
      <c r="B768" s="278"/>
      <c r="C768" s="278"/>
      <c r="D768" s="278"/>
      <c r="E768" s="278"/>
      <c r="F768" s="278"/>
      <c r="G768" s="278"/>
      <c r="H768" s="278"/>
      <c r="I768" s="278"/>
      <c r="J768" s="278"/>
      <c r="K768" s="278"/>
      <c r="L768" s="278"/>
      <c r="M768" s="278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  <c r="AA768" s="271"/>
      <c r="AB768" s="271"/>
      <c r="AC768" s="271"/>
      <c r="AD768" s="271"/>
      <c r="AE768" s="271"/>
      <c r="AF768" s="271"/>
      <c r="AG768" s="271"/>
      <c r="AH768" s="271"/>
      <c r="AI768" s="271"/>
      <c r="AJ768" s="271"/>
      <c r="AK768" s="271"/>
      <c r="AL768" s="271"/>
      <c r="AM768" s="271"/>
      <c r="AN768" s="271"/>
    </row>
    <row r="769" spans="1:40" ht="12.75" customHeight="1">
      <c r="A769" s="278"/>
      <c r="B769" s="278"/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  <c r="M769" s="278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  <c r="AA769" s="271"/>
      <c r="AB769" s="271"/>
      <c r="AC769" s="271"/>
      <c r="AD769" s="271"/>
      <c r="AE769" s="271"/>
      <c r="AF769" s="271"/>
      <c r="AG769" s="271"/>
      <c r="AH769" s="271"/>
      <c r="AI769" s="271"/>
      <c r="AJ769" s="271"/>
      <c r="AK769" s="271"/>
      <c r="AL769" s="271"/>
      <c r="AM769" s="271"/>
      <c r="AN769" s="271"/>
    </row>
    <row r="770" spans="1:40" ht="12.75" customHeight="1">
      <c r="A770" s="278"/>
      <c r="B770" s="278"/>
      <c r="C770" s="278"/>
      <c r="D770" s="278"/>
      <c r="E770" s="278"/>
      <c r="F770" s="278"/>
      <c r="G770" s="278"/>
      <c r="H770" s="278"/>
      <c r="I770" s="278"/>
      <c r="J770" s="278"/>
      <c r="K770" s="278"/>
      <c r="L770" s="278"/>
      <c r="M770" s="278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  <c r="AA770" s="271"/>
      <c r="AB770" s="271"/>
      <c r="AC770" s="271"/>
      <c r="AD770" s="271"/>
      <c r="AE770" s="271"/>
      <c r="AF770" s="271"/>
      <c r="AG770" s="271"/>
      <c r="AH770" s="271"/>
      <c r="AI770" s="271"/>
      <c r="AJ770" s="271"/>
      <c r="AK770" s="271"/>
      <c r="AL770" s="271"/>
      <c r="AM770" s="271"/>
      <c r="AN770" s="271"/>
    </row>
    <row r="771" spans="1:40" ht="12.75" customHeight="1">
      <c r="A771" s="278"/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278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  <c r="AA771" s="271"/>
      <c r="AB771" s="271"/>
      <c r="AC771" s="271"/>
      <c r="AD771" s="271"/>
      <c r="AE771" s="271"/>
      <c r="AF771" s="271"/>
      <c r="AG771" s="271"/>
      <c r="AH771" s="271"/>
      <c r="AI771" s="271"/>
      <c r="AJ771" s="271"/>
      <c r="AK771" s="271"/>
      <c r="AL771" s="271"/>
      <c r="AM771" s="271"/>
      <c r="AN771" s="271"/>
    </row>
    <row r="772" spans="1:40" ht="12.75" customHeight="1">
      <c r="A772" s="278"/>
      <c r="B772" s="278"/>
      <c r="C772" s="278"/>
      <c r="D772" s="278"/>
      <c r="E772" s="278"/>
      <c r="F772" s="278"/>
      <c r="G772" s="278"/>
      <c r="H772" s="278"/>
      <c r="I772" s="278"/>
      <c r="J772" s="278"/>
      <c r="K772" s="278"/>
      <c r="L772" s="278"/>
      <c r="M772" s="278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  <c r="AA772" s="271"/>
      <c r="AB772" s="271"/>
      <c r="AC772" s="271"/>
      <c r="AD772" s="271"/>
      <c r="AE772" s="271"/>
      <c r="AF772" s="271"/>
      <c r="AG772" s="271"/>
      <c r="AH772" s="271"/>
      <c r="AI772" s="271"/>
      <c r="AJ772" s="271"/>
      <c r="AK772" s="271"/>
      <c r="AL772" s="271"/>
      <c r="AM772" s="271"/>
      <c r="AN772" s="271"/>
    </row>
    <row r="773" spans="1:40" ht="12.75" customHeight="1">
      <c r="A773" s="278"/>
      <c r="B773" s="278"/>
      <c r="C773" s="278"/>
      <c r="D773" s="278"/>
      <c r="E773" s="278"/>
      <c r="F773" s="278"/>
      <c r="G773" s="278"/>
      <c r="H773" s="278"/>
      <c r="I773" s="278"/>
      <c r="J773" s="278"/>
      <c r="K773" s="278"/>
      <c r="L773" s="278"/>
      <c r="M773" s="278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  <c r="AA773" s="271"/>
      <c r="AB773" s="271"/>
      <c r="AC773" s="271"/>
      <c r="AD773" s="271"/>
      <c r="AE773" s="271"/>
      <c r="AF773" s="271"/>
      <c r="AG773" s="271"/>
      <c r="AH773" s="271"/>
      <c r="AI773" s="271"/>
      <c r="AJ773" s="271"/>
      <c r="AK773" s="271"/>
      <c r="AL773" s="271"/>
      <c r="AM773" s="271"/>
      <c r="AN773" s="271"/>
    </row>
    <row r="774" spans="1:40" ht="12.75" customHeight="1">
      <c r="A774" s="278"/>
      <c r="B774" s="278"/>
      <c r="C774" s="278"/>
      <c r="D774" s="278"/>
      <c r="E774" s="278"/>
      <c r="F774" s="278"/>
      <c r="G774" s="278"/>
      <c r="H774" s="278"/>
      <c r="I774" s="278"/>
      <c r="J774" s="278"/>
      <c r="K774" s="278"/>
      <c r="L774" s="278"/>
      <c r="M774" s="278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  <c r="AA774" s="271"/>
      <c r="AB774" s="271"/>
      <c r="AC774" s="271"/>
      <c r="AD774" s="271"/>
      <c r="AE774" s="271"/>
      <c r="AF774" s="271"/>
      <c r="AG774" s="271"/>
      <c r="AH774" s="271"/>
      <c r="AI774" s="271"/>
      <c r="AJ774" s="271"/>
      <c r="AK774" s="271"/>
      <c r="AL774" s="271"/>
      <c r="AM774" s="271"/>
      <c r="AN774" s="271"/>
    </row>
    <row r="775" spans="1:40" ht="12.75" customHeight="1">
      <c r="A775" s="278"/>
      <c r="B775" s="278"/>
      <c r="C775" s="278"/>
      <c r="D775" s="278"/>
      <c r="E775" s="278"/>
      <c r="F775" s="278"/>
      <c r="G775" s="278"/>
      <c r="H775" s="278"/>
      <c r="I775" s="278"/>
      <c r="J775" s="278"/>
      <c r="K775" s="278"/>
      <c r="L775" s="278"/>
      <c r="M775" s="278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  <c r="AA775" s="271"/>
      <c r="AB775" s="271"/>
      <c r="AC775" s="271"/>
      <c r="AD775" s="271"/>
      <c r="AE775" s="271"/>
      <c r="AF775" s="271"/>
      <c r="AG775" s="271"/>
      <c r="AH775" s="271"/>
      <c r="AI775" s="271"/>
      <c r="AJ775" s="271"/>
      <c r="AK775" s="271"/>
      <c r="AL775" s="271"/>
      <c r="AM775" s="271"/>
      <c r="AN775" s="271"/>
    </row>
    <row r="776" spans="1:40" ht="12.75" customHeight="1">
      <c r="A776" s="278"/>
      <c r="B776" s="278"/>
      <c r="C776" s="278"/>
      <c r="D776" s="278"/>
      <c r="E776" s="278"/>
      <c r="F776" s="278"/>
      <c r="G776" s="278"/>
      <c r="H776" s="278"/>
      <c r="I776" s="278"/>
      <c r="J776" s="278"/>
      <c r="K776" s="278"/>
      <c r="L776" s="278"/>
      <c r="M776" s="278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  <c r="AA776" s="271"/>
      <c r="AB776" s="271"/>
      <c r="AC776" s="271"/>
      <c r="AD776" s="271"/>
      <c r="AE776" s="271"/>
      <c r="AF776" s="271"/>
      <c r="AG776" s="271"/>
      <c r="AH776" s="271"/>
      <c r="AI776" s="271"/>
      <c r="AJ776" s="271"/>
      <c r="AK776" s="271"/>
      <c r="AL776" s="271"/>
      <c r="AM776" s="271"/>
      <c r="AN776" s="271"/>
    </row>
    <row r="777" spans="1:40" ht="12.75" customHeight="1">
      <c r="A777" s="278"/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278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  <c r="AA777" s="271"/>
      <c r="AB777" s="271"/>
      <c r="AC777" s="271"/>
      <c r="AD777" s="271"/>
      <c r="AE777" s="271"/>
      <c r="AF777" s="271"/>
      <c r="AG777" s="271"/>
      <c r="AH777" s="271"/>
      <c r="AI777" s="271"/>
      <c r="AJ777" s="271"/>
      <c r="AK777" s="271"/>
      <c r="AL777" s="271"/>
      <c r="AM777" s="271"/>
      <c r="AN777" s="271"/>
    </row>
    <row r="778" spans="1:40" ht="12.75" customHeight="1">
      <c r="A778" s="278"/>
      <c r="B778" s="278"/>
      <c r="C778" s="278"/>
      <c r="D778" s="278"/>
      <c r="E778" s="278"/>
      <c r="F778" s="278"/>
      <c r="G778" s="278"/>
      <c r="H778" s="278"/>
      <c r="I778" s="278"/>
      <c r="J778" s="278"/>
      <c r="K778" s="278"/>
      <c r="L778" s="278"/>
      <c r="M778" s="278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  <c r="AA778" s="271"/>
      <c r="AB778" s="271"/>
      <c r="AC778" s="271"/>
      <c r="AD778" s="271"/>
      <c r="AE778" s="271"/>
      <c r="AF778" s="271"/>
      <c r="AG778" s="271"/>
      <c r="AH778" s="271"/>
      <c r="AI778" s="271"/>
      <c r="AJ778" s="271"/>
      <c r="AK778" s="271"/>
      <c r="AL778" s="271"/>
      <c r="AM778" s="271"/>
      <c r="AN778" s="271"/>
    </row>
    <row r="779" spans="1:40" ht="12.75" customHeight="1">
      <c r="A779" s="278"/>
      <c r="B779" s="278"/>
      <c r="C779" s="278"/>
      <c r="D779" s="278"/>
      <c r="E779" s="278"/>
      <c r="F779" s="278"/>
      <c r="G779" s="278"/>
      <c r="H779" s="278"/>
      <c r="I779" s="278"/>
      <c r="J779" s="278"/>
      <c r="K779" s="278"/>
      <c r="L779" s="278"/>
      <c r="M779" s="278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  <c r="AA779" s="271"/>
      <c r="AB779" s="271"/>
      <c r="AC779" s="271"/>
      <c r="AD779" s="271"/>
      <c r="AE779" s="271"/>
      <c r="AF779" s="271"/>
      <c r="AG779" s="271"/>
      <c r="AH779" s="271"/>
      <c r="AI779" s="271"/>
      <c r="AJ779" s="271"/>
      <c r="AK779" s="271"/>
      <c r="AL779" s="271"/>
      <c r="AM779" s="271"/>
      <c r="AN779" s="271"/>
    </row>
    <row r="780" spans="1:40" ht="12.75" customHeight="1">
      <c r="A780" s="278"/>
      <c r="B780" s="278"/>
      <c r="C780" s="278"/>
      <c r="D780" s="278"/>
      <c r="E780" s="278"/>
      <c r="F780" s="278"/>
      <c r="G780" s="278"/>
      <c r="H780" s="278"/>
      <c r="I780" s="278"/>
      <c r="J780" s="278"/>
      <c r="K780" s="278"/>
      <c r="L780" s="278"/>
      <c r="M780" s="278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  <c r="AB780" s="271"/>
      <c r="AC780" s="271"/>
      <c r="AD780" s="271"/>
      <c r="AE780" s="271"/>
      <c r="AF780" s="271"/>
      <c r="AG780" s="271"/>
      <c r="AH780" s="271"/>
      <c r="AI780" s="271"/>
      <c r="AJ780" s="271"/>
      <c r="AK780" s="271"/>
      <c r="AL780" s="271"/>
      <c r="AM780" s="271"/>
      <c r="AN780" s="271"/>
    </row>
    <row r="781" spans="1:40" ht="12.75" customHeight="1">
      <c r="A781" s="278"/>
      <c r="B781" s="278"/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  <c r="M781" s="278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  <c r="AA781" s="271"/>
      <c r="AB781" s="271"/>
      <c r="AC781" s="271"/>
      <c r="AD781" s="271"/>
      <c r="AE781" s="271"/>
      <c r="AF781" s="271"/>
      <c r="AG781" s="271"/>
      <c r="AH781" s="271"/>
      <c r="AI781" s="271"/>
      <c r="AJ781" s="271"/>
      <c r="AK781" s="271"/>
      <c r="AL781" s="271"/>
      <c r="AM781" s="271"/>
      <c r="AN781" s="271"/>
    </row>
    <row r="782" spans="1:40" ht="12.75" customHeight="1">
      <c r="A782" s="278"/>
      <c r="B782" s="278"/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  <c r="M782" s="278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  <c r="AA782" s="271"/>
      <c r="AB782" s="271"/>
      <c r="AC782" s="271"/>
      <c r="AD782" s="271"/>
      <c r="AE782" s="271"/>
      <c r="AF782" s="271"/>
      <c r="AG782" s="271"/>
      <c r="AH782" s="271"/>
      <c r="AI782" s="271"/>
      <c r="AJ782" s="271"/>
      <c r="AK782" s="271"/>
      <c r="AL782" s="271"/>
      <c r="AM782" s="271"/>
      <c r="AN782" s="271"/>
    </row>
    <row r="783" spans="1:40" ht="12.75" customHeight="1">
      <c r="A783" s="278"/>
      <c r="B783" s="278"/>
      <c r="C783" s="278"/>
      <c r="D783" s="278"/>
      <c r="E783" s="278"/>
      <c r="F783" s="278"/>
      <c r="G783" s="278"/>
      <c r="H783" s="278"/>
      <c r="I783" s="278"/>
      <c r="J783" s="278"/>
      <c r="K783" s="278"/>
      <c r="L783" s="278"/>
      <c r="M783" s="278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  <c r="AA783" s="271"/>
      <c r="AB783" s="271"/>
      <c r="AC783" s="271"/>
      <c r="AD783" s="271"/>
      <c r="AE783" s="271"/>
      <c r="AF783" s="271"/>
      <c r="AG783" s="271"/>
      <c r="AH783" s="271"/>
      <c r="AI783" s="271"/>
      <c r="AJ783" s="271"/>
      <c r="AK783" s="271"/>
      <c r="AL783" s="271"/>
      <c r="AM783" s="271"/>
      <c r="AN783" s="271"/>
    </row>
    <row r="784" spans="1:40" ht="12.75" customHeight="1">
      <c r="A784" s="278"/>
      <c r="B784" s="278"/>
      <c r="C784" s="278"/>
      <c r="D784" s="278"/>
      <c r="E784" s="278"/>
      <c r="F784" s="278"/>
      <c r="G784" s="278"/>
      <c r="H784" s="278"/>
      <c r="I784" s="278"/>
      <c r="J784" s="278"/>
      <c r="K784" s="278"/>
      <c r="L784" s="278"/>
      <c r="M784" s="278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  <c r="AA784" s="271"/>
      <c r="AB784" s="271"/>
      <c r="AC784" s="271"/>
      <c r="AD784" s="271"/>
      <c r="AE784" s="271"/>
      <c r="AF784" s="271"/>
      <c r="AG784" s="271"/>
      <c r="AH784" s="271"/>
      <c r="AI784" s="271"/>
      <c r="AJ784" s="271"/>
      <c r="AK784" s="271"/>
      <c r="AL784" s="271"/>
      <c r="AM784" s="271"/>
      <c r="AN784" s="271"/>
    </row>
    <row r="785" spans="1:40" ht="12.75" customHeight="1">
      <c r="A785" s="278"/>
      <c r="B785" s="278"/>
      <c r="C785" s="278"/>
      <c r="D785" s="278"/>
      <c r="E785" s="278"/>
      <c r="F785" s="278"/>
      <c r="G785" s="278"/>
      <c r="H785" s="278"/>
      <c r="I785" s="278"/>
      <c r="J785" s="278"/>
      <c r="K785" s="278"/>
      <c r="L785" s="278"/>
      <c r="M785" s="278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  <c r="AA785" s="271"/>
      <c r="AB785" s="271"/>
      <c r="AC785" s="271"/>
      <c r="AD785" s="271"/>
      <c r="AE785" s="271"/>
      <c r="AF785" s="271"/>
      <c r="AG785" s="271"/>
      <c r="AH785" s="271"/>
      <c r="AI785" s="271"/>
      <c r="AJ785" s="271"/>
      <c r="AK785" s="271"/>
      <c r="AL785" s="271"/>
      <c r="AM785" s="271"/>
      <c r="AN785" s="271"/>
    </row>
    <row r="786" spans="1:40" ht="12.75" customHeight="1">
      <c r="A786" s="278"/>
      <c r="B786" s="278"/>
      <c r="C786" s="278"/>
      <c r="D786" s="278"/>
      <c r="E786" s="278"/>
      <c r="F786" s="278"/>
      <c r="G786" s="278"/>
      <c r="H786" s="278"/>
      <c r="I786" s="278"/>
      <c r="J786" s="278"/>
      <c r="K786" s="278"/>
      <c r="L786" s="278"/>
      <c r="M786" s="278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  <c r="AA786" s="271"/>
      <c r="AB786" s="271"/>
      <c r="AC786" s="271"/>
      <c r="AD786" s="271"/>
      <c r="AE786" s="271"/>
      <c r="AF786" s="271"/>
      <c r="AG786" s="271"/>
      <c r="AH786" s="271"/>
      <c r="AI786" s="271"/>
      <c r="AJ786" s="271"/>
      <c r="AK786" s="271"/>
      <c r="AL786" s="271"/>
      <c r="AM786" s="271"/>
      <c r="AN786" s="271"/>
    </row>
    <row r="787" spans="1:40" ht="12.75" customHeight="1">
      <c r="A787" s="278"/>
      <c r="B787" s="278"/>
      <c r="C787" s="278"/>
      <c r="D787" s="278"/>
      <c r="E787" s="278"/>
      <c r="F787" s="278"/>
      <c r="G787" s="278"/>
      <c r="H787" s="278"/>
      <c r="I787" s="278"/>
      <c r="J787" s="278"/>
      <c r="K787" s="278"/>
      <c r="L787" s="278"/>
      <c r="M787" s="278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  <c r="AA787" s="271"/>
      <c r="AB787" s="271"/>
      <c r="AC787" s="271"/>
      <c r="AD787" s="271"/>
      <c r="AE787" s="271"/>
      <c r="AF787" s="271"/>
      <c r="AG787" s="271"/>
      <c r="AH787" s="271"/>
      <c r="AI787" s="271"/>
      <c r="AJ787" s="271"/>
      <c r="AK787" s="271"/>
      <c r="AL787" s="271"/>
      <c r="AM787" s="271"/>
      <c r="AN787" s="271"/>
    </row>
    <row r="788" spans="1:40" ht="12.75" customHeight="1">
      <c r="A788" s="278"/>
      <c r="B788" s="278"/>
      <c r="C788" s="278"/>
      <c r="D788" s="278"/>
      <c r="E788" s="278"/>
      <c r="F788" s="278"/>
      <c r="G788" s="278"/>
      <c r="H788" s="278"/>
      <c r="I788" s="278"/>
      <c r="J788" s="278"/>
      <c r="K788" s="278"/>
      <c r="L788" s="278"/>
      <c r="M788" s="278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  <c r="AA788" s="271"/>
      <c r="AB788" s="271"/>
      <c r="AC788" s="271"/>
      <c r="AD788" s="271"/>
      <c r="AE788" s="271"/>
      <c r="AF788" s="271"/>
      <c r="AG788" s="271"/>
      <c r="AH788" s="271"/>
      <c r="AI788" s="271"/>
      <c r="AJ788" s="271"/>
      <c r="AK788" s="271"/>
      <c r="AL788" s="271"/>
      <c r="AM788" s="271"/>
      <c r="AN788" s="271"/>
    </row>
    <row r="789" spans="1:40" ht="12.75" customHeight="1">
      <c r="A789" s="278"/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278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  <c r="AA789" s="271"/>
      <c r="AB789" s="271"/>
      <c r="AC789" s="271"/>
      <c r="AD789" s="271"/>
      <c r="AE789" s="271"/>
      <c r="AF789" s="271"/>
      <c r="AG789" s="271"/>
      <c r="AH789" s="271"/>
      <c r="AI789" s="271"/>
      <c r="AJ789" s="271"/>
      <c r="AK789" s="271"/>
      <c r="AL789" s="271"/>
      <c r="AM789" s="271"/>
      <c r="AN789" s="271"/>
    </row>
    <row r="790" spans="1:40" ht="12.75" customHeight="1">
      <c r="A790" s="278"/>
      <c r="B790" s="278"/>
      <c r="C790" s="278"/>
      <c r="D790" s="278"/>
      <c r="E790" s="278"/>
      <c r="F790" s="278"/>
      <c r="G790" s="278"/>
      <c r="H790" s="278"/>
      <c r="I790" s="278"/>
      <c r="J790" s="278"/>
      <c r="K790" s="278"/>
      <c r="L790" s="278"/>
      <c r="M790" s="278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  <c r="AA790" s="271"/>
      <c r="AB790" s="271"/>
      <c r="AC790" s="271"/>
      <c r="AD790" s="271"/>
      <c r="AE790" s="271"/>
      <c r="AF790" s="271"/>
      <c r="AG790" s="271"/>
      <c r="AH790" s="271"/>
      <c r="AI790" s="271"/>
      <c r="AJ790" s="271"/>
      <c r="AK790" s="271"/>
      <c r="AL790" s="271"/>
      <c r="AM790" s="271"/>
      <c r="AN790" s="271"/>
    </row>
    <row r="791" spans="1:40" ht="12.75" customHeight="1">
      <c r="A791" s="278"/>
      <c r="B791" s="278"/>
      <c r="C791" s="278"/>
      <c r="D791" s="278"/>
      <c r="E791" s="278"/>
      <c r="F791" s="278"/>
      <c r="G791" s="278"/>
      <c r="H791" s="278"/>
      <c r="I791" s="278"/>
      <c r="J791" s="278"/>
      <c r="K791" s="278"/>
      <c r="L791" s="278"/>
      <c r="M791" s="278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  <c r="AA791" s="271"/>
      <c r="AB791" s="271"/>
      <c r="AC791" s="271"/>
      <c r="AD791" s="271"/>
      <c r="AE791" s="271"/>
      <c r="AF791" s="271"/>
      <c r="AG791" s="271"/>
      <c r="AH791" s="271"/>
      <c r="AI791" s="271"/>
      <c r="AJ791" s="271"/>
      <c r="AK791" s="271"/>
      <c r="AL791" s="271"/>
      <c r="AM791" s="271"/>
      <c r="AN791" s="271"/>
    </row>
    <row r="792" spans="1:40" ht="12.75" customHeight="1">
      <c r="A792" s="278"/>
      <c r="B792" s="278"/>
      <c r="C792" s="278"/>
      <c r="D792" s="278"/>
      <c r="E792" s="278"/>
      <c r="F792" s="278"/>
      <c r="G792" s="278"/>
      <c r="H792" s="278"/>
      <c r="I792" s="278"/>
      <c r="J792" s="278"/>
      <c r="K792" s="278"/>
      <c r="L792" s="278"/>
      <c r="M792" s="278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  <c r="AA792" s="271"/>
      <c r="AB792" s="271"/>
      <c r="AC792" s="271"/>
      <c r="AD792" s="271"/>
      <c r="AE792" s="271"/>
      <c r="AF792" s="271"/>
      <c r="AG792" s="271"/>
      <c r="AH792" s="271"/>
      <c r="AI792" s="271"/>
      <c r="AJ792" s="271"/>
      <c r="AK792" s="271"/>
      <c r="AL792" s="271"/>
      <c r="AM792" s="271"/>
      <c r="AN792" s="271"/>
    </row>
    <row r="793" spans="1:40" ht="12.75" customHeight="1">
      <c r="A793" s="278"/>
      <c r="B793" s="278"/>
      <c r="C793" s="278"/>
      <c r="D793" s="278"/>
      <c r="E793" s="278"/>
      <c r="F793" s="278"/>
      <c r="G793" s="278"/>
      <c r="H793" s="278"/>
      <c r="I793" s="278"/>
      <c r="J793" s="278"/>
      <c r="K793" s="278"/>
      <c r="L793" s="278"/>
      <c r="M793" s="278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  <c r="AA793" s="271"/>
      <c r="AB793" s="271"/>
      <c r="AC793" s="271"/>
      <c r="AD793" s="271"/>
      <c r="AE793" s="271"/>
      <c r="AF793" s="271"/>
      <c r="AG793" s="271"/>
      <c r="AH793" s="271"/>
      <c r="AI793" s="271"/>
      <c r="AJ793" s="271"/>
      <c r="AK793" s="271"/>
      <c r="AL793" s="271"/>
      <c r="AM793" s="271"/>
      <c r="AN793" s="271"/>
    </row>
    <row r="794" spans="1:40" ht="12.75" customHeight="1">
      <c r="A794" s="278"/>
      <c r="B794" s="278"/>
      <c r="C794" s="278"/>
      <c r="D794" s="278"/>
      <c r="E794" s="278"/>
      <c r="F794" s="278"/>
      <c r="G794" s="278"/>
      <c r="H794" s="278"/>
      <c r="I794" s="278"/>
      <c r="J794" s="278"/>
      <c r="K794" s="278"/>
      <c r="L794" s="278"/>
      <c r="M794" s="278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  <c r="AA794" s="271"/>
      <c r="AB794" s="271"/>
      <c r="AC794" s="271"/>
      <c r="AD794" s="271"/>
      <c r="AE794" s="271"/>
      <c r="AF794" s="271"/>
      <c r="AG794" s="271"/>
      <c r="AH794" s="271"/>
      <c r="AI794" s="271"/>
      <c r="AJ794" s="271"/>
      <c r="AK794" s="271"/>
      <c r="AL794" s="271"/>
      <c r="AM794" s="271"/>
      <c r="AN794" s="271"/>
    </row>
    <row r="795" spans="1:40" ht="12.75" customHeight="1">
      <c r="A795" s="278"/>
      <c r="B795" s="278"/>
      <c r="C795" s="278"/>
      <c r="D795" s="278"/>
      <c r="E795" s="278"/>
      <c r="F795" s="278"/>
      <c r="G795" s="278"/>
      <c r="H795" s="278"/>
      <c r="I795" s="278"/>
      <c r="J795" s="278"/>
      <c r="K795" s="278"/>
      <c r="L795" s="278"/>
      <c r="M795" s="278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  <c r="AA795" s="271"/>
      <c r="AB795" s="271"/>
      <c r="AC795" s="271"/>
      <c r="AD795" s="271"/>
      <c r="AE795" s="271"/>
      <c r="AF795" s="271"/>
      <c r="AG795" s="271"/>
      <c r="AH795" s="271"/>
      <c r="AI795" s="271"/>
      <c r="AJ795" s="271"/>
      <c r="AK795" s="271"/>
      <c r="AL795" s="271"/>
      <c r="AM795" s="271"/>
      <c r="AN795" s="271"/>
    </row>
    <row r="796" spans="1:40" ht="12.75" customHeight="1">
      <c r="A796" s="278"/>
      <c r="B796" s="278"/>
      <c r="C796" s="278"/>
      <c r="D796" s="278"/>
      <c r="E796" s="278"/>
      <c r="F796" s="278"/>
      <c r="G796" s="278"/>
      <c r="H796" s="278"/>
      <c r="I796" s="278"/>
      <c r="J796" s="278"/>
      <c r="K796" s="278"/>
      <c r="L796" s="278"/>
      <c r="M796" s="278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  <c r="AA796" s="271"/>
      <c r="AB796" s="271"/>
      <c r="AC796" s="271"/>
      <c r="AD796" s="271"/>
      <c r="AE796" s="271"/>
      <c r="AF796" s="271"/>
      <c r="AG796" s="271"/>
      <c r="AH796" s="271"/>
      <c r="AI796" s="271"/>
      <c r="AJ796" s="271"/>
      <c r="AK796" s="271"/>
      <c r="AL796" s="271"/>
      <c r="AM796" s="271"/>
      <c r="AN796" s="271"/>
    </row>
    <row r="797" spans="1:40" ht="12.75" customHeight="1">
      <c r="A797" s="278"/>
      <c r="B797" s="278"/>
      <c r="C797" s="278"/>
      <c r="D797" s="278"/>
      <c r="E797" s="278"/>
      <c r="F797" s="278"/>
      <c r="G797" s="278"/>
      <c r="H797" s="278"/>
      <c r="I797" s="278"/>
      <c r="J797" s="278"/>
      <c r="K797" s="278"/>
      <c r="L797" s="278"/>
      <c r="M797" s="278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  <c r="AA797" s="271"/>
      <c r="AB797" s="271"/>
      <c r="AC797" s="271"/>
      <c r="AD797" s="271"/>
      <c r="AE797" s="271"/>
      <c r="AF797" s="271"/>
      <c r="AG797" s="271"/>
      <c r="AH797" s="271"/>
      <c r="AI797" s="271"/>
      <c r="AJ797" s="271"/>
      <c r="AK797" s="271"/>
      <c r="AL797" s="271"/>
      <c r="AM797" s="271"/>
      <c r="AN797" s="271"/>
    </row>
    <row r="798" spans="1:40" ht="12.75" customHeight="1">
      <c r="A798" s="278"/>
      <c r="B798" s="278"/>
      <c r="C798" s="278"/>
      <c r="D798" s="278"/>
      <c r="E798" s="278"/>
      <c r="F798" s="278"/>
      <c r="G798" s="278"/>
      <c r="H798" s="278"/>
      <c r="I798" s="278"/>
      <c r="J798" s="278"/>
      <c r="K798" s="278"/>
      <c r="L798" s="278"/>
      <c r="M798" s="278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  <c r="AA798" s="271"/>
      <c r="AB798" s="271"/>
      <c r="AC798" s="271"/>
      <c r="AD798" s="271"/>
      <c r="AE798" s="271"/>
      <c r="AF798" s="271"/>
      <c r="AG798" s="271"/>
      <c r="AH798" s="271"/>
      <c r="AI798" s="271"/>
      <c r="AJ798" s="271"/>
      <c r="AK798" s="271"/>
      <c r="AL798" s="271"/>
      <c r="AM798" s="271"/>
      <c r="AN798" s="271"/>
    </row>
    <row r="799" spans="1:40" ht="12.75" customHeight="1">
      <c r="A799" s="278"/>
      <c r="B799" s="278"/>
      <c r="C799" s="278"/>
      <c r="D799" s="278"/>
      <c r="E799" s="278"/>
      <c r="F799" s="278"/>
      <c r="G799" s="278"/>
      <c r="H799" s="278"/>
      <c r="I799" s="278"/>
      <c r="J799" s="278"/>
      <c r="K799" s="278"/>
      <c r="L799" s="278"/>
      <c r="M799" s="278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  <c r="AA799" s="271"/>
      <c r="AB799" s="271"/>
      <c r="AC799" s="271"/>
      <c r="AD799" s="271"/>
      <c r="AE799" s="271"/>
      <c r="AF799" s="271"/>
      <c r="AG799" s="271"/>
      <c r="AH799" s="271"/>
      <c r="AI799" s="271"/>
      <c r="AJ799" s="271"/>
      <c r="AK799" s="271"/>
      <c r="AL799" s="271"/>
      <c r="AM799" s="271"/>
      <c r="AN799" s="271"/>
    </row>
    <row r="800" spans="1:40" ht="12.75" customHeight="1">
      <c r="A800" s="278"/>
      <c r="B800" s="278"/>
      <c r="C800" s="278"/>
      <c r="D800" s="278"/>
      <c r="E800" s="278"/>
      <c r="F800" s="278"/>
      <c r="G800" s="278"/>
      <c r="H800" s="278"/>
      <c r="I800" s="278"/>
      <c r="J800" s="278"/>
      <c r="K800" s="278"/>
      <c r="L800" s="278"/>
      <c r="M800" s="278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  <c r="AA800" s="271"/>
      <c r="AB800" s="271"/>
      <c r="AC800" s="271"/>
      <c r="AD800" s="271"/>
      <c r="AE800" s="271"/>
      <c r="AF800" s="271"/>
      <c r="AG800" s="271"/>
      <c r="AH800" s="271"/>
      <c r="AI800" s="271"/>
      <c r="AJ800" s="271"/>
      <c r="AK800" s="271"/>
      <c r="AL800" s="271"/>
      <c r="AM800" s="271"/>
      <c r="AN800" s="271"/>
    </row>
    <row r="801" spans="1:40" ht="12.75" customHeight="1">
      <c r="A801" s="278"/>
      <c r="B801" s="278"/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  <c r="M801" s="278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  <c r="AA801" s="271"/>
      <c r="AB801" s="271"/>
      <c r="AC801" s="271"/>
      <c r="AD801" s="271"/>
      <c r="AE801" s="271"/>
      <c r="AF801" s="271"/>
      <c r="AG801" s="271"/>
      <c r="AH801" s="271"/>
      <c r="AI801" s="271"/>
      <c r="AJ801" s="271"/>
      <c r="AK801" s="271"/>
      <c r="AL801" s="271"/>
      <c r="AM801" s="271"/>
      <c r="AN801" s="271"/>
    </row>
    <row r="802" spans="1:40" ht="12.75" customHeight="1">
      <c r="A802" s="278"/>
      <c r="B802" s="278"/>
      <c r="C802" s="278"/>
      <c r="D802" s="278"/>
      <c r="E802" s="278"/>
      <c r="F802" s="278"/>
      <c r="G802" s="278"/>
      <c r="H802" s="278"/>
      <c r="I802" s="278"/>
      <c r="J802" s="278"/>
      <c r="K802" s="278"/>
      <c r="L802" s="278"/>
      <c r="M802" s="278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  <c r="AA802" s="271"/>
      <c r="AB802" s="271"/>
      <c r="AC802" s="271"/>
      <c r="AD802" s="271"/>
      <c r="AE802" s="271"/>
      <c r="AF802" s="271"/>
      <c r="AG802" s="271"/>
      <c r="AH802" s="271"/>
      <c r="AI802" s="271"/>
      <c r="AJ802" s="271"/>
      <c r="AK802" s="271"/>
      <c r="AL802" s="271"/>
      <c r="AM802" s="271"/>
      <c r="AN802" s="271"/>
    </row>
    <row r="803" spans="1:40" ht="12.75" customHeight="1">
      <c r="A803" s="278"/>
      <c r="B803" s="278"/>
      <c r="C803" s="278"/>
      <c r="D803" s="278"/>
      <c r="E803" s="278"/>
      <c r="F803" s="278"/>
      <c r="G803" s="278"/>
      <c r="H803" s="278"/>
      <c r="I803" s="278"/>
      <c r="J803" s="278"/>
      <c r="K803" s="278"/>
      <c r="L803" s="278"/>
      <c r="M803" s="278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  <c r="AA803" s="271"/>
      <c r="AB803" s="271"/>
      <c r="AC803" s="271"/>
      <c r="AD803" s="271"/>
      <c r="AE803" s="271"/>
      <c r="AF803" s="271"/>
      <c r="AG803" s="271"/>
      <c r="AH803" s="271"/>
      <c r="AI803" s="271"/>
      <c r="AJ803" s="271"/>
      <c r="AK803" s="271"/>
      <c r="AL803" s="271"/>
      <c r="AM803" s="271"/>
      <c r="AN803" s="271"/>
    </row>
    <row r="804" spans="1:40" ht="12.75" customHeight="1">
      <c r="A804" s="278"/>
      <c r="B804" s="278"/>
      <c r="C804" s="278"/>
      <c r="D804" s="278"/>
      <c r="E804" s="278"/>
      <c r="F804" s="278"/>
      <c r="G804" s="278"/>
      <c r="H804" s="278"/>
      <c r="I804" s="278"/>
      <c r="J804" s="278"/>
      <c r="K804" s="278"/>
      <c r="L804" s="278"/>
      <c r="M804" s="278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  <c r="AA804" s="271"/>
      <c r="AB804" s="271"/>
      <c r="AC804" s="271"/>
      <c r="AD804" s="271"/>
      <c r="AE804" s="271"/>
      <c r="AF804" s="271"/>
      <c r="AG804" s="271"/>
      <c r="AH804" s="271"/>
      <c r="AI804" s="271"/>
      <c r="AJ804" s="271"/>
      <c r="AK804" s="271"/>
      <c r="AL804" s="271"/>
      <c r="AM804" s="271"/>
      <c r="AN804" s="271"/>
    </row>
    <row r="805" spans="1:40" ht="12.75" customHeight="1">
      <c r="A805" s="278"/>
      <c r="B805" s="278"/>
      <c r="C805" s="278"/>
      <c r="D805" s="278"/>
      <c r="E805" s="278"/>
      <c r="F805" s="278"/>
      <c r="G805" s="278"/>
      <c r="H805" s="278"/>
      <c r="I805" s="278"/>
      <c r="J805" s="278"/>
      <c r="K805" s="278"/>
      <c r="L805" s="278"/>
      <c r="M805" s="278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  <c r="AA805" s="271"/>
      <c r="AB805" s="271"/>
      <c r="AC805" s="271"/>
      <c r="AD805" s="271"/>
      <c r="AE805" s="271"/>
      <c r="AF805" s="271"/>
      <c r="AG805" s="271"/>
      <c r="AH805" s="271"/>
      <c r="AI805" s="271"/>
      <c r="AJ805" s="271"/>
      <c r="AK805" s="271"/>
      <c r="AL805" s="271"/>
      <c r="AM805" s="271"/>
      <c r="AN805" s="271"/>
    </row>
    <row r="806" spans="1:40" ht="12.75" customHeight="1">
      <c r="A806" s="278"/>
      <c r="B806" s="278"/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  <c r="M806" s="278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  <c r="AA806" s="271"/>
      <c r="AB806" s="271"/>
      <c r="AC806" s="271"/>
      <c r="AD806" s="271"/>
      <c r="AE806" s="271"/>
      <c r="AF806" s="271"/>
      <c r="AG806" s="271"/>
      <c r="AH806" s="271"/>
      <c r="AI806" s="271"/>
      <c r="AJ806" s="271"/>
      <c r="AK806" s="271"/>
      <c r="AL806" s="271"/>
      <c r="AM806" s="271"/>
      <c r="AN806" s="271"/>
    </row>
    <row r="807" spans="1:40" ht="12.75" customHeight="1">
      <c r="A807" s="278"/>
      <c r="B807" s="278"/>
      <c r="C807" s="278"/>
      <c r="D807" s="278"/>
      <c r="E807" s="278"/>
      <c r="F807" s="278"/>
      <c r="G807" s="278"/>
      <c r="H807" s="278"/>
      <c r="I807" s="278"/>
      <c r="J807" s="278"/>
      <c r="K807" s="278"/>
      <c r="L807" s="278"/>
      <c r="M807" s="278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  <c r="AA807" s="271"/>
      <c r="AB807" s="271"/>
      <c r="AC807" s="271"/>
      <c r="AD807" s="271"/>
      <c r="AE807" s="271"/>
      <c r="AF807" s="271"/>
      <c r="AG807" s="271"/>
      <c r="AH807" s="271"/>
      <c r="AI807" s="271"/>
      <c r="AJ807" s="271"/>
      <c r="AK807" s="271"/>
      <c r="AL807" s="271"/>
      <c r="AM807" s="271"/>
      <c r="AN807" s="271"/>
    </row>
    <row r="808" spans="1:40" ht="12.75" customHeight="1">
      <c r="A808" s="278"/>
      <c r="B808" s="278"/>
      <c r="C808" s="278"/>
      <c r="D808" s="278"/>
      <c r="E808" s="278"/>
      <c r="F808" s="278"/>
      <c r="G808" s="278"/>
      <c r="H808" s="278"/>
      <c r="I808" s="278"/>
      <c r="J808" s="278"/>
      <c r="K808" s="278"/>
      <c r="L808" s="278"/>
      <c r="M808" s="278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  <c r="AA808" s="271"/>
      <c r="AB808" s="271"/>
      <c r="AC808" s="271"/>
      <c r="AD808" s="271"/>
      <c r="AE808" s="271"/>
      <c r="AF808" s="271"/>
      <c r="AG808" s="271"/>
      <c r="AH808" s="271"/>
      <c r="AI808" s="271"/>
      <c r="AJ808" s="271"/>
      <c r="AK808" s="271"/>
      <c r="AL808" s="271"/>
      <c r="AM808" s="271"/>
      <c r="AN808" s="271"/>
    </row>
    <row r="809" spans="1:40" ht="12.75" customHeight="1">
      <c r="A809" s="278"/>
      <c r="B809" s="278"/>
      <c r="C809" s="278"/>
      <c r="D809" s="278"/>
      <c r="E809" s="278"/>
      <c r="F809" s="278"/>
      <c r="G809" s="278"/>
      <c r="H809" s="278"/>
      <c r="I809" s="278"/>
      <c r="J809" s="278"/>
      <c r="K809" s="278"/>
      <c r="L809" s="278"/>
      <c r="M809" s="278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  <c r="AA809" s="271"/>
      <c r="AB809" s="271"/>
      <c r="AC809" s="271"/>
      <c r="AD809" s="271"/>
      <c r="AE809" s="271"/>
      <c r="AF809" s="271"/>
      <c r="AG809" s="271"/>
      <c r="AH809" s="271"/>
      <c r="AI809" s="271"/>
      <c r="AJ809" s="271"/>
      <c r="AK809" s="271"/>
      <c r="AL809" s="271"/>
      <c r="AM809" s="271"/>
      <c r="AN809" s="271"/>
    </row>
    <row r="810" spans="1:40" ht="12.75" customHeight="1">
      <c r="A810" s="278"/>
      <c r="B810" s="278"/>
      <c r="C810" s="278"/>
      <c r="D810" s="278"/>
      <c r="E810" s="278"/>
      <c r="F810" s="278"/>
      <c r="G810" s="278"/>
      <c r="H810" s="278"/>
      <c r="I810" s="278"/>
      <c r="J810" s="278"/>
      <c r="K810" s="278"/>
      <c r="L810" s="278"/>
      <c r="M810" s="278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  <c r="AA810" s="271"/>
      <c r="AB810" s="271"/>
      <c r="AC810" s="271"/>
      <c r="AD810" s="271"/>
      <c r="AE810" s="271"/>
      <c r="AF810" s="271"/>
      <c r="AG810" s="271"/>
      <c r="AH810" s="271"/>
      <c r="AI810" s="271"/>
      <c r="AJ810" s="271"/>
      <c r="AK810" s="271"/>
      <c r="AL810" s="271"/>
      <c r="AM810" s="271"/>
      <c r="AN810" s="271"/>
    </row>
    <row r="811" spans="1:40" ht="12.75" customHeight="1">
      <c r="A811" s="278"/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278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  <c r="AA811" s="271"/>
      <c r="AB811" s="271"/>
      <c r="AC811" s="271"/>
      <c r="AD811" s="271"/>
      <c r="AE811" s="271"/>
      <c r="AF811" s="271"/>
      <c r="AG811" s="271"/>
      <c r="AH811" s="271"/>
      <c r="AI811" s="271"/>
      <c r="AJ811" s="271"/>
      <c r="AK811" s="271"/>
      <c r="AL811" s="271"/>
      <c r="AM811" s="271"/>
      <c r="AN811" s="271"/>
    </row>
    <row r="812" spans="1:40" ht="12.75" customHeight="1">
      <c r="A812" s="278"/>
      <c r="B812" s="278"/>
      <c r="C812" s="278"/>
      <c r="D812" s="278"/>
      <c r="E812" s="278"/>
      <c r="F812" s="278"/>
      <c r="G812" s="278"/>
      <c r="H812" s="278"/>
      <c r="I812" s="278"/>
      <c r="J812" s="278"/>
      <c r="K812" s="278"/>
      <c r="L812" s="278"/>
      <c r="M812" s="278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  <c r="AA812" s="271"/>
      <c r="AB812" s="271"/>
      <c r="AC812" s="271"/>
      <c r="AD812" s="271"/>
      <c r="AE812" s="271"/>
      <c r="AF812" s="271"/>
      <c r="AG812" s="271"/>
      <c r="AH812" s="271"/>
      <c r="AI812" s="271"/>
      <c r="AJ812" s="271"/>
      <c r="AK812" s="271"/>
      <c r="AL812" s="271"/>
      <c r="AM812" s="271"/>
      <c r="AN812" s="271"/>
    </row>
    <row r="813" spans="1:40" ht="12.75" customHeight="1">
      <c r="A813" s="278"/>
      <c r="B813" s="278"/>
      <c r="C813" s="278"/>
      <c r="D813" s="278"/>
      <c r="E813" s="278"/>
      <c r="F813" s="278"/>
      <c r="G813" s="278"/>
      <c r="H813" s="278"/>
      <c r="I813" s="278"/>
      <c r="J813" s="278"/>
      <c r="K813" s="278"/>
      <c r="L813" s="278"/>
      <c r="M813" s="278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  <c r="AA813" s="271"/>
      <c r="AB813" s="271"/>
      <c r="AC813" s="271"/>
      <c r="AD813" s="271"/>
      <c r="AE813" s="271"/>
      <c r="AF813" s="271"/>
      <c r="AG813" s="271"/>
      <c r="AH813" s="271"/>
      <c r="AI813" s="271"/>
      <c r="AJ813" s="271"/>
      <c r="AK813" s="271"/>
      <c r="AL813" s="271"/>
      <c r="AM813" s="271"/>
      <c r="AN813" s="271"/>
    </row>
    <row r="814" spans="1:40" ht="12.75" customHeight="1">
      <c r="A814" s="278"/>
      <c r="B814" s="278"/>
      <c r="C814" s="278"/>
      <c r="D814" s="278"/>
      <c r="E814" s="278"/>
      <c r="F814" s="278"/>
      <c r="G814" s="278"/>
      <c r="H814" s="278"/>
      <c r="I814" s="278"/>
      <c r="J814" s="278"/>
      <c r="K814" s="278"/>
      <c r="L814" s="278"/>
      <c r="M814" s="278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  <c r="AA814" s="271"/>
      <c r="AB814" s="271"/>
      <c r="AC814" s="271"/>
      <c r="AD814" s="271"/>
      <c r="AE814" s="271"/>
      <c r="AF814" s="271"/>
      <c r="AG814" s="271"/>
      <c r="AH814" s="271"/>
      <c r="AI814" s="271"/>
      <c r="AJ814" s="271"/>
      <c r="AK814" s="271"/>
      <c r="AL814" s="271"/>
      <c r="AM814" s="271"/>
      <c r="AN814" s="271"/>
    </row>
    <row r="815" spans="1:40" ht="12.75" customHeight="1">
      <c r="A815" s="278"/>
      <c r="B815" s="278"/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  <c r="M815" s="278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  <c r="AA815" s="271"/>
      <c r="AB815" s="271"/>
      <c r="AC815" s="271"/>
      <c r="AD815" s="271"/>
      <c r="AE815" s="271"/>
      <c r="AF815" s="271"/>
      <c r="AG815" s="271"/>
      <c r="AH815" s="271"/>
      <c r="AI815" s="271"/>
      <c r="AJ815" s="271"/>
      <c r="AK815" s="271"/>
      <c r="AL815" s="271"/>
      <c r="AM815" s="271"/>
      <c r="AN815" s="271"/>
    </row>
    <row r="816" spans="1:40" ht="12.75" customHeight="1">
      <c r="A816" s="278"/>
      <c r="B816" s="278"/>
      <c r="C816" s="278"/>
      <c r="D816" s="278"/>
      <c r="E816" s="278"/>
      <c r="F816" s="278"/>
      <c r="G816" s="278"/>
      <c r="H816" s="278"/>
      <c r="I816" s="278"/>
      <c r="J816" s="278"/>
      <c r="K816" s="278"/>
      <c r="L816" s="278"/>
      <c r="M816" s="278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  <c r="AA816" s="271"/>
      <c r="AB816" s="271"/>
      <c r="AC816" s="271"/>
      <c r="AD816" s="271"/>
      <c r="AE816" s="271"/>
      <c r="AF816" s="271"/>
      <c r="AG816" s="271"/>
      <c r="AH816" s="271"/>
      <c r="AI816" s="271"/>
      <c r="AJ816" s="271"/>
      <c r="AK816" s="271"/>
      <c r="AL816" s="271"/>
      <c r="AM816" s="271"/>
      <c r="AN816" s="271"/>
    </row>
    <row r="817" spans="1:40" ht="12.75" customHeight="1">
      <c r="A817" s="278"/>
      <c r="B817" s="278"/>
      <c r="C817" s="278"/>
      <c r="D817" s="278"/>
      <c r="E817" s="278"/>
      <c r="F817" s="278"/>
      <c r="G817" s="278"/>
      <c r="H817" s="278"/>
      <c r="I817" s="278"/>
      <c r="J817" s="278"/>
      <c r="K817" s="278"/>
      <c r="L817" s="278"/>
      <c r="M817" s="278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  <c r="AA817" s="271"/>
      <c r="AB817" s="271"/>
      <c r="AC817" s="271"/>
      <c r="AD817" s="271"/>
      <c r="AE817" s="271"/>
      <c r="AF817" s="271"/>
      <c r="AG817" s="271"/>
      <c r="AH817" s="271"/>
      <c r="AI817" s="271"/>
      <c r="AJ817" s="271"/>
      <c r="AK817" s="271"/>
      <c r="AL817" s="271"/>
      <c r="AM817" s="271"/>
      <c r="AN817" s="271"/>
    </row>
    <row r="818" spans="1:40" ht="12.75" customHeight="1">
      <c r="A818" s="278"/>
      <c r="B818" s="278"/>
      <c r="C818" s="278"/>
      <c r="D818" s="278"/>
      <c r="E818" s="278"/>
      <c r="F818" s="278"/>
      <c r="G818" s="278"/>
      <c r="H818" s="278"/>
      <c r="I818" s="278"/>
      <c r="J818" s="278"/>
      <c r="K818" s="278"/>
      <c r="L818" s="278"/>
      <c r="M818" s="278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  <c r="AA818" s="271"/>
      <c r="AB818" s="271"/>
      <c r="AC818" s="271"/>
      <c r="AD818" s="271"/>
      <c r="AE818" s="271"/>
      <c r="AF818" s="271"/>
      <c r="AG818" s="271"/>
      <c r="AH818" s="271"/>
      <c r="AI818" s="271"/>
      <c r="AJ818" s="271"/>
      <c r="AK818" s="271"/>
      <c r="AL818" s="271"/>
      <c r="AM818" s="271"/>
      <c r="AN818" s="271"/>
    </row>
    <row r="819" spans="1:40" ht="12.75" customHeight="1">
      <c r="A819" s="278"/>
      <c r="B819" s="278"/>
      <c r="C819" s="278"/>
      <c r="D819" s="278"/>
      <c r="E819" s="278"/>
      <c r="F819" s="278"/>
      <c r="G819" s="278"/>
      <c r="H819" s="278"/>
      <c r="I819" s="278"/>
      <c r="J819" s="278"/>
      <c r="K819" s="278"/>
      <c r="L819" s="278"/>
      <c r="M819" s="278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  <c r="AA819" s="271"/>
      <c r="AB819" s="271"/>
      <c r="AC819" s="271"/>
      <c r="AD819" s="271"/>
      <c r="AE819" s="271"/>
      <c r="AF819" s="271"/>
      <c r="AG819" s="271"/>
      <c r="AH819" s="271"/>
      <c r="AI819" s="271"/>
      <c r="AJ819" s="271"/>
      <c r="AK819" s="271"/>
      <c r="AL819" s="271"/>
      <c r="AM819" s="271"/>
      <c r="AN819" s="271"/>
    </row>
    <row r="820" spans="1:40" ht="12.75" customHeight="1">
      <c r="A820" s="278"/>
      <c r="B820" s="278"/>
      <c r="C820" s="278"/>
      <c r="D820" s="278"/>
      <c r="E820" s="278"/>
      <c r="F820" s="278"/>
      <c r="G820" s="278"/>
      <c r="H820" s="278"/>
      <c r="I820" s="278"/>
      <c r="J820" s="278"/>
      <c r="K820" s="278"/>
      <c r="L820" s="278"/>
      <c r="M820" s="278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  <c r="AA820" s="271"/>
      <c r="AB820" s="271"/>
      <c r="AC820" s="271"/>
      <c r="AD820" s="271"/>
      <c r="AE820" s="271"/>
      <c r="AF820" s="271"/>
      <c r="AG820" s="271"/>
      <c r="AH820" s="271"/>
      <c r="AI820" s="271"/>
      <c r="AJ820" s="271"/>
      <c r="AK820" s="271"/>
      <c r="AL820" s="271"/>
      <c r="AM820" s="271"/>
      <c r="AN820" s="271"/>
    </row>
    <row r="821" spans="1:40" ht="12.75" customHeight="1">
      <c r="A821" s="278"/>
      <c r="B821" s="278"/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  <c r="M821" s="278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  <c r="AA821" s="271"/>
      <c r="AB821" s="271"/>
      <c r="AC821" s="271"/>
      <c r="AD821" s="271"/>
      <c r="AE821" s="271"/>
      <c r="AF821" s="271"/>
      <c r="AG821" s="271"/>
      <c r="AH821" s="271"/>
      <c r="AI821" s="271"/>
      <c r="AJ821" s="271"/>
      <c r="AK821" s="271"/>
      <c r="AL821" s="271"/>
      <c r="AM821" s="271"/>
      <c r="AN821" s="271"/>
    </row>
    <row r="822" spans="1:40" ht="12.75" customHeight="1">
      <c r="A822" s="278"/>
      <c r="B822" s="278"/>
      <c r="C822" s="278"/>
      <c r="D822" s="278"/>
      <c r="E822" s="278"/>
      <c r="F822" s="278"/>
      <c r="G822" s="278"/>
      <c r="H822" s="278"/>
      <c r="I822" s="278"/>
      <c r="J822" s="278"/>
      <c r="K822" s="278"/>
      <c r="L822" s="278"/>
      <c r="M822" s="278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  <c r="AA822" s="271"/>
      <c r="AB822" s="271"/>
      <c r="AC822" s="271"/>
      <c r="AD822" s="271"/>
      <c r="AE822" s="271"/>
      <c r="AF822" s="271"/>
      <c r="AG822" s="271"/>
      <c r="AH822" s="271"/>
      <c r="AI822" s="271"/>
      <c r="AJ822" s="271"/>
      <c r="AK822" s="271"/>
      <c r="AL822" s="271"/>
      <c r="AM822" s="271"/>
      <c r="AN822" s="271"/>
    </row>
    <row r="823" spans="1:40" ht="12.75" customHeight="1">
      <c r="A823" s="278"/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278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  <c r="AA823" s="271"/>
      <c r="AB823" s="271"/>
      <c r="AC823" s="271"/>
      <c r="AD823" s="271"/>
      <c r="AE823" s="271"/>
      <c r="AF823" s="271"/>
      <c r="AG823" s="271"/>
      <c r="AH823" s="271"/>
      <c r="AI823" s="271"/>
      <c r="AJ823" s="271"/>
      <c r="AK823" s="271"/>
      <c r="AL823" s="271"/>
      <c r="AM823" s="271"/>
      <c r="AN823" s="271"/>
    </row>
    <row r="824" spans="1:40" ht="12.75" customHeight="1">
      <c r="A824" s="278"/>
      <c r="B824" s="278"/>
      <c r="C824" s="278"/>
      <c r="D824" s="278"/>
      <c r="E824" s="278"/>
      <c r="F824" s="278"/>
      <c r="G824" s="278"/>
      <c r="H824" s="278"/>
      <c r="I824" s="278"/>
      <c r="J824" s="278"/>
      <c r="K824" s="278"/>
      <c r="L824" s="278"/>
      <c r="M824" s="278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  <c r="AA824" s="271"/>
      <c r="AB824" s="271"/>
      <c r="AC824" s="271"/>
      <c r="AD824" s="271"/>
      <c r="AE824" s="271"/>
      <c r="AF824" s="271"/>
      <c r="AG824" s="271"/>
      <c r="AH824" s="271"/>
      <c r="AI824" s="271"/>
      <c r="AJ824" s="271"/>
      <c r="AK824" s="271"/>
      <c r="AL824" s="271"/>
      <c r="AM824" s="271"/>
      <c r="AN824" s="271"/>
    </row>
    <row r="825" spans="1:40" ht="12.75" customHeight="1">
      <c r="A825" s="278"/>
      <c r="B825" s="278"/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  <c r="M825" s="278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  <c r="AA825" s="271"/>
      <c r="AB825" s="271"/>
      <c r="AC825" s="271"/>
      <c r="AD825" s="271"/>
      <c r="AE825" s="271"/>
      <c r="AF825" s="271"/>
      <c r="AG825" s="271"/>
      <c r="AH825" s="271"/>
      <c r="AI825" s="271"/>
      <c r="AJ825" s="271"/>
      <c r="AK825" s="271"/>
      <c r="AL825" s="271"/>
      <c r="AM825" s="271"/>
      <c r="AN825" s="271"/>
    </row>
    <row r="826" spans="1:40" ht="12.75" customHeight="1">
      <c r="A826" s="278"/>
      <c r="B826" s="278"/>
      <c r="C826" s="278"/>
      <c r="D826" s="278"/>
      <c r="E826" s="278"/>
      <c r="F826" s="278"/>
      <c r="G826" s="278"/>
      <c r="H826" s="278"/>
      <c r="I826" s="278"/>
      <c r="J826" s="278"/>
      <c r="K826" s="278"/>
      <c r="L826" s="278"/>
      <c r="M826" s="278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  <c r="AA826" s="271"/>
      <c r="AB826" s="271"/>
      <c r="AC826" s="271"/>
      <c r="AD826" s="271"/>
      <c r="AE826" s="271"/>
      <c r="AF826" s="271"/>
      <c r="AG826" s="271"/>
      <c r="AH826" s="271"/>
      <c r="AI826" s="271"/>
      <c r="AJ826" s="271"/>
      <c r="AK826" s="271"/>
      <c r="AL826" s="271"/>
      <c r="AM826" s="271"/>
      <c r="AN826" s="271"/>
    </row>
    <row r="827" spans="1:40" ht="12.75" customHeight="1">
      <c r="A827" s="278"/>
      <c r="B827" s="278"/>
      <c r="C827" s="278"/>
      <c r="D827" s="278"/>
      <c r="E827" s="278"/>
      <c r="F827" s="278"/>
      <c r="G827" s="278"/>
      <c r="H827" s="278"/>
      <c r="I827" s="278"/>
      <c r="J827" s="278"/>
      <c r="K827" s="278"/>
      <c r="L827" s="278"/>
      <c r="M827" s="278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  <c r="AA827" s="271"/>
      <c r="AB827" s="271"/>
      <c r="AC827" s="271"/>
      <c r="AD827" s="271"/>
      <c r="AE827" s="271"/>
      <c r="AF827" s="271"/>
      <c r="AG827" s="271"/>
      <c r="AH827" s="271"/>
      <c r="AI827" s="271"/>
      <c r="AJ827" s="271"/>
      <c r="AK827" s="271"/>
      <c r="AL827" s="271"/>
      <c r="AM827" s="271"/>
      <c r="AN827" s="271"/>
    </row>
    <row r="828" spans="1:40" ht="12.75" customHeight="1">
      <c r="A828" s="278"/>
      <c r="B828" s="278"/>
      <c r="C828" s="278"/>
      <c r="D828" s="278"/>
      <c r="E828" s="278"/>
      <c r="F828" s="278"/>
      <c r="G828" s="278"/>
      <c r="H828" s="278"/>
      <c r="I828" s="278"/>
      <c r="J828" s="278"/>
      <c r="K828" s="278"/>
      <c r="L828" s="278"/>
      <c r="M828" s="278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  <c r="AA828" s="271"/>
      <c r="AB828" s="271"/>
      <c r="AC828" s="271"/>
      <c r="AD828" s="271"/>
      <c r="AE828" s="271"/>
      <c r="AF828" s="271"/>
      <c r="AG828" s="271"/>
      <c r="AH828" s="271"/>
      <c r="AI828" s="271"/>
      <c r="AJ828" s="271"/>
      <c r="AK828" s="271"/>
      <c r="AL828" s="271"/>
      <c r="AM828" s="271"/>
      <c r="AN828" s="271"/>
    </row>
    <row r="829" spans="1:40" ht="12.75" customHeight="1">
      <c r="A829" s="278"/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278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  <c r="AA829" s="271"/>
      <c r="AB829" s="271"/>
      <c r="AC829" s="271"/>
      <c r="AD829" s="271"/>
      <c r="AE829" s="271"/>
      <c r="AF829" s="271"/>
      <c r="AG829" s="271"/>
      <c r="AH829" s="271"/>
      <c r="AI829" s="271"/>
      <c r="AJ829" s="271"/>
      <c r="AK829" s="271"/>
      <c r="AL829" s="271"/>
      <c r="AM829" s="271"/>
      <c r="AN829" s="271"/>
    </row>
    <row r="830" spans="1:40" ht="12.75" customHeight="1">
      <c r="A830" s="278"/>
      <c r="B830" s="278"/>
      <c r="C830" s="278"/>
      <c r="D830" s="278"/>
      <c r="E830" s="278"/>
      <c r="F830" s="278"/>
      <c r="G830" s="278"/>
      <c r="H830" s="278"/>
      <c r="I830" s="278"/>
      <c r="J830" s="278"/>
      <c r="K830" s="278"/>
      <c r="L830" s="278"/>
      <c r="M830" s="278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  <c r="AA830" s="271"/>
      <c r="AB830" s="271"/>
      <c r="AC830" s="271"/>
      <c r="AD830" s="271"/>
      <c r="AE830" s="271"/>
      <c r="AF830" s="271"/>
      <c r="AG830" s="271"/>
      <c r="AH830" s="271"/>
      <c r="AI830" s="271"/>
      <c r="AJ830" s="271"/>
      <c r="AK830" s="271"/>
      <c r="AL830" s="271"/>
      <c r="AM830" s="271"/>
      <c r="AN830" s="271"/>
    </row>
    <row r="831" spans="1:40" ht="12.75" customHeight="1">
      <c r="A831" s="278"/>
      <c r="B831" s="278"/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  <c r="M831" s="278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  <c r="AA831" s="271"/>
      <c r="AB831" s="271"/>
      <c r="AC831" s="271"/>
      <c r="AD831" s="271"/>
      <c r="AE831" s="271"/>
      <c r="AF831" s="271"/>
      <c r="AG831" s="271"/>
      <c r="AH831" s="271"/>
      <c r="AI831" s="271"/>
      <c r="AJ831" s="271"/>
      <c r="AK831" s="271"/>
      <c r="AL831" s="271"/>
      <c r="AM831" s="271"/>
      <c r="AN831" s="271"/>
    </row>
    <row r="832" spans="1:40" ht="12.75" customHeight="1">
      <c r="A832" s="278"/>
      <c r="B832" s="278"/>
      <c r="C832" s="278"/>
      <c r="D832" s="278"/>
      <c r="E832" s="278"/>
      <c r="F832" s="278"/>
      <c r="G832" s="278"/>
      <c r="H832" s="278"/>
      <c r="I832" s="278"/>
      <c r="J832" s="278"/>
      <c r="K832" s="278"/>
      <c r="L832" s="278"/>
      <c r="M832" s="278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  <c r="AA832" s="271"/>
      <c r="AB832" s="271"/>
      <c r="AC832" s="271"/>
      <c r="AD832" s="271"/>
      <c r="AE832" s="271"/>
      <c r="AF832" s="271"/>
      <c r="AG832" s="271"/>
      <c r="AH832" s="271"/>
      <c r="AI832" s="271"/>
      <c r="AJ832" s="271"/>
      <c r="AK832" s="271"/>
      <c r="AL832" s="271"/>
      <c r="AM832" s="271"/>
      <c r="AN832" s="271"/>
    </row>
    <row r="833" spans="1:40" ht="12.75" customHeight="1">
      <c r="A833" s="278"/>
      <c r="B833" s="278"/>
      <c r="C833" s="278"/>
      <c r="D833" s="278"/>
      <c r="E833" s="278"/>
      <c r="F833" s="278"/>
      <c r="G833" s="278"/>
      <c r="H833" s="278"/>
      <c r="I833" s="278"/>
      <c r="J833" s="278"/>
      <c r="K833" s="278"/>
      <c r="L833" s="278"/>
      <c r="M833" s="278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  <c r="AA833" s="271"/>
      <c r="AB833" s="271"/>
      <c r="AC833" s="271"/>
      <c r="AD833" s="271"/>
      <c r="AE833" s="271"/>
      <c r="AF833" s="271"/>
      <c r="AG833" s="271"/>
      <c r="AH833" s="271"/>
      <c r="AI833" s="271"/>
      <c r="AJ833" s="271"/>
      <c r="AK833" s="271"/>
      <c r="AL833" s="271"/>
      <c r="AM833" s="271"/>
      <c r="AN833" s="271"/>
    </row>
    <row r="834" spans="1:40" ht="12.75" customHeight="1">
      <c r="A834" s="278"/>
      <c r="B834" s="278"/>
      <c r="C834" s="278"/>
      <c r="D834" s="278"/>
      <c r="E834" s="278"/>
      <c r="F834" s="278"/>
      <c r="G834" s="278"/>
      <c r="H834" s="278"/>
      <c r="I834" s="278"/>
      <c r="J834" s="278"/>
      <c r="K834" s="278"/>
      <c r="L834" s="278"/>
      <c r="M834" s="278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  <c r="AA834" s="271"/>
      <c r="AB834" s="271"/>
      <c r="AC834" s="271"/>
      <c r="AD834" s="271"/>
      <c r="AE834" s="271"/>
      <c r="AF834" s="271"/>
      <c r="AG834" s="271"/>
      <c r="AH834" s="271"/>
      <c r="AI834" s="271"/>
      <c r="AJ834" s="271"/>
      <c r="AK834" s="271"/>
      <c r="AL834" s="271"/>
      <c r="AM834" s="271"/>
      <c r="AN834" s="271"/>
    </row>
    <row r="835" spans="1:40" ht="12.75" customHeight="1">
      <c r="A835" s="278"/>
      <c r="B835" s="278"/>
      <c r="C835" s="278"/>
      <c r="D835" s="278"/>
      <c r="E835" s="278"/>
      <c r="F835" s="278"/>
      <c r="G835" s="278"/>
      <c r="H835" s="278"/>
      <c r="I835" s="278"/>
      <c r="J835" s="278"/>
      <c r="K835" s="278"/>
      <c r="L835" s="278"/>
      <c r="M835" s="278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  <c r="AA835" s="271"/>
      <c r="AB835" s="271"/>
      <c r="AC835" s="271"/>
      <c r="AD835" s="271"/>
      <c r="AE835" s="271"/>
      <c r="AF835" s="271"/>
      <c r="AG835" s="271"/>
      <c r="AH835" s="271"/>
      <c r="AI835" s="271"/>
      <c r="AJ835" s="271"/>
      <c r="AK835" s="271"/>
      <c r="AL835" s="271"/>
      <c r="AM835" s="271"/>
      <c r="AN835" s="271"/>
    </row>
    <row r="836" spans="1:40" ht="12.75" customHeight="1">
      <c r="A836" s="278"/>
      <c r="B836" s="278"/>
      <c r="C836" s="278"/>
      <c r="D836" s="278"/>
      <c r="E836" s="278"/>
      <c r="F836" s="278"/>
      <c r="G836" s="278"/>
      <c r="H836" s="278"/>
      <c r="I836" s="278"/>
      <c r="J836" s="278"/>
      <c r="K836" s="278"/>
      <c r="L836" s="278"/>
      <c r="M836" s="278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  <c r="AA836" s="271"/>
      <c r="AB836" s="271"/>
      <c r="AC836" s="271"/>
      <c r="AD836" s="271"/>
      <c r="AE836" s="271"/>
      <c r="AF836" s="271"/>
      <c r="AG836" s="271"/>
      <c r="AH836" s="271"/>
      <c r="AI836" s="271"/>
      <c r="AJ836" s="271"/>
      <c r="AK836" s="271"/>
      <c r="AL836" s="271"/>
      <c r="AM836" s="271"/>
      <c r="AN836" s="271"/>
    </row>
    <row r="837" spans="1:40" ht="12.75" customHeight="1">
      <c r="A837" s="278"/>
      <c r="B837" s="278"/>
      <c r="C837" s="278"/>
      <c r="D837" s="278"/>
      <c r="E837" s="278"/>
      <c r="F837" s="278"/>
      <c r="G837" s="278"/>
      <c r="H837" s="278"/>
      <c r="I837" s="278"/>
      <c r="J837" s="278"/>
      <c r="K837" s="278"/>
      <c r="L837" s="278"/>
      <c r="M837" s="278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  <c r="AA837" s="271"/>
      <c r="AB837" s="271"/>
      <c r="AC837" s="271"/>
      <c r="AD837" s="271"/>
      <c r="AE837" s="271"/>
      <c r="AF837" s="271"/>
      <c r="AG837" s="271"/>
      <c r="AH837" s="271"/>
      <c r="AI837" s="271"/>
      <c r="AJ837" s="271"/>
      <c r="AK837" s="271"/>
      <c r="AL837" s="271"/>
      <c r="AM837" s="271"/>
      <c r="AN837" s="271"/>
    </row>
    <row r="838" spans="1:40" ht="12.75" customHeight="1">
      <c r="A838" s="278"/>
      <c r="B838" s="278"/>
      <c r="C838" s="278"/>
      <c r="D838" s="278"/>
      <c r="E838" s="278"/>
      <c r="F838" s="278"/>
      <c r="G838" s="278"/>
      <c r="H838" s="278"/>
      <c r="I838" s="278"/>
      <c r="J838" s="278"/>
      <c r="K838" s="278"/>
      <c r="L838" s="278"/>
      <c r="M838" s="278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  <c r="AA838" s="271"/>
      <c r="AB838" s="271"/>
      <c r="AC838" s="271"/>
      <c r="AD838" s="271"/>
      <c r="AE838" s="271"/>
      <c r="AF838" s="271"/>
      <c r="AG838" s="271"/>
      <c r="AH838" s="271"/>
      <c r="AI838" s="271"/>
      <c r="AJ838" s="271"/>
      <c r="AK838" s="271"/>
      <c r="AL838" s="271"/>
      <c r="AM838" s="271"/>
      <c r="AN838" s="271"/>
    </row>
    <row r="839" spans="1:40" ht="12.75" customHeight="1">
      <c r="A839" s="278"/>
      <c r="B839" s="278"/>
      <c r="C839" s="278"/>
      <c r="D839" s="278"/>
      <c r="E839" s="278"/>
      <c r="F839" s="278"/>
      <c r="G839" s="278"/>
      <c r="H839" s="278"/>
      <c r="I839" s="278"/>
      <c r="J839" s="278"/>
      <c r="K839" s="278"/>
      <c r="L839" s="278"/>
      <c r="M839" s="278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  <c r="AA839" s="271"/>
      <c r="AB839" s="271"/>
      <c r="AC839" s="271"/>
      <c r="AD839" s="271"/>
      <c r="AE839" s="271"/>
      <c r="AF839" s="271"/>
      <c r="AG839" s="271"/>
      <c r="AH839" s="271"/>
      <c r="AI839" s="271"/>
      <c r="AJ839" s="271"/>
      <c r="AK839" s="271"/>
      <c r="AL839" s="271"/>
      <c r="AM839" s="271"/>
      <c r="AN839" s="271"/>
    </row>
    <row r="840" spans="1:40" ht="12.75" customHeight="1">
      <c r="A840" s="278"/>
      <c r="B840" s="278"/>
      <c r="C840" s="278"/>
      <c r="D840" s="278"/>
      <c r="E840" s="278"/>
      <c r="F840" s="278"/>
      <c r="G840" s="278"/>
      <c r="H840" s="278"/>
      <c r="I840" s="278"/>
      <c r="J840" s="278"/>
      <c r="K840" s="278"/>
      <c r="L840" s="278"/>
      <c r="M840" s="278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  <c r="AA840" s="271"/>
      <c r="AB840" s="271"/>
      <c r="AC840" s="271"/>
      <c r="AD840" s="271"/>
      <c r="AE840" s="271"/>
      <c r="AF840" s="271"/>
      <c r="AG840" s="271"/>
      <c r="AH840" s="271"/>
      <c r="AI840" s="271"/>
      <c r="AJ840" s="271"/>
      <c r="AK840" s="271"/>
      <c r="AL840" s="271"/>
      <c r="AM840" s="271"/>
      <c r="AN840" s="271"/>
    </row>
    <row r="841" spans="1:40" ht="12.75" customHeight="1">
      <c r="A841" s="278"/>
      <c r="B841" s="278"/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  <c r="M841" s="278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  <c r="AA841" s="271"/>
      <c r="AB841" s="271"/>
      <c r="AC841" s="271"/>
      <c r="AD841" s="271"/>
      <c r="AE841" s="271"/>
      <c r="AF841" s="271"/>
      <c r="AG841" s="271"/>
      <c r="AH841" s="271"/>
      <c r="AI841" s="271"/>
      <c r="AJ841" s="271"/>
      <c r="AK841" s="271"/>
      <c r="AL841" s="271"/>
      <c r="AM841" s="271"/>
      <c r="AN841" s="271"/>
    </row>
    <row r="842" spans="1:40" ht="12.75" customHeight="1">
      <c r="A842" s="278"/>
      <c r="B842" s="278"/>
      <c r="C842" s="278"/>
      <c r="D842" s="278"/>
      <c r="E842" s="278"/>
      <c r="F842" s="278"/>
      <c r="G842" s="278"/>
      <c r="H842" s="278"/>
      <c r="I842" s="278"/>
      <c r="J842" s="278"/>
      <c r="K842" s="278"/>
      <c r="L842" s="278"/>
      <c r="M842" s="278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  <c r="AA842" s="271"/>
      <c r="AB842" s="271"/>
      <c r="AC842" s="271"/>
      <c r="AD842" s="271"/>
      <c r="AE842" s="271"/>
      <c r="AF842" s="271"/>
      <c r="AG842" s="271"/>
      <c r="AH842" s="271"/>
      <c r="AI842" s="271"/>
      <c r="AJ842" s="271"/>
      <c r="AK842" s="271"/>
      <c r="AL842" s="271"/>
      <c r="AM842" s="271"/>
      <c r="AN842" s="271"/>
    </row>
    <row r="843" spans="1:40" ht="12.75" customHeight="1">
      <c r="A843" s="278"/>
      <c r="B843" s="278"/>
      <c r="C843" s="278"/>
      <c r="D843" s="278"/>
      <c r="E843" s="278"/>
      <c r="F843" s="278"/>
      <c r="G843" s="278"/>
      <c r="H843" s="278"/>
      <c r="I843" s="278"/>
      <c r="J843" s="278"/>
      <c r="K843" s="278"/>
      <c r="L843" s="278"/>
      <c r="M843" s="278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  <c r="AA843" s="271"/>
      <c r="AB843" s="271"/>
      <c r="AC843" s="271"/>
      <c r="AD843" s="271"/>
      <c r="AE843" s="271"/>
      <c r="AF843" s="271"/>
      <c r="AG843" s="271"/>
      <c r="AH843" s="271"/>
      <c r="AI843" s="271"/>
      <c r="AJ843" s="271"/>
      <c r="AK843" s="271"/>
      <c r="AL843" s="271"/>
      <c r="AM843" s="271"/>
      <c r="AN843" s="271"/>
    </row>
    <row r="844" spans="1:40" ht="12.75" customHeight="1">
      <c r="A844" s="278"/>
      <c r="B844" s="278"/>
      <c r="C844" s="278"/>
      <c r="D844" s="278"/>
      <c r="E844" s="278"/>
      <c r="F844" s="278"/>
      <c r="G844" s="278"/>
      <c r="H844" s="278"/>
      <c r="I844" s="278"/>
      <c r="J844" s="278"/>
      <c r="K844" s="278"/>
      <c r="L844" s="278"/>
      <c r="M844" s="278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  <c r="AA844" s="271"/>
      <c r="AB844" s="271"/>
      <c r="AC844" s="271"/>
      <c r="AD844" s="271"/>
      <c r="AE844" s="271"/>
      <c r="AF844" s="271"/>
      <c r="AG844" s="271"/>
      <c r="AH844" s="271"/>
      <c r="AI844" s="271"/>
      <c r="AJ844" s="271"/>
      <c r="AK844" s="271"/>
      <c r="AL844" s="271"/>
      <c r="AM844" s="271"/>
      <c r="AN844" s="271"/>
    </row>
    <row r="845" spans="1:40" ht="12.75" customHeight="1">
      <c r="A845" s="278"/>
      <c r="B845" s="278"/>
      <c r="C845" s="278"/>
      <c r="D845" s="278"/>
      <c r="E845" s="278"/>
      <c r="F845" s="278"/>
      <c r="G845" s="278"/>
      <c r="H845" s="278"/>
      <c r="I845" s="278"/>
      <c r="J845" s="278"/>
      <c r="K845" s="278"/>
      <c r="L845" s="278"/>
      <c r="M845" s="278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  <c r="AA845" s="271"/>
      <c r="AB845" s="271"/>
      <c r="AC845" s="271"/>
      <c r="AD845" s="271"/>
      <c r="AE845" s="271"/>
      <c r="AF845" s="271"/>
      <c r="AG845" s="271"/>
      <c r="AH845" s="271"/>
      <c r="AI845" s="271"/>
      <c r="AJ845" s="271"/>
      <c r="AK845" s="271"/>
      <c r="AL845" s="271"/>
      <c r="AM845" s="271"/>
      <c r="AN845" s="271"/>
    </row>
    <row r="846" spans="1:40" ht="12.75" customHeight="1">
      <c r="A846" s="278"/>
      <c r="B846" s="278"/>
      <c r="C846" s="278"/>
      <c r="D846" s="278"/>
      <c r="E846" s="278"/>
      <c r="F846" s="278"/>
      <c r="G846" s="278"/>
      <c r="H846" s="278"/>
      <c r="I846" s="278"/>
      <c r="J846" s="278"/>
      <c r="K846" s="278"/>
      <c r="L846" s="278"/>
      <c r="M846" s="278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  <c r="AA846" s="271"/>
      <c r="AB846" s="271"/>
      <c r="AC846" s="271"/>
      <c r="AD846" s="271"/>
      <c r="AE846" s="271"/>
      <c r="AF846" s="271"/>
      <c r="AG846" s="271"/>
      <c r="AH846" s="271"/>
      <c r="AI846" s="271"/>
      <c r="AJ846" s="271"/>
      <c r="AK846" s="271"/>
      <c r="AL846" s="271"/>
      <c r="AM846" s="271"/>
      <c r="AN846" s="271"/>
    </row>
    <row r="847" spans="1:40" ht="12.75" customHeight="1">
      <c r="A847" s="278"/>
      <c r="B847" s="278"/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  <c r="M847" s="278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  <c r="AA847" s="271"/>
      <c r="AB847" s="271"/>
      <c r="AC847" s="271"/>
      <c r="AD847" s="271"/>
      <c r="AE847" s="271"/>
      <c r="AF847" s="271"/>
      <c r="AG847" s="271"/>
      <c r="AH847" s="271"/>
      <c r="AI847" s="271"/>
      <c r="AJ847" s="271"/>
      <c r="AK847" s="271"/>
      <c r="AL847" s="271"/>
      <c r="AM847" s="271"/>
      <c r="AN847" s="271"/>
    </row>
    <row r="848" spans="1:40" ht="12.75" customHeight="1">
      <c r="A848" s="278"/>
      <c r="B848" s="278"/>
      <c r="C848" s="278"/>
      <c r="D848" s="278"/>
      <c r="E848" s="278"/>
      <c r="F848" s="278"/>
      <c r="G848" s="278"/>
      <c r="H848" s="278"/>
      <c r="I848" s="278"/>
      <c r="J848" s="278"/>
      <c r="K848" s="278"/>
      <c r="L848" s="278"/>
      <c r="M848" s="278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  <c r="AA848" s="271"/>
      <c r="AB848" s="271"/>
      <c r="AC848" s="271"/>
      <c r="AD848" s="271"/>
      <c r="AE848" s="271"/>
      <c r="AF848" s="271"/>
      <c r="AG848" s="271"/>
      <c r="AH848" s="271"/>
      <c r="AI848" s="271"/>
      <c r="AJ848" s="271"/>
      <c r="AK848" s="271"/>
      <c r="AL848" s="271"/>
      <c r="AM848" s="271"/>
      <c r="AN848" s="271"/>
    </row>
    <row r="849" spans="1:40" ht="12.75" customHeight="1">
      <c r="A849" s="278"/>
      <c r="B849" s="278"/>
      <c r="C849" s="278"/>
      <c r="D849" s="278"/>
      <c r="E849" s="278"/>
      <c r="F849" s="278"/>
      <c r="G849" s="278"/>
      <c r="H849" s="278"/>
      <c r="I849" s="278"/>
      <c r="J849" s="278"/>
      <c r="K849" s="278"/>
      <c r="L849" s="278"/>
      <c r="M849" s="278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  <c r="AA849" s="271"/>
      <c r="AB849" s="271"/>
      <c r="AC849" s="271"/>
      <c r="AD849" s="271"/>
      <c r="AE849" s="271"/>
      <c r="AF849" s="271"/>
      <c r="AG849" s="271"/>
      <c r="AH849" s="271"/>
      <c r="AI849" s="271"/>
      <c r="AJ849" s="271"/>
      <c r="AK849" s="271"/>
      <c r="AL849" s="271"/>
      <c r="AM849" s="271"/>
      <c r="AN849" s="271"/>
    </row>
    <row r="850" spans="1:40" ht="12.75" customHeight="1">
      <c r="A850" s="278"/>
      <c r="B850" s="278"/>
      <c r="C850" s="278"/>
      <c r="D850" s="278"/>
      <c r="E850" s="278"/>
      <c r="F850" s="278"/>
      <c r="G850" s="278"/>
      <c r="H850" s="278"/>
      <c r="I850" s="278"/>
      <c r="J850" s="278"/>
      <c r="K850" s="278"/>
      <c r="L850" s="278"/>
      <c r="M850" s="278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  <c r="AA850" s="271"/>
      <c r="AB850" s="271"/>
      <c r="AC850" s="271"/>
      <c r="AD850" s="271"/>
      <c r="AE850" s="271"/>
      <c r="AF850" s="271"/>
      <c r="AG850" s="271"/>
      <c r="AH850" s="271"/>
      <c r="AI850" s="271"/>
      <c r="AJ850" s="271"/>
      <c r="AK850" s="271"/>
      <c r="AL850" s="271"/>
      <c r="AM850" s="271"/>
      <c r="AN850" s="271"/>
    </row>
    <row r="851" spans="1:40" ht="12.75" customHeight="1">
      <c r="A851" s="278"/>
      <c r="B851" s="278"/>
      <c r="C851" s="278"/>
      <c r="D851" s="278"/>
      <c r="E851" s="278"/>
      <c r="F851" s="278"/>
      <c r="G851" s="278"/>
      <c r="H851" s="278"/>
      <c r="I851" s="278"/>
      <c r="J851" s="278"/>
      <c r="K851" s="278"/>
      <c r="L851" s="278"/>
      <c r="M851" s="278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  <c r="AA851" s="271"/>
      <c r="AB851" s="271"/>
      <c r="AC851" s="271"/>
      <c r="AD851" s="271"/>
      <c r="AE851" s="271"/>
      <c r="AF851" s="271"/>
      <c r="AG851" s="271"/>
      <c r="AH851" s="271"/>
      <c r="AI851" s="271"/>
      <c r="AJ851" s="271"/>
      <c r="AK851" s="271"/>
      <c r="AL851" s="271"/>
      <c r="AM851" s="271"/>
      <c r="AN851" s="271"/>
    </row>
    <row r="852" spans="1:40" ht="12.75" customHeight="1">
      <c r="A852" s="278"/>
      <c r="B852" s="278"/>
      <c r="C852" s="278"/>
      <c r="D852" s="278"/>
      <c r="E852" s="278"/>
      <c r="F852" s="278"/>
      <c r="G852" s="278"/>
      <c r="H852" s="278"/>
      <c r="I852" s="278"/>
      <c r="J852" s="278"/>
      <c r="K852" s="278"/>
      <c r="L852" s="278"/>
      <c r="M852" s="278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  <c r="AA852" s="271"/>
      <c r="AB852" s="271"/>
      <c r="AC852" s="271"/>
      <c r="AD852" s="271"/>
      <c r="AE852" s="271"/>
      <c r="AF852" s="271"/>
      <c r="AG852" s="271"/>
      <c r="AH852" s="271"/>
      <c r="AI852" s="271"/>
      <c r="AJ852" s="271"/>
      <c r="AK852" s="271"/>
      <c r="AL852" s="271"/>
      <c r="AM852" s="271"/>
      <c r="AN852" s="271"/>
    </row>
    <row r="853" spans="1:40" ht="12.75" customHeight="1">
      <c r="A853" s="278"/>
      <c r="B853" s="278"/>
      <c r="C853" s="278"/>
      <c r="D853" s="278"/>
      <c r="E853" s="278"/>
      <c r="F853" s="278"/>
      <c r="G853" s="278"/>
      <c r="H853" s="278"/>
      <c r="I853" s="278"/>
      <c r="J853" s="278"/>
      <c r="K853" s="278"/>
      <c r="L853" s="278"/>
      <c r="M853" s="278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  <c r="AA853" s="271"/>
      <c r="AB853" s="271"/>
      <c r="AC853" s="271"/>
      <c r="AD853" s="271"/>
      <c r="AE853" s="271"/>
      <c r="AF853" s="271"/>
      <c r="AG853" s="271"/>
      <c r="AH853" s="271"/>
      <c r="AI853" s="271"/>
      <c r="AJ853" s="271"/>
      <c r="AK853" s="271"/>
      <c r="AL853" s="271"/>
      <c r="AM853" s="271"/>
      <c r="AN853" s="271"/>
    </row>
    <row r="854" spans="1:40" ht="12.75" customHeight="1">
      <c r="A854" s="278"/>
      <c r="B854" s="278"/>
      <c r="C854" s="278"/>
      <c r="D854" s="278"/>
      <c r="E854" s="278"/>
      <c r="F854" s="278"/>
      <c r="G854" s="278"/>
      <c r="H854" s="278"/>
      <c r="I854" s="278"/>
      <c r="J854" s="278"/>
      <c r="K854" s="278"/>
      <c r="L854" s="278"/>
      <c r="M854" s="278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  <c r="AA854" s="271"/>
      <c r="AB854" s="271"/>
      <c r="AC854" s="271"/>
      <c r="AD854" s="271"/>
      <c r="AE854" s="271"/>
      <c r="AF854" s="271"/>
      <c r="AG854" s="271"/>
      <c r="AH854" s="271"/>
      <c r="AI854" s="271"/>
      <c r="AJ854" s="271"/>
      <c r="AK854" s="271"/>
      <c r="AL854" s="271"/>
      <c r="AM854" s="271"/>
      <c r="AN854" s="271"/>
    </row>
    <row r="855" spans="1:40" ht="12.75" customHeight="1">
      <c r="A855" s="278"/>
      <c r="B855" s="278"/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  <c r="M855" s="278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  <c r="AA855" s="271"/>
      <c r="AB855" s="271"/>
      <c r="AC855" s="271"/>
      <c r="AD855" s="271"/>
      <c r="AE855" s="271"/>
      <c r="AF855" s="271"/>
      <c r="AG855" s="271"/>
      <c r="AH855" s="271"/>
      <c r="AI855" s="271"/>
      <c r="AJ855" s="271"/>
      <c r="AK855" s="271"/>
      <c r="AL855" s="271"/>
      <c r="AM855" s="271"/>
      <c r="AN855" s="271"/>
    </row>
    <row r="856" spans="1:40" ht="12.75" customHeight="1">
      <c r="A856" s="278"/>
      <c r="B856" s="278"/>
      <c r="C856" s="278"/>
      <c r="D856" s="278"/>
      <c r="E856" s="278"/>
      <c r="F856" s="278"/>
      <c r="G856" s="278"/>
      <c r="H856" s="278"/>
      <c r="I856" s="278"/>
      <c r="J856" s="278"/>
      <c r="K856" s="278"/>
      <c r="L856" s="278"/>
      <c r="M856" s="278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  <c r="AA856" s="271"/>
      <c r="AB856" s="271"/>
      <c r="AC856" s="271"/>
      <c r="AD856" s="271"/>
      <c r="AE856" s="271"/>
      <c r="AF856" s="271"/>
      <c r="AG856" s="271"/>
      <c r="AH856" s="271"/>
      <c r="AI856" s="271"/>
      <c r="AJ856" s="271"/>
      <c r="AK856" s="271"/>
      <c r="AL856" s="271"/>
      <c r="AM856" s="271"/>
      <c r="AN856" s="271"/>
    </row>
    <row r="857" spans="1:40" ht="12.75" customHeight="1">
      <c r="A857" s="278"/>
      <c r="B857" s="278"/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  <c r="M857" s="278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  <c r="AA857" s="271"/>
      <c r="AB857" s="271"/>
      <c r="AC857" s="271"/>
      <c r="AD857" s="271"/>
      <c r="AE857" s="271"/>
      <c r="AF857" s="271"/>
      <c r="AG857" s="271"/>
      <c r="AH857" s="271"/>
      <c r="AI857" s="271"/>
      <c r="AJ857" s="271"/>
      <c r="AK857" s="271"/>
      <c r="AL857" s="271"/>
      <c r="AM857" s="271"/>
      <c r="AN857" s="271"/>
    </row>
    <row r="858" spans="1:40" ht="12.75" customHeight="1">
      <c r="A858" s="278"/>
      <c r="B858" s="278"/>
      <c r="C858" s="278"/>
      <c r="D858" s="278"/>
      <c r="E858" s="278"/>
      <c r="F858" s="278"/>
      <c r="G858" s="278"/>
      <c r="H858" s="278"/>
      <c r="I858" s="278"/>
      <c r="J858" s="278"/>
      <c r="K858" s="278"/>
      <c r="L858" s="278"/>
      <c r="M858" s="278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  <c r="AA858" s="271"/>
      <c r="AB858" s="271"/>
      <c r="AC858" s="271"/>
      <c r="AD858" s="271"/>
      <c r="AE858" s="271"/>
      <c r="AF858" s="271"/>
      <c r="AG858" s="271"/>
      <c r="AH858" s="271"/>
      <c r="AI858" s="271"/>
      <c r="AJ858" s="271"/>
      <c r="AK858" s="271"/>
      <c r="AL858" s="271"/>
      <c r="AM858" s="271"/>
      <c r="AN858" s="271"/>
    </row>
    <row r="859" spans="1:40" ht="12.75" customHeight="1">
      <c r="A859" s="278"/>
      <c r="B859" s="278"/>
      <c r="C859" s="278"/>
      <c r="D859" s="278"/>
      <c r="E859" s="278"/>
      <c r="F859" s="278"/>
      <c r="G859" s="278"/>
      <c r="H859" s="278"/>
      <c r="I859" s="278"/>
      <c r="J859" s="278"/>
      <c r="K859" s="278"/>
      <c r="L859" s="278"/>
      <c r="M859" s="278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  <c r="AA859" s="271"/>
      <c r="AB859" s="271"/>
      <c r="AC859" s="271"/>
      <c r="AD859" s="271"/>
      <c r="AE859" s="271"/>
      <c r="AF859" s="271"/>
      <c r="AG859" s="271"/>
      <c r="AH859" s="271"/>
      <c r="AI859" s="271"/>
      <c r="AJ859" s="271"/>
      <c r="AK859" s="271"/>
      <c r="AL859" s="271"/>
      <c r="AM859" s="271"/>
      <c r="AN859" s="271"/>
    </row>
    <row r="860" spans="1:40" ht="12.75" customHeight="1">
      <c r="A860" s="278"/>
      <c r="B860" s="278"/>
      <c r="C860" s="278"/>
      <c r="D860" s="278"/>
      <c r="E860" s="278"/>
      <c r="F860" s="278"/>
      <c r="G860" s="278"/>
      <c r="H860" s="278"/>
      <c r="I860" s="278"/>
      <c r="J860" s="278"/>
      <c r="K860" s="278"/>
      <c r="L860" s="278"/>
      <c r="M860" s="278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  <c r="AA860" s="271"/>
      <c r="AB860" s="271"/>
      <c r="AC860" s="271"/>
      <c r="AD860" s="271"/>
      <c r="AE860" s="271"/>
      <c r="AF860" s="271"/>
      <c r="AG860" s="271"/>
      <c r="AH860" s="271"/>
      <c r="AI860" s="271"/>
      <c r="AJ860" s="271"/>
      <c r="AK860" s="271"/>
      <c r="AL860" s="271"/>
      <c r="AM860" s="271"/>
      <c r="AN860" s="271"/>
    </row>
    <row r="861" spans="1:40" ht="12.75" customHeight="1">
      <c r="A861" s="278"/>
      <c r="B861" s="278"/>
      <c r="C861" s="278"/>
      <c r="D861" s="278"/>
      <c r="E861" s="278"/>
      <c r="F861" s="278"/>
      <c r="G861" s="278"/>
      <c r="H861" s="278"/>
      <c r="I861" s="278"/>
      <c r="J861" s="278"/>
      <c r="K861" s="278"/>
      <c r="L861" s="278"/>
      <c r="M861" s="278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  <c r="AA861" s="271"/>
      <c r="AB861" s="271"/>
      <c r="AC861" s="271"/>
      <c r="AD861" s="271"/>
      <c r="AE861" s="271"/>
      <c r="AF861" s="271"/>
      <c r="AG861" s="271"/>
      <c r="AH861" s="271"/>
      <c r="AI861" s="271"/>
      <c r="AJ861" s="271"/>
      <c r="AK861" s="271"/>
      <c r="AL861" s="271"/>
      <c r="AM861" s="271"/>
      <c r="AN861" s="271"/>
    </row>
    <row r="862" spans="1:40" ht="12.75" customHeight="1">
      <c r="A862" s="278"/>
      <c r="B862" s="278"/>
      <c r="C862" s="278"/>
      <c r="D862" s="278"/>
      <c r="E862" s="278"/>
      <c r="F862" s="278"/>
      <c r="G862" s="278"/>
      <c r="H862" s="278"/>
      <c r="I862" s="278"/>
      <c r="J862" s="278"/>
      <c r="K862" s="278"/>
      <c r="L862" s="278"/>
      <c r="M862" s="278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  <c r="AA862" s="271"/>
      <c r="AB862" s="271"/>
      <c r="AC862" s="271"/>
      <c r="AD862" s="271"/>
      <c r="AE862" s="271"/>
      <c r="AF862" s="271"/>
      <c r="AG862" s="271"/>
      <c r="AH862" s="271"/>
      <c r="AI862" s="271"/>
      <c r="AJ862" s="271"/>
      <c r="AK862" s="271"/>
      <c r="AL862" s="271"/>
      <c r="AM862" s="271"/>
      <c r="AN862" s="271"/>
    </row>
    <row r="863" spans="1:40" ht="12.75" customHeight="1">
      <c r="A863" s="278"/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278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  <c r="AA863" s="271"/>
      <c r="AB863" s="271"/>
      <c r="AC863" s="271"/>
      <c r="AD863" s="271"/>
      <c r="AE863" s="271"/>
      <c r="AF863" s="271"/>
      <c r="AG863" s="271"/>
      <c r="AH863" s="271"/>
      <c r="AI863" s="271"/>
      <c r="AJ863" s="271"/>
      <c r="AK863" s="271"/>
      <c r="AL863" s="271"/>
      <c r="AM863" s="271"/>
      <c r="AN863" s="271"/>
    </row>
    <row r="864" spans="1:40" ht="12.75" customHeight="1">
      <c r="A864" s="278"/>
      <c r="B864" s="278"/>
      <c r="C864" s="278"/>
      <c r="D864" s="278"/>
      <c r="E864" s="278"/>
      <c r="F864" s="278"/>
      <c r="G864" s="278"/>
      <c r="H864" s="278"/>
      <c r="I864" s="278"/>
      <c r="J864" s="278"/>
      <c r="K864" s="278"/>
      <c r="L864" s="278"/>
      <c r="M864" s="278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  <c r="AA864" s="271"/>
      <c r="AB864" s="271"/>
      <c r="AC864" s="271"/>
      <c r="AD864" s="271"/>
      <c r="AE864" s="271"/>
      <c r="AF864" s="271"/>
      <c r="AG864" s="271"/>
      <c r="AH864" s="271"/>
      <c r="AI864" s="271"/>
      <c r="AJ864" s="271"/>
      <c r="AK864" s="271"/>
      <c r="AL864" s="271"/>
      <c r="AM864" s="271"/>
      <c r="AN864" s="271"/>
    </row>
    <row r="865" spans="1:40" ht="12.75" customHeight="1">
      <c r="A865" s="278"/>
      <c r="B865" s="278"/>
      <c r="C865" s="278"/>
      <c r="D865" s="278"/>
      <c r="E865" s="278"/>
      <c r="F865" s="278"/>
      <c r="G865" s="278"/>
      <c r="H865" s="278"/>
      <c r="I865" s="278"/>
      <c r="J865" s="278"/>
      <c r="K865" s="278"/>
      <c r="L865" s="278"/>
      <c r="M865" s="278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  <c r="AA865" s="271"/>
      <c r="AB865" s="271"/>
      <c r="AC865" s="271"/>
      <c r="AD865" s="271"/>
      <c r="AE865" s="271"/>
      <c r="AF865" s="271"/>
      <c r="AG865" s="271"/>
      <c r="AH865" s="271"/>
      <c r="AI865" s="271"/>
      <c r="AJ865" s="271"/>
      <c r="AK865" s="271"/>
      <c r="AL865" s="271"/>
      <c r="AM865" s="271"/>
      <c r="AN865" s="271"/>
    </row>
    <row r="866" spans="1:40" ht="12.75" customHeight="1">
      <c r="A866" s="278"/>
      <c r="B866" s="278"/>
      <c r="C866" s="278"/>
      <c r="D866" s="278"/>
      <c r="E866" s="278"/>
      <c r="F866" s="278"/>
      <c r="G866" s="278"/>
      <c r="H866" s="278"/>
      <c r="I866" s="278"/>
      <c r="J866" s="278"/>
      <c r="K866" s="278"/>
      <c r="L866" s="278"/>
      <c r="M866" s="278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  <c r="AA866" s="271"/>
      <c r="AB866" s="271"/>
      <c r="AC866" s="271"/>
      <c r="AD866" s="271"/>
      <c r="AE866" s="271"/>
      <c r="AF866" s="271"/>
      <c r="AG866" s="271"/>
      <c r="AH866" s="271"/>
      <c r="AI866" s="271"/>
      <c r="AJ866" s="271"/>
      <c r="AK866" s="271"/>
      <c r="AL866" s="271"/>
      <c r="AM866" s="271"/>
      <c r="AN866" s="271"/>
    </row>
    <row r="867" spans="1:40" ht="12.75" customHeight="1">
      <c r="A867" s="278"/>
      <c r="B867" s="278"/>
      <c r="C867" s="278"/>
      <c r="D867" s="278"/>
      <c r="E867" s="278"/>
      <c r="F867" s="278"/>
      <c r="G867" s="278"/>
      <c r="H867" s="278"/>
      <c r="I867" s="278"/>
      <c r="J867" s="278"/>
      <c r="K867" s="278"/>
      <c r="L867" s="278"/>
      <c r="M867" s="278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  <c r="AA867" s="271"/>
      <c r="AB867" s="271"/>
      <c r="AC867" s="271"/>
      <c r="AD867" s="271"/>
      <c r="AE867" s="271"/>
      <c r="AF867" s="271"/>
      <c r="AG867" s="271"/>
      <c r="AH867" s="271"/>
      <c r="AI867" s="271"/>
      <c r="AJ867" s="271"/>
      <c r="AK867" s="271"/>
      <c r="AL867" s="271"/>
      <c r="AM867" s="271"/>
      <c r="AN867" s="271"/>
    </row>
    <row r="868" spans="1:40" ht="12.75" customHeight="1">
      <c r="A868" s="278"/>
      <c r="B868" s="278"/>
      <c r="C868" s="278"/>
      <c r="D868" s="278"/>
      <c r="E868" s="278"/>
      <c r="F868" s="278"/>
      <c r="G868" s="278"/>
      <c r="H868" s="278"/>
      <c r="I868" s="278"/>
      <c r="J868" s="278"/>
      <c r="K868" s="278"/>
      <c r="L868" s="278"/>
      <c r="M868" s="278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  <c r="AA868" s="271"/>
      <c r="AB868" s="271"/>
      <c r="AC868" s="271"/>
      <c r="AD868" s="271"/>
      <c r="AE868" s="271"/>
      <c r="AF868" s="271"/>
      <c r="AG868" s="271"/>
      <c r="AH868" s="271"/>
      <c r="AI868" s="271"/>
      <c r="AJ868" s="271"/>
      <c r="AK868" s="271"/>
      <c r="AL868" s="271"/>
      <c r="AM868" s="271"/>
      <c r="AN868" s="271"/>
    </row>
    <row r="869" spans="1:40" ht="12.75" customHeight="1">
      <c r="A869" s="278"/>
      <c r="B869" s="278"/>
      <c r="C869" s="278"/>
      <c r="D869" s="278"/>
      <c r="E869" s="278"/>
      <c r="F869" s="278"/>
      <c r="G869" s="278"/>
      <c r="H869" s="278"/>
      <c r="I869" s="278"/>
      <c r="J869" s="278"/>
      <c r="K869" s="278"/>
      <c r="L869" s="278"/>
      <c r="M869" s="278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  <c r="AA869" s="271"/>
      <c r="AB869" s="271"/>
      <c r="AC869" s="271"/>
      <c r="AD869" s="271"/>
      <c r="AE869" s="271"/>
      <c r="AF869" s="271"/>
      <c r="AG869" s="271"/>
      <c r="AH869" s="271"/>
      <c r="AI869" s="271"/>
      <c r="AJ869" s="271"/>
      <c r="AK869" s="271"/>
      <c r="AL869" s="271"/>
      <c r="AM869" s="271"/>
      <c r="AN869" s="271"/>
    </row>
    <row r="870" spans="1:40" ht="12.75" customHeight="1">
      <c r="A870" s="278"/>
      <c r="B870" s="278"/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  <c r="M870" s="278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  <c r="AA870" s="271"/>
      <c r="AB870" s="271"/>
      <c r="AC870" s="271"/>
      <c r="AD870" s="271"/>
      <c r="AE870" s="271"/>
      <c r="AF870" s="271"/>
      <c r="AG870" s="271"/>
      <c r="AH870" s="271"/>
      <c r="AI870" s="271"/>
      <c r="AJ870" s="271"/>
      <c r="AK870" s="271"/>
      <c r="AL870" s="271"/>
      <c r="AM870" s="271"/>
      <c r="AN870" s="271"/>
    </row>
    <row r="871" spans="1:40" ht="12.75" customHeight="1">
      <c r="A871" s="278"/>
      <c r="B871" s="278"/>
      <c r="C871" s="278"/>
      <c r="D871" s="278"/>
      <c r="E871" s="278"/>
      <c r="F871" s="278"/>
      <c r="G871" s="278"/>
      <c r="H871" s="278"/>
      <c r="I871" s="278"/>
      <c r="J871" s="278"/>
      <c r="K871" s="278"/>
      <c r="L871" s="278"/>
      <c r="M871" s="278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  <c r="AA871" s="271"/>
      <c r="AB871" s="271"/>
      <c r="AC871" s="271"/>
      <c r="AD871" s="271"/>
      <c r="AE871" s="271"/>
      <c r="AF871" s="271"/>
      <c r="AG871" s="271"/>
      <c r="AH871" s="271"/>
      <c r="AI871" s="271"/>
      <c r="AJ871" s="271"/>
      <c r="AK871" s="271"/>
      <c r="AL871" s="271"/>
      <c r="AM871" s="271"/>
      <c r="AN871" s="271"/>
    </row>
    <row r="872" spans="1:40" ht="12.75" customHeight="1">
      <c r="A872" s="278"/>
      <c r="B872" s="278"/>
      <c r="C872" s="278"/>
      <c r="D872" s="278"/>
      <c r="E872" s="278"/>
      <c r="F872" s="278"/>
      <c r="G872" s="278"/>
      <c r="H872" s="278"/>
      <c r="I872" s="278"/>
      <c r="J872" s="278"/>
      <c r="K872" s="278"/>
      <c r="L872" s="278"/>
      <c r="M872" s="278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  <c r="AA872" s="271"/>
      <c r="AB872" s="271"/>
      <c r="AC872" s="271"/>
      <c r="AD872" s="271"/>
      <c r="AE872" s="271"/>
      <c r="AF872" s="271"/>
      <c r="AG872" s="271"/>
      <c r="AH872" s="271"/>
      <c r="AI872" s="271"/>
      <c r="AJ872" s="271"/>
      <c r="AK872" s="271"/>
      <c r="AL872" s="271"/>
      <c r="AM872" s="271"/>
      <c r="AN872" s="271"/>
    </row>
    <row r="873" spans="1:40" ht="12.75" customHeight="1">
      <c r="A873" s="278"/>
      <c r="B873" s="278"/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  <c r="M873" s="278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  <c r="AA873" s="271"/>
      <c r="AB873" s="271"/>
      <c r="AC873" s="271"/>
      <c r="AD873" s="271"/>
      <c r="AE873" s="271"/>
      <c r="AF873" s="271"/>
      <c r="AG873" s="271"/>
      <c r="AH873" s="271"/>
      <c r="AI873" s="271"/>
      <c r="AJ873" s="271"/>
      <c r="AK873" s="271"/>
      <c r="AL873" s="271"/>
      <c r="AM873" s="271"/>
      <c r="AN873" s="271"/>
    </row>
    <row r="874" spans="1:40" ht="12.75" customHeight="1">
      <c r="A874" s="278"/>
      <c r="B874" s="278"/>
      <c r="C874" s="278"/>
      <c r="D874" s="278"/>
      <c r="E874" s="278"/>
      <c r="F874" s="278"/>
      <c r="G874" s="278"/>
      <c r="H874" s="278"/>
      <c r="I874" s="278"/>
      <c r="J874" s="278"/>
      <c r="K874" s="278"/>
      <c r="L874" s="278"/>
      <c r="M874" s="278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  <c r="AA874" s="271"/>
      <c r="AB874" s="271"/>
      <c r="AC874" s="271"/>
      <c r="AD874" s="271"/>
      <c r="AE874" s="271"/>
      <c r="AF874" s="271"/>
      <c r="AG874" s="271"/>
      <c r="AH874" s="271"/>
      <c r="AI874" s="271"/>
      <c r="AJ874" s="271"/>
      <c r="AK874" s="271"/>
      <c r="AL874" s="271"/>
      <c r="AM874" s="271"/>
      <c r="AN874" s="271"/>
    </row>
    <row r="875" spans="1:40" ht="12.75" customHeight="1">
      <c r="A875" s="278"/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278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  <c r="AA875" s="271"/>
      <c r="AB875" s="271"/>
      <c r="AC875" s="271"/>
      <c r="AD875" s="271"/>
      <c r="AE875" s="271"/>
      <c r="AF875" s="271"/>
      <c r="AG875" s="271"/>
      <c r="AH875" s="271"/>
      <c r="AI875" s="271"/>
      <c r="AJ875" s="271"/>
      <c r="AK875" s="271"/>
      <c r="AL875" s="271"/>
      <c r="AM875" s="271"/>
      <c r="AN875" s="271"/>
    </row>
    <row r="876" spans="1:40" ht="12.75" customHeight="1">
      <c r="A876" s="278"/>
      <c r="B876" s="278"/>
      <c r="C876" s="278"/>
      <c r="D876" s="278"/>
      <c r="E876" s="278"/>
      <c r="F876" s="278"/>
      <c r="G876" s="278"/>
      <c r="H876" s="278"/>
      <c r="I876" s="278"/>
      <c r="J876" s="278"/>
      <c r="K876" s="278"/>
      <c r="L876" s="278"/>
      <c r="M876" s="278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  <c r="AA876" s="271"/>
      <c r="AB876" s="271"/>
      <c r="AC876" s="271"/>
      <c r="AD876" s="271"/>
      <c r="AE876" s="271"/>
      <c r="AF876" s="271"/>
      <c r="AG876" s="271"/>
      <c r="AH876" s="271"/>
      <c r="AI876" s="271"/>
      <c r="AJ876" s="271"/>
      <c r="AK876" s="271"/>
      <c r="AL876" s="271"/>
      <c r="AM876" s="271"/>
      <c r="AN876" s="271"/>
    </row>
    <row r="877" spans="1:40" ht="12.75" customHeight="1">
      <c r="A877" s="278"/>
      <c r="B877" s="278"/>
      <c r="C877" s="278"/>
      <c r="D877" s="278"/>
      <c r="E877" s="278"/>
      <c r="F877" s="278"/>
      <c r="G877" s="278"/>
      <c r="H877" s="278"/>
      <c r="I877" s="278"/>
      <c r="J877" s="278"/>
      <c r="K877" s="278"/>
      <c r="L877" s="278"/>
      <c r="M877" s="278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  <c r="AA877" s="271"/>
      <c r="AB877" s="271"/>
      <c r="AC877" s="271"/>
      <c r="AD877" s="271"/>
      <c r="AE877" s="271"/>
      <c r="AF877" s="271"/>
      <c r="AG877" s="271"/>
      <c r="AH877" s="271"/>
      <c r="AI877" s="271"/>
      <c r="AJ877" s="271"/>
      <c r="AK877" s="271"/>
      <c r="AL877" s="271"/>
      <c r="AM877" s="271"/>
      <c r="AN877" s="271"/>
    </row>
    <row r="878" spans="1:40" ht="12.75" customHeight="1">
      <c r="A878" s="278"/>
      <c r="B878" s="278"/>
      <c r="C878" s="278"/>
      <c r="D878" s="278"/>
      <c r="E878" s="278"/>
      <c r="F878" s="278"/>
      <c r="G878" s="278"/>
      <c r="H878" s="278"/>
      <c r="I878" s="278"/>
      <c r="J878" s="278"/>
      <c r="K878" s="278"/>
      <c r="L878" s="278"/>
      <c r="M878" s="278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  <c r="AA878" s="271"/>
      <c r="AB878" s="271"/>
      <c r="AC878" s="271"/>
      <c r="AD878" s="271"/>
      <c r="AE878" s="271"/>
      <c r="AF878" s="271"/>
      <c r="AG878" s="271"/>
      <c r="AH878" s="271"/>
      <c r="AI878" s="271"/>
      <c r="AJ878" s="271"/>
      <c r="AK878" s="271"/>
      <c r="AL878" s="271"/>
      <c r="AM878" s="271"/>
      <c r="AN878" s="271"/>
    </row>
    <row r="879" spans="1:40" ht="12.75" customHeight="1">
      <c r="A879" s="278"/>
      <c r="B879" s="278"/>
      <c r="C879" s="278"/>
      <c r="D879" s="278"/>
      <c r="E879" s="278"/>
      <c r="F879" s="278"/>
      <c r="G879" s="278"/>
      <c r="H879" s="278"/>
      <c r="I879" s="278"/>
      <c r="J879" s="278"/>
      <c r="K879" s="278"/>
      <c r="L879" s="278"/>
      <c r="M879" s="278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  <c r="AA879" s="271"/>
      <c r="AB879" s="271"/>
      <c r="AC879" s="271"/>
      <c r="AD879" s="271"/>
      <c r="AE879" s="271"/>
      <c r="AF879" s="271"/>
      <c r="AG879" s="271"/>
      <c r="AH879" s="271"/>
      <c r="AI879" s="271"/>
      <c r="AJ879" s="271"/>
      <c r="AK879" s="271"/>
      <c r="AL879" s="271"/>
      <c r="AM879" s="271"/>
      <c r="AN879" s="271"/>
    </row>
    <row r="880" spans="1:40" ht="12.75" customHeight="1">
      <c r="A880" s="278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278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  <c r="AA880" s="271"/>
      <c r="AB880" s="271"/>
      <c r="AC880" s="271"/>
      <c r="AD880" s="271"/>
      <c r="AE880" s="271"/>
      <c r="AF880" s="271"/>
      <c r="AG880" s="271"/>
      <c r="AH880" s="271"/>
      <c r="AI880" s="271"/>
      <c r="AJ880" s="271"/>
      <c r="AK880" s="271"/>
      <c r="AL880" s="271"/>
      <c r="AM880" s="271"/>
      <c r="AN880" s="271"/>
    </row>
    <row r="881" spans="1:40" ht="12.75" customHeight="1">
      <c r="A881" s="278"/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278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  <c r="AA881" s="271"/>
      <c r="AB881" s="271"/>
      <c r="AC881" s="271"/>
      <c r="AD881" s="271"/>
      <c r="AE881" s="271"/>
      <c r="AF881" s="271"/>
      <c r="AG881" s="271"/>
      <c r="AH881" s="271"/>
      <c r="AI881" s="271"/>
      <c r="AJ881" s="271"/>
      <c r="AK881" s="271"/>
      <c r="AL881" s="271"/>
      <c r="AM881" s="271"/>
      <c r="AN881" s="271"/>
    </row>
    <row r="882" spans="1:40" ht="12.75" customHeight="1">
      <c r="A882" s="278"/>
      <c r="B882" s="278"/>
      <c r="C882" s="278"/>
      <c r="D882" s="278"/>
      <c r="E882" s="278"/>
      <c r="F882" s="278"/>
      <c r="G882" s="278"/>
      <c r="H882" s="278"/>
      <c r="I882" s="278"/>
      <c r="J882" s="278"/>
      <c r="K882" s="278"/>
      <c r="L882" s="278"/>
      <c r="M882" s="278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  <c r="AA882" s="271"/>
      <c r="AB882" s="271"/>
      <c r="AC882" s="271"/>
      <c r="AD882" s="271"/>
      <c r="AE882" s="271"/>
      <c r="AF882" s="271"/>
      <c r="AG882" s="271"/>
      <c r="AH882" s="271"/>
      <c r="AI882" s="271"/>
      <c r="AJ882" s="271"/>
      <c r="AK882" s="271"/>
      <c r="AL882" s="271"/>
      <c r="AM882" s="271"/>
      <c r="AN882" s="271"/>
    </row>
    <row r="883" spans="1:40" ht="12.75" customHeight="1">
      <c r="A883" s="278"/>
      <c r="B883" s="278"/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  <c r="M883" s="278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  <c r="AA883" s="271"/>
      <c r="AB883" s="271"/>
      <c r="AC883" s="271"/>
      <c r="AD883" s="271"/>
      <c r="AE883" s="271"/>
      <c r="AF883" s="271"/>
      <c r="AG883" s="271"/>
      <c r="AH883" s="271"/>
      <c r="AI883" s="271"/>
      <c r="AJ883" s="271"/>
      <c r="AK883" s="271"/>
      <c r="AL883" s="271"/>
      <c r="AM883" s="271"/>
      <c r="AN883" s="271"/>
    </row>
    <row r="884" spans="1:40" ht="12.75" customHeight="1">
      <c r="A884" s="278"/>
      <c r="B884" s="278"/>
      <c r="C884" s="278"/>
      <c r="D884" s="278"/>
      <c r="E884" s="278"/>
      <c r="F884" s="278"/>
      <c r="G884" s="278"/>
      <c r="H884" s="278"/>
      <c r="I884" s="278"/>
      <c r="J884" s="278"/>
      <c r="K884" s="278"/>
      <c r="L884" s="278"/>
      <c r="M884" s="278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  <c r="AA884" s="271"/>
      <c r="AB884" s="271"/>
      <c r="AC884" s="271"/>
      <c r="AD884" s="271"/>
      <c r="AE884" s="271"/>
      <c r="AF884" s="271"/>
      <c r="AG884" s="271"/>
      <c r="AH884" s="271"/>
      <c r="AI884" s="271"/>
      <c r="AJ884" s="271"/>
      <c r="AK884" s="271"/>
      <c r="AL884" s="271"/>
      <c r="AM884" s="271"/>
      <c r="AN884" s="271"/>
    </row>
    <row r="885" spans="1:40" ht="12.75" customHeight="1">
      <c r="A885" s="278"/>
      <c r="B885" s="278"/>
      <c r="C885" s="278"/>
      <c r="D885" s="278"/>
      <c r="E885" s="278"/>
      <c r="F885" s="278"/>
      <c r="G885" s="278"/>
      <c r="H885" s="278"/>
      <c r="I885" s="278"/>
      <c r="J885" s="278"/>
      <c r="K885" s="278"/>
      <c r="L885" s="278"/>
      <c r="M885" s="278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  <c r="AA885" s="271"/>
      <c r="AB885" s="271"/>
      <c r="AC885" s="271"/>
      <c r="AD885" s="271"/>
      <c r="AE885" s="271"/>
      <c r="AF885" s="271"/>
      <c r="AG885" s="271"/>
      <c r="AH885" s="271"/>
      <c r="AI885" s="271"/>
      <c r="AJ885" s="271"/>
      <c r="AK885" s="271"/>
      <c r="AL885" s="271"/>
      <c r="AM885" s="271"/>
      <c r="AN885" s="271"/>
    </row>
    <row r="886" spans="1:40" ht="12.75" customHeight="1">
      <c r="A886" s="278"/>
      <c r="B886" s="278"/>
      <c r="C886" s="278"/>
      <c r="D886" s="278"/>
      <c r="E886" s="278"/>
      <c r="F886" s="278"/>
      <c r="G886" s="278"/>
      <c r="H886" s="278"/>
      <c r="I886" s="278"/>
      <c r="J886" s="278"/>
      <c r="K886" s="278"/>
      <c r="L886" s="278"/>
      <c r="M886" s="278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  <c r="AA886" s="271"/>
      <c r="AB886" s="271"/>
      <c r="AC886" s="271"/>
      <c r="AD886" s="271"/>
      <c r="AE886" s="271"/>
      <c r="AF886" s="271"/>
      <c r="AG886" s="271"/>
      <c r="AH886" s="271"/>
      <c r="AI886" s="271"/>
      <c r="AJ886" s="271"/>
      <c r="AK886" s="271"/>
      <c r="AL886" s="271"/>
      <c r="AM886" s="271"/>
      <c r="AN886" s="271"/>
    </row>
    <row r="887" spans="1:40" ht="12.75" customHeight="1">
      <c r="A887" s="278"/>
      <c r="B887" s="278"/>
      <c r="C887" s="278"/>
      <c r="D887" s="278"/>
      <c r="E887" s="278"/>
      <c r="F887" s="278"/>
      <c r="G887" s="278"/>
      <c r="H887" s="278"/>
      <c r="I887" s="278"/>
      <c r="J887" s="278"/>
      <c r="K887" s="278"/>
      <c r="L887" s="278"/>
      <c r="M887" s="278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  <c r="AA887" s="271"/>
      <c r="AB887" s="271"/>
      <c r="AC887" s="271"/>
      <c r="AD887" s="271"/>
      <c r="AE887" s="271"/>
      <c r="AF887" s="271"/>
      <c r="AG887" s="271"/>
      <c r="AH887" s="271"/>
      <c r="AI887" s="271"/>
      <c r="AJ887" s="271"/>
      <c r="AK887" s="271"/>
      <c r="AL887" s="271"/>
      <c r="AM887" s="271"/>
      <c r="AN887" s="271"/>
    </row>
    <row r="888" spans="1:40" ht="12.75" customHeight="1">
      <c r="A888" s="278"/>
      <c r="B888" s="278"/>
      <c r="C888" s="278"/>
      <c r="D888" s="278"/>
      <c r="E888" s="278"/>
      <c r="F888" s="278"/>
      <c r="G888" s="278"/>
      <c r="H888" s="278"/>
      <c r="I888" s="278"/>
      <c r="J888" s="278"/>
      <c r="K888" s="278"/>
      <c r="L888" s="278"/>
      <c r="M888" s="278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  <c r="AA888" s="271"/>
      <c r="AB888" s="271"/>
      <c r="AC888" s="271"/>
      <c r="AD888" s="271"/>
      <c r="AE888" s="271"/>
      <c r="AF888" s="271"/>
      <c r="AG888" s="271"/>
      <c r="AH888" s="271"/>
      <c r="AI888" s="271"/>
      <c r="AJ888" s="271"/>
      <c r="AK888" s="271"/>
      <c r="AL888" s="271"/>
      <c r="AM888" s="271"/>
      <c r="AN888" s="271"/>
    </row>
    <row r="889" spans="1:40" ht="12.75" customHeight="1">
      <c r="A889" s="278"/>
      <c r="B889" s="278"/>
      <c r="C889" s="278"/>
      <c r="D889" s="278"/>
      <c r="E889" s="278"/>
      <c r="F889" s="278"/>
      <c r="G889" s="278"/>
      <c r="H889" s="278"/>
      <c r="I889" s="278"/>
      <c r="J889" s="278"/>
      <c r="K889" s="278"/>
      <c r="L889" s="278"/>
      <c r="M889" s="278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  <c r="AA889" s="271"/>
      <c r="AB889" s="271"/>
      <c r="AC889" s="271"/>
      <c r="AD889" s="271"/>
      <c r="AE889" s="271"/>
      <c r="AF889" s="271"/>
      <c r="AG889" s="271"/>
      <c r="AH889" s="271"/>
      <c r="AI889" s="271"/>
      <c r="AJ889" s="271"/>
      <c r="AK889" s="271"/>
      <c r="AL889" s="271"/>
      <c r="AM889" s="271"/>
      <c r="AN889" s="271"/>
    </row>
    <row r="890" spans="1:40" ht="12.75" customHeight="1">
      <c r="A890" s="278"/>
      <c r="B890" s="278"/>
      <c r="C890" s="278"/>
      <c r="D890" s="278"/>
      <c r="E890" s="278"/>
      <c r="F890" s="278"/>
      <c r="G890" s="278"/>
      <c r="H890" s="278"/>
      <c r="I890" s="278"/>
      <c r="J890" s="278"/>
      <c r="K890" s="278"/>
      <c r="L890" s="278"/>
      <c r="M890" s="278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  <c r="AA890" s="271"/>
      <c r="AB890" s="271"/>
      <c r="AC890" s="271"/>
      <c r="AD890" s="271"/>
      <c r="AE890" s="271"/>
      <c r="AF890" s="271"/>
      <c r="AG890" s="271"/>
      <c r="AH890" s="271"/>
      <c r="AI890" s="271"/>
      <c r="AJ890" s="271"/>
      <c r="AK890" s="271"/>
      <c r="AL890" s="271"/>
      <c r="AM890" s="271"/>
      <c r="AN890" s="271"/>
    </row>
    <row r="891" spans="1:40" ht="12.75" customHeight="1">
      <c r="A891" s="278"/>
      <c r="B891" s="278"/>
      <c r="C891" s="278"/>
      <c r="D891" s="278"/>
      <c r="E891" s="278"/>
      <c r="F891" s="278"/>
      <c r="G891" s="278"/>
      <c r="H891" s="278"/>
      <c r="I891" s="278"/>
      <c r="J891" s="278"/>
      <c r="K891" s="278"/>
      <c r="L891" s="278"/>
      <c r="M891" s="278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  <c r="AA891" s="271"/>
      <c r="AB891" s="271"/>
      <c r="AC891" s="271"/>
      <c r="AD891" s="271"/>
      <c r="AE891" s="271"/>
      <c r="AF891" s="271"/>
      <c r="AG891" s="271"/>
      <c r="AH891" s="271"/>
      <c r="AI891" s="271"/>
      <c r="AJ891" s="271"/>
      <c r="AK891" s="271"/>
      <c r="AL891" s="271"/>
      <c r="AM891" s="271"/>
      <c r="AN891" s="271"/>
    </row>
    <row r="892" spans="1:40" ht="12.75" customHeight="1">
      <c r="A892" s="278"/>
      <c r="B892" s="278"/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  <c r="M892" s="278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  <c r="AA892" s="271"/>
      <c r="AB892" s="271"/>
      <c r="AC892" s="271"/>
      <c r="AD892" s="271"/>
      <c r="AE892" s="271"/>
      <c r="AF892" s="271"/>
      <c r="AG892" s="271"/>
      <c r="AH892" s="271"/>
      <c r="AI892" s="271"/>
      <c r="AJ892" s="271"/>
      <c r="AK892" s="271"/>
      <c r="AL892" s="271"/>
      <c r="AM892" s="271"/>
      <c r="AN892" s="271"/>
    </row>
    <row r="893" spans="1:40" ht="12.75" customHeight="1">
      <c r="A893" s="278"/>
      <c r="B893" s="278"/>
      <c r="C893" s="278"/>
      <c r="D893" s="278"/>
      <c r="E893" s="278"/>
      <c r="F893" s="278"/>
      <c r="G893" s="278"/>
      <c r="H893" s="278"/>
      <c r="I893" s="278"/>
      <c r="J893" s="278"/>
      <c r="K893" s="278"/>
      <c r="L893" s="278"/>
      <c r="M893" s="278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  <c r="AA893" s="271"/>
      <c r="AB893" s="271"/>
      <c r="AC893" s="271"/>
      <c r="AD893" s="271"/>
      <c r="AE893" s="271"/>
      <c r="AF893" s="271"/>
      <c r="AG893" s="271"/>
      <c r="AH893" s="271"/>
      <c r="AI893" s="271"/>
      <c r="AJ893" s="271"/>
      <c r="AK893" s="271"/>
      <c r="AL893" s="271"/>
      <c r="AM893" s="271"/>
      <c r="AN893" s="271"/>
    </row>
    <row r="894" spans="1:40" ht="12.75" customHeight="1">
      <c r="A894" s="278"/>
      <c r="B894" s="278"/>
      <c r="C894" s="278"/>
      <c r="D894" s="278"/>
      <c r="E894" s="278"/>
      <c r="F894" s="278"/>
      <c r="G894" s="278"/>
      <c r="H894" s="278"/>
      <c r="I894" s="278"/>
      <c r="J894" s="278"/>
      <c r="K894" s="278"/>
      <c r="L894" s="278"/>
      <c r="M894" s="278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  <c r="AB894" s="271"/>
      <c r="AC894" s="271"/>
      <c r="AD894" s="271"/>
      <c r="AE894" s="271"/>
      <c r="AF894" s="271"/>
      <c r="AG894" s="271"/>
      <c r="AH894" s="271"/>
      <c r="AI894" s="271"/>
      <c r="AJ894" s="271"/>
      <c r="AK894" s="271"/>
      <c r="AL894" s="271"/>
      <c r="AM894" s="271"/>
      <c r="AN894" s="271"/>
    </row>
    <row r="895" spans="1:40" ht="12.75" customHeight="1">
      <c r="A895" s="278"/>
      <c r="B895" s="278"/>
      <c r="C895" s="278"/>
      <c r="D895" s="278"/>
      <c r="E895" s="278"/>
      <c r="F895" s="278"/>
      <c r="G895" s="278"/>
      <c r="H895" s="278"/>
      <c r="I895" s="278"/>
      <c r="J895" s="278"/>
      <c r="K895" s="278"/>
      <c r="L895" s="278"/>
      <c r="M895" s="278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  <c r="AA895" s="271"/>
      <c r="AB895" s="271"/>
      <c r="AC895" s="271"/>
      <c r="AD895" s="271"/>
      <c r="AE895" s="271"/>
      <c r="AF895" s="271"/>
      <c r="AG895" s="271"/>
      <c r="AH895" s="271"/>
      <c r="AI895" s="271"/>
      <c r="AJ895" s="271"/>
      <c r="AK895" s="271"/>
      <c r="AL895" s="271"/>
      <c r="AM895" s="271"/>
      <c r="AN895" s="271"/>
    </row>
    <row r="896" spans="1:40" ht="12.75" customHeight="1">
      <c r="A896" s="278"/>
      <c r="B896" s="278"/>
      <c r="C896" s="278"/>
      <c r="D896" s="278"/>
      <c r="E896" s="278"/>
      <c r="F896" s="278"/>
      <c r="G896" s="278"/>
      <c r="H896" s="278"/>
      <c r="I896" s="278"/>
      <c r="J896" s="278"/>
      <c r="K896" s="278"/>
      <c r="L896" s="278"/>
      <c r="M896" s="278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  <c r="AA896" s="271"/>
      <c r="AB896" s="271"/>
      <c r="AC896" s="271"/>
      <c r="AD896" s="271"/>
      <c r="AE896" s="271"/>
      <c r="AF896" s="271"/>
      <c r="AG896" s="271"/>
      <c r="AH896" s="271"/>
      <c r="AI896" s="271"/>
      <c r="AJ896" s="271"/>
      <c r="AK896" s="271"/>
      <c r="AL896" s="271"/>
      <c r="AM896" s="271"/>
      <c r="AN896" s="271"/>
    </row>
    <row r="897" spans="1:40" ht="12.75" customHeight="1">
      <c r="A897" s="278"/>
      <c r="B897" s="278"/>
      <c r="C897" s="278"/>
      <c r="D897" s="278"/>
      <c r="E897" s="278"/>
      <c r="F897" s="278"/>
      <c r="G897" s="278"/>
      <c r="H897" s="278"/>
      <c r="I897" s="278"/>
      <c r="J897" s="278"/>
      <c r="K897" s="278"/>
      <c r="L897" s="278"/>
      <c r="M897" s="278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  <c r="AA897" s="271"/>
      <c r="AB897" s="271"/>
      <c r="AC897" s="271"/>
      <c r="AD897" s="271"/>
      <c r="AE897" s="271"/>
      <c r="AF897" s="271"/>
      <c r="AG897" s="271"/>
      <c r="AH897" s="271"/>
      <c r="AI897" s="271"/>
      <c r="AJ897" s="271"/>
      <c r="AK897" s="271"/>
      <c r="AL897" s="271"/>
      <c r="AM897" s="271"/>
      <c r="AN897" s="271"/>
    </row>
    <row r="898" spans="1:40" ht="12.75" customHeight="1">
      <c r="A898" s="278"/>
      <c r="B898" s="278"/>
      <c r="C898" s="278"/>
      <c r="D898" s="278"/>
      <c r="E898" s="278"/>
      <c r="F898" s="278"/>
      <c r="G898" s="278"/>
      <c r="H898" s="278"/>
      <c r="I898" s="278"/>
      <c r="J898" s="278"/>
      <c r="K898" s="278"/>
      <c r="L898" s="278"/>
      <c r="M898" s="278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  <c r="AA898" s="271"/>
      <c r="AB898" s="271"/>
      <c r="AC898" s="271"/>
      <c r="AD898" s="271"/>
      <c r="AE898" s="271"/>
      <c r="AF898" s="271"/>
      <c r="AG898" s="271"/>
      <c r="AH898" s="271"/>
      <c r="AI898" s="271"/>
      <c r="AJ898" s="271"/>
      <c r="AK898" s="271"/>
      <c r="AL898" s="271"/>
      <c r="AM898" s="271"/>
      <c r="AN898" s="271"/>
    </row>
    <row r="899" spans="1:40" ht="12.75" customHeight="1">
      <c r="A899" s="278"/>
      <c r="B899" s="278"/>
      <c r="C899" s="278"/>
      <c r="D899" s="278"/>
      <c r="E899" s="278"/>
      <c r="F899" s="278"/>
      <c r="G899" s="278"/>
      <c r="H899" s="278"/>
      <c r="I899" s="278"/>
      <c r="J899" s="278"/>
      <c r="K899" s="278"/>
      <c r="L899" s="278"/>
      <c r="M899" s="278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  <c r="AA899" s="271"/>
      <c r="AB899" s="271"/>
      <c r="AC899" s="271"/>
      <c r="AD899" s="271"/>
      <c r="AE899" s="271"/>
      <c r="AF899" s="271"/>
      <c r="AG899" s="271"/>
      <c r="AH899" s="271"/>
      <c r="AI899" s="271"/>
      <c r="AJ899" s="271"/>
      <c r="AK899" s="271"/>
      <c r="AL899" s="271"/>
      <c r="AM899" s="271"/>
      <c r="AN899" s="271"/>
    </row>
    <row r="900" spans="1:40" ht="12.75" customHeight="1">
      <c r="A900" s="278"/>
      <c r="B900" s="278"/>
      <c r="C900" s="278"/>
      <c r="D900" s="278"/>
      <c r="E900" s="278"/>
      <c r="F900" s="278"/>
      <c r="G900" s="278"/>
      <c r="H900" s="278"/>
      <c r="I900" s="278"/>
      <c r="J900" s="278"/>
      <c r="K900" s="278"/>
      <c r="L900" s="278"/>
      <c r="M900" s="278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  <c r="AB900" s="271"/>
      <c r="AC900" s="271"/>
      <c r="AD900" s="271"/>
      <c r="AE900" s="271"/>
      <c r="AF900" s="271"/>
      <c r="AG900" s="271"/>
      <c r="AH900" s="271"/>
      <c r="AI900" s="271"/>
      <c r="AJ900" s="271"/>
      <c r="AK900" s="271"/>
      <c r="AL900" s="271"/>
      <c r="AM900" s="271"/>
      <c r="AN900" s="271"/>
    </row>
    <row r="901" spans="1:40" ht="12.75" customHeight="1">
      <c r="A901" s="278"/>
      <c r="B901" s="278"/>
      <c r="C901" s="278"/>
      <c r="D901" s="278"/>
      <c r="E901" s="278"/>
      <c r="F901" s="278"/>
      <c r="G901" s="278"/>
      <c r="H901" s="278"/>
      <c r="I901" s="278"/>
      <c r="J901" s="278"/>
      <c r="K901" s="278"/>
      <c r="L901" s="278"/>
      <c r="M901" s="278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  <c r="AB901" s="271"/>
      <c r="AC901" s="271"/>
      <c r="AD901" s="271"/>
      <c r="AE901" s="271"/>
      <c r="AF901" s="271"/>
      <c r="AG901" s="271"/>
      <c r="AH901" s="271"/>
      <c r="AI901" s="271"/>
      <c r="AJ901" s="271"/>
      <c r="AK901" s="271"/>
      <c r="AL901" s="271"/>
      <c r="AM901" s="271"/>
      <c r="AN901" s="271"/>
    </row>
    <row r="902" spans="1:40" ht="12.75" customHeight="1">
      <c r="A902" s="278"/>
      <c r="B902" s="278"/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  <c r="M902" s="278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  <c r="AB902" s="271"/>
      <c r="AC902" s="271"/>
      <c r="AD902" s="271"/>
      <c r="AE902" s="271"/>
      <c r="AF902" s="271"/>
      <c r="AG902" s="271"/>
      <c r="AH902" s="271"/>
      <c r="AI902" s="271"/>
      <c r="AJ902" s="271"/>
      <c r="AK902" s="271"/>
      <c r="AL902" s="271"/>
      <c r="AM902" s="271"/>
      <c r="AN902" s="271"/>
    </row>
    <row r="903" spans="1:40" ht="12.75" customHeight="1">
      <c r="A903" s="278"/>
      <c r="B903" s="278"/>
      <c r="C903" s="278"/>
      <c r="D903" s="278"/>
      <c r="E903" s="278"/>
      <c r="F903" s="278"/>
      <c r="G903" s="278"/>
      <c r="H903" s="278"/>
      <c r="I903" s="278"/>
      <c r="J903" s="278"/>
      <c r="K903" s="278"/>
      <c r="L903" s="278"/>
      <c r="M903" s="278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  <c r="AB903" s="271"/>
      <c r="AC903" s="271"/>
      <c r="AD903" s="271"/>
      <c r="AE903" s="271"/>
      <c r="AF903" s="271"/>
      <c r="AG903" s="271"/>
      <c r="AH903" s="271"/>
      <c r="AI903" s="271"/>
      <c r="AJ903" s="271"/>
      <c r="AK903" s="271"/>
      <c r="AL903" s="271"/>
      <c r="AM903" s="271"/>
      <c r="AN903" s="271"/>
    </row>
    <row r="904" spans="1:40" ht="12.75" customHeight="1">
      <c r="A904" s="278"/>
      <c r="B904" s="278"/>
      <c r="C904" s="278"/>
      <c r="D904" s="278"/>
      <c r="E904" s="278"/>
      <c r="F904" s="278"/>
      <c r="G904" s="278"/>
      <c r="H904" s="278"/>
      <c r="I904" s="278"/>
      <c r="J904" s="278"/>
      <c r="K904" s="278"/>
      <c r="L904" s="278"/>
      <c r="M904" s="278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  <c r="AB904" s="271"/>
      <c r="AC904" s="271"/>
      <c r="AD904" s="271"/>
      <c r="AE904" s="271"/>
      <c r="AF904" s="271"/>
      <c r="AG904" s="271"/>
      <c r="AH904" s="271"/>
      <c r="AI904" s="271"/>
      <c r="AJ904" s="271"/>
      <c r="AK904" s="271"/>
      <c r="AL904" s="271"/>
      <c r="AM904" s="271"/>
      <c r="AN904" s="271"/>
    </row>
    <row r="905" spans="1:40" ht="12.75" customHeight="1">
      <c r="A905" s="278"/>
      <c r="B905" s="278"/>
      <c r="C905" s="278"/>
      <c r="D905" s="278"/>
      <c r="E905" s="278"/>
      <c r="F905" s="278"/>
      <c r="G905" s="278"/>
      <c r="H905" s="278"/>
      <c r="I905" s="278"/>
      <c r="J905" s="278"/>
      <c r="K905" s="278"/>
      <c r="L905" s="278"/>
      <c r="M905" s="278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  <c r="AB905" s="271"/>
      <c r="AC905" s="271"/>
      <c r="AD905" s="271"/>
      <c r="AE905" s="271"/>
      <c r="AF905" s="271"/>
      <c r="AG905" s="271"/>
      <c r="AH905" s="271"/>
      <c r="AI905" s="271"/>
      <c r="AJ905" s="271"/>
      <c r="AK905" s="271"/>
      <c r="AL905" s="271"/>
      <c r="AM905" s="271"/>
      <c r="AN905" s="271"/>
    </row>
    <row r="906" spans="1:40" ht="12.75" customHeight="1">
      <c r="A906" s="278"/>
      <c r="B906" s="278"/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  <c r="M906" s="278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  <c r="AB906" s="271"/>
      <c r="AC906" s="271"/>
      <c r="AD906" s="271"/>
      <c r="AE906" s="271"/>
      <c r="AF906" s="271"/>
      <c r="AG906" s="271"/>
      <c r="AH906" s="271"/>
      <c r="AI906" s="271"/>
      <c r="AJ906" s="271"/>
      <c r="AK906" s="271"/>
      <c r="AL906" s="271"/>
      <c r="AM906" s="271"/>
      <c r="AN906" s="271"/>
    </row>
    <row r="907" spans="1:40" ht="12.75" customHeight="1">
      <c r="A907" s="278"/>
      <c r="B907" s="278"/>
      <c r="C907" s="278"/>
      <c r="D907" s="278"/>
      <c r="E907" s="278"/>
      <c r="F907" s="278"/>
      <c r="G907" s="278"/>
      <c r="H907" s="278"/>
      <c r="I907" s="278"/>
      <c r="J907" s="278"/>
      <c r="K907" s="278"/>
      <c r="L907" s="278"/>
      <c r="M907" s="278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  <c r="AA907" s="271"/>
      <c r="AB907" s="271"/>
      <c r="AC907" s="271"/>
      <c r="AD907" s="271"/>
      <c r="AE907" s="271"/>
      <c r="AF907" s="271"/>
      <c r="AG907" s="271"/>
      <c r="AH907" s="271"/>
      <c r="AI907" s="271"/>
      <c r="AJ907" s="271"/>
      <c r="AK907" s="271"/>
      <c r="AL907" s="271"/>
      <c r="AM907" s="271"/>
      <c r="AN907" s="271"/>
    </row>
    <row r="908" spans="1:40" ht="12.75" customHeight="1">
      <c r="A908" s="278"/>
      <c r="B908" s="278"/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  <c r="M908" s="278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  <c r="AA908" s="271"/>
      <c r="AB908" s="271"/>
      <c r="AC908" s="271"/>
      <c r="AD908" s="271"/>
      <c r="AE908" s="271"/>
      <c r="AF908" s="271"/>
      <c r="AG908" s="271"/>
      <c r="AH908" s="271"/>
      <c r="AI908" s="271"/>
      <c r="AJ908" s="271"/>
      <c r="AK908" s="271"/>
      <c r="AL908" s="271"/>
      <c r="AM908" s="271"/>
      <c r="AN908" s="271"/>
    </row>
    <row r="909" spans="1:40" ht="12.75" customHeight="1">
      <c r="A909" s="278"/>
      <c r="B909" s="278"/>
      <c r="C909" s="278"/>
      <c r="D909" s="278"/>
      <c r="E909" s="278"/>
      <c r="F909" s="278"/>
      <c r="G909" s="278"/>
      <c r="H909" s="278"/>
      <c r="I909" s="278"/>
      <c r="J909" s="278"/>
      <c r="K909" s="278"/>
      <c r="L909" s="278"/>
      <c r="M909" s="278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  <c r="AB909" s="271"/>
      <c r="AC909" s="271"/>
      <c r="AD909" s="271"/>
      <c r="AE909" s="271"/>
      <c r="AF909" s="271"/>
      <c r="AG909" s="271"/>
      <c r="AH909" s="271"/>
      <c r="AI909" s="271"/>
      <c r="AJ909" s="271"/>
      <c r="AK909" s="271"/>
      <c r="AL909" s="271"/>
      <c r="AM909" s="271"/>
      <c r="AN909" s="271"/>
    </row>
    <row r="910" spans="1:40" ht="12.75" customHeight="1">
      <c r="A910" s="278"/>
      <c r="B910" s="278"/>
      <c r="C910" s="278"/>
      <c r="D910" s="278"/>
      <c r="E910" s="278"/>
      <c r="F910" s="278"/>
      <c r="G910" s="278"/>
      <c r="H910" s="278"/>
      <c r="I910" s="278"/>
      <c r="J910" s="278"/>
      <c r="K910" s="278"/>
      <c r="L910" s="278"/>
      <c r="M910" s="278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  <c r="AA910" s="271"/>
      <c r="AB910" s="271"/>
      <c r="AC910" s="271"/>
      <c r="AD910" s="271"/>
      <c r="AE910" s="271"/>
      <c r="AF910" s="271"/>
      <c r="AG910" s="271"/>
      <c r="AH910" s="271"/>
      <c r="AI910" s="271"/>
      <c r="AJ910" s="271"/>
      <c r="AK910" s="271"/>
      <c r="AL910" s="271"/>
      <c r="AM910" s="271"/>
      <c r="AN910" s="271"/>
    </row>
    <row r="911" spans="1:40" ht="12.75" customHeight="1">
      <c r="A911" s="278"/>
      <c r="B911" s="278"/>
      <c r="C911" s="278"/>
      <c r="D911" s="278"/>
      <c r="E911" s="278"/>
      <c r="F911" s="278"/>
      <c r="G911" s="278"/>
      <c r="H911" s="278"/>
      <c r="I911" s="278"/>
      <c r="J911" s="278"/>
      <c r="K911" s="278"/>
      <c r="L911" s="278"/>
      <c r="M911" s="278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  <c r="AB911" s="271"/>
      <c r="AC911" s="271"/>
      <c r="AD911" s="271"/>
      <c r="AE911" s="271"/>
      <c r="AF911" s="271"/>
      <c r="AG911" s="271"/>
      <c r="AH911" s="271"/>
      <c r="AI911" s="271"/>
      <c r="AJ911" s="271"/>
      <c r="AK911" s="271"/>
      <c r="AL911" s="271"/>
      <c r="AM911" s="271"/>
      <c r="AN911" s="271"/>
    </row>
    <row r="912" spans="1:40" ht="12.75" customHeight="1">
      <c r="A912" s="278"/>
      <c r="B912" s="278"/>
      <c r="C912" s="278"/>
      <c r="D912" s="278"/>
      <c r="E912" s="278"/>
      <c r="F912" s="278"/>
      <c r="G912" s="278"/>
      <c r="H912" s="278"/>
      <c r="I912" s="278"/>
      <c r="J912" s="278"/>
      <c r="K912" s="278"/>
      <c r="L912" s="278"/>
      <c r="M912" s="278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  <c r="AB912" s="271"/>
      <c r="AC912" s="271"/>
      <c r="AD912" s="271"/>
      <c r="AE912" s="271"/>
      <c r="AF912" s="271"/>
      <c r="AG912" s="271"/>
      <c r="AH912" s="271"/>
      <c r="AI912" s="271"/>
      <c r="AJ912" s="271"/>
      <c r="AK912" s="271"/>
      <c r="AL912" s="271"/>
      <c r="AM912" s="271"/>
      <c r="AN912" s="271"/>
    </row>
    <row r="913" spans="1:40" ht="12.75" customHeight="1">
      <c r="A913" s="278"/>
      <c r="B913" s="278"/>
      <c r="C913" s="278"/>
      <c r="D913" s="278"/>
      <c r="E913" s="278"/>
      <c r="F913" s="278"/>
      <c r="G913" s="278"/>
      <c r="H913" s="278"/>
      <c r="I913" s="278"/>
      <c r="J913" s="278"/>
      <c r="K913" s="278"/>
      <c r="L913" s="278"/>
      <c r="M913" s="278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  <c r="AB913" s="271"/>
      <c r="AC913" s="271"/>
      <c r="AD913" s="271"/>
      <c r="AE913" s="271"/>
      <c r="AF913" s="271"/>
      <c r="AG913" s="271"/>
      <c r="AH913" s="271"/>
      <c r="AI913" s="271"/>
      <c r="AJ913" s="271"/>
      <c r="AK913" s="271"/>
      <c r="AL913" s="271"/>
      <c r="AM913" s="271"/>
      <c r="AN913" s="271"/>
    </row>
    <row r="914" spans="1:40" ht="12.75" customHeight="1">
      <c r="A914" s="278"/>
      <c r="B914" s="278"/>
      <c r="C914" s="278"/>
      <c r="D914" s="278"/>
      <c r="E914" s="278"/>
      <c r="F914" s="278"/>
      <c r="G914" s="278"/>
      <c r="H914" s="278"/>
      <c r="I914" s="278"/>
      <c r="J914" s="278"/>
      <c r="K914" s="278"/>
      <c r="L914" s="278"/>
      <c r="M914" s="278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  <c r="AA914" s="271"/>
      <c r="AB914" s="271"/>
      <c r="AC914" s="271"/>
      <c r="AD914" s="271"/>
      <c r="AE914" s="271"/>
      <c r="AF914" s="271"/>
      <c r="AG914" s="271"/>
      <c r="AH914" s="271"/>
      <c r="AI914" s="271"/>
      <c r="AJ914" s="271"/>
      <c r="AK914" s="271"/>
      <c r="AL914" s="271"/>
      <c r="AM914" s="271"/>
      <c r="AN914" s="271"/>
    </row>
    <row r="915" spans="1:40" ht="12.75" customHeight="1">
      <c r="A915" s="278"/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278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  <c r="AB915" s="271"/>
      <c r="AC915" s="271"/>
      <c r="AD915" s="271"/>
      <c r="AE915" s="271"/>
      <c r="AF915" s="271"/>
      <c r="AG915" s="271"/>
      <c r="AH915" s="271"/>
      <c r="AI915" s="271"/>
      <c r="AJ915" s="271"/>
      <c r="AK915" s="271"/>
      <c r="AL915" s="271"/>
      <c r="AM915" s="271"/>
      <c r="AN915" s="271"/>
    </row>
    <row r="916" spans="1:40" ht="12.75" customHeight="1">
      <c r="A916" s="278"/>
      <c r="B916" s="278"/>
      <c r="C916" s="278"/>
      <c r="D916" s="278"/>
      <c r="E916" s="278"/>
      <c r="F916" s="278"/>
      <c r="G916" s="278"/>
      <c r="H916" s="278"/>
      <c r="I916" s="278"/>
      <c r="J916" s="278"/>
      <c r="K916" s="278"/>
      <c r="L916" s="278"/>
      <c r="M916" s="278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  <c r="AB916" s="271"/>
      <c r="AC916" s="271"/>
      <c r="AD916" s="271"/>
      <c r="AE916" s="271"/>
      <c r="AF916" s="271"/>
      <c r="AG916" s="271"/>
      <c r="AH916" s="271"/>
      <c r="AI916" s="271"/>
      <c r="AJ916" s="271"/>
      <c r="AK916" s="271"/>
      <c r="AL916" s="271"/>
      <c r="AM916" s="271"/>
      <c r="AN916" s="271"/>
    </row>
    <row r="917" spans="1:40" ht="12.75" customHeight="1">
      <c r="A917" s="278"/>
      <c r="B917" s="278"/>
      <c r="C917" s="278"/>
      <c r="D917" s="278"/>
      <c r="E917" s="278"/>
      <c r="F917" s="278"/>
      <c r="G917" s="278"/>
      <c r="H917" s="278"/>
      <c r="I917" s="278"/>
      <c r="J917" s="278"/>
      <c r="K917" s="278"/>
      <c r="L917" s="278"/>
      <c r="M917" s="278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  <c r="AB917" s="271"/>
      <c r="AC917" s="271"/>
      <c r="AD917" s="271"/>
      <c r="AE917" s="271"/>
      <c r="AF917" s="271"/>
      <c r="AG917" s="271"/>
      <c r="AH917" s="271"/>
      <c r="AI917" s="271"/>
      <c r="AJ917" s="271"/>
      <c r="AK917" s="271"/>
      <c r="AL917" s="271"/>
      <c r="AM917" s="271"/>
      <c r="AN917" s="271"/>
    </row>
    <row r="918" spans="1:40" ht="12.75" customHeight="1">
      <c r="A918" s="278"/>
      <c r="B918" s="278"/>
      <c r="C918" s="278"/>
      <c r="D918" s="278"/>
      <c r="E918" s="278"/>
      <c r="F918" s="278"/>
      <c r="G918" s="278"/>
      <c r="H918" s="278"/>
      <c r="I918" s="278"/>
      <c r="J918" s="278"/>
      <c r="K918" s="278"/>
      <c r="L918" s="278"/>
      <c r="M918" s="278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  <c r="AB918" s="271"/>
      <c r="AC918" s="271"/>
      <c r="AD918" s="271"/>
      <c r="AE918" s="271"/>
      <c r="AF918" s="271"/>
      <c r="AG918" s="271"/>
      <c r="AH918" s="271"/>
      <c r="AI918" s="271"/>
      <c r="AJ918" s="271"/>
      <c r="AK918" s="271"/>
      <c r="AL918" s="271"/>
      <c r="AM918" s="271"/>
      <c r="AN918" s="271"/>
    </row>
    <row r="919" spans="1:40" ht="12.75" customHeight="1">
      <c r="A919" s="278"/>
      <c r="B919" s="278"/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  <c r="M919" s="278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  <c r="AB919" s="271"/>
      <c r="AC919" s="271"/>
      <c r="AD919" s="271"/>
      <c r="AE919" s="271"/>
      <c r="AF919" s="271"/>
      <c r="AG919" s="271"/>
      <c r="AH919" s="271"/>
      <c r="AI919" s="271"/>
      <c r="AJ919" s="271"/>
      <c r="AK919" s="271"/>
      <c r="AL919" s="271"/>
      <c r="AM919" s="271"/>
      <c r="AN919" s="271"/>
    </row>
    <row r="920" spans="1:40" ht="12.75" customHeight="1">
      <c r="A920" s="278"/>
      <c r="B920" s="278"/>
      <c r="C920" s="278"/>
      <c r="D920" s="278"/>
      <c r="E920" s="278"/>
      <c r="F920" s="278"/>
      <c r="G920" s="278"/>
      <c r="H920" s="278"/>
      <c r="I920" s="278"/>
      <c r="J920" s="278"/>
      <c r="K920" s="278"/>
      <c r="L920" s="278"/>
      <c r="M920" s="278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  <c r="AB920" s="271"/>
      <c r="AC920" s="271"/>
      <c r="AD920" s="271"/>
      <c r="AE920" s="271"/>
      <c r="AF920" s="271"/>
      <c r="AG920" s="271"/>
      <c r="AH920" s="271"/>
      <c r="AI920" s="271"/>
      <c r="AJ920" s="271"/>
      <c r="AK920" s="271"/>
      <c r="AL920" s="271"/>
      <c r="AM920" s="271"/>
      <c r="AN920" s="271"/>
    </row>
    <row r="921" spans="1:40" ht="12.75" customHeight="1">
      <c r="A921" s="278"/>
      <c r="B921" s="278"/>
      <c r="C921" s="278"/>
      <c r="D921" s="278"/>
      <c r="E921" s="278"/>
      <c r="F921" s="278"/>
      <c r="G921" s="278"/>
      <c r="H921" s="278"/>
      <c r="I921" s="278"/>
      <c r="J921" s="278"/>
      <c r="K921" s="278"/>
      <c r="L921" s="278"/>
      <c r="M921" s="278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  <c r="AB921" s="271"/>
      <c r="AC921" s="271"/>
      <c r="AD921" s="271"/>
      <c r="AE921" s="271"/>
      <c r="AF921" s="271"/>
      <c r="AG921" s="271"/>
      <c r="AH921" s="271"/>
      <c r="AI921" s="271"/>
      <c r="AJ921" s="271"/>
      <c r="AK921" s="271"/>
      <c r="AL921" s="271"/>
      <c r="AM921" s="271"/>
      <c r="AN921" s="271"/>
    </row>
    <row r="922" spans="1:40" ht="12.75" customHeight="1">
      <c r="A922" s="278"/>
      <c r="B922" s="278"/>
      <c r="C922" s="278"/>
      <c r="D922" s="278"/>
      <c r="E922" s="278"/>
      <c r="F922" s="278"/>
      <c r="G922" s="278"/>
      <c r="H922" s="278"/>
      <c r="I922" s="278"/>
      <c r="J922" s="278"/>
      <c r="K922" s="278"/>
      <c r="L922" s="278"/>
      <c r="M922" s="278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  <c r="AB922" s="271"/>
      <c r="AC922" s="271"/>
      <c r="AD922" s="271"/>
      <c r="AE922" s="271"/>
      <c r="AF922" s="271"/>
      <c r="AG922" s="271"/>
      <c r="AH922" s="271"/>
      <c r="AI922" s="271"/>
      <c r="AJ922" s="271"/>
      <c r="AK922" s="271"/>
      <c r="AL922" s="271"/>
      <c r="AM922" s="271"/>
      <c r="AN922" s="271"/>
    </row>
    <row r="923" spans="1:40" ht="12.75" customHeight="1">
      <c r="A923" s="278"/>
      <c r="B923" s="278"/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  <c r="M923" s="278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  <c r="AB923" s="271"/>
      <c r="AC923" s="271"/>
      <c r="AD923" s="271"/>
      <c r="AE923" s="271"/>
      <c r="AF923" s="271"/>
      <c r="AG923" s="271"/>
      <c r="AH923" s="271"/>
      <c r="AI923" s="271"/>
      <c r="AJ923" s="271"/>
      <c r="AK923" s="271"/>
      <c r="AL923" s="271"/>
      <c r="AM923" s="271"/>
      <c r="AN923" s="271"/>
    </row>
    <row r="924" spans="1:40" ht="12.75" customHeight="1">
      <c r="A924" s="278"/>
      <c r="B924" s="278"/>
      <c r="C924" s="278"/>
      <c r="D924" s="278"/>
      <c r="E924" s="278"/>
      <c r="F924" s="278"/>
      <c r="G924" s="278"/>
      <c r="H924" s="278"/>
      <c r="I924" s="278"/>
      <c r="J924" s="278"/>
      <c r="K924" s="278"/>
      <c r="L924" s="278"/>
      <c r="M924" s="278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  <c r="AB924" s="271"/>
      <c r="AC924" s="271"/>
      <c r="AD924" s="271"/>
      <c r="AE924" s="271"/>
      <c r="AF924" s="271"/>
      <c r="AG924" s="271"/>
      <c r="AH924" s="271"/>
      <c r="AI924" s="271"/>
      <c r="AJ924" s="271"/>
      <c r="AK924" s="271"/>
      <c r="AL924" s="271"/>
      <c r="AM924" s="271"/>
      <c r="AN924" s="271"/>
    </row>
    <row r="925" spans="1:40" ht="12.75" customHeight="1">
      <c r="A925" s="278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278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  <c r="AB925" s="271"/>
      <c r="AC925" s="271"/>
      <c r="AD925" s="271"/>
      <c r="AE925" s="271"/>
      <c r="AF925" s="271"/>
      <c r="AG925" s="271"/>
      <c r="AH925" s="271"/>
      <c r="AI925" s="271"/>
      <c r="AJ925" s="271"/>
      <c r="AK925" s="271"/>
      <c r="AL925" s="271"/>
      <c r="AM925" s="271"/>
      <c r="AN925" s="271"/>
    </row>
    <row r="926" spans="1:40" ht="12.75" customHeight="1">
      <c r="A926" s="278"/>
      <c r="B926" s="278"/>
      <c r="C926" s="278"/>
      <c r="D926" s="278"/>
      <c r="E926" s="278"/>
      <c r="F926" s="278"/>
      <c r="G926" s="278"/>
      <c r="H926" s="278"/>
      <c r="I926" s="278"/>
      <c r="J926" s="278"/>
      <c r="K926" s="278"/>
      <c r="L926" s="278"/>
      <c r="M926" s="278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  <c r="AA926" s="271"/>
      <c r="AB926" s="271"/>
      <c r="AC926" s="271"/>
      <c r="AD926" s="271"/>
      <c r="AE926" s="271"/>
      <c r="AF926" s="271"/>
      <c r="AG926" s="271"/>
      <c r="AH926" s="271"/>
      <c r="AI926" s="271"/>
      <c r="AJ926" s="271"/>
      <c r="AK926" s="271"/>
      <c r="AL926" s="271"/>
      <c r="AM926" s="271"/>
      <c r="AN926" s="271"/>
    </row>
    <row r="927" spans="1:40" ht="12.75" customHeight="1">
      <c r="A927" s="278"/>
      <c r="B927" s="278"/>
      <c r="C927" s="278"/>
      <c r="D927" s="278"/>
      <c r="E927" s="278"/>
      <c r="F927" s="278"/>
      <c r="G927" s="278"/>
      <c r="H927" s="278"/>
      <c r="I927" s="278"/>
      <c r="J927" s="278"/>
      <c r="K927" s="278"/>
      <c r="L927" s="278"/>
      <c r="M927" s="278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  <c r="AB927" s="271"/>
      <c r="AC927" s="271"/>
      <c r="AD927" s="271"/>
      <c r="AE927" s="271"/>
      <c r="AF927" s="271"/>
      <c r="AG927" s="271"/>
      <c r="AH927" s="271"/>
      <c r="AI927" s="271"/>
      <c r="AJ927" s="271"/>
      <c r="AK927" s="271"/>
      <c r="AL927" s="271"/>
      <c r="AM927" s="271"/>
      <c r="AN927" s="271"/>
    </row>
    <row r="928" spans="1:40" ht="12.75" customHeight="1">
      <c r="A928" s="278"/>
      <c r="B928" s="278"/>
      <c r="C928" s="278"/>
      <c r="D928" s="278"/>
      <c r="E928" s="278"/>
      <c r="F928" s="278"/>
      <c r="G928" s="278"/>
      <c r="H928" s="278"/>
      <c r="I928" s="278"/>
      <c r="J928" s="278"/>
      <c r="K928" s="278"/>
      <c r="L928" s="278"/>
      <c r="M928" s="278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  <c r="AA928" s="271"/>
      <c r="AB928" s="271"/>
      <c r="AC928" s="271"/>
      <c r="AD928" s="271"/>
      <c r="AE928" s="271"/>
      <c r="AF928" s="271"/>
      <c r="AG928" s="271"/>
      <c r="AH928" s="271"/>
      <c r="AI928" s="271"/>
      <c r="AJ928" s="271"/>
      <c r="AK928" s="271"/>
      <c r="AL928" s="271"/>
      <c r="AM928" s="271"/>
      <c r="AN928" s="271"/>
    </row>
    <row r="929" spans="1:40" ht="12.75" customHeight="1">
      <c r="A929" s="278"/>
      <c r="B929" s="278"/>
      <c r="C929" s="278"/>
      <c r="D929" s="278"/>
      <c r="E929" s="278"/>
      <c r="F929" s="278"/>
      <c r="G929" s="278"/>
      <c r="H929" s="278"/>
      <c r="I929" s="278"/>
      <c r="J929" s="278"/>
      <c r="K929" s="278"/>
      <c r="L929" s="278"/>
      <c r="M929" s="278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  <c r="AA929" s="271"/>
      <c r="AB929" s="271"/>
      <c r="AC929" s="271"/>
      <c r="AD929" s="271"/>
      <c r="AE929" s="271"/>
      <c r="AF929" s="271"/>
      <c r="AG929" s="271"/>
      <c r="AH929" s="271"/>
      <c r="AI929" s="271"/>
      <c r="AJ929" s="271"/>
      <c r="AK929" s="271"/>
      <c r="AL929" s="271"/>
      <c r="AM929" s="271"/>
      <c r="AN929" s="271"/>
    </row>
    <row r="930" spans="1:40" ht="12.75" customHeight="1">
      <c r="A930" s="278"/>
      <c r="B930" s="278"/>
      <c r="C930" s="278"/>
      <c r="D930" s="278"/>
      <c r="E930" s="278"/>
      <c r="F930" s="278"/>
      <c r="G930" s="278"/>
      <c r="H930" s="278"/>
      <c r="I930" s="278"/>
      <c r="J930" s="278"/>
      <c r="K930" s="278"/>
      <c r="L930" s="278"/>
      <c r="M930" s="278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  <c r="AA930" s="271"/>
      <c r="AB930" s="271"/>
      <c r="AC930" s="271"/>
      <c r="AD930" s="271"/>
      <c r="AE930" s="271"/>
      <c r="AF930" s="271"/>
      <c r="AG930" s="271"/>
      <c r="AH930" s="271"/>
      <c r="AI930" s="271"/>
      <c r="AJ930" s="271"/>
      <c r="AK930" s="271"/>
      <c r="AL930" s="271"/>
      <c r="AM930" s="271"/>
      <c r="AN930" s="271"/>
    </row>
    <row r="931" spans="1:40" ht="12.75" customHeight="1">
      <c r="A931" s="278"/>
      <c r="B931" s="278"/>
      <c r="C931" s="278"/>
      <c r="D931" s="278"/>
      <c r="E931" s="278"/>
      <c r="F931" s="278"/>
      <c r="G931" s="278"/>
      <c r="H931" s="278"/>
      <c r="I931" s="278"/>
      <c r="J931" s="278"/>
      <c r="K931" s="278"/>
      <c r="L931" s="278"/>
      <c r="M931" s="278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  <c r="AA931" s="271"/>
      <c r="AB931" s="271"/>
      <c r="AC931" s="271"/>
      <c r="AD931" s="271"/>
      <c r="AE931" s="271"/>
      <c r="AF931" s="271"/>
      <c r="AG931" s="271"/>
      <c r="AH931" s="271"/>
      <c r="AI931" s="271"/>
      <c r="AJ931" s="271"/>
      <c r="AK931" s="271"/>
      <c r="AL931" s="271"/>
      <c r="AM931" s="271"/>
      <c r="AN931" s="271"/>
    </row>
    <row r="932" spans="1:40" ht="12.75" customHeight="1">
      <c r="A932" s="278"/>
      <c r="B932" s="278"/>
      <c r="C932" s="278"/>
      <c r="D932" s="278"/>
      <c r="E932" s="278"/>
      <c r="F932" s="278"/>
      <c r="G932" s="278"/>
      <c r="H932" s="278"/>
      <c r="I932" s="278"/>
      <c r="J932" s="278"/>
      <c r="K932" s="278"/>
      <c r="L932" s="278"/>
      <c r="M932" s="278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  <c r="AA932" s="271"/>
      <c r="AB932" s="271"/>
      <c r="AC932" s="271"/>
      <c r="AD932" s="271"/>
      <c r="AE932" s="271"/>
      <c r="AF932" s="271"/>
      <c r="AG932" s="271"/>
      <c r="AH932" s="271"/>
      <c r="AI932" s="271"/>
      <c r="AJ932" s="271"/>
      <c r="AK932" s="271"/>
      <c r="AL932" s="271"/>
      <c r="AM932" s="271"/>
      <c r="AN932" s="271"/>
    </row>
    <row r="933" spans="1:40" ht="12.75" customHeight="1">
      <c r="A933" s="278"/>
      <c r="B933" s="278"/>
      <c r="C933" s="278"/>
      <c r="D933" s="278"/>
      <c r="E933" s="278"/>
      <c r="F933" s="278"/>
      <c r="G933" s="278"/>
      <c r="H933" s="278"/>
      <c r="I933" s="278"/>
      <c r="J933" s="278"/>
      <c r="K933" s="278"/>
      <c r="L933" s="278"/>
      <c r="M933" s="278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  <c r="AA933" s="271"/>
      <c r="AB933" s="271"/>
      <c r="AC933" s="271"/>
      <c r="AD933" s="271"/>
      <c r="AE933" s="271"/>
      <c r="AF933" s="271"/>
      <c r="AG933" s="271"/>
      <c r="AH933" s="271"/>
      <c r="AI933" s="271"/>
      <c r="AJ933" s="271"/>
      <c r="AK933" s="271"/>
      <c r="AL933" s="271"/>
      <c r="AM933" s="271"/>
      <c r="AN933" s="271"/>
    </row>
    <row r="934" spans="1:40" ht="12.75" customHeight="1">
      <c r="A934" s="278"/>
      <c r="B934" s="278"/>
      <c r="C934" s="278"/>
      <c r="D934" s="278"/>
      <c r="E934" s="278"/>
      <c r="F934" s="278"/>
      <c r="G934" s="278"/>
      <c r="H934" s="278"/>
      <c r="I934" s="278"/>
      <c r="J934" s="278"/>
      <c r="K934" s="278"/>
      <c r="L934" s="278"/>
      <c r="M934" s="278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  <c r="AA934" s="271"/>
      <c r="AB934" s="271"/>
      <c r="AC934" s="271"/>
      <c r="AD934" s="271"/>
      <c r="AE934" s="271"/>
      <c r="AF934" s="271"/>
      <c r="AG934" s="271"/>
      <c r="AH934" s="271"/>
      <c r="AI934" s="271"/>
      <c r="AJ934" s="271"/>
      <c r="AK934" s="271"/>
      <c r="AL934" s="271"/>
      <c r="AM934" s="271"/>
      <c r="AN934" s="271"/>
    </row>
    <row r="935" spans="1:40" ht="12.75" customHeight="1">
      <c r="A935" s="278"/>
      <c r="B935" s="278"/>
      <c r="C935" s="278"/>
      <c r="D935" s="278"/>
      <c r="E935" s="278"/>
      <c r="F935" s="278"/>
      <c r="G935" s="278"/>
      <c r="H935" s="278"/>
      <c r="I935" s="278"/>
      <c r="J935" s="278"/>
      <c r="K935" s="278"/>
      <c r="L935" s="278"/>
      <c r="M935" s="278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  <c r="AA935" s="271"/>
      <c r="AB935" s="271"/>
      <c r="AC935" s="271"/>
      <c r="AD935" s="271"/>
      <c r="AE935" s="271"/>
      <c r="AF935" s="271"/>
      <c r="AG935" s="271"/>
      <c r="AH935" s="271"/>
      <c r="AI935" s="271"/>
      <c r="AJ935" s="271"/>
      <c r="AK935" s="271"/>
      <c r="AL935" s="271"/>
      <c r="AM935" s="271"/>
      <c r="AN935" s="271"/>
    </row>
    <row r="936" spans="1:40" ht="12.75" customHeight="1">
      <c r="A936" s="278"/>
      <c r="B936" s="278"/>
      <c r="C936" s="278"/>
      <c r="D936" s="278"/>
      <c r="E936" s="278"/>
      <c r="F936" s="278"/>
      <c r="G936" s="278"/>
      <c r="H936" s="278"/>
      <c r="I936" s="278"/>
      <c r="J936" s="278"/>
      <c r="K936" s="278"/>
      <c r="L936" s="278"/>
      <c r="M936" s="278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  <c r="AA936" s="271"/>
      <c r="AB936" s="271"/>
      <c r="AC936" s="271"/>
      <c r="AD936" s="271"/>
      <c r="AE936" s="271"/>
      <c r="AF936" s="271"/>
      <c r="AG936" s="271"/>
      <c r="AH936" s="271"/>
      <c r="AI936" s="271"/>
      <c r="AJ936" s="271"/>
      <c r="AK936" s="271"/>
      <c r="AL936" s="271"/>
      <c r="AM936" s="271"/>
      <c r="AN936" s="271"/>
    </row>
    <row r="937" spans="1:40" ht="12.75" customHeight="1">
      <c r="A937" s="278"/>
      <c r="B937" s="278"/>
      <c r="C937" s="278"/>
      <c r="D937" s="278"/>
      <c r="E937" s="278"/>
      <c r="F937" s="278"/>
      <c r="G937" s="278"/>
      <c r="H937" s="278"/>
      <c r="I937" s="278"/>
      <c r="J937" s="278"/>
      <c r="K937" s="278"/>
      <c r="L937" s="278"/>
      <c r="M937" s="278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  <c r="AA937" s="271"/>
      <c r="AB937" s="271"/>
      <c r="AC937" s="271"/>
      <c r="AD937" s="271"/>
      <c r="AE937" s="271"/>
      <c r="AF937" s="271"/>
      <c r="AG937" s="271"/>
      <c r="AH937" s="271"/>
      <c r="AI937" s="271"/>
      <c r="AJ937" s="271"/>
      <c r="AK937" s="271"/>
      <c r="AL937" s="271"/>
      <c r="AM937" s="271"/>
      <c r="AN937" s="271"/>
    </row>
    <row r="938" spans="1:40" ht="12.75" customHeight="1">
      <c r="A938" s="278"/>
      <c r="B938" s="278"/>
      <c r="C938" s="278"/>
      <c r="D938" s="278"/>
      <c r="E938" s="278"/>
      <c r="F938" s="278"/>
      <c r="G938" s="278"/>
      <c r="H938" s="278"/>
      <c r="I938" s="278"/>
      <c r="J938" s="278"/>
      <c r="K938" s="278"/>
      <c r="L938" s="278"/>
      <c r="M938" s="278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  <c r="AA938" s="271"/>
      <c r="AB938" s="271"/>
      <c r="AC938" s="271"/>
      <c r="AD938" s="271"/>
      <c r="AE938" s="271"/>
      <c r="AF938" s="271"/>
      <c r="AG938" s="271"/>
      <c r="AH938" s="271"/>
      <c r="AI938" s="271"/>
      <c r="AJ938" s="271"/>
      <c r="AK938" s="271"/>
      <c r="AL938" s="271"/>
      <c r="AM938" s="271"/>
      <c r="AN938" s="271"/>
    </row>
    <row r="939" spans="1:40" ht="12.75" customHeight="1">
      <c r="A939" s="278"/>
      <c r="B939" s="278"/>
      <c r="C939" s="278"/>
      <c r="D939" s="278"/>
      <c r="E939" s="278"/>
      <c r="F939" s="278"/>
      <c r="G939" s="278"/>
      <c r="H939" s="278"/>
      <c r="I939" s="278"/>
      <c r="J939" s="278"/>
      <c r="K939" s="278"/>
      <c r="L939" s="278"/>
      <c r="M939" s="278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  <c r="AA939" s="271"/>
      <c r="AB939" s="271"/>
      <c r="AC939" s="271"/>
      <c r="AD939" s="271"/>
      <c r="AE939" s="271"/>
      <c r="AF939" s="271"/>
      <c r="AG939" s="271"/>
      <c r="AH939" s="271"/>
      <c r="AI939" s="271"/>
      <c r="AJ939" s="271"/>
      <c r="AK939" s="271"/>
      <c r="AL939" s="271"/>
      <c r="AM939" s="271"/>
      <c r="AN939" s="271"/>
    </row>
    <row r="940" spans="1:40" ht="12.75" customHeight="1">
      <c r="A940" s="278"/>
      <c r="B940" s="278"/>
      <c r="C940" s="278"/>
      <c r="D940" s="278"/>
      <c r="E940" s="278"/>
      <c r="F940" s="278"/>
      <c r="G940" s="278"/>
      <c r="H940" s="278"/>
      <c r="I940" s="278"/>
      <c r="J940" s="278"/>
      <c r="K940" s="278"/>
      <c r="L940" s="278"/>
      <c r="M940" s="278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  <c r="AA940" s="271"/>
      <c r="AB940" s="271"/>
      <c r="AC940" s="271"/>
      <c r="AD940" s="271"/>
      <c r="AE940" s="271"/>
      <c r="AF940" s="271"/>
      <c r="AG940" s="271"/>
      <c r="AH940" s="271"/>
      <c r="AI940" s="271"/>
      <c r="AJ940" s="271"/>
      <c r="AK940" s="271"/>
      <c r="AL940" s="271"/>
      <c r="AM940" s="271"/>
      <c r="AN940" s="271"/>
    </row>
    <row r="941" spans="1:40" ht="12.75" customHeight="1">
      <c r="A941" s="278"/>
      <c r="B941" s="278"/>
      <c r="C941" s="278"/>
      <c r="D941" s="278"/>
      <c r="E941" s="278"/>
      <c r="F941" s="278"/>
      <c r="G941" s="278"/>
      <c r="H941" s="278"/>
      <c r="I941" s="278"/>
      <c r="J941" s="278"/>
      <c r="K941" s="278"/>
      <c r="L941" s="278"/>
      <c r="M941" s="278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  <c r="AA941" s="271"/>
      <c r="AB941" s="271"/>
      <c r="AC941" s="271"/>
      <c r="AD941" s="271"/>
      <c r="AE941" s="271"/>
      <c r="AF941" s="271"/>
      <c r="AG941" s="271"/>
      <c r="AH941" s="271"/>
      <c r="AI941" s="271"/>
      <c r="AJ941" s="271"/>
      <c r="AK941" s="271"/>
      <c r="AL941" s="271"/>
      <c r="AM941" s="271"/>
      <c r="AN941" s="271"/>
    </row>
    <row r="942" spans="1:40" ht="12.75" customHeight="1">
      <c r="A942" s="278"/>
      <c r="B942" s="278"/>
      <c r="C942" s="278"/>
      <c r="D942" s="278"/>
      <c r="E942" s="278"/>
      <c r="F942" s="278"/>
      <c r="G942" s="278"/>
      <c r="H942" s="278"/>
      <c r="I942" s="278"/>
      <c r="J942" s="278"/>
      <c r="K942" s="278"/>
      <c r="L942" s="278"/>
      <c r="M942" s="278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  <c r="AA942" s="271"/>
      <c r="AB942" s="271"/>
      <c r="AC942" s="271"/>
      <c r="AD942" s="271"/>
      <c r="AE942" s="271"/>
      <c r="AF942" s="271"/>
      <c r="AG942" s="271"/>
      <c r="AH942" s="271"/>
      <c r="AI942" s="271"/>
      <c r="AJ942" s="271"/>
      <c r="AK942" s="271"/>
      <c r="AL942" s="271"/>
      <c r="AM942" s="271"/>
      <c r="AN942" s="271"/>
    </row>
    <row r="943" spans="1:40" ht="12.75" customHeight="1">
      <c r="A943" s="278"/>
      <c r="B943" s="278"/>
      <c r="C943" s="278"/>
      <c r="D943" s="278"/>
      <c r="E943" s="278"/>
      <c r="F943" s="278"/>
      <c r="G943" s="278"/>
      <c r="H943" s="278"/>
      <c r="I943" s="278"/>
      <c r="J943" s="278"/>
      <c r="K943" s="278"/>
      <c r="L943" s="278"/>
      <c r="M943" s="278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  <c r="AA943" s="271"/>
      <c r="AB943" s="271"/>
      <c r="AC943" s="271"/>
      <c r="AD943" s="271"/>
      <c r="AE943" s="271"/>
      <c r="AF943" s="271"/>
      <c r="AG943" s="271"/>
      <c r="AH943" s="271"/>
      <c r="AI943" s="271"/>
      <c r="AJ943" s="271"/>
      <c r="AK943" s="271"/>
      <c r="AL943" s="271"/>
      <c r="AM943" s="271"/>
      <c r="AN943" s="271"/>
    </row>
    <row r="944" spans="1:40" ht="12.75" customHeight="1">
      <c r="A944" s="278"/>
      <c r="B944" s="278"/>
      <c r="C944" s="278"/>
      <c r="D944" s="278"/>
      <c r="E944" s="278"/>
      <c r="F944" s="278"/>
      <c r="G944" s="278"/>
      <c r="H944" s="278"/>
      <c r="I944" s="278"/>
      <c r="J944" s="278"/>
      <c r="K944" s="278"/>
      <c r="L944" s="278"/>
      <c r="M944" s="278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  <c r="AA944" s="271"/>
      <c r="AB944" s="271"/>
      <c r="AC944" s="271"/>
      <c r="AD944" s="271"/>
      <c r="AE944" s="271"/>
      <c r="AF944" s="271"/>
      <c r="AG944" s="271"/>
      <c r="AH944" s="271"/>
      <c r="AI944" s="271"/>
      <c r="AJ944" s="271"/>
      <c r="AK944" s="271"/>
      <c r="AL944" s="271"/>
      <c r="AM944" s="271"/>
      <c r="AN944" s="271"/>
    </row>
    <row r="945" spans="1:40" ht="12.75" customHeight="1">
      <c r="A945" s="278"/>
      <c r="B945" s="278"/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  <c r="M945" s="278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  <c r="AA945" s="271"/>
      <c r="AB945" s="271"/>
      <c r="AC945" s="271"/>
      <c r="AD945" s="271"/>
      <c r="AE945" s="271"/>
      <c r="AF945" s="271"/>
      <c r="AG945" s="271"/>
      <c r="AH945" s="271"/>
      <c r="AI945" s="271"/>
      <c r="AJ945" s="271"/>
      <c r="AK945" s="271"/>
      <c r="AL945" s="271"/>
      <c r="AM945" s="271"/>
      <c r="AN945" s="271"/>
    </row>
    <row r="946" spans="1:40" ht="12.75" customHeight="1">
      <c r="A946" s="278"/>
      <c r="B946" s="278"/>
      <c r="C946" s="278"/>
      <c r="D946" s="278"/>
      <c r="E946" s="278"/>
      <c r="F946" s="278"/>
      <c r="G946" s="278"/>
      <c r="H946" s="278"/>
      <c r="I946" s="278"/>
      <c r="J946" s="278"/>
      <c r="K946" s="278"/>
      <c r="L946" s="278"/>
      <c r="M946" s="278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  <c r="AA946" s="271"/>
      <c r="AB946" s="271"/>
      <c r="AC946" s="271"/>
      <c r="AD946" s="271"/>
      <c r="AE946" s="271"/>
      <c r="AF946" s="271"/>
      <c r="AG946" s="271"/>
      <c r="AH946" s="271"/>
      <c r="AI946" s="271"/>
      <c r="AJ946" s="271"/>
      <c r="AK946" s="271"/>
      <c r="AL946" s="271"/>
      <c r="AM946" s="271"/>
      <c r="AN946" s="271"/>
    </row>
    <row r="947" spans="1:40" ht="12.75" customHeight="1">
      <c r="A947" s="278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278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  <c r="AA947" s="271"/>
      <c r="AB947" s="271"/>
      <c r="AC947" s="271"/>
      <c r="AD947" s="271"/>
      <c r="AE947" s="271"/>
      <c r="AF947" s="271"/>
      <c r="AG947" s="271"/>
      <c r="AH947" s="271"/>
      <c r="AI947" s="271"/>
      <c r="AJ947" s="271"/>
      <c r="AK947" s="271"/>
      <c r="AL947" s="271"/>
      <c r="AM947" s="271"/>
      <c r="AN947" s="271"/>
    </row>
    <row r="948" spans="1:40" ht="12.75" customHeight="1">
      <c r="A948" s="278"/>
      <c r="B948" s="278"/>
      <c r="C948" s="278"/>
      <c r="D948" s="278"/>
      <c r="E948" s="278"/>
      <c r="F948" s="278"/>
      <c r="G948" s="278"/>
      <c r="H948" s="278"/>
      <c r="I948" s="278"/>
      <c r="J948" s="278"/>
      <c r="K948" s="278"/>
      <c r="L948" s="278"/>
      <c r="M948" s="278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  <c r="AA948" s="271"/>
      <c r="AB948" s="271"/>
      <c r="AC948" s="271"/>
      <c r="AD948" s="271"/>
      <c r="AE948" s="271"/>
      <c r="AF948" s="271"/>
      <c r="AG948" s="271"/>
      <c r="AH948" s="271"/>
      <c r="AI948" s="271"/>
      <c r="AJ948" s="271"/>
      <c r="AK948" s="271"/>
      <c r="AL948" s="271"/>
      <c r="AM948" s="271"/>
      <c r="AN948" s="271"/>
    </row>
    <row r="949" spans="1:40" ht="12.75" customHeight="1">
      <c r="A949" s="278"/>
      <c r="B949" s="278"/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  <c r="M949" s="278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  <c r="AA949" s="271"/>
      <c r="AB949" s="271"/>
      <c r="AC949" s="271"/>
      <c r="AD949" s="271"/>
      <c r="AE949" s="271"/>
      <c r="AF949" s="271"/>
      <c r="AG949" s="271"/>
      <c r="AH949" s="271"/>
      <c r="AI949" s="271"/>
      <c r="AJ949" s="271"/>
      <c r="AK949" s="271"/>
      <c r="AL949" s="271"/>
      <c r="AM949" s="271"/>
      <c r="AN949" s="271"/>
    </row>
    <row r="950" spans="1:40" ht="12.75" customHeight="1">
      <c r="A950" s="278"/>
      <c r="B950" s="278"/>
      <c r="C950" s="278"/>
      <c r="D950" s="278"/>
      <c r="E950" s="278"/>
      <c r="F950" s="278"/>
      <c r="G950" s="278"/>
      <c r="H950" s="278"/>
      <c r="I950" s="278"/>
      <c r="J950" s="278"/>
      <c r="K950" s="278"/>
      <c r="L950" s="278"/>
      <c r="M950" s="278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  <c r="AA950" s="271"/>
      <c r="AB950" s="271"/>
      <c r="AC950" s="271"/>
      <c r="AD950" s="271"/>
      <c r="AE950" s="271"/>
      <c r="AF950" s="271"/>
      <c r="AG950" s="271"/>
      <c r="AH950" s="271"/>
      <c r="AI950" s="271"/>
      <c r="AJ950" s="271"/>
      <c r="AK950" s="271"/>
      <c r="AL950" s="271"/>
      <c r="AM950" s="271"/>
      <c r="AN950" s="271"/>
    </row>
    <row r="951" spans="1:40" ht="12.75" customHeight="1">
      <c r="A951" s="278"/>
      <c r="B951" s="278"/>
      <c r="C951" s="278"/>
      <c r="D951" s="278"/>
      <c r="E951" s="278"/>
      <c r="F951" s="278"/>
      <c r="G951" s="278"/>
      <c r="H951" s="278"/>
      <c r="I951" s="278"/>
      <c r="J951" s="278"/>
      <c r="K951" s="278"/>
      <c r="L951" s="278"/>
      <c r="M951" s="278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  <c r="AA951" s="271"/>
      <c r="AB951" s="271"/>
      <c r="AC951" s="271"/>
      <c r="AD951" s="271"/>
      <c r="AE951" s="271"/>
      <c r="AF951" s="271"/>
      <c r="AG951" s="271"/>
      <c r="AH951" s="271"/>
      <c r="AI951" s="271"/>
      <c r="AJ951" s="271"/>
      <c r="AK951" s="271"/>
      <c r="AL951" s="271"/>
      <c r="AM951" s="271"/>
      <c r="AN951" s="271"/>
    </row>
    <row r="952" spans="1:40" ht="12.75" customHeight="1">
      <c r="A952" s="278"/>
      <c r="B952" s="278"/>
      <c r="C952" s="278"/>
      <c r="D952" s="278"/>
      <c r="E952" s="278"/>
      <c r="F952" s="278"/>
      <c r="G952" s="278"/>
      <c r="H952" s="278"/>
      <c r="I952" s="278"/>
      <c r="J952" s="278"/>
      <c r="K952" s="278"/>
      <c r="L952" s="278"/>
      <c r="M952" s="278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  <c r="AA952" s="271"/>
      <c r="AB952" s="271"/>
      <c r="AC952" s="271"/>
      <c r="AD952" s="271"/>
      <c r="AE952" s="271"/>
      <c r="AF952" s="271"/>
      <c r="AG952" s="271"/>
      <c r="AH952" s="271"/>
      <c r="AI952" s="271"/>
      <c r="AJ952" s="271"/>
      <c r="AK952" s="271"/>
      <c r="AL952" s="271"/>
      <c r="AM952" s="271"/>
      <c r="AN952" s="271"/>
    </row>
    <row r="953" spans="1:40" ht="12.75" customHeight="1">
      <c r="A953" s="278"/>
      <c r="B953" s="278"/>
      <c r="C953" s="278"/>
      <c r="D953" s="278"/>
      <c r="E953" s="278"/>
      <c r="F953" s="278"/>
      <c r="G953" s="278"/>
      <c r="H953" s="278"/>
      <c r="I953" s="278"/>
      <c r="J953" s="278"/>
      <c r="K953" s="278"/>
      <c r="L953" s="278"/>
      <c r="M953" s="278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  <c r="AA953" s="271"/>
      <c r="AB953" s="271"/>
      <c r="AC953" s="271"/>
      <c r="AD953" s="271"/>
      <c r="AE953" s="271"/>
      <c r="AF953" s="271"/>
      <c r="AG953" s="271"/>
      <c r="AH953" s="271"/>
      <c r="AI953" s="271"/>
      <c r="AJ953" s="271"/>
      <c r="AK953" s="271"/>
      <c r="AL953" s="271"/>
      <c r="AM953" s="271"/>
      <c r="AN953" s="271"/>
    </row>
    <row r="954" spans="1:40" ht="12.75" customHeight="1">
      <c r="A954" s="278"/>
      <c r="B954" s="278"/>
      <c r="C954" s="278"/>
      <c r="D954" s="278"/>
      <c r="E954" s="278"/>
      <c r="F954" s="278"/>
      <c r="G954" s="278"/>
      <c r="H954" s="278"/>
      <c r="I954" s="278"/>
      <c r="J954" s="278"/>
      <c r="K954" s="278"/>
      <c r="L954" s="278"/>
      <c r="M954" s="278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  <c r="AA954" s="271"/>
      <c r="AB954" s="271"/>
      <c r="AC954" s="271"/>
      <c r="AD954" s="271"/>
      <c r="AE954" s="271"/>
      <c r="AF954" s="271"/>
      <c r="AG954" s="271"/>
      <c r="AH954" s="271"/>
      <c r="AI954" s="271"/>
      <c r="AJ954" s="271"/>
      <c r="AK954" s="271"/>
      <c r="AL954" s="271"/>
      <c r="AM954" s="271"/>
      <c r="AN954" s="271"/>
    </row>
    <row r="955" spans="1:40" ht="12.75" customHeight="1">
      <c r="A955" s="278"/>
      <c r="B955" s="278"/>
      <c r="C955" s="278"/>
      <c r="D955" s="278"/>
      <c r="E955" s="278"/>
      <c r="F955" s="278"/>
      <c r="G955" s="278"/>
      <c r="H955" s="278"/>
      <c r="I955" s="278"/>
      <c r="J955" s="278"/>
      <c r="K955" s="278"/>
      <c r="L955" s="278"/>
      <c r="M955" s="278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  <c r="AA955" s="271"/>
      <c r="AB955" s="271"/>
      <c r="AC955" s="271"/>
      <c r="AD955" s="271"/>
      <c r="AE955" s="271"/>
      <c r="AF955" s="271"/>
      <c r="AG955" s="271"/>
      <c r="AH955" s="271"/>
      <c r="AI955" s="271"/>
      <c r="AJ955" s="271"/>
      <c r="AK955" s="271"/>
      <c r="AL955" s="271"/>
      <c r="AM955" s="271"/>
      <c r="AN955" s="271"/>
    </row>
    <row r="956" spans="1:40" ht="12.75" customHeight="1">
      <c r="A956" s="278"/>
      <c r="B956" s="278"/>
      <c r="C956" s="278"/>
      <c r="D956" s="278"/>
      <c r="E956" s="278"/>
      <c r="F956" s="278"/>
      <c r="G956" s="278"/>
      <c r="H956" s="278"/>
      <c r="I956" s="278"/>
      <c r="J956" s="278"/>
      <c r="K956" s="278"/>
      <c r="L956" s="278"/>
      <c r="M956" s="278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  <c r="AA956" s="271"/>
      <c r="AB956" s="271"/>
      <c r="AC956" s="271"/>
      <c r="AD956" s="271"/>
      <c r="AE956" s="271"/>
      <c r="AF956" s="271"/>
      <c r="AG956" s="271"/>
      <c r="AH956" s="271"/>
      <c r="AI956" s="271"/>
      <c r="AJ956" s="271"/>
      <c r="AK956" s="271"/>
      <c r="AL956" s="271"/>
      <c r="AM956" s="271"/>
      <c r="AN956" s="271"/>
    </row>
    <row r="957" spans="1:40" ht="12.75" customHeight="1">
      <c r="A957" s="278"/>
      <c r="B957" s="278"/>
      <c r="C957" s="278"/>
      <c r="D957" s="278"/>
      <c r="E957" s="278"/>
      <c r="F957" s="278"/>
      <c r="G957" s="278"/>
      <c r="H957" s="278"/>
      <c r="I957" s="278"/>
      <c r="J957" s="278"/>
      <c r="K957" s="278"/>
      <c r="L957" s="278"/>
      <c r="M957" s="278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  <c r="AA957" s="271"/>
      <c r="AB957" s="271"/>
      <c r="AC957" s="271"/>
      <c r="AD957" s="271"/>
      <c r="AE957" s="271"/>
      <c r="AF957" s="271"/>
      <c r="AG957" s="271"/>
      <c r="AH957" s="271"/>
      <c r="AI957" s="271"/>
      <c r="AJ957" s="271"/>
      <c r="AK957" s="271"/>
      <c r="AL957" s="271"/>
      <c r="AM957" s="271"/>
      <c r="AN957" s="271"/>
    </row>
    <row r="958" spans="1:40" ht="12.75" customHeight="1">
      <c r="A958" s="278"/>
      <c r="B958" s="278"/>
      <c r="C958" s="278"/>
      <c r="D958" s="278"/>
      <c r="E958" s="278"/>
      <c r="F958" s="278"/>
      <c r="G958" s="278"/>
      <c r="H958" s="278"/>
      <c r="I958" s="278"/>
      <c r="J958" s="278"/>
      <c r="K958" s="278"/>
      <c r="L958" s="278"/>
      <c r="M958" s="278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  <c r="AA958" s="271"/>
      <c r="AB958" s="271"/>
      <c r="AC958" s="271"/>
      <c r="AD958" s="271"/>
      <c r="AE958" s="271"/>
      <c r="AF958" s="271"/>
      <c r="AG958" s="271"/>
      <c r="AH958" s="271"/>
      <c r="AI958" s="271"/>
      <c r="AJ958" s="271"/>
      <c r="AK958" s="271"/>
      <c r="AL958" s="271"/>
      <c r="AM958" s="271"/>
      <c r="AN958" s="271"/>
    </row>
    <row r="959" spans="1:40" ht="12.75" customHeight="1">
      <c r="A959" s="278"/>
      <c r="B959" s="278"/>
      <c r="C959" s="278"/>
      <c r="D959" s="278"/>
      <c r="E959" s="278"/>
      <c r="F959" s="278"/>
      <c r="G959" s="278"/>
      <c r="H959" s="278"/>
      <c r="I959" s="278"/>
      <c r="J959" s="278"/>
      <c r="K959" s="278"/>
      <c r="L959" s="278"/>
      <c r="M959" s="278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  <c r="AA959" s="271"/>
      <c r="AB959" s="271"/>
      <c r="AC959" s="271"/>
      <c r="AD959" s="271"/>
      <c r="AE959" s="271"/>
      <c r="AF959" s="271"/>
      <c r="AG959" s="271"/>
      <c r="AH959" s="271"/>
      <c r="AI959" s="271"/>
      <c r="AJ959" s="271"/>
      <c r="AK959" s="271"/>
      <c r="AL959" s="271"/>
      <c r="AM959" s="271"/>
      <c r="AN959" s="271"/>
    </row>
    <row r="960" spans="1:40" ht="12.75" customHeight="1">
      <c r="A960" s="278"/>
      <c r="B960" s="278"/>
      <c r="C960" s="278"/>
      <c r="D960" s="278"/>
      <c r="E960" s="278"/>
      <c r="F960" s="278"/>
      <c r="G960" s="278"/>
      <c r="H960" s="278"/>
      <c r="I960" s="278"/>
      <c r="J960" s="278"/>
      <c r="K960" s="278"/>
      <c r="L960" s="278"/>
      <c r="M960" s="278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  <c r="AB960" s="271"/>
      <c r="AC960" s="271"/>
      <c r="AD960" s="271"/>
      <c r="AE960" s="271"/>
      <c r="AF960" s="271"/>
      <c r="AG960" s="271"/>
      <c r="AH960" s="271"/>
      <c r="AI960" s="271"/>
      <c r="AJ960" s="271"/>
      <c r="AK960" s="271"/>
      <c r="AL960" s="271"/>
      <c r="AM960" s="271"/>
      <c r="AN960" s="271"/>
    </row>
    <row r="961" spans="1:40" ht="12.75" customHeight="1">
      <c r="A961" s="278"/>
      <c r="B961" s="278"/>
      <c r="C961" s="278"/>
      <c r="D961" s="278"/>
      <c r="E961" s="278"/>
      <c r="F961" s="278"/>
      <c r="G961" s="278"/>
      <c r="H961" s="278"/>
      <c r="I961" s="278"/>
      <c r="J961" s="278"/>
      <c r="K961" s="278"/>
      <c r="L961" s="278"/>
      <c r="M961" s="278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  <c r="AA961" s="271"/>
      <c r="AB961" s="271"/>
      <c r="AC961" s="271"/>
      <c r="AD961" s="271"/>
      <c r="AE961" s="271"/>
      <c r="AF961" s="271"/>
      <c r="AG961" s="271"/>
      <c r="AH961" s="271"/>
      <c r="AI961" s="271"/>
      <c r="AJ961" s="271"/>
      <c r="AK961" s="271"/>
      <c r="AL961" s="271"/>
      <c r="AM961" s="271"/>
      <c r="AN961" s="271"/>
    </row>
    <row r="962" spans="1:40" ht="12.75" customHeight="1">
      <c r="A962" s="278"/>
      <c r="B962" s="278"/>
      <c r="C962" s="278"/>
      <c r="D962" s="278"/>
      <c r="E962" s="278"/>
      <c r="F962" s="278"/>
      <c r="G962" s="278"/>
      <c r="H962" s="278"/>
      <c r="I962" s="278"/>
      <c r="J962" s="278"/>
      <c r="K962" s="278"/>
      <c r="L962" s="278"/>
      <c r="M962" s="278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  <c r="AA962" s="271"/>
      <c r="AB962" s="271"/>
      <c r="AC962" s="271"/>
      <c r="AD962" s="271"/>
      <c r="AE962" s="271"/>
      <c r="AF962" s="271"/>
      <c r="AG962" s="271"/>
      <c r="AH962" s="271"/>
      <c r="AI962" s="271"/>
      <c r="AJ962" s="271"/>
      <c r="AK962" s="271"/>
      <c r="AL962" s="271"/>
      <c r="AM962" s="271"/>
      <c r="AN962" s="271"/>
    </row>
    <row r="963" spans="1:40" ht="12.75" customHeight="1">
      <c r="A963" s="278"/>
      <c r="B963" s="278"/>
      <c r="C963" s="278"/>
      <c r="D963" s="278"/>
      <c r="E963" s="278"/>
      <c r="F963" s="278"/>
      <c r="G963" s="278"/>
      <c r="H963" s="278"/>
      <c r="I963" s="278"/>
      <c r="J963" s="278"/>
      <c r="K963" s="278"/>
      <c r="L963" s="278"/>
      <c r="M963" s="278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  <c r="AA963" s="271"/>
      <c r="AB963" s="271"/>
      <c r="AC963" s="271"/>
      <c r="AD963" s="271"/>
      <c r="AE963" s="271"/>
      <c r="AF963" s="271"/>
      <c r="AG963" s="271"/>
      <c r="AH963" s="271"/>
      <c r="AI963" s="271"/>
      <c r="AJ963" s="271"/>
      <c r="AK963" s="271"/>
      <c r="AL963" s="271"/>
      <c r="AM963" s="271"/>
      <c r="AN963" s="271"/>
    </row>
    <row r="964" spans="1:40" ht="12.75" customHeight="1">
      <c r="A964" s="278"/>
      <c r="B964" s="278"/>
      <c r="C964" s="278"/>
      <c r="D964" s="278"/>
      <c r="E964" s="278"/>
      <c r="F964" s="278"/>
      <c r="G964" s="278"/>
      <c r="H964" s="278"/>
      <c r="I964" s="278"/>
      <c r="J964" s="278"/>
      <c r="K964" s="278"/>
      <c r="L964" s="278"/>
      <c r="M964" s="278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  <c r="AA964" s="271"/>
      <c r="AB964" s="271"/>
      <c r="AC964" s="271"/>
      <c r="AD964" s="271"/>
      <c r="AE964" s="271"/>
      <c r="AF964" s="271"/>
      <c r="AG964" s="271"/>
      <c r="AH964" s="271"/>
      <c r="AI964" s="271"/>
      <c r="AJ964" s="271"/>
      <c r="AK964" s="271"/>
      <c r="AL964" s="271"/>
      <c r="AM964" s="271"/>
      <c r="AN964" s="271"/>
    </row>
    <row r="965" spans="1:40" ht="12.75" customHeight="1">
      <c r="A965" s="278"/>
      <c r="B965" s="278"/>
      <c r="C965" s="278"/>
      <c r="D965" s="278"/>
      <c r="E965" s="278"/>
      <c r="F965" s="278"/>
      <c r="G965" s="278"/>
      <c r="H965" s="278"/>
      <c r="I965" s="278"/>
      <c r="J965" s="278"/>
      <c r="K965" s="278"/>
      <c r="L965" s="278"/>
      <c r="M965" s="278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  <c r="AA965" s="271"/>
      <c r="AB965" s="271"/>
      <c r="AC965" s="271"/>
      <c r="AD965" s="271"/>
      <c r="AE965" s="271"/>
      <c r="AF965" s="271"/>
      <c r="AG965" s="271"/>
      <c r="AH965" s="271"/>
      <c r="AI965" s="271"/>
      <c r="AJ965" s="271"/>
      <c r="AK965" s="271"/>
      <c r="AL965" s="271"/>
      <c r="AM965" s="271"/>
      <c r="AN965" s="271"/>
    </row>
    <row r="966" spans="1:40" ht="12.75" customHeight="1">
      <c r="A966" s="278"/>
      <c r="B966" s="278"/>
      <c r="C966" s="278"/>
      <c r="D966" s="278"/>
      <c r="E966" s="278"/>
      <c r="F966" s="278"/>
      <c r="G966" s="278"/>
      <c r="H966" s="278"/>
      <c r="I966" s="278"/>
      <c r="J966" s="278"/>
      <c r="K966" s="278"/>
      <c r="L966" s="278"/>
      <c r="M966" s="278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  <c r="AA966" s="271"/>
      <c r="AB966" s="271"/>
      <c r="AC966" s="271"/>
      <c r="AD966" s="271"/>
      <c r="AE966" s="271"/>
      <c r="AF966" s="271"/>
      <c r="AG966" s="271"/>
      <c r="AH966" s="271"/>
      <c r="AI966" s="271"/>
      <c r="AJ966" s="271"/>
      <c r="AK966" s="271"/>
      <c r="AL966" s="271"/>
      <c r="AM966" s="271"/>
      <c r="AN966" s="271"/>
    </row>
    <row r="967" spans="1:40" ht="12.75" customHeight="1">
      <c r="A967" s="278"/>
      <c r="B967" s="278"/>
      <c r="C967" s="278"/>
      <c r="D967" s="278"/>
      <c r="E967" s="278"/>
      <c r="F967" s="278"/>
      <c r="G967" s="278"/>
      <c r="H967" s="278"/>
      <c r="I967" s="278"/>
      <c r="J967" s="278"/>
      <c r="K967" s="278"/>
      <c r="L967" s="278"/>
      <c r="M967" s="278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  <c r="AA967" s="271"/>
      <c r="AB967" s="271"/>
      <c r="AC967" s="271"/>
      <c r="AD967" s="271"/>
      <c r="AE967" s="271"/>
      <c r="AF967" s="271"/>
      <c r="AG967" s="271"/>
      <c r="AH967" s="271"/>
      <c r="AI967" s="271"/>
      <c r="AJ967" s="271"/>
      <c r="AK967" s="271"/>
      <c r="AL967" s="271"/>
      <c r="AM967" s="271"/>
      <c r="AN967" s="271"/>
    </row>
    <row r="968" spans="1:40" ht="12.75" customHeight="1">
      <c r="A968" s="278"/>
      <c r="B968" s="278"/>
      <c r="C968" s="278"/>
      <c r="D968" s="278"/>
      <c r="E968" s="278"/>
      <c r="F968" s="278"/>
      <c r="G968" s="278"/>
      <c r="H968" s="278"/>
      <c r="I968" s="278"/>
      <c r="J968" s="278"/>
      <c r="K968" s="278"/>
      <c r="L968" s="278"/>
      <c r="M968" s="278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  <c r="AA968" s="271"/>
      <c r="AB968" s="271"/>
      <c r="AC968" s="271"/>
      <c r="AD968" s="271"/>
      <c r="AE968" s="271"/>
      <c r="AF968" s="271"/>
      <c r="AG968" s="271"/>
      <c r="AH968" s="271"/>
      <c r="AI968" s="271"/>
      <c r="AJ968" s="271"/>
      <c r="AK968" s="271"/>
      <c r="AL968" s="271"/>
      <c r="AM968" s="271"/>
      <c r="AN968" s="271"/>
    </row>
    <row r="969" spans="1:40" ht="12.75" customHeight="1">
      <c r="A969" s="278"/>
      <c r="B969" s="278"/>
      <c r="C969" s="278"/>
      <c r="D969" s="278"/>
      <c r="E969" s="278"/>
      <c r="F969" s="278"/>
      <c r="G969" s="278"/>
      <c r="H969" s="278"/>
      <c r="I969" s="278"/>
      <c r="J969" s="278"/>
      <c r="K969" s="278"/>
      <c r="L969" s="278"/>
      <c r="M969" s="278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  <c r="AA969" s="271"/>
      <c r="AB969" s="271"/>
      <c r="AC969" s="271"/>
      <c r="AD969" s="271"/>
      <c r="AE969" s="271"/>
      <c r="AF969" s="271"/>
      <c r="AG969" s="271"/>
      <c r="AH969" s="271"/>
      <c r="AI969" s="271"/>
      <c r="AJ969" s="271"/>
      <c r="AK969" s="271"/>
      <c r="AL969" s="271"/>
      <c r="AM969" s="271"/>
      <c r="AN969" s="271"/>
    </row>
    <row r="970" spans="1:40" ht="12.75" customHeight="1">
      <c r="A970" s="278"/>
      <c r="B970" s="278"/>
      <c r="C970" s="278"/>
      <c r="D970" s="278"/>
      <c r="E970" s="278"/>
      <c r="F970" s="278"/>
      <c r="G970" s="278"/>
      <c r="H970" s="278"/>
      <c r="I970" s="278"/>
      <c r="J970" s="278"/>
      <c r="K970" s="278"/>
      <c r="L970" s="278"/>
      <c r="M970" s="278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  <c r="AA970" s="271"/>
      <c r="AB970" s="271"/>
      <c r="AC970" s="271"/>
      <c r="AD970" s="271"/>
      <c r="AE970" s="271"/>
      <c r="AF970" s="271"/>
      <c r="AG970" s="271"/>
      <c r="AH970" s="271"/>
      <c r="AI970" s="271"/>
      <c r="AJ970" s="271"/>
      <c r="AK970" s="271"/>
      <c r="AL970" s="271"/>
      <c r="AM970" s="271"/>
      <c r="AN970" s="271"/>
    </row>
    <row r="971" spans="1:40" ht="12.75" customHeight="1">
      <c r="A971" s="278"/>
      <c r="B971" s="278"/>
      <c r="C971" s="278"/>
      <c r="D971" s="278"/>
      <c r="E971" s="278"/>
      <c r="F971" s="278"/>
      <c r="G971" s="278"/>
      <c r="H971" s="278"/>
      <c r="I971" s="278"/>
      <c r="J971" s="278"/>
      <c r="K971" s="278"/>
      <c r="L971" s="278"/>
      <c r="M971" s="278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  <c r="AB971" s="271"/>
      <c r="AC971" s="271"/>
      <c r="AD971" s="271"/>
      <c r="AE971" s="271"/>
      <c r="AF971" s="271"/>
      <c r="AG971" s="271"/>
      <c r="AH971" s="271"/>
      <c r="AI971" s="271"/>
      <c r="AJ971" s="271"/>
      <c r="AK971" s="271"/>
      <c r="AL971" s="271"/>
      <c r="AM971" s="271"/>
      <c r="AN971" s="271"/>
    </row>
    <row r="972" spans="1:40" ht="12.75" customHeight="1">
      <c r="A972" s="278"/>
      <c r="B972" s="278"/>
      <c r="C972" s="278"/>
      <c r="D972" s="278"/>
      <c r="E972" s="278"/>
      <c r="F972" s="278"/>
      <c r="G972" s="278"/>
      <c r="H972" s="278"/>
      <c r="I972" s="278"/>
      <c r="J972" s="278"/>
      <c r="K972" s="278"/>
      <c r="L972" s="278"/>
      <c r="M972" s="278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  <c r="AB972" s="271"/>
      <c r="AC972" s="271"/>
      <c r="AD972" s="271"/>
      <c r="AE972" s="271"/>
      <c r="AF972" s="271"/>
      <c r="AG972" s="271"/>
      <c r="AH972" s="271"/>
      <c r="AI972" s="271"/>
      <c r="AJ972" s="271"/>
      <c r="AK972" s="271"/>
      <c r="AL972" s="271"/>
      <c r="AM972" s="271"/>
      <c r="AN972" s="271"/>
    </row>
    <row r="973" spans="1:40" ht="12.75" customHeight="1">
      <c r="A973" s="278"/>
      <c r="B973" s="278"/>
      <c r="C973" s="278"/>
      <c r="D973" s="278"/>
      <c r="E973" s="278"/>
      <c r="F973" s="278"/>
      <c r="G973" s="278"/>
      <c r="H973" s="278"/>
      <c r="I973" s="278"/>
      <c r="J973" s="278"/>
      <c r="K973" s="278"/>
      <c r="L973" s="278"/>
      <c r="M973" s="278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  <c r="AA973" s="271"/>
      <c r="AB973" s="271"/>
      <c r="AC973" s="271"/>
      <c r="AD973" s="271"/>
      <c r="AE973" s="271"/>
      <c r="AF973" s="271"/>
      <c r="AG973" s="271"/>
      <c r="AH973" s="271"/>
      <c r="AI973" s="271"/>
      <c r="AJ973" s="271"/>
      <c r="AK973" s="271"/>
      <c r="AL973" s="271"/>
      <c r="AM973" s="271"/>
      <c r="AN973" s="271"/>
    </row>
    <row r="974" spans="1:40" ht="12.75" customHeight="1">
      <c r="A974" s="278"/>
      <c r="B974" s="278"/>
      <c r="C974" s="278"/>
      <c r="D974" s="278"/>
      <c r="E974" s="278"/>
      <c r="F974" s="278"/>
      <c r="G974" s="278"/>
      <c r="H974" s="278"/>
      <c r="I974" s="278"/>
      <c r="J974" s="278"/>
      <c r="K974" s="278"/>
      <c r="L974" s="278"/>
      <c r="M974" s="278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  <c r="AB974" s="271"/>
      <c r="AC974" s="271"/>
      <c r="AD974" s="271"/>
      <c r="AE974" s="271"/>
      <c r="AF974" s="271"/>
      <c r="AG974" s="271"/>
      <c r="AH974" s="271"/>
      <c r="AI974" s="271"/>
      <c r="AJ974" s="271"/>
      <c r="AK974" s="271"/>
      <c r="AL974" s="271"/>
      <c r="AM974" s="271"/>
      <c r="AN974" s="271"/>
    </row>
    <row r="975" spans="1:40" ht="12.75" customHeight="1">
      <c r="A975" s="278"/>
      <c r="B975" s="278"/>
      <c r="C975" s="278"/>
      <c r="D975" s="278"/>
      <c r="E975" s="278"/>
      <c r="F975" s="278"/>
      <c r="G975" s="278"/>
      <c r="H975" s="278"/>
      <c r="I975" s="278"/>
      <c r="J975" s="278"/>
      <c r="K975" s="278"/>
      <c r="L975" s="278"/>
      <c r="M975" s="278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  <c r="AB975" s="271"/>
      <c r="AC975" s="271"/>
      <c r="AD975" s="271"/>
      <c r="AE975" s="271"/>
      <c r="AF975" s="271"/>
      <c r="AG975" s="271"/>
      <c r="AH975" s="271"/>
      <c r="AI975" s="271"/>
      <c r="AJ975" s="271"/>
      <c r="AK975" s="271"/>
      <c r="AL975" s="271"/>
      <c r="AM975" s="271"/>
      <c r="AN975" s="271"/>
    </row>
    <row r="976" spans="1:40" ht="12.75" customHeight="1">
      <c r="A976" s="278"/>
      <c r="B976" s="278"/>
      <c r="C976" s="278"/>
      <c r="D976" s="278"/>
      <c r="E976" s="278"/>
      <c r="F976" s="278"/>
      <c r="G976" s="278"/>
      <c r="H976" s="278"/>
      <c r="I976" s="278"/>
      <c r="J976" s="278"/>
      <c r="K976" s="278"/>
      <c r="L976" s="278"/>
      <c r="M976" s="278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  <c r="AB976" s="271"/>
      <c r="AC976" s="271"/>
      <c r="AD976" s="271"/>
      <c r="AE976" s="271"/>
      <c r="AF976" s="271"/>
      <c r="AG976" s="271"/>
      <c r="AH976" s="271"/>
      <c r="AI976" s="271"/>
      <c r="AJ976" s="271"/>
      <c r="AK976" s="271"/>
      <c r="AL976" s="271"/>
      <c r="AM976" s="271"/>
      <c r="AN976" s="271"/>
    </row>
    <row r="977" spans="1:40" ht="12.75" customHeight="1">
      <c r="A977" s="278"/>
      <c r="B977" s="278"/>
      <c r="C977" s="278"/>
      <c r="D977" s="278"/>
      <c r="E977" s="278"/>
      <c r="F977" s="278"/>
      <c r="G977" s="278"/>
      <c r="H977" s="278"/>
      <c r="I977" s="278"/>
      <c r="J977" s="278"/>
      <c r="K977" s="278"/>
      <c r="L977" s="278"/>
      <c r="M977" s="278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  <c r="AA977" s="271"/>
      <c r="AB977" s="271"/>
      <c r="AC977" s="271"/>
      <c r="AD977" s="271"/>
      <c r="AE977" s="271"/>
      <c r="AF977" s="271"/>
      <c r="AG977" s="271"/>
      <c r="AH977" s="271"/>
      <c r="AI977" s="271"/>
      <c r="AJ977" s="271"/>
      <c r="AK977" s="271"/>
      <c r="AL977" s="271"/>
      <c r="AM977" s="271"/>
      <c r="AN977" s="271"/>
    </row>
    <row r="978" spans="1:40" ht="12.75" customHeight="1">
      <c r="A978" s="278"/>
      <c r="B978" s="278"/>
      <c r="C978" s="278"/>
      <c r="D978" s="278"/>
      <c r="E978" s="278"/>
      <c r="F978" s="278"/>
      <c r="G978" s="278"/>
      <c r="H978" s="278"/>
      <c r="I978" s="278"/>
      <c r="J978" s="278"/>
      <c r="K978" s="278"/>
      <c r="L978" s="278"/>
      <c r="M978" s="278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  <c r="AB978" s="271"/>
      <c r="AC978" s="271"/>
      <c r="AD978" s="271"/>
      <c r="AE978" s="271"/>
      <c r="AF978" s="271"/>
      <c r="AG978" s="271"/>
      <c r="AH978" s="271"/>
      <c r="AI978" s="271"/>
      <c r="AJ978" s="271"/>
      <c r="AK978" s="271"/>
      <c r="AL978" s="271"/>
      <c r="AM978" s="271"/>
      <c r="AN978" s="271"/>
    </row>
    <row r="979" spans="1:40" ht="12.75" customHeight="1">
      <c r="A979" s="278"/>
      <c r="B979" s="278"/>
      <c r="C979" s="278"/>
      <c r="D979" s="278"/>
      <c r="E979" s="278"/>
      <c r="F979" s="278"/>
      <c r="G979" s="278"/>
      <c r="H979" s="278"/>
      <c r="I979" s="278"/>
      <c r="J979" s="278"/>
      <c r="K979" s="278"/>
      <c r="L979" s="278"/>
      <c r="M979" s="278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  <c r="AB979" s="271"/>
      <c r="AC979" s="271"/>
      <c r="AD979" s="271"/>
      <c r="AE979" s="271"/>
      <c r="AF979" s="271"/>
      <c r="AG979" s="271"/>
      <c r="AH979" s="271"/>
      <c r="AI979" s="271"/>
      <c r="AJ979" s="271"/>
      <c r="AK979" s="271"/>
      <c r="AL979" s="271"/>
      <c r="AM979" s="271"/>
      <c r="AN979" s="271"/>
    </row>
    <row r="980" spans="1:40" ht="12.75" customHeight="1">
      <c r="A980" s="278"/>
      <c r="B980" s="278"/>
      <c r="C980" s="278"/>
      <c r="D980" s="278"/>
      <c r="E980" s="278"/>
      <c r="F980" s="278"/>
      <c r="G980" s="278"/>
      <c r="H980" s="278"/>
      <c r="I980" s="278"/>
      <c r="J980" s="278"/>
      <c r="K980" s="278"/>
      <c r="L980" s="278"/>
      <c r="M980" s="278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  <c r="AA980" s="271"/>
      <c r="AB980" s="271"/>
      <c r="AC980" s="271"/>
      <c r="AD980" s="271"/>
      <c r="AE980" s="271"/>
      <c r="AF980" s="271"/>
      <c r="AG980" s="271"/>
      <c r="AH980" s="271"/>
      <c r="AI980" s="271"/>
      <c r="AJ980" s="271"/>
      <c r="AK980" s="271"/>
      <c r="AL980" s="271"/>
      <c r="AM980" s="271"/>
      <c r="AN980" s="271"/>
    </row>
    <row r="981" spans="1:40" ht="12.75" customHeight="1">
      <c r="A981" s="278"/>
      <c r="B981" s="278"/>
      <c r="C981" s="278"/>
      <c r="D981" s="278"/>
      <c r="E981" s="278"/>
      <c r="F981" s="278"/>
      <c r="G981" s="278"/>
      <c r="H981" s="278"/>
      <c r="I981" s="278"/>
      <c r="J981" s="278"/>
      <c r="K981" s="278"/>
      <c r="L981" s="278"/>
      <c r="M981" s="278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  <c r="AB981" s="271"/>
      <c r="AC981" s="271"/>
      <c r="AD981" s="271"/>
      <c r="AE981" s="271"/>
      <c r="AF981" s="271"/>
      <c r="AG981" s="271"/>
      <c r="AH981" s="271"/>
      <c r="AI981" s="271"/>
      <c r="AJ981" s="271"/>
      <c r="AK981" s="271"/>
      <c r="AL981" s="271"/>
      <c r="AM981" s="271"/>
      <c r="AN981" s="271"/>
    </row>
    <row r="982" spans="1:40" ht="12.75" customHeight="1">
      <c r="A982" s="278"/>
      <c r="B982" s="278"/>
      <c r="C982" s="278"/>
      <c r="D982" s="278"/>
      <c r="E982" s="278"/>
      <c r="F982" s="278"/>
      <c r="G982" s="278"/>
      <c r="H982" s="278"/>
      <c r="I982" s="278"/>
      <c r="J982" s="278"/>
      <c r="K982" s="278"/>
      <c r="L982" s="278"/>
      <c r="M982" s="278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  <c r="AB982" s="271"/>
      <c r="AC982" s="271"/>
      <c r="AD982" s="271"/>
      <c r="AE982" s="271"/>
      <c r="AF982" s="271"/>
      <c r="AG982" s="271"/>
      <c r="AH982" s="271"/>
      <c r="AI982" s="271"/>
      <c r="AJ982" s="271"/>
      <c r="AK982" s="271"/>
      <c r="AL982" s="271"/>
      <c r="AM982" s="271"/>
      <c r="AN982" s="271"/>
    </row>
    <row r="983" spans="1:40" ht="12.75" customHeight="1">
      <c r="A983" s="278"/>
      <c r="B983" s="278"/>
      <c r="C983" s="278"/>
      <c r="D983" s="278"/>
      <c r="E983" s="278"/>
      <c r="F983" s="278"/>
      <c r="G983" s="278"/>
      <c r="H983" s="278"/>
      <c r="I983" s="278"/>
      <c r="J983" s="278"/>
      <c r="K983" s="278"/>
      <c r="L983" s="278"/>
      <c r="M983" s="278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  <c r="AA983" s="271"/>
      <c r="AB983" s="271"/>
      <c r="AC983" s="271"/>
      <c r="AD983" s="271"/>
      <c r="AE983" s="271"/>
      <c r="AF983" s="271"/>
      <c r="AG983" s="271"/>
      <c r="AH983" s="271"/>
      <c r="AI983" s="271"/>
      <c r="AJ983" s="271"/>
      <c r="AK983" s="271"/>
      <c r="AL983" s="271"/>
      <c r="AM983" s="271"/>
      <c r="AN983" s="271"/>
    </row>
    <row r="984" spans="1:40" ht="12.75" customHeight="1">
      <c r="A984" s="278"/>
      <c r="B984" s="278"/>
      <c r="C984" s="278"/>
      <c r="D984" s="278"/>
      <c r="E984" s="278"/>
      <c r="F984" s="278"/>
      <c r="G984" s="278"/>
      <c r="H984" s="278"/>
      <c r="I984" s="278"/>
      <c r="J984" s="278"/>
      <c r="K984" s="278"/>
      <c r="L984" s="278"/>
      <c r="M984" s="278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  <c r="AA984" s="271"/>
      <c r="AB984" s="271"/>
      <c r="AC984" s="271"/>
      <c r="AD984" s="271"/>
      <c r="AE984" s="271"/>
      <c r="AF984" s="271"/>
      <c r="AG984" s="271"/>
      <c r="AH984" s="271"/>
      <c r="AI984" s="271"/>
      <c r="AJ984" s="271"/>
      <c r="AK984" s="271"/>
      <c r="AL984" s="271"/>
      <c r="AM984" s="271"/>
      <c r="AN984" s="271"/>
    </row>
    <row r="985" spans="1:40" ht="12.75" customHeight="1">
      <c r="A985" s="278"/>
      <c r="B985" s="278"/>
      <c r="C985" s="278"/>
      <c r="D985" s="278"/>
      <c r="E985" s="278"/>
      <c r="F985" s="278"/>
      <c r="G985" s="278"/>
      <c r="H985" s="278"/>
      <c r="I985" s="278"/>
      <c r="J985" s="278"/>
      <c r="K985" s="278"/>
      <c r="L985" s="278"/>
      <c r="M985" s="278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  <c r="AA985" s="271"/>
      <c r="AB985" s="271"/>
      <c r="AC985" s="271"/>
      <c r="AD985" s="271"/>
      <c r="AE985" s="271"/>
      <c r="AF985" s="271"/>
      <c r="AG985" s="271"/>
      <c r="AH985" s="271"/>
      <c r="AI985" s="271"/>
      <c r="AJ985" s="271"/>
      <c r="AK985" s="271"/>
      <c r="AL985" s="271"/>
      <c r="AM985" s="271"/>
      <c r="AN985" s="271"/>
    </row>
    <row r="986" spans="1:40" ht="12.75" customHeight="1">
      <c r="A986" s="278"/>
      <c r="B986" s="278"/>
      <c r="C986" s="278"/>
      <c r="D986" s="278"/>
      <c r="E986" s="278"/>
      <c r="F986" s="278"/>
      <c r="G986" s="278"/>
      <c r="H986" s="278"/>
      <c r="I986" s="278"/>
      <c r="J986" s="278"/>
      <c r="K986" s="278"/>
      <c r="L986" s="278"/>
      <c r="M986" s="278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  <c r="AA986" s="271"/>
      <c r="AB986" s="271"/>
      <c r="AC986" s="271"/>
      <c r="AD986" s="271"/>
      <c r="AE986" s="271"/>
      <c r="AF986" s="271"/>
      <c r="AG986" s="271"/>
      <c r="AH986" s="271"/>
      <c r="AI986" s="271"/>
      <c r="AJ986" s="271"/>
      <c r="AK986" s="271"/>
      <c r="AL986" s="271"/>
      <c r="AM986" s="271"/>
      <c r="AN986" s="271"/>
    </row>
    <row r="987" spans="1:40" ht="12.75" customHeight="1">
      <c r="A987" s="278"/>
      <c r="B987" s="278"/>
      <c r="C987" s="278"/>
      <c r="D987" s="278"/>
      <c r="E987" s="278"/>
      <c r="F987" s="278"/>
      <c r="G987" s="278"/>
      <c r="H987" s="278"/>
      <c r="I987" s="278"/>
      <c r="J987" s="278"/>
      <c r="K987" s="278"/>
      <c r="L987" s="278"/>
      <c r="M987" s="278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  <c r="AA987" s="271"/>
      <c r="AB987" s="271"/>
      <c r="AC987" s="271"/>
      <c r="AD987" s="271"/>
      <c r="AE987" s="271"/>
      <c r="AF987" s="271"/>
      <c r="AG987" s="271"/>
      <c r="AH987" s="271"/>
      <c r="AI987" s="271"/>
      <c r="AJ987" s="271"/>
      <c r="AK987" s="271"/>
      <c r="AL987" s="271"/>
      <c r="AM987" s="271"/>
      <c r="AN987" s="271"/>
    </row>
    <row r="988" spans="1:40" ht="12.75" customHeight="1">
      <c r="A988" s="278"/>
      <c r="B988" s="278"/>
      <c r="C988" s="278"/>
      <c r="D988" s="278"/>
      <c r="E988" s="278"/>
      <c r="F988" s="278"/>
      <c r="G988" s="278"/>
      <c r="H988" s="278"/>
      <c r="I988" s="278"/>
      <c r="J988" s="278"/>
      <c r="K988" s="278"/>
      <c r="L988" s="278"/>
      <c r="M988" s="278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  <c r="AA988" s="271"/>
      <c r="AB988" s="271"/>
      <c r="AC988" s="271"/>
      <c r="AD988" s="271"/>
      <c r="AE988" s="271"/>
      <c r="AF988" s="271"/>
      <c r="AG988" s="271"/>
      <c r="AH988" s="271"/>
      <c r="AI988" s="271"/>
      <c r="AJ988" s="271"/>
      <c r="AK988" s="271"/>
      <c r="AL988" s="271"/>
      <c r="AM988" s="271"/>
      <c r="AN988" s="271"/>
    </row>
    <row r="989" spans="1:40" ht="12.75" customHeight="1">
      <c r="A989" s="278"/>
      <c r="B989" s="278"/>
      <c r="C989" s="278"/>
      <c r="D989" s="278"/>
      <c r="E989" s="278"/>
      <c r="F989" s="278"/>
      <c r="G989" s="278"/>
      <c r="H989" s="278"/>
      <c r="I989" s="278"/>
      <c r="J989" s="278"/>
      <c r="K989" s="278"/>
      <c r="L989" s="278"/>
      <c r="M989" s="278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  <c r="AA989" s="271"/>
      <c r="AB989" s="271"/>
      <c r="AC989" s="271"/>
      <c r="AD989" s="271"/>
      <c r="AE989" s="271"/>
      <c r="AF989" s="271"/>
      <c r="AG989" s="271"/>
      <c r="AH989" s="271"/>
      <c r="AI989" s="271"/>
      <c r="AJ989" s="271"/>
      <c r="AK989" s="271"/>
      <c r="AL989" s="271"/>
      <c r="AM989" s="271"/>
      <c r="AN989" s="271"/>
    </row>
    <row r="990" spans="1:40" ht="12.75" customHeight="1">
      <c r="A990" s="278"/>
      <c r="B990" s="278"/>
      <c r="C990" s="278"/>
      <c r="D990" s="278"/>
      <c r="E990" s="278"/>
      <c r="F990" s="278"/>
      <c r="G990" s="278"/>
      <c r="H990" s="278"/>
      <c r="I990" s="278"/>
      <c r="J990" s="278"/>
      <c r="K990" s="278"/>
      <c r="L990" s="278"/>
      <c r="M990" s="278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  <c r="AA990" s="271"/>
      <c r="AB990" s="271"/>
      <c r="AC990" s="271"/>
      <c r="AD990" s="271"/>
      <c r="AE990" s="271"/>
      <c r="AF990" s="271"/>
      <c r="AG990" s="271"/>
      <c r="AH990" s="271"/>
      <c r="AI990" s="271"/>
      <c r="AJ990" s="271"/>
      <c r="AK990" s="271"/>
      <c r="AL990" s="271"/>
      <c r="AM990" s="271"/>
      <c r="AN990" s="271"/>
    </row>
    <row r="991" spans="1:40" ht="12.75" customHeight="1">
      <c r="A991" s="278"/>
      <c r="B991" s="278"/>
      <c r="C991" s="278"/>
      <c r="D991" s="278"/>
      <c r="E991" s="278"/>
      <c r="F991" s="278"/>
      <c r="G991" s="278"/>
      <c r="H991" s="278"/>
      <c r="I991" s="278"/>
      <c r="J991" s="278"/>
      <c r="K991" s="278"/>
      <c r="L991" s="278"/>
      <c r="M991" s="278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  <c r="AA991" s="271"/>
      <c r="AB991" s="271"/>
      <c r="AC991" s="271"/>
      <c r="AD991" s="271"/>
      <c r="AE991" s="271"/>
      <c r="AF991" s="271"/>
      <c r="AG991" s="271"/>
      <c r="AH991" s="271"/>
      <c r="AI991" s="271"/>
      <c r="AJ991" s="271"/>
      <c r="AK991" s="271"/>
      <c r="AL991" s="271"/>
      <c r="AM991" s="271"/>
      <c r="AN991" s="271"/>
    </row>
    <row r="992" spans="1:40" ht="12.75" customHeight="1">
      <c r="A992" s="278"/>
      <c r="B992" s="278"/>
      <c r="C992" s="278"/>
      <c r="D992" s="278"/>
      <c r="E992" s="278"/>
      <c r="F992" s="278"/>
      <c r="G992" s="278"/>
      <c r="H992" s="278"/>
      <c r="I992" s="278"/>
      <c r="J992" s="278"/>
      <c r="K992" s="278"/>
      <c r="L992" s="278"/>
      <c r="M992" s="278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  <c r="AA992" s="271"/>
      <c r="AB992" s="271"/>
      <c r="AC992" s="271"/>
      <c r="AD992" s="271"/>
      <c r="AE992" s="271"/>
      <c r="AF992" s="271"/>
      <c r="AG992" s="271"/>
      <c r="AH992" s="271"/>
      <c r="AI992" s="271"/>
      <c r="AJ992" s="271"/>
      <c r="AK992" s="271"/>
      <c r="AL992" s="271"/>
      <c r="AM992" s="271"/>
      <c r="AN992" s="271"/>
    </row>
    <row r="993" spans="1:40" ht="12.75" customHeight="1">
      <c r="A993" s="278"/>
      <c r="B993" s="278"/>
      <c r="C993" s="278"/>
      <c r="D993" s="278"/>
      <c r="E993" s="278"/>
      <c r="F993" s="278"/>
      <c r="G993" s="278"/>
      <c r="H993" s="278"/>
      <c r="I993" s="278"/>
      <c r="J993" s="278"/>
      <c r="K993" s="278"/>
      <c r="L993" s="278"/>
      <c r="M993" s="278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  <c r="AA993" s="271"/>
      <c r="AB993" s="271"/>
      <c r="AC993" s="271"/>
      <c r="AD993" s="271"/>
      <c r="AE993" s="271"/>
      <c r="AF993" s="271"/>
      <c r="AG993" s="271"/>
      <c r="AH993" s="271"/>
      <c r="AI993" s="271"/>
      <c r="AJ993" s="271"/>
      <c r="AK993" s="271"/>
      <c r="AL993" s="271"/>
      <c r="AM993" s="271"/>
      <c r="AN993" s="271"/>
    </row>
    <row r="994" spans="1:40" ht="12.75" customHeight="1">
      <c r="A994" s="278"/>
      <c r="B994" s="278"/>
      <c r="C994" s="278"/>
      <c r="D994" s="278"/>
      <c r="E994" s="278"/>
      <c r="F994" s="278"/>
      <c r="G994" s="278"/>
      <c r="H994" s="278"/>
      <c r="I994" s="278"/>
      <c r="J994" s="278"/>
      <c r="K994" s="278"/>
      <c r="L994" s="278"/>
      <c r="M994" s="278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  <c r="AA994" s="271"/>
      <c r="AB994" s="271"/>
      <c r="AC994" s="271"/>
      <c r="AD994" s="271"/>
      <c r="AE994" s="271"/>
      <c r="AF994" s="271"/>
      <c r="AG994" s="271"/>
      <c r="AH994" s="271"/>
      <c r="AI994" s="271"/>
      <c r="AJ994" s="271"/>
      <c r="AK994" s="271"/>
      <c r="AL994" s="271"/>
      <c r="AM994" s="271"/>
      <c r="AN994" s="271"/>
    </row>
    <row r="995" spans="1:40" ht="12.75" customHeight="1">
      <c r="A995" s="278"/>
      <c r="B995" s="278"/>
      <c r="C995" s="278"/>
      <c r="D995" s="278"/>
      <c r="E995" s="278"/>
      <c r="F995" s="278"/>
      <c r="G995" s="278"/>
      <c r="H995" s="278"/>
      <c r="I995" s="278"/>
      <c r="J995" s="278"/>
      <c r="K995" s="278"/>
      <c r="L995" s="278"/>
      <c r="M995" s="278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  <c r="AA995" s="271"/>
      <c r="AB995" s="271"/>
      <c r="AC995" s="271"/>
      <c r="AD995" s="271"/>
      <c r="AE995" s="271"/>
      <c r="AF995" s="271"/>
      <c r="AG995" s="271"/>
      <c r="AH995" s="271"/>
      <c r="AI995" s="271"/>
      <c r="AJ995" s="271"/>
      <c r="AK995" s="271"/>
      <c r="AL995" s="271"/>
      <c r="AM995" s="271"/>
      <c r="AN995" s="271"/>
    </row>
    <row r="996" spans="1:40" ht="12.75" customHeight="1">
      <c r="A996" s="278"/>
      <c r="B996" s="278"/>
      <c r="C996" s="278"/>
      <c r="D996" s="278"/>
      <c r="E996" s="278"/>
      <c r="F996" s="278"/>
      <c r="G996" s="278"/>
      <c r="H996" s="278"/>
      <c r="I996" s="278"/>
      <c r="J996" s="278"/>
      <c r="K996" s="278"/>
      <c r="L996" s="278"/>
      <c r="M996" s="278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  <c r="AA996" s="271"/>
      <c r="AB996" s="271"/>
      <c r="AC996" s="271"/>
      <c r="AD996" s="271"/>
      <c r="AE996" s="271"/>
      <c r="AF996" s="271"/>
      <c r="AG996" s="271"/>
      <c r="AH996" s="271"/>
      <c r="AI996" s="271"/>
      <c r="AJ996" s="271"/>
      <c r="AK996" s="271"/>
      <c r="AL996" s="271"/>
      <c r="AM996" s="271"/>
      <c r="AN996" s="271"/>
    </row>
  </sheetData>
  <mergeCells count="2">
    <mergeCell ref="A1:A4"/>
    <mergeCell ref="B1:M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4.3984375" defaultRowHeight="15" customHeight="1"/>
  <cols>
    <col min="1" max="1" width="44.59765625" customWidth="1"/>
  </cols>
  <sheetData>
    <row r="1" spans="1:7">
      <c r="A1" s="294" t="s">
        <v>168</v>
      </c>
      <c r="B1" s="295"/>
      <c r="C1" s="295"/>
      <c r="D1" s="295"/>
      <c r="E1" s="295"/>
      <c r="F1" s="295"/>
      <c r="G1" s="295"/>
    </row>
    <row r="2" spans="1:7">
      <c r="A2" s="296" t="s">
        <v>169</v>
      </c>
      <c r="B2" s="295"/>
      <c r="C2" s="295"/>
      <c r="D2" s="295"/>
      <c r="E2" s="295"/>
      <c r="F2" s="295"/>
      <c r="G2" s="295"/>
    </row>
    <row r="3" spans="1:7">
      <c r="A3" s="296" t="s">
        <v>170</v>
      </c>
      <c r="B3" s="295"/>
      <c r="C3" s="295"/>
      <c r="D3" s="295"/>
      <c r="E3" s="295"/>
      <c r="F3" s="295"/>
      <c r="G3" s="295"/>
    </row>
    <row r="4" spans="1:7" ht="15" customHeight="1">
      <c r="A4" s="297"/>
      <c r="B4" s="297"/>
      <c r="C4" s="297"/>
      <c r="D4" s="297"/>
      <c r="E4" s="297"/>
      <c r="F4" s="297"/>
      <c r="G4" s="297"/>
    </row>
    <row r="5" spans="1:7">
      <c r="A5" s="298" t="s">
        <v>171</v>
      </c>
      <c r="B5" s="299" t="s">
        <v>172</v>
      </c>
      <c r="C5" s="299" t="s">
        <v>173</v>
      </c>
      <c r="D5" s="299" t="s">
        <v>174</v>
      </c>
      <c r="E5" s="299" t="s">
        <v>175</v>
      </c>
      <c r="F5" s="299" t="s">
        <v>176</v>
      </c>
      <c r="G5" s="299" t="s">
        <v>65</v>
      </c>
    </row>
    <row r="6" spans="1:7">
      <c r="A6" s="295" t="s">
        <v>177</v>
      </c>
      <c r="B6" s="260">
        <v>0</v>
      </c>
      <c r="C6" s="260">
        <v>540</v>
      </c>
      <c r="D6" s="260">
        <v>1080</v>
      </c>
      <c r="E6" s="260">
        <v>540</v>
      </c>
      <c r="F6" s="260">
        <v>19192</v>
      </c>
      <c r="G6" s="260">
        <v>21352</v>
      </c>
    </row>
    <row r="7" spans="1:7">
      <c r="A7" s="300" t="s">
        <v>178</v>
      </c>
      <c r="B7" s="261">
        <v>0</v>
      </c>
      <c r="C7" s="261">
        <v>120</v>
      </c>
      <c r="D7" s="261">
        <v>120</v>
      </c>
      <c r="E7" s="261">
        <v>0</v>
      </c>
      <c r="F7" s="261">
        <v>0</v>
      </c>
      <c r="G7" s="261">
        <v>240</v>
      </c>
    </row>
    <row r="8" spans="1:7">
      <c r="A8" s="301" t="s">
        <v>65</v>
      </c>
      <c r="B8" s="302">
        <f t="shared" ref="B8:G8" si="0">SUM(B6:B7)</f>
        <v>0</v>
      </c>
      <c r="C8" s="302">
        <f t="shared" si="0"/>
        <v>660</v>
      </c>
      <c r="D8" s="302">
        <f t="shared" si="0"/>
        <v>1200</v>
      </c>
      <c r="E8" s="302">
        <f t="shared" si="0"/>
        <v>540</v>
      </c>
      <c r="F8" s="302">
        <f t="shared" si="0"/>
        <v>19192</v>
      </c>
      <c r="G8" s="302">
        <f t="shared" si="0"/>
        <v>21592</v>
      </c>
    </row>
    <row r="9" spans="1:7" ht="15" customHeight="1">
      <c r="A9" s="297"/>
      <c r="B9" s="297"/>
      <c r="C9" s="297"/>
      <c r="D9" s="297"/>
      <c r="E9" s="297"/>
      <c r="F9" s="297"/>
      <c r="G9" s="297"/>
    </row>
    <row r="10" spans="1:7">
      <c r="A10" s="303" t="s">
        <v>179</v>
      </c>
      <c r="B10" s="304">
        <f>(B8 / SUM(B8:F8))</f>
        <v>0</v>
      </c>
      <c r="C10" s="304">
        <f>(C8 / SUM(B8:F8))</f>
        <v>3.0566876620970729E-2</v>
      </c>
      <c r="D10" s="304">
        <f>(D8 / SUM(B8:F8))</f>
        <v>5.5576139310855872E-2</v>
      </c>
      <c r="E10" s="304">
        <f>(E8 / SUM(B8:F8))</f>
        <v>2.5009262689885143E-2</v>
      </c>
      <c r="F10" s="304">
        <f>(F8 / SUM(B8:F8))</f>
        <v>0.88884772137828827</v>
      </c>
      <c r="G10" s="304">
        <f>(G8 / G8)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4.3984375" defaultRowHeight="15" customHeight="1"/>
  <cols>
    <col min="1" max="1" width="33" customWidth="1"/>
  </cols>
  <sheetData>
    <row r="1" spans="1:7">
      <c r="A1" s="294" t="s">
        <v>180</v>
      </c>
      <c r="B1" s="295"/>
      <c r="C1" s="295"/>
      <c r="D1" s="295"/>
      <c r="E1" s="295"/>
      <c r="F1" s="295"/>
      <c r="G1" s="295"/>
    </row>
    <row r="2" spans="1:7">
      <c r="A2" s="296" t="s">
        <v>169</v>
      </c>
      <c r="B2" s="295"/>
      <c r="C2" s="295"/>
      <c r="D2" s="295"/>
      <c r="E2" s="295"/>
      <c r="F2" s="295"/>
      <c r="G2" s="295"/>
    </row>
    <row r="3" spans="1:7">
      <c r="A3" s="296" t="s">
        <v>170</v>
      </c>
      <c r="B3" s="295"/>
      <c r="C3" s="295"/>
      <c r="D3" s="295"/>
      <c r="E3" s="295"/>
      <c r="F3" s="295"/>
      <c r="G3" s="295"/>
    </row>
    <row r="4" spans="1:7" ht="15" customHeight="1">
      <c r="A4" s="297"/>
      <c r="B4" s="297"/>
      <c r="C4" s="297"/>
      <c r="D4" s="297"/>
      <c r="E4" s="297"/>
      <c r="F4" s="297"/>
      <c r="G4" s="297"/>
    </row>
    <row r="5" spans="1:7">
      <c r="A5" s="298" t="s">
        <v>171</v>
      </c>
      <c r="B5" s="299" t="s">
        <v>172</v>
      </c>
      <c r="C5" s="299" t="s">
        <v>173</v>
      </c>
      <c r="D5" s="299" t="s">
        <v>174</v>
      </c>
      <c r="E5" s="299" t="s">
        <v>175</v>
      </c>
      <c r="F5" s="299" t="s">
        <v>176</v>
      </c>
      <c r="G5" s="299" t="s">
        <v>65</v>
      </c>
    </row>
    <row r="6" spans="1:7" ht="15" customHeight="1">
      <c r="A6" s="297"/>
      <c r="B6" s="297"/>
      <c r="C6" s="297"/>
      <c r="D6" s="297"/>
      <c r="E6" s="297"/>
      <c r="F6" s="297"/>
      <c r="G6" s="297"/>
    </row>
    <row r="7" spans="1:7">
      <c r="A7" s="298" t="s">
        <v>181</v>
      </c>
      <c r="B7" s="305"/>
      <c r="C7" s="305"/>
      <c r="D7" s="305"/>
      <c r="E7" s="305"/>
      <c r="F7" s="305"/>
      <c r="G7" s="305"/>
    </row>
    <row r="8" spans="1:7">
      <c r="A8" s="295" t="s">
        <v>182</v>
      </c>
      <c r="B8" s="260">
        <v>0</v>
      </c>
      <c r="C8" s="260">
        <v>2191.66</v>
      </c>
      <c r="D8" s="260">
        <v>175.52</v>
      </c>
      <c r="E8" s="260">
        <v>0</v>
      </c>
      <c r="F8" s="260">
        <v>13396.38</v>
      </c>
      <c r="G8" s="260">
        <f>SUM(B8:F8)</f>
        <v>15763.56</v>
      </c>
    </row>
    <row r="9" spans="1:7">
      <c r="A9" s="300" t="s">
        <v>183</v>
      </c>
      <c r="B9" s="261">
        <v>0</v>
      </c>
      <c r="C9" s="261">
        <v>7200</v>
      </c>
      <c r="D9" s="261">
        <v>0</v>
      </c>
      <c r="E9" s="261">
        <v>7200</v>
      </c>
      <c r="F9" s="261">
        <v>14400</v>
      </c>
      <c r="G9" s="260"/>
    </row>
    <row r="10" spans="1:7">
      <c r="A10" s="300" t="s">
        <v>56</v>
      </c>
      <c r="B10" s="261">
        <v>3088.8</v>
      </c>
      <c r="C10" s="261">
        <v>3220.8</v>
      </c>
      <c r="D10" s="261">
        <v>3300</v>
      </c>
      <c r="E10" s="261">
        <v>6890.4</v>
      </c>
      <c r="F10" s="261">
        <v>8289.6</v>
      </c>
      <c r="G10" s="260">
        <f t="shared" ref="G10:G11" si="0">SUM(B10:F10)</f>
        <v>24789.599999999999</v>
      </c>
    </row>
    <row r="11" spans="1:7">
      <c r="A11" s="300" t="s">
        <v>184</v>
      </c>
      <c r="B11" s="261">
        <v>0</v>
      </c>
      <c r="C11" s="261">
        <v>2970</v>
      </c>
      <c r="D11" s="261">
        <v>0</v>
      </c>
      <c r="E11" s="261">
        <v>0</v>
      </c>
      <c r="F11" s="261">
        <v>0</v>
      </c>
      <c r="G11" s="260">
        <f t="shared" si="0"/>
        <v>2970</v>
      </c>
    </row>
    <row r="12" spans="1:7">
      <c r="A12" s="301" t="s">
        <v>185</v>
      </c>
      <c r="B12" s="302">
        <f t="shared" ref="B12:G12" si="1">SUM(B8:B11)</f>
        <v>3088.8</v>
      </c>
      <c r="C12" s="302">
        <f t="shared" si="1"/>
        <v>15582.46</v>
      </c>
      <c r="D12" s="302">
        <f t="shared" si="1"/>
        <v>3475.52</v>
      </c>
      <c r="E12" s="302">
        <f t="shared" si="1"/>
        <v>14090.4</v>
      </c>
      <c r="F12" s="302">
        <f t="shared" si="1"/>
        <v>36085.979999999996</v>
      </c>
      <c r="G12" s="302">
        <f t="shared" si="1"/>
        <v>43523.159999999996</v>
      </c>
    </row>
    <row r="13" spans="1:7" ht="15" customHeight="1">
      <c r="A13" s="297"/>
      <c r="B13" s="297"/>
      <c r="C13" s="297"/>
      <c r="D13" s="297"/>
      <c r="E13" s="297"/>
      <c r="F13" s="297"/>
      <c r="G13" s="297"/>
    </row>
    <row r="14" spans="1:7">
      <c r="A14" s="303" t="s">
        <v>65</v>
      </c>
      <c r="B14" s="306">
        <f t="shared" ref="B14:G14" si="2">B12</f>
        <v>3088.8</v>
      </c>
      <c r="C14" s="306">
        <f t="shared" si="2"/>
        <v>15582.46</v>
      </c>
      <c r="D14" s="306">
        <f t="shared" si="2"/>
        <v>3475.52</v>
      </c>
      <c r="E14" s="306">
        <f t="shared" si="2"/>
        <v>14090.4</v>
      </c>
      <c r="F14" s="306">
        <f t="shared" si="2"/>
        <v>36085.979999999996</v>
      </c>
      <c r="G14" s="306">
        <f t="shared" si="2"/>
        <v>43523.159999999996</v>
      </c>
    </row>
    <row r="15" spans="1:7" ht="15" customHeight="1">
      <c r="A15" s="297"/>
      <c r="B15" s="297"/>
      <c r="C15" s="297"/>
      <c r="D15" s="297"/>
      <c r="E15" s="297"/>
      <c r="F15" s="297"/>
      <c r="G15" s="297"/>
    </row>
    <row r="16" spans="1:7">
      <c r="A16" s="303" t="s">
        <v>179</v>
      </c>
      <c r="B16" s="304">
        <f>(B12 / SUM(B12:F12))</f>
        <v>4.2708310864735449E-2</v>
      </c>
      <c r="C16" s="304">
        <f>(C12 / SUM(B12:F12))</f>
        <v>0.21545601713199478</v>
      </c>
      <c r="D16" s="304">
        <f>(D12 / SUM(B12:F12))</f>
        <v>4.805542235709833E-2</v>
      </c>
      <c r="E16" s="304">
        <f>(E12 / SUM(B12:F12))</f>
        <v>0.19482555795404957</v>
      </c>
      <c r="F16" s="304">
        <f>(F12 / SUM(B12:F12))</f>
        <v>0.49895469169212175</v>
      </c>
      <c r="G16" s="304">
        <f>(G12 / G12)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3"/>
  </sheetPr>
  <dimension ref="A1:BF9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3984375" defaultRowHeight="15" customHeight="1" outlineLevelRow="1"/>
  <cols>
    <col min="1" max="1" width="34" customWidth="1"/>
    <col min="2" max="2" width="12" customWidth="1"/>
    <col min="3" max="14" width="12.3984375" customWidth="1"/>
    <col min="15" max="15" width="10.59765625" hidden="1" customWidth="1"/>
    <col min="16" max="16" width="7.796875" customWidth="1"/>
    <col min="17" max="17" width="14" customWidth="1"/>
    <col min="18" max="26" width="8.796875" customWidth="1"/>
    <col min="27" max="53" width="8.796875" hidden="1" customWidth="1"/>
    <col min="54" max="54" width="10.3984375" hidden="1" customWidth="1"/>
    <col min="55" max="55" width="8.796875" hidden="1" customWidth="1"/>
    <col min="56" max="56" width="9.19921875" hidden="1" customWidth="1"/>
    <col min="57" max="58" width="8.796875" hidden="1" customWidth="1"/>
  </cols>
  <sheetData>
    <row r="1" spans="1:58" ht="16.5" customHeight="1">
      <c r="A1" s="1"/>
      <c r="B1" s="307"/>
      <c r="C1" s="497" t="s">
        <v>186</v>
      </c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9"/>
      <c r="P1" s="308"/>
      <c r="Q1" s="3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15" customHeight="1">
      <c r="A2" s="310" t="s">
        <v>187</v>
      </c>
      <c r="B2" s="311" t="s">
        <v>188</v>
      </c>
      <c r="C2" s="312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123">
        <v>45352</v>
      </c>
      <c r="P2" s="313"/>
      <c r="Q2" s="314" t="s">
        <v>189</v>
      </c>
      <c r="R2" s="315"/>
      <c r="S2" s="7"/>
      <c r="T2" s="7"/>
      <c r="U2" s="7"/>
      <c r="V2" s="7"/>
      <c r="W2" s="7"/>
      <c r="X2" s="7"/>
      <c r="Y2" s="7"/>
      <c r="Z2" s="7"/>
      <c r="AA2" s="316" t="s">
        <v>107</v>
      </c>
      <c r="AB2" s="316" t="s">
        <v>108</v>
      </c>
      <c r="AC2" s="316" t="s">
        <v>109</v>
      </c>
      <c r="AD2" s="316" t="s">
        <v>110</v>
      </c>
      <c r="AE2" s="316" t="s">
        <v>111</v>
      </c>
      <c r="AF2" s="316" t="s">
        <v>112</v>
      </c>
      <c r="AG2" s="316" t="s">
        <v>113</v>
      </c>
      <c r="AH2" s="316" t="s">
        <v>114</v>
      </c>
      <c r="AI2" s="316" t="s">
        <v>115</v>
      </c>
      <c r="AJ2" s="316" t="s">
        <v>116</v>
      </c>
      <c r="AK2" s="316" t="s">
        <v>117</v>
      </c>
      <c r="AL2" s="316" t="s">
        <v>118</v>
      </c>
      <c r="AM2" s="317" t="s">
        <v>190</v>
      </c>
      <c r="AN2" s="317" t="s">
        <v>191</v>
      </c>
      <c r="AO2" s="317" t="s">
        <v>192</v>
      </c>
      <c r="AP2" s="317" t="s">
        <v>193</v>
      </c>
      <c r="AQ2" s="317" t="s">
        <v>194</v>
      </c>
      <c r="AR2" s="317" t="s">
        <v>195</v>
      </c>
      <c r="AS2" s="317" t="s">
        <v>196</v>
      </c>
      <c r="AT2" s="317" t="s">
        <v>197</v>
      </c>
      <c r="AU2" s="317" t="s">
        <v>198</v>
      </c>
      <c r="AV2" s="317" t="s">
        <v>199</v>
      </c>
      <c r="AW2" s="317" t="s">
        <v>200</v>
      </c>
      <c r="AX2" s="317" t="s">
        <v>201</v>
      </c>
      <c r="AY2" s="318"/>
      <c r="AZ2" s="318"/>
      <c r="BA2" s="318"/>
      <c r="BB2" s="319"/>
      <c r="BC2" s="320" t="e">
        <f>#REF!</f>
        <v>#REF!</v>
      </c>
      <c r="BD2" s="321"/>
      <c r="BE2" s="322"/>
      <c r="BF2" s="323"/>
    </row>
    <row r="3" spans="1:58" ht="12.75" customHeight="1">
      <c r="A3" s="324"/>
      <c r="B3" s="325"/>
      <c r="C3" s="326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27"/>
      <c r="Q3" s="327"/>
      <c r="R3" s="328"/>
      <c r="S3" s="14"/>
      <c r="T3" s="14"/>
      <c r="U3" s="14"/>
      <c r="V3" s="14"/>
      <c r="W3" s="14"/>
      <c r="X3" s="14"/>
      <c r="Y3" s="14"/>
      <c r="Z3" s="14"/>
      <c r="AA3" s="329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30"/>
      <c r="AW3" s="330"/>
      <c r="AX3" s="330"/>
      <c r="AY3" s="330"/>
      <c r="AZ3" s="330"/>
      <c r="BA3" s="330"/>
      <c r="BB3" s="331"/>
      <c r="BC3" s="332" t="e">
        <f>#REF!&amp;BC2</f>
        <v>#REF!</v>
      </c>
      <c r="BD3" s="333"/>
      <c r="BE3" s="334"/>
      <c r="BF3" s="335"/>
    </row>
    <row r="4" spans="1:58" ht="12.75" customHeight="1">
      <c r="A4" s="336" t="s">
        <v>2</v>
      </c>
      <c r="B4" s="311"/>
      <c r="C4" s="33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338"/>
      <c r="Q4" s="338"/>
      <c r="R4" s="337"/>
      <c r="S4" s="17"/>
      <c r="T4" s="17"/>
      <c r="U4" s="17"/>
      <c r="V4" s="17"/>
      <c r="W4" s="17"/>
      <c r="X4" s="17"/>
      <c r="Y4" s="17"/>
      <c r="Z4" s="17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1"/>
      <c r="AZ4" s="341"/>
      <c r="BA4" s="341"/>
      <c r="BB4" s="342"/>
      <c r="BC4" s="343"/>
      <c r="BD4" s="344"/>
      <c r="BE4" s="345"/>
      <c r="BF4" s="346"/>
    </row>
    <row r="5" spans="1:58" ht="15" customHeight="1">
      <c r="A5" s="21" t="s">
        <v>3</v>
      </c>
      <c r="B5" s="347"/>
      <c r="C5" s="348">
        <v>30</v>
      </c>
      <c r="D5" s="349">
        <v>30</v>
      </c>
      <c r="E5" s="349">
        <v>0</v>
      </c>
      <c r="F5" s="349">
        <v>30</v>
      </c>
      <c r="G5" s="349">
        <v>30</v>
      </c>
      <c r="H5" s="349">
        <v>50</v>
      </c>
      <c r="I5" s="349">
        <v>50</v>
      </c>
      <c r="J5" s="349">
        <v>50</v>
      </c>
      <c r="K5" s="349">
        <v>50</v>
      </c>
      <c r="L5" s="349">
        <v>50</v>
      </c>
      <c r="M5" s="349">
        <v>50</v>
      </c>
      <c r="N5" s="349">
        <v>50</v>
      </c>
      <c r="O5" s="349">
        <v>30</v>
      </c>
      <c r="P5" s="350"/>
      <c r="Q5" s="350"/>
      <c r="R5" s="348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51"/>
      <c r="AZ5" s="351"/>
      <c r="BA5" s="351"/>
      <c r="BB5" s="352"/>
      <c r="BC5" s="348"/>
      <c r="BD5" s="349"/>
      <c r="BE5" s="349"/>
      <c r="BF5" s="351"/>
    </row>
    <row r="6" spans="1:58" ht="15" customHeight="1">
      <c r="A6" s="21" t="s">
        <v>4</v>
      </c>
      <c r="B6" s="347"/>
      <c r="C6" s="348">
        <v>120</v>
      </c>
      <c r="D6" s="349">
        <f>C6+30</f>
        <v>150</v>
      </c>
      <c r="E6" s="349">
        <f>D6</f>
        <v>150</v>
      </c>
      <c r="F6" s="349">
        <f>E6+30</f>
        <v>180</v>
      </c>
      <c r="G6" s="349">
        <f t="shared" ref="G6:O6" si="0">F6+G5</f>
        <v>210</v>
      </c>
      <c r="H6" s="349">
        <f t="shared" si="0"/>
        <v>260</v>
      </c>
      <c r="I6" s="349">
        <f t="shared" si="0"/>
        <v>310</v>
      </c>
      <c r="J6" s="349">
        <f t="shared" si="0"/>
        <v>360</v>
      </c>
      <c r="K6" s="349">
        <f t="shared" si="0"/>
        <v>410</v>
      </c>
      <c r="L6" s="349">
        <f t="shared" si="0"/>
        <v>460</v>
      </c>
      <c r="M6" s="349">
        <f t="shared" si="0"/>
        <v>510</v>
      </c>
      <c r="N6" s="349">
        <f t="shared" si="0"/>
        <v>560</v>
      </c>
      <c r="O6" s="349">
        <f t="shared" si="0"/>
        <v>590</v>
      </c>
      <c r="P6" s="350"/>
      <c r="Q6" s="350"/>
      <c r="R6" s="348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51"/>
      <c r="AZ6" s="351"/>
      <c r="BA6" s="351"/>
      <c r="BB6" s="352"/>
      <c r="BC6" s="348"/>
      <c r="BD6" s="349"/>
      <c r="BE6" s="349"/>
      <c r="BF6" s="351"/>
    </row>
    <row r="7" spans="1:58" ht="15" customHeight="1">
      <c r="A7" s="353" t="s">
        <v>202</v>
      </c>
      <c r="B7" s="354">
        <v>1000</v>
      </c>
      <c r="C7" s="355">
        <f>'Sales forecast'!C6</f>
        <v>30000</v>
      </c>
      <c r="D7" s="35">
        <f>'Sales forecast'!D6</f>
        <v>30000</v>
      </c>
      <c r="E7" s="35">
        <v>0</v>
      </c>
      <c r="F7" s="35">
        <v>30000</v>
      </c>
      <c r="G7" s="35">
        <v>30000</v>
      </c>
      <c r="H7" s="35">
        <f t="shared" ref="H7:O7" si="1">$B7*H$5</f>
        <v>50000</v>
      </c>
      <c r="I7" s="35">
        <f t="shared" si="1"/>
        <v>50000</v>
      </c>
      <c r="J7" s="35">
        <f t="shared" si="1"/>
        <v>50000</v>
      </c>
      <c r="K7" s="35">
        <f t="shared" si="1"/>
        <v>50000</v>
      </c>
      <c r="L7" s="35">
        <f t="shared" si="1"/>
        <v>50000</v>
      </c>
      <c r="M7" s="35">
        <f t="shared" si="1"/>
        <v>50000</v>
      </c>
      <c r="N7" s="35">
        <f t="shared" si="1"/>
        <v>50000</v>
      </c>
      <c r="O7" s="35">
        <f t="shared" si="1"/>
        <v>30000</v>
      </c>
      <c r="P7" s="356"/>
      <c r="Q7" s="356">
        <f t="shared" ref="Q7:Q8" si="2">SUM(C7:N7)</f>
        <v>470000</v>
      </c>
      <c r="R7" s="355"/>
      <c r="S7" s="35"/>
      <c r="T7" s="35"/>
      <c r="U7" s="35"/>
      <c r="V7" s="35"/>
      <c r="W7" s="35"/>
      <c r="X7" s="35"/>
      <c r="Y7" s="35"/>
      <c r="Z7" s="35"/>
      <c r="AA7" s="357" t="s">
        <v>267</v>
      </c>
      <c r="AB7" s="357" t="s">
        <v>267</v>
      </c>
      <c r="AC7" s="357" t="s">
        <v>267</v>
      </c>
      <c r="AD7" s="357" t="s">
        <v>267</v>
      </c>
      <c r="AE7" s="357" t="s">
        <v>267</v>
      </c>
      <c r="AF7" s="357" t="s">
        <v>267</v>
      </c>
      <c r="AG7" s="357" t="s">
        <v>267</v>
      </c>
      <c r="AH7" s="357" t="s">
        <v>267</v>
      </c>
      <c r="AI7" s="357" t="s">
        <v>267</v>
      </c>
      <c r="AJ7" s="357" t="s">
        <v>267</v>
      </c>
      <c r="AK7" s="357" t="s">
        <v>267</v>
      </c>
      <c r="AL7" s="357" t="s">
        <v>267</v>
      </c>
      <c r="AM7" s="358" t="s">
        <v>267</v>
      </c>
      <c r="AN7" s="358" t="s">
        <v>267</v>
      </c>
      <c r="AO7" s="358" t="s">
        <v>267</v>
      </c>
      <c r="AP7" s="358" t="s">
        <v>267</v>
      </c>
      <c r="AQ7" s="358" t="s">
        <v>267</v>
      </c>
      <c r="AR7" s="358" t="s">
        <v>267</v>
      </c>
      <c r="AS7" s="358" t="s">
        <v>267</v>
      </c>
      <c r="AT7" s="358" t="s">
        <v>267</v>
      </c>
      <c r="AU7" s="358" t="s">
        <v>267</v>
      </c>
      <c r="AV7" s="358" t="s">
        <v>267</v>
      </c>
      <c r="AW7" s="358" t="s">
        <v>267</v>
      </c>
      <c r="AX7" s="358" t="s">
        <v>267</v>
      </c>
      <c r="AY7" s="359"/>
      <c r="AZ7" s="359"/>
      <c r="BA7" s="359"/>
      <c r="BB7" s="360">
        <f t="shared" ref="BB7:BB8" si="3">SUM(D7:O7)</f>
        <v>470000</v>
      </c>
      <c r="BC7" s="361" t="e">
        <f t="shared" ref="BC7:BC8" ca="1" si="4">SUM(OFFSET(#REF!,0,0,1,MATCH(#REF!,#REF!,0)))</f>
        <v>#REF!</v>
      </c>
      <c r="BD7" s="362" t="e">
        <f t="shared" ref="BD7:BD8" si="5">SUM(#REF!)</f>
        <v>#REF!</v>
      </c>
      <c r="BE7" s="363">
        <f t="shared" ref="BE7:BE8" si="6">SUM(C7)</f>
        <v>30000</v>
      </c>
      <c r="BF7" s="364"/>
    </row>
    <row r="8" spans="1:58" ht="15" customHeight="1">
      <c r="A8" s="353" t="s">
        <v>203</v>
      </c>
      <c r="B8" s="354">
        <v>750</v>
      </c>
      <c r="C8" s="355">
        <v>0</v>
      </c>
      <c r="D8" s="35">
        <f>'Sales forecast'!D7</f>
        <v>7800</v>
      </c>
      <c r="E8" s="35">
        <v>5620</v>
      </c>
      <c r="F8" s="35">
        <f>10902+6521</f>
        <v>17423</v>
      </c>
      <c r="G8" s="35">
        <f>10675.8+780+540+264+264</f>
        <v>12523.8</v>
      </c>
      <c r="H8" s="35">
        <f t="shared" ref="H8:O8" si="7">$B8*H$5</f>
        <v>37500</v>
      </c>
      <c r="I8" s="35">
        <f t="shared" si="7"/>
        <v>37500</v>
      </c>
      <c r="J8" s="35">
        <f t="shared" si="7"/>
        <v>37500</v>
      </c>
      <c r="K8" s="35">
        <f t="shared" si="7"/>
        <v>37500</v>
      </c>
      <c r="L8" s="35">
        <f t="shared" si="7"/>
        <v>37500</v>
      </c>
      <c r="M8" s="35">
        <f t="shared" si="7"/>
        <v>37500</v>
      </c>
      <c r="N8" s="35">
        <f t="shared" si="7"/>
        <v>37500</v>
      </c>
      <c r="O8" s="35">
        <f t="shared" si="7"/>
        <v>22500</v>
      </c>
      <c r="P8" s="356"/>
      <c r="Q8" s="356">
        <f t="shared" si="2"/>
        <v>305866.8</v>
      </c>
      <c r="R8" s="355"/>
      <c r="S8" s="35"/>
      <c r="T8" s="35"/>
      <c r="U8" s="35"/>
      <c r="V8" s="35"/>
      <c r="W8" s="35"/>
      <c r="X8" s="35"/>
      <c r="Y8" s="35"/>
      <c r="Z8" s="35"/>
      <c r="AA8" s="357" t="s">
        <v>267</v>
      </c>
      <c r="AB8" s="357" t="s">
        <v>267</v>
      </c>
      <c r="AC8" s="357" t="s">
        <v>267</v>
      </c>
      <c r="AD8" s="357" t="s">
        <v>267</v>
      </c>
      <c r="AE8" s="357" t="s">
        <v>267</v>
      </c>
      <c r="AF8" s="357" t="s">
        <v>267</v>
      </c>
      <c r="AG8" s="357" t="s">
        <v>267</v>
      </c>
      <c r="AH8" s="357" t="s">
        <v>267</v>
      </c>
      <c r="AI8" s="357" t="s">
        <v>267</v>
      </c>
      <c r="AJ8" s="357" t="s">
        <v>267</v>
      </c>
      <c r="AK8" s="357" t="s">
        <v>267</v>
      </c>
      <c r="AL8" s="357" t="s">
        <v>267</v>
      </c>
      <c r="AM8" s="358" t="s">
        <v>267</v>
      </c>
      <c r="AN8" s="358" t="s">
        <v>267</v>
      </c>
      <c r="AO8" s="358" t="s">
        <v>267</v>
      </c>
      <c r="AP8" s="358" t="s">
        <v>267</v>
      </c>
      <c r="AQ8" s="358" t="s">
        <v>267</v>
      </c>
      <c r="AR8" s="358" t="s">
        <v>267</v>
      </c>
      <c r="AS8" s="358" t="s">
        <v>267</v>
      </c>
      <c r="AT8" s="358" t="s">
        <v>267</v>
      </c>
      <c r="AU8" s="358" t="s">
        <v>267</v>
      </c>
      <c r="AV8" s="358" t="s">
        <v>267</v>
      </c>
      <c r="AW8" s="358" t="s">
        <v>267</v>
      </c>
      <c r="AX8" s="358" t="s">
        <v>267</v>
      </c>
      <c r="AY8" s="359"/>
      <c r="AZ8" s="359"/>
      <c r="BA8" s="359"/>
      <c r="BB8" s="360">
        <f t="shared" si="3"/>
        <v>328366.8</v>
      </c>
      <c r="BC8" s="361" t="e">
        <f t="shared" ca="1" si="4"/>
        <v>#REF!</v>
      </c>
      <c r="BD8" s="362" t="e">
        <f t="shared" si="5"/>
        <v>#REF!</v>
      </c>
      <c r="BE8" s="363">
        <f t="shared" si="6"/>
        <v>0</v>
      </c>
      <c r="BF8" s="364"/>
    </row>
    <row r="9" spans="1:58" ht="15" customHeight="1">
      <c r="A9" s="353" t="s">
        <v>204</v>
      </c>
      <c r="B9" s="354">
        <v>250</v>
      </c>
      <c r="C9" s="355"/>
      <c r="D9" s="35"/>
      <c r="E9" s="35"/>
      <c r="F9" s="35"/>
      <c r="G9" s="35"/>
      <c r="H9" s="35">
        <f t="shared" ref="H9:N9" si="8">$B$9*H5</f>
        <v>12500</v>
      </c>
      <c r="I9" s="35">
        <f t="shared" si="8"/>
        <v>12500</v>
      </c>
      <c r="J9" s="35">
        <f t="shared" si="8"/>
        <v>12500</v>
      </c>
      <c r="K9" s="35">
        <f t="shared" si="8"/>
        <v>12500</v>
      </c>
      <c r="L9" s="35">
        <f t="shared" si="8"/>
        <v>12500</v>
      </c>
      <c r="M9" s="35">
        <f t="shared" si="8"/>
        <v>12500</v>
      </c>
      <c r="N9" s="35">
        <f t="shared" si="8"/>
        <v>12500</v>
      </c>
      <c r="O9" s="35"/>
      <c r="P9" s="356"/>
      <c r="Q9" s="356"/>
      <c r="R9" s="355"/>
      <c r="S9" s="35"/>
      <c r="T9" s="35"/>
      <c r="U9" s="35"/>
      <c r="V9" s="35"/>
      <c r="W9" s="35"/>
      <c r="X9" s="35"/>
      <c r="Y9" s="35"/>
      <c r="Z9" s="35"/>
      <c r="AA9" s="357"/>
      <c r="AB9" s="357"/>
      <c r="AC9" s="357"/>
      <c r="AD9" s="357"/>
      <c r="AE9" s="357"/>
      <c r="AF9" s="357"/>
      <c r="AG9" s="357"/>
      <c r="AH9" s="357"/>
      <c r="AI9" s="357"/>
      <c r="AJ9" s="357"/>
      <c r="AK9" s="357"/>
      <c r="AL9" s="357"/>
      <c r="AM9" s="358"/>
      <c r="AN9" s="358"/>
      <c r="AO9" s="358"/>
      <c r="AP9" s="358"/>
      <c r="AQ9" s="358"/>
      <c r="AR9" s="358"/>
      <c r="AS9" s="358"/>
      <c r="AT9" s="358"/>
      <c r="AU9" s="358"/>
      <c r="AV9" s="358"/>
      <c r="AW9" s="358"/>
      <c r="AX9" s="358"/>
      <c r="AY9" s="359"/>
      <c r="AZ9" s="359"/>
      <c r="BA9" s="359"/>
      <c r="BB9" s="360"/>
      <c r="BC9" s="361"/>
      <c r="BD9" s="362"/>
      <c r="BE9" s="363"/>
      <c r="BF9" s="364"/>
    </row>
    <row r="10" spans="1:58" ht="15" customHeight="1">
      <c r="A10" s="353" t="s">
        <v>205</v>
      </c>
      <c r="B10" s="354">
        <v>75</v>
      </c>
      <c r="C10" s="355">
        <f>'Sales forecast'!C8</f>
        <v>2250</v>
      </c>
      <c r="D10" s="35">
        <f>'Sales forecast'!D8</f>
        <v>2250</v>
      </c>
      <c r="E10" s="35">
        <v>0</v>
      </c>
      <c r="F10" s="35">
        <v>2250</v>
      </c>
      <c r="G10" s="35">
        <v>2250</v>
      </c>
      <c r="H10" s="35">
        <f t="shared" ref="H10:O10" si="9">$B10*H$5</f>
        <v>3750</v>
      </c>
      <c r="I10" s="35">
        <f t="shared" si="9"/>
        <v>3750</v>
      </c>
      <c r="J10" s="35">
        <f t="shared" si="9"/>
        <v>3750</v>
      </c>
      <c r="K10" s="35">
        <f t="shared" si="9"/>
        <v>3750</v>
      </c>
      <c r="L10" s="35">
        <f t="shared" si="9"/>
        <v>3750</v>
      </c>
      <c r="M10" s="35">
        <f t="shared" si="9"/>
        <v>3750</v>
      </c>
      <c r="N10" s="35">
        <f t="shared" si="9"/>
        <v>3750</v>
      </c>
      <c r="O10" s="35">
        <f t="shared" si="9"/>
        <v>2250</v>
      </c>
      <c r="P10" s="356"/>
      <c r="Q10" s="356">
        <f t="shared" ref="Q10:Q15" si="10">SUM(C10:N10)</f>
        <v>35250</v>
      </c>
      <c r="R10" s="355"/>
      <c r="S10" s="35"/>
      <c r="T10" s="35"/>
      <c r="U10" s="35"/>
      <c r="V10" s="35"/>
      <c r="W10" s="35"/>
      <c r="X10" s="35"/>
      <c r="Y10" s="35"/>
      <c r="Z10" s="35"/>
      <c r="AA10" s="357" t="s">
        <v>267</v>
      </c>
      <c r="AB10" s="357" t="s">
        <v>267</v>
      </c>
      <c r="AC10" s="357" t="s">
        <v>267</v>
      </c>
      <c r="AD10" s="357" t="s">
        <v>267</v>
      </c>
      <c r="AE10" s="357" t="s">
        <v>267</v>
      </c>
      <c r="AF10" s="357" t="s">
        <v>267</v>
      </c>
      <c r="AG10" s="357" t="s">
        <v>267</v>
      </c>
      <c r="AH10" s="357" t="s">
        <v>267</v>
      </c>
      <c r="AI10" s="357" t="s">
        <v>267</v>
      </c>
      <c r="AJ10" s="357" t="s">
        <v>267</v>
      </c>
      <c r="AK10" s="357" t="s">
        <v>267</v>
      </c>
      <c r="AL10" s="357" t="s">
        <v>267</v>
      </c>
      <c r="AM10" s="358" t="s">
        <v>267</v>
      </c>
      <c r="AN10" s="358" t="s">
        <v>267</v>
      </c>
      <c r="AO10" s="358" t="s">
        <v>267</v>
      </c>
      <c r="AP10" s="358" t="s">
        <v>267</v>
      </c>
      <c r="AQ10" s="358" t="s">
        <v>267</v>
      </c>
      <c r="AR10" s="358" t="s">
        <v>267</v>
      </c>
      <c r="AS10" s="358" t="s">
        <v>267</v>
      </c>
      <c r="AT10" s="358" t="s">
        <v>267</v>
      </c>
      <c r="AU10" s="358" t="s">
        <v>267</v>
      </c>
      <c r="AV10" s="358" t="s">
        <v>267</v>
      </c>
      <c r="AW10" s="358" t="s">
        <v>267</v>
      </c>
      <c r="AX10" s="358" t="s">
        <v>267</v>
      </c>
      <c r="AY10" s="359"/>
      <c r="AZ10" s="359"/>
      <c r="BA10" s="359"/>
      <c r="BB10" s="360">
        <f t="shared" ref="BB10:BB12" si="11">SUM(D10:O10)</f>
        <v>35250</v>
      </c>
      <c r="BC10" s="361" t="e">
        <f t="shared" ref="BC10:BC11" ca="1" si="12">SUM(OFFSET(#REF!,0,0,1,MATCH(#REF!,#REF!,0)))</f>
        <v>#REF!</v>
      </c>
      <c r="BD10" s="362" t="e">
        <f t="shared" ref="BD10:BD11" si="13">SUM(#REF!)</f>
        <v>#REF!</v>
      </c>
      <c r="BE10" s="363">
        <f t="shared" ref="BE10:BE11" si="14">SUM(C10)</f>
        <v>2250</v>
      </c>
      <c r="BF10" s="364"/>
    </row>
    <row r="11" spans="1:58" ht="15" customHeight="1">
      <c r="A11" s="353" t="s">
        <v>206</v>
      </c>
      <c r="B11" s="354">
        <v>50</v>
      </c>
      <c r="C11" s="355">
        <f>'Sales forecast'!C9</f>
        <v>4550</v>
      </c>
      <c r="D11" s="35">
        <f>'Sales forecast'!D9</f>
        <v>1500</v>
      </c>
      <c r="E11" s="35">
        <v>0</v>
      </c>
      <c r="F11" s="35">
        <v>0</v>
      </c>
      <c r="G11" s="35">
        <v>1500</v>
      </c>
      <c r="H11" s="35">
        <f t="shared" ref="H11:O11" si="15">$B11*H$5</f>
        <v>2500</v>
      </c>
      <c r="I11" s="35">
        <f t="shared" si="15"/>
        <v>2500</v>
      </c>
      <c r="J11" s="35">
        <f t="shared" si="15"/>
        <v>2500</v>
      </c>
      <c r="K11" s="35">
        <f t="shared" si="15"/>
        <v>2500</v>
      </c>
      <c r="L11" s="35">
        <f t="shared" si="15"/>
        <v>2500</v>
      </c>
      <c r="M11" s="35">
        <f t="shared" si="15"/>
        <v>2500</v>
      </c>
      <c r="N11" s="35">
        <f t="shared" si="15"/>
        <v>2500</v>
      </c>
      <c r="O11" s="35">
        <f t="shared" si="15"/>
        <v>1500</v>
      </c>
      <c r="P11" s="356"/>
      <c r="Q11" s="356">
        <f t="shared" si="10"/>
        <v>25050</v>
      </c>
      <c r="R11" s="355"/>
      <c r="S11" s="35"/>
      <c r="T11" s="35"/>
      <c r="U11" s="35"/>
      <c r="V11" s="35"/>
      <c r="W11" s="35"/>
      <c r="X11" s="35"/>
      <c r="Y11" s="35"/>
      <c r="Z11" s="35"/>
      <c r="AA11" s="357" t="s">
        <v>267</v>
      </c>
      <c r="AB11" s="357" t="s">
        <v>267</v>
      </c>
      <c r="AC11" s="357" t="s">
        <v>267</v>
      </c>
      <c r="AD11" s="357" t="s">
        <v>267</v>
      </c>
      <c r="AE11" s="357" t="s">
        <v>267</v>
      </c>
      <c r="AF11" s="357" t="s">
        <v>267</v>
      </c>
      <c r="AG11" s="357" t="s">
        <v>267</v>
      </c>
      <c r="AH11" s="357" t="s">
        <v>267</v>
      </c>
      <c r="AI11" s="357" t="s">
        <v>267</v>
      </c>
      <c r="AJ11" s="357" t="s">
        <v>267</v>
      </c>
      <c r="AK11" s="357" t="s">
        <v>267</v>
      </c>
      <c r="AL11" s="357" t="s">
        <v>267</v>
      </c>
      <c r="AM11" s="358" t="s">
        <v>267</v>
      </c>
      <c r="AN11" s="358" t="s">
        <v>267</v>
      </c>
      <c r="AO11" s="358" t="s">
        <v>267</v>
      </c>
      <c r="AP11" s="358" t="s">
        <v>267</v>
      </c>
      <c r="AQ11" s="358" t="s">
        <v>267</v>
      </c>
      <c r="AR11" s="358" t="s">
        <v>267</v>
      </c>
      <c r="AS11" s="358" t="s">
        <v>267</v>
      </c>
      <c r="AT11" s="358" t="s">
        <v>267</v>
      </c>
      <c r="AU11" s="358" t="s">
        <v>267</v>
      </c>
      <c r="AV11" s="358" t="s">
        <v>267</v>
      </c>
      <c r="AW11" s="358" t="s">
        <v>267</v>
      </c>
      <c r="AX11" s="358" t="s">
        <v>267</v>
      </c>
      <c r="AY11" s="359"/>
      <c r="AZ11" s="359"/>
      <c r="BA11" s="359"/>
      <c r="BB11" s="360">
        <f t="shared" si="11"/>
        <v>22000</v>
      </c>
      <c r="BC11" s="361" t="e">
        <f t="shared" ca="1" si="12"/>
        <v>#REF!</v>
      </c>
      <c r="BD11" s="362" t="e">
        <f t="shared" si="13"/>
        <v>#REF!</v>
      </c>
      <c r="BE11" s="363">
        <f t="shared" si="14"/>
        <v>4550</v>
      </c>
      <c r="BF11" s="364"/>
    </row>
    <row r="12" spans="1:58" ht="15" customHeight="1">
      <c r="A12" s="353" t="s">
        <v>207</v>
      </c>
      <c r="B12" s="354">
        <v>75</v>
      </c>
      <c r="C12" s="355">
        <v>0</v>
      </c>
      <c r="D12" s="35">
        <f>'Sales forecast'!D10</f>
        <v>6750</v>
      </c>
      <c r="E12" s="35">
        <v>9000</v>
      </c>
      <c r="F12" s="35">
        <v>12750</v>
      </c>
      <c r="G12" s="35">
        <v>13500</v>
      </c>
      <c r="H12" s="35">
        <f t="shared" ref="H12:N12" si="16">$B12*G6</f>
        <v>15750</v>
      </c>
      <c r="I12" s="35">
        <f t="shared" si="16"/>
        <v>19500</v>
      </c>
      <c r="J12" s="35">
        <f t="shared" si="16"/>
        <v>23250</v>
      </c>
      <c r="K12" s="35">
        <f t="shared" si="16"/>
        <v>27000</v>
      </c>
      <c r="L12" s="35">
        <f t="shared" si="16"/>
        <v>30750</v>
      </c>
      <c r="M12" s="35">
        <f t="shared" si="16"/>
        <v>34500</v>
      </c>
      <c r="N12" s="35">
        <f t="shared" si="16"/>
        <v>38250</v>
      </c>
      <c r="O12" s="35">
        <f>$B12*O$6</f>
        <v>44250</v>
      </c>
      <c r="P12" s="356"/>
      <c r="Q12" s="356">
        <f t="shared" si="10"/>
        <v>231000</v>
      </c>
      <c r="R12" s="355"/>
      <c r="S12" s="35"/>
      <c r="T12" s="35"/>
      <c r="U12" s="35"/>
      <c r="V12" s="35"/>
      <c r="W12" s="35"/>
      <c r="X12" s="35"/>
      <c r="Y12" s="35"/>
      <c r="Z12" s="35"/>
      <c r="AA12" s="357" t="s">
        <v>267</v>
      </c>
      <c r="AB12" s="357" t="s">
        <v>267</v>
      </c>
      <c r="AC12" s="357" t="s">
        <v>267</v>
      </c>
      <c r="AD12" s="357" t="s">
        <v>267</v>
      </c>
      <c r="AE12" s="357" t="s">
        <v>267</v>
      </c>
      <c r="AF12" s="357" t="s">
        <v>267</v>
      </c>
      <c r="AG12" s="357" t="s">
        <v>267</v>
      </c>
      <c r="AH12" s="357" t="s">
        <v>267</v>
      </c>
      <c r="AI12" s="357" t="s">
        <v>267</v>
      </c>
      <c r="AJ12" s="357" t="s">
        <v>267</v>
      </c>
      <c r="AK12" s="357" t="s">
        <v>267</v>
      </c>
      <c r="AL12" s="357" t="s">
        <v>267</v>
      </c>
      <c r="AM12" s="358" t="s">
        <v>267</v>
      </c>
      <c r="AN12" s="358" t="s">
        <v>267</v>
      </c>
      <c r="AO12" s="358" t="s">
        <v>267</v>
      </c>
      <c r="AP12" s="358" t="s">
        <v>267</v>
      </c>
      <c r="AQ12" s="358" t="s">
        <v>267</v>
      </c>
      <c r="AR12" s="358" t="s">
        <v>267</v>
      </c>
      <c r="AS12" s="358" t="s">
        <v>267</v>
      </c>
      <c r="AT12" s="358" t="s">
        <v>267</v>
      </c>
      <c r="AU12" s="358" t="s">
        <v>267</v>
      </c>
      <c r="AV12" s="358" t="s">
        <v>267</v>
      </c>
      <c r="AW12" s="358" t="s">
        <v>267</v>
      </c>
      <c r="AX12" s="358" t="s">
        <v>267</v>
      </c>
      <c r="AY12" s="359"/>
      <c r="AZ12" s="359"/>
      <c r="BA12" s="359"/>
      <c r="BB12" s="360">
        <f t="shared" si="11"/>
        <v>275250</v>
      </c>
      <c r="BC12" s="361"/>
      <c r="BD12" s="362"/>
      <c r="BE12" s="363"/>
      <c r="BF12" s="364"/>
    </row>
    <row r="13" spans="1:58" ht="15" customHeight="1">
      <c r="A13" s="353" t="s">
        <v>208</v>
      </c>
      <c r="B13" s="354">
        <v>25</v>
      </c>
      <c r="C13" s="355">
        <v>0</v>
      </c>
      <c r="D13" s="35">
        <v>0</v>
      </c>
      <c r="E13" s="35">
        <v>0</v>
      </c>
      <c r="F13" s="35">
        <v>0</v>
      </c>
      <c r="G13" s="35">
        <v>0</v>
      </c>
      <c r="H13" s="35">
        <f t="shared" ref="H13:O13" si="17">70%*G6*25</f>
        <v>3675</v>
      </c>
      <c r="I13" s="35">
        <f t="shared" si="17"/>
        <v>4550</v>
      </c>
      <c r="J13" s="35">
        <f t="shared" si="17"/>
        <v>5425</v>
      </c>
      <c r="K13" s="35">
        <f t="shared" si="17"/>
        <v>6299.9999999999991</v>
      </c>
      <c r="L13" s="35">
        <f t="shared" si="17"/>
        <v>7175</v>
      </c>
      <c r="M13" s="35">
        <f t="shared" si="17"/>
        <v>8050</v>
      </c>
      <c r="N13" s="35">
        <f t="shared" si="17"/>
        <v>8925</v>
      </c>
      <c r="O13" s="35">
        <f t="shared" si="17"/>
        <v>9800</v>
      </c>
      <c r="P13" s="356"/>
      <c r="Q13" s="356">
        <f t="shared" si="10"/>
        <v>44100</v>
      </c>
      <c r="R13" s="355"/>
      <c r="S13" s="35"/>
      <c r="T13" s="35"/>
      <c r="U13" s="35"/>
      <c r="V13" s="35"/>
      <c r="W13" s="35"/>
      <c r="X13" s="35"/>
      <c r="Y13" s="35"/>
      <c r="Z13" s="35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9"/>
      <c r="AZ13" s="359"/>
      <c r="BA13" s="359"/>
      <c r="BB13" s="360"/>
      <c r="BC13" s="361"/>
      <c r="BD13" s="362"/>
      <c r="BE13" s="363"/>
      <c r="BF13" s="364"/>
    </row>
    <row r="14" spans="1:58" ht="15" customHeight="1">
      <c r="A14" s="353" t="s">
        <v>209</v>
      </c>
      <c r="B14" s="354">
        <v>50</v>
      </c>
      <c r="C14" s="355">
        <v>0</v>
      </c>
      <c r="D14" s="35">
        <v>0</v>
      </c>
      <c r="E14" s="35">
        <v>0</v>
      </c>
      <c r="F14" s="35">
        <v>0</v>
      </c>
      <c r="G14" s="35">
        <v>0</v>
      </c>
      <c r="H14" s="35">
        <f t="shared" ref="H14:O14" si="18">30%*G6*50</f>
        <v>3150</v>
      </c>
      <c r="I14" s="35">
        <f t="shared" si="18"/>
        <v>3900</v>
      </c>
      <c r="J14" s="35">
        <f t="shared" si="18"/>
        <v>4650</v>
      </c>
      <c r="K14" s="35">
        <f t="shared" si="18"/>
        <v>5400</v>
      </c>
      <c r="L14" s="35">
        <f t="shared" si="18"/>
        <v>6150</v>
      </c>
      <c r="M14" s="35">
        <f t="shared" si="18"/>
        <v>6900</v>
      </c>
      <c r="N14" s="35">
        <f t="shared" si="18"/>
        <v>7650</v>
      </c>
      <c r="O14" s="35">
        <f t="shared" si="18"/>
        <v>8400</v>
      </c>
      <c r="P14" s="356"/>
      <c r="Q14" s="356">
        <f t="shared" si="10"/>
        <v>37800</v>
      </c>
      <c r="R14" s="355"/>
      <c r="S14" s="35"/>
      <c r="T14" s="35"/>
      <c r="U14" s="35"/>
      <c r="V14" s="35"/>
      <c r="W14" s="35"/>
      <c r="X14" s="35"/>
      <c r="Y14" s="35"/>
      <c r="Z14" s="35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9"/>
      <c r="AZ14" s="359"/>
      <c r="BA14" s="359"/>
      <c r="BB14" s="360"/>
      <c r="BC14" s="361"/>
      <c r="BD14" s="362"/>
      <c r="BE14" s="363"/>
      <c r="BF14" s="364"/>
    </row>
    <row r="15" spans="1:58" ht="15" customHeight="1">
      <c r="A15" s="353" t="s">
        <v>210</v>
      </c>
      <c r="B15" s="354">
        <v>100</v>
      </c>
      <c r="C15" s="355">
        <f>'Sales forecast'!C13</f>
        <v>0</v>
      </c>
      <c r="D15" s="35">
        <f>'Sales forecast'!D13</f>
        <v>0</v>
      </c>
      <c r="E15" s="35">
        <f>'Sales forecast'!E13</f>
        <v>0</v>
      </c>
      <c r="F15" s="35"/>
      <c r="G15" s="35">
        <f>'Sales forecast'!G13</f>
        <v>0</v>
      </c>
      <c r="H15" s="35">
        <f>'Sales forecast'!H13</f>
        <v>0</v>
      </c>
      <c r="I15" s="35">
        <f>'Sales forecast'!I13</f>
        <v>0</v>
      </c>
      <c r="J15" s="35">
        <f t="shared" ref="J15:N15" si="19">I6*$B15</f>
        <v>31000</v>
      </c>
      <c r="K15" s="35">
        <f t="shared" si="19"/>
        <v>36000</v>
      </c>
      <c r="L15" s="35">
        <f t="shared" si="19"/>
        <v>41000</v>
      </c>
      <c r="M15" s="35">
        <f t="shared" si="19"/>
        <v>46000</v>
      </c>
      <c r="N15" s="35">
        <f t="shared" si="19"/>
        <v>51000</v>
      </c>
      <c r="O15" s="35">
        <f>M6*$B15</f>
        <v>51000</v>
      </c>
      <c r="P15" s="356"/>
      <c r="Q15" s="356">
        <f t="shared" si="10"/>
        <v>205000</v>
      </c>
      <c r="R15" s="355"/>
      <c r="S15" s="35"/>
      <c r="T15" s="35"/>
      <c r="U15" s="35"/>
      <c r="V15" s="35"/>
      <c r="W15" s="35"/>
      <c r="X15" s="35"/>
      <c r="Y15" s="35"/>
      <c r="Z15" s="35"/>
      <c r="AA15" s="357" t="s">
        <v>267</v>
      </c>
      <c r="AB15" s="357" t="s">
        <v>267</v>
      </c>
      <c r="AC15" s="357" t="s">
        <v>267</v>
      </c>
      <c r="AD15" s="357" t="s">
        <v>267</v>
      </c>
      <c r="AE15" s="357" t="s">
        <v>267</v>
      </c>
      <c r="AF15" s="357" t="s">
        <v>267</v>
      </c>
      <c r="AG15" s="357" t="s">
        <v>267</v>
      </c>
      <c r="AH15" s="357" t="s">
        <v>267</v>
      </c>
      <c r="AI15" s="357" t="s">
        <v>267</v>
      </c>
      <c r="AJ15" s="357" t="s">
        <v>267</v>
      </c>
      <c r="AK15" s="357" t="s">
        <v>267</v>
      </c>
      <c r="AL15" s="357" t="s">
        <v>267</v>
      </c>
      <c r="AM15" s="358" t="s">
        <v>267</v>
      </c>
      <c r="AN15" s="358" t="s">
        <v>267</v>
      </c>
      <c r="AO15" s="358" t="s">
        <v>267</v>
      </c>
      <c r="AP15" s="358" t="s">
        <v>267</v>
      </c>
      <c r="AQ15" s="358" t="s">
        <v>267</v>
      </c>
      <c r="AR15" s="358" t="s">
        <v>267</v>
      </c>
      <c r="AS15" s="358" t="s">
        <v>267</v>
      </c>
      <c r="AT15" s="358" t="s">
        <v>267</v>
      </c>
      <c r="AU15" s="358" t="s">
        <v>267</v>
      </c>
      <c r="AV15" s="358" t="s">
        <v>267</v>
      </c>
      <c r="AW15" s="358" t="s">
        <v>267</v>
      </c>
      <c r="AX15" s="358" t="s">
        <v>267</v>
      </c>
      <c r="AY15" s="359"/>
      <c r="AZ15" s="359"/>
      <c r="BA15" s="359"/>
      <c r="BB15" s="360">
        <f>SUM(D15:O15)</f>
        <v>256000</v>
      </c>
      <c r="BC15" s="361" t="e">
        <f ca="1">SUM(OFFSET(#REF!,0,0,1,MATCH(#REF!,#REF!,0)))</f>
        <v>#REF!</v>
      </c>
      <c r="BD15" s="362" t="e">
        <f t="shared" ref="BD15:BD16" si="20">SUM(#REF!)</f>
        <v>#REF!</v>
      </c>
      <c r="BE15" s="363">
        <f t="shared" ref="BE15:BE19" si="21">SUM(C15)</f>
        <v>0</v>
      </c>
      <c r="BF15" s="364">
        <f t="shared" ref="BF15:BF19" si="22">SUM(D15:O15)</f>
        <v>256000</v>
      </c>
    </row>
    <row r="16" spans="1:58" ht="21" customHeight="1">
      <c r="A16" s="365" t="s">
        <v>8</v>
      </c>
      <c r="B16" s="366"/>
      <c r="C16" s="367">
        <f t="shared" ref="C16:O16" si="23">SUM(C7:C15)</f>
        <v>36800</v>
      </c>
      <c r="D16" s="368">
        <f t="shared" si="23"/>
        <v>48300</v>
      </c>
      <c r="E16" s="368">
        <f t="shared" si="23"/>
        <v>14620</v>
      </c>
      <c r="F16" s="368">
        <f t="shared" si="23"/>
        <v>62423</v>
      </c>
      <c r="G16" s="368">
        <f t="shared" si="23"/>
        <v>59773.8</v>
      </c>
      <c r="H16" s="368">
        <f t="shared" si="23"/>
        <v>128825</v>
      </c>
      <c r="I16" s="368">
        <f t="shared" si="23"/>
        <v>134200</v>
      </c>
      <c r="J16" s="368">
        <f t="shared" si="23"/>
        <v>170575</v>
      </c>
      <c r="K16" s="368">
        <f t="shared" si="23"/>
        <v>180950</v>
      </c>
      <c r="L16" s="368">
        <f t="shared" si="23"/>
        <v>191325</v>
      </c>
      <c r="M16" s="368">
        <f t="shared" si="23"/>
        <v>201700</v>
      </c>
      <c r="N16" s="368">
        <f t="shared" si="23"/>
        <v>212075</v>
      </c>
      <c r="O16" s="368">
        <f t="shared" si="23"/>
        <v>169700</v>
      </c>
      <c r="P16" s="369"/>
      <c r="Q16" s="370">
        <f>SUM(Q7:Q15)</f>
        <v>1354066.8</v>
      </c>
      <c r="R16" s="371"/>
      <c r="S16" s="52"/>
      <c r="T16" s="52"/>
      <c r="U16" s="52"/>
      <c r="V16" s="52"/>
      <c r="W16" s="52"/>
      <c r="X16" s="52"/>
      <c r="Y16" s="52"/>
      <c r="Z16" s="52"/>
      <c r="AA16" s="372">
        <f t="shared" ref="AA16:AX16" si="24">SUM(AA7:AA15)</f>
        <v>0</v>
      </c>
      <c r="AB16" s="372">
        <f t="shared" si="24"/>
        <v>0</v>
      </c>
      <c r="AC16" s="372">
        <f t="shared" si="24"/>
        <v>0</v>
      </c>
      <c r="AD16" s="372">
        <f t="shared" si="24"/>
        <v>0</v>
      </c>
      <c r="AE16" s="372">
        <f t="shared" si="24"/>
        <v>0</v>
      </c>
      <c r="AF16" s="372">
        <f t="shared" si="24"/>
        <v>0</v>
      </c>
      <c r="AG16" s="372">
        <f t="shared" si="24"/>
        <v>0</v>
      </c>
      <c r="AH16" s="372">
        <f t="shared" si="24"/>
        <v>0</v>
      </c>
      <c r="AI16" s="372">
        <f t="shared" si="24"/>
        <v>0</v>
      </c>
      <c r="AJ16" s="372">
        <f t="shared" si="24"/>
        <v>0</v>
      </c>
      <c r="AK16" s="372">
        <f t="shared" si="24"/>
        <v>0</v>
      </c>
      <c r="AL16" s="372">
        <f t="shared" si="24"/>
        <v>0</v>
      </c>
      <c r="AM16" s="373">
        <f t="shared" si="24"/>
        <v>0</v>
      </c>
      <c r="AN16" s="373">
        <f t="shared" si="24"/>
        <v>0</v>
      </c>
      <c r="AO16" s="373">
        <f t="shared" si="24"/>
        <v>0</v>
      </c>
      <c r="AP16" s="373">
        <f t="shared" si="24"/>
        <v>0</v>
      </c>
      <c r="AQ16" s="373">
        <f t="shared" si="24"/>
        <v>0</v>
      </c>
      <c r="AR16" s="373">
        <f t="shared" si="24"/>
        <v>0</v>
      </c>
      <c r="AS16" s="373">
        <f t="shared" si="24"/>
        <v>0</v>
      </c>
      <c r="AT16" s="373">
        <f t="shared" si="24"/>
        <v>0</v>
      </c>
      <c r="AU16" s="373">
        <f t="shared" si="24"/>
        <v>0</v>
      </c>
      <c r="AV16" s="373">
        <f t="shared" si="24"/>
        <v>0</v>
      </c>
      <c r="AW16" s="373">
        <f t="shared" si="24"/>
        <v>0</v>
      </c>
      <c r="AX16" s="373">
        <f t="shared" si="24"/>
        <v>0</v>
      </c>
      <c r="AY16" s="374"/>
      <c r="AZ16" s="374"/>
      <c r="BA16" s="374"/>
      <c r="BB16" s="375">
        <f t="shared" ref="BB16:BC16" si="25">SUM(BB7:BB15)</f>
        <v>1386866.8</v>
      </c>
      <c r="BC16" s="376" t="e">
        <f t="shared" ca="1" si="25"/>
        <v>#REF!</v>
      </c>
      <c r="BD16" s="377" t="e">
        <f t="shared" si="20"/>
        <v>#REF!</v>
      </c>
      <c r="BE16" s="378">
        <f t="shared" si="21"/>
        <v>36800</v>
      </c>
      <c r="BF16" s="379">
        <f t="shared" si="22"/>
        <v>1574466.8</v>
      </c>
    </row>
    <row r="17" spans="1:58" ht="12.75" customHeight="1">
      <c r="A17" s="19"/>
      <c r="B17" s="380"/>
      <c r="C17" s="35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56"/>
      <c r="Q17" s="356"/>
      <c r="R17" s="355"/>
      <c r="S17" s="35"/>
      <c r="T17" s="35"/>
      <c r="U17" s="35"/>
      <c r="V17" s="35"/>
      <c r="W17" s="35"/>
      <c r="X17" s="35"/>
      <c r="Y17" s="35"/>
      <c r="Z17" s="35"/>
      <c r="AA17" s="357"/>
      <c r="AB17" s="357"/>
      <c r="AC17" s="357"/>
      <c r="AD17" s="357"/>
      <c r="AE17" s="357"/>
      <c r="AF17" s="357"/>
      <c r="AG17" s="357"/>
      <c r="AH17" s="357"/>
      <c r="AI17" s="357"/>
      <c r="AJ17" s="357"/>
      <c r="AK17" s="357"/>
      <c r="AL17" s="357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9"/>
      <c r="AZ17" s="359"/>
      <c r="BA17" s="359"/>
      <c r="BB17" s="360"/>
      <c r="BC17" s="361"/>
      <c r="BD17" s="362"/>
      <c r="BE17" s="363">
        <f t="shared" si="21"/>
        <v>0</v>
      </c>
      <c r="BF17" s="364">
        <f t="shared" si="22"/>
        <v>0</v>
      </c>
    </row>
    <row r="18" spans="1:58" ht="12.75" customHeight="1">
      <c r="A18" s="336" t="s">
        <v>9</v>
      </c>
      <c r="B18" s="311"/>
      <c r="C18" s="35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56"/>
      <c r="Q18" s="356"/>
      <c r="R18" s="355"/>
      <c r="S18" s="35"/>
      <c r="T18" s="35"/>
      <c r="U18" s="35"/>
      <c r="V18" s="35"/>
      <c r="W18" s="35"/>
      <c r="X18" s="35"/>
      <c r="Y18" s="35"/>
      <c r="Z18" s="35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9"/>
      <c r="AZ18" s="359"/>
      <c r="BA18" s="359"/>
      <c r="BB18" s="360"/>
      <c r="BC18" s="361"/>
      <c r="BD18" s="362"/>
      <c r="BE18" s="363">
        <f t="shared" si="21"/>
        <v>0</v>
      </c>
      <c r="BF18" s="364">
        <f t="shared" si="22"/>
        <v>0</v>
      </c>
    </row>
    <row r="19" spans="1:58" ht="14">
      <c r="A19" s="353" t="s">
        <v>211</v>
      </c>
      <c r="B19" s="354">
        <v>623</v>
      </c>
      <c r="C19" s="355">
        <f>'Non Staff costs'!C6</f>
        <v>2560</v>
      </c>
      <c r="D19" s="35">
        <v>0</v>
      </c>
      <c r="E19" s="35">
        <v>18000</v>
      </c>
      <c r="F19" s="35">
        <v>18000</v>
      </c>
      <c r="G19" s="35">
        <v>18000</v>
      </c>
      <c r="H19" s="35">
        <f t="shared" ref="H19:O19" si="26">H5*$B$19</f>
        <v>31150</v>
      </c>
      <c r="I19" s="35">
        <f t="shared" si="26"/>
        <v>31150</v>
      </c>
      <c r="J19" s="35">
        <f t="shared" si="26"/>
        <v>31150</v>
      </c>
      <c r="K19" s="35">
        <f t="shared" si="26"/>
        <v>31150</v>
      </c>
      <c r="L19" s="35">
        <f t="shared" si="26"/>
        <v>31150</v>
      </c>
      <c r="M19" s="35">
        <f t="shared" si="26"/>
        <v>31150</v>
      </c>
      <c r="N19" s="35">
        <f t="shared" si="26"/>
        <v>31150</v>
      </c>
      <c r="O19" s="35">
        <f t="shared" si="26"/>
        <v>18690</v>
      </c>
      <c r="P19" s="356"/>
      <c r="Q19" s="356">
        <f t="shared" ref="Q19:Q24" si="27">SUM(C19:N19)</f>
        <v>274610</v>
      </c>
      <c r="R19" s="355"/>
      <c r="S19" s="35"/>
      <c r="T19" s="35"/>
      <c r="U19" s="35"/>
      <c r="V19" s="35"/>
      <c r="W19" s="35"/>
      <c r="X19" s="35"/>
      <c r="Y19" s="35"/>
      <c r="Z19" s="35"/>
      <c r="AA19" s="357" t="s">
        <v>267</v>
      </c>
      <c r="AB19" s="357" t="s">
        <v>267</v>
      </c>
      <c r="AC19" s="357" t="s">
        <v>267</v>
      </c>
      <c r="AD19" s="357" t="s">
        <v>267</v>
      </c>
      <c r="AE19" s="357" t="s">
        <v>267</v>
      </c>
      <c r="AF19" s="357" t="s">
        <v>267</v>
      </c>
      <c r="AG19" s="357" t="s">
        <v>267</v>
      </c>
      <c r="AH19" s="357" t="s">
        <v>267</v>
      </c>
      <c r="AI19" s="357" t="s">
        <v>267</v>
      </c>
      <c r="AJ19" s="357" t="s">
        <v>267</v>
      </c>
      <c r="AK19" s="357" t="s">
        <v>267</v>
      </c>
      <c r="AL19" s="357" t="s">
        <v>267</v>
      </c>
      <c r="AM19" s="358" t="s">
        <v>267</v>
      </c>
      <c r="AN19" s="358" t="s">
        <v>267</v>
      </c>
      <c r="AO19" s="358" t="s">
        <v>267</v>
      </c>
      <c r="AP19" s="358" t="s">
        <v>267</v>
      </c>
      <c r="AQ19" s="358" t="s">
        <v>267</v>
      </c>
      <c r="AR19" s="358" t="s">
        <v>267</v>
      </c>
      <c r="AS19" s="358" t="s">
        <v>267</v>
      </c>
      <c r="AT19" s="358" t="s">
        <v>267</v>
      </c>
      <c r="AU19" s="358" t="s">
        <v>267</v>
      </c>
      <c r="AV19" s="358" t="s">
        <v>267</v>
      </c>
      <c r="AW19" s="358" t="s">
        <v>267</v>
      </c>
      <c r="AX19" s="358" t="s">
        <v>267</v>
      </c>
      <c r="AY19" s="359"/>
      <c r="AZ19" s="359"/>
      <c r="BA19" s="359"/>
      <c r="BB19" s="360">
        <f>SUM(D19:O19)</f>
        <v>290740</v>
      </c>
      <c r="BC19" s="361" t="e">
        <f ca="1">SUM(OFFSET(#REF!,0,0,1,MATCH(#REF!,#REF!,0)))</f>
        <v>#REF!</v>
      </c>
      <c r="BD19" s="362" t="e">
        <f>SUM(#REF!)</f>
        <v>#REF!</v>
      </c>
      <c r="BE19" s="363">
        <f t="shared" si="21"/>
        <v>2560</v>
      </c>
      <c r="BF19" s="364">
        <f t="shared" si="22"/>
        <v>290740</v>
      </c>
    </row>
    <row r="20" spans="1:58" ht="14">
      <c r="A20" s="353" t="s">
        <v>212</v>
      </c>
      <c r="B20" s="354">
        <v>600</v>
      </c>
      <c r="C20" s="355">
        <v>0</v>
      </c>
      <c r="D20" s="35">
        <v>7364</v>
      </c>
      <c r="E20" s="35">
        <f>5105+5870-484-170-1425</f>
        <v>8896</v>
      </c>
      <c r="F20" s="35">
        <f>5708.7-484-170</f>
        <v>5054.7</v>
      </c>
      <c r="G20" s="35">
        <v>10047</v>
      </c>
      <c r="H20" s="35">
        <f t="shared" ref="H20:O20" si="28">$B$20*H5</f>
        <v>30000</v>
      </c>
      <c r="I20" s="35">
        <f t="shared" si="28"/>
        <v>30000</v>
      </c>
      <c r="J20" s="35">
        <f t="shared" si="28"/>
        <v>30000</v>
      </c>
      <c r="K20" s="35">
        <f t="shared" si="28"/>
        <v>30000</v>
      </c>
      <c r="L20" s="35">
        <f t="shared" si="28"/>
        <v>30000</v>
      </c>
      <c r="M20" s="35">
        <f t="shared" si="28"/>
        <v>30000</v>
      </c>
      <c r="N20" s="35">
        <f t="shared" si="28"/>
        <v>30000</v>
      </c>
      <c r="O20" s="35">
        <f t="shared" si="28"/>
        <v>18000</v>
      </c>
      <c r="P20" s="356"/>
      <c r="Q20" s="356">
        <f t="shared" si="27"/>
        <v>241361.7</v>
      </c>
      <c r="R20" s="355"/>
      <c r="S20" s="35"/>
      <c r="T20" s="35"/>
      <c r="U20" s="35"/>
      <c r="V20" s="35"/>
      <c r="W20" s="35"/>
      <c r="X20" s="35"/>
      <c r="Y20" s="35"/>
      <c r="Z20" s="35"/>
      <c r="AA20" s="357"/>
      <c r="AB20" s="357"/>
      <c r="AC20" s="357"/>
      <c r="AD20" s="357"/>
      <c r="AE20" s="357"/>
      <c r="AF20" s="357"/>
      <c r="AG20" s="357"/>
      <c r="AH20" s="357"/>
      <c r="AI20" s="357"/>
      <c r="AJ20" s="357"/>
      <c r="AK20" s="357"/>
      <c r="AL20" s="357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9"/>
      <c r="AZ20" s="359"/>
      <c r="BA20" s="359"/>
      <c r="BB20" s="360"/>
      <c r="BC20" s="361"/>
      <c r="BD20" s="362"/>
      <c r="BE20" s="363"/>
      <c r="BF20" s="364"/>
    </row>
    <row r="21" spans="1:58" ht="14">
      <c r="A21" s="353" t="s">
        <v>213</v>
      </c>
      <c r="B21" s="354">
        <v>47.5</v>
      </c>
      <c r="C21" s="355">
        <f>'Non Staff costs'!C8</f>
        <v>0</v>
      </c>
      <c r="D21" s="35">
        <v>0</v>
      </c>
      <c r="E21" s="35">
        <v>1425</v>
      </c>
      <c r="F21" s="35">
        <v>1500</v>
      </c>
      <c r="G21" s="35">
        <v>1500</v>
      </c>
      <c r="H21" s="35">
        <f t="shared" ref="H21:O21" si="29">$B21*H$5</f>
        <v>2375</v>
      </c>
      <c r="I21" s="35">
        <f t="shared" si="29"/>
        <v>2375</v>
      </c>
      <c r="J21" s="35">
        <f t="shared" si="29"/>
        <v>2375</v>
      </c>
      <c r="K21" s="35">
        <f t="shared" si="29"/>
        <v>2375</v>
      </c>
      <c r="L21" s="35">
        <f t="shared" si="29"/>
        <v>2375</v>
      </c>
      <c r="M21" s="35">
        <f t="shared" si="29"/>
        <v>2375</v>
      </c>
      <c r="N21" s="35">
        <f t="shared" si="29"/>
        <v>2375</v>
      </c>
      <c r="O21" s="35">
        <f t="shared" si="29"/>
        <v>1425</v>
      </c>
      <c r="P21" s="356"/>
      <c r="Q21" s="356">
        <f t="shared" si="27"/>
        <v>21050</v>
      </c>
      <c r="R21" s="355"/>
      <c r="S21" s="35"/>
      <c r="T21" s="35"/>
      <c r="U21" s="35"/>
      <c r="V21" s="35"/>
      <c r="W21" s="35"/>
      <c r="X21" s="35"/>
      <c r="Y21" s="35"/>
      <c r="Z21" s="35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9"/>
      <c r="AZ21" s="359"/>
      <c r="BA21" s="359"/>
      <c r="BB21" s="360"/>
      <c r="BC21" s="361"/>
      <c r="BD21" s="362"/>
      <c r="BE21" s="363"/>
      <c r="BF21" s="364"/>
    </row>
    <row r="22" spans="1:58" ht="14">
      <c r="A22" s="353" t="s">
        <v>214</v>
      </c>
      <c r="B22" s="354">
        <v>200</v>
      </c>
      <c r="C22" s="355">
        <f>'Non Staff costs'!C9</f>
        <v>0</v>
      </c>
      <c r="D22" s="35">
        <v>0</v>
      </c>
      <c r="E22" s="35"/>
      <c r="F22" s="35"/>
      <c r="G22" s="35">
        <f>'Non Staff costs'!G9</f>
        <v>0</v>
      </c>
      <c r="H22" s="35">
        <f t="shared" ref="H22:N22" si="30">H5*$B$22</f>
        <v>10000</v>
      </c>
      <c r="I22" s="35">
        <f t="shared" si="30"/>
        <v>10000</v>
      </c>
      <c r="J22" s="35">
        <f t="shared" si="30"/>
        <v>10000</v>
      </c>
      <c r="K22" s="35">
        <f t="shared" si="30"/>
        <v>10000</v>
      </c>
      <c r="L22" s="35">
        <f t="shared" si="30"/>
        <v>10000</v>
      </c>
      <c r="M22" s="35">
        <f t="shared" si="30"/>
        <v>10000</v>
      </c>
      <c r="N22" s="35">
        <f t="shared" si="30"/>
        <v>10000</v>
      </c>
      <c r="O22" s="381">
        <f>'Non Staff costs'!O9</f>
        <v>0</v>
      </c>
      <c r="P22" s="356"/>
      <c r="Q22" s="356">
        <f t="shared" si="27"/>
        <v>70000</v>
      </c>
      <c r="R22" s="355"/>
      <c r="S22" s="35"/>
      <c r="T22" s="35"/>
      <c r="U22" s="35"/>
      <c r="V22" s="35"/>
      <c r="W22" s="35"/>
      <c r="X22" s="35"/>
      <c r="Y22" s="35"/>
      <c r="Z22" s="35"/>
      <c r="AA22" s="357"/>
      <c r="AB22" s="357"/>
      <c r="AC22" s="357"/>
      <c r="AD22" s="357"/>
      <c r="AE22" s="357"/>
      <c r="AF22" s="357"/>
      <c r="AG22" s="357"/>
      <c r="AH22" s="357"/>
      <c r="AI22" s="357"/>
      <c r="AJ22" s="357"/>
      <c r="AK22" s="357"/>
      <c r="AL22" s="357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9"/>
      <c r="AZ22" s="359"/>
      <c r="BA22" s="359"/>
      <c r="BB22" s="360"/>
      <c r="BC22" s="361"/>
      <c r="BD22" s="362"/>
      <c r="BE22" s="363"/>
      <c r="BF22" s="364"/>
    </row>
    <row r="23" spans="1:58" ht="14">
      <c r="A23" s="353" t="s">
        <v>215</v>
      </c>
      <c r="B23" s="382">
        <v>22.5</v>
      </c>
      <c r="C23" s="355">
        <v>0</v>
      </c>
      <c r="D23" s="35">
        <v>0</v>
      </c>
      <c r="E23" s="35">
        <v>484</v>
      </c>
      <c r="F23" s="35">
        <v>484</v>
      </c>
      <c r="G23" s="35">
        <v>1760</v>
      </c>
      <c r="H23" s="35">
        <f t="shared" ref="H23:N23" si="31">H6*$B23</f>
        <v>5850</v>
      </c>
      <c r="I23" s="35">
        <f t="shared" si="31"/>
        <v>6975</v>
      </c>
      <c r="J23" s="35">
        <f t="shared" si="31"/>
        <v>8100</v>
      </c>
      <c r="K23" s="35">
        <f t="shared" si="31"/>
        <v>9225</v>
      </c>
      <c r="L23" s="35">
        <f t="shared" si="31"/>
        <v>10350</v>
      </c>
      <c r="M23" s="35">
        <f t="shared" si="31"/>
        <v>11475</v>
      </c>
      <c r="N23" s="35">
        <f t="shared" si="31"/>
        <v>12600</v>
      </c>
      <c r="O23" s="381">
        <f>'Non Staff costs'!O10</f>
        <v>0</v>
      </c>
      <c r="P23" s="356"/>
      <c r="Q23" s="356">
        <f t="shared" si="27"/>
        <v>67303</v>
      </c>
      <c r="R23" s="355"/>
      <c r="S23" s="35"/>
      <c r="T23" s="35"/>
      <c r="U23" s="35"/>
      <c r="V23" s="35"/>
      <c r="W23" s="35"/>
      <c r="X23" s="35"/>
      <c r="Y23" s="35"/>
      <c r="Z23" s="35"/>
      <c r="AA23" s="357" t="s">
        <v>267</v>
      </c>
      <c r="AB23" s="357" t="s">
        <v>267</v>
      </c>
      <c r="AC23" s="357" t="s">
        <v>267</v>
      </c>
      <c r="AD23" s="357" t="s">
        <v>267</v>
      </c>
      <c r="AE23" s="357" t="s">
        <v>267</v>
      </c>
      <c r="AF23" s="357" t="s">
        <v>267</v>
      </c>
      <c r="AG23" s="357" t="s">
        <v>267</v>
      </c>
      <c r="AH23" s="357" t="s">
        <v>267</v>
      </c>
      <c r="AI23" s="357" t="s">
        <v>267</v>
      </c>
      <c r="AJ23" s="357" t="s">
        <v>267</v>
      </c>
      <c r="AK23" s="357" t="s">
        <v>267</v>
      </c>
      <c r="AL23" s="357" t="s">
        <v>267</v>
      </c>
      <c r="AM23" s="358" t="s">
        <v>267</v>
      </c>
      <c r="AN23" s="358" t="s">
        <v>267</v>
      </c>
      <c r="AO23" s="358" t="s">
        <v>267</v>
      </c>
      <c r="AP23" s="358" t="s">
        <v>267</v>
      </c>
      <c r="AQ23" s="358" t="s">
        <v>267</v>
      </c>
      <c r="AR23" s="358" t="s">
        <v>267</v>
      </c>
      <c r="AS23" s="358" t="s">
        <v>267</v>
      </c>
      <c r="AT23" s="358" t="s">
        <v>267</v>
      </c>
      <c r="AU23" s="358" t="s">
        <v>267</v>
      </c>
      <c r="AV23" s="358" t="s">
        <v>267</v>
      </c>
      <c r="AW23" s="358" t="s">
        <v>267</v>
      </c>
      <c r="AX23" s="358" t="s">
        <v>267</v>
      </c>
      <c r="AY23" s="359"/>
      <c r="AZ23" s="359"/>
      <c r="BA23" s="359"/>
      <c r="BB23" s="360"/>
      <c r="BC23" s="361"/>
      <c r="BD23" s="362"/>
      <c r="BE23" s="363"/>
      <c r="BF23" s="364">
        <f t="shared" ref="BF23:BF52" si="32">SUM(D23:O23)</f>
        <v>67303</v>
      </c>
    </row>
    <row r="24" spans="1:58" ht="14">
      <c r="A24" s="353" t="s">
        <v>216</v>
      </c>
      <c r="B24" s="354">
        <v>60</v>
      </c>
      <c r="C24" s="355">
        <v>0</v>
      </c>
      <c r="D24" s="355">
        <v>0</v>
      </c>
      <c r="E24" s="355">
        <v>0</v>
      </c>
      <c r="F24" s="355">
        <v>0</v>
      </c>
      <c r="G24" s="355">
        <v>0</v>
      </c>
      <c r="H24" s="355">
        <v>0</v>
      </c>
      <c r="I24" s="355">
        <v>0</v>
      </c>
      <c r="J24" s="35">
        <f t="shared" ref="J24:N24" si="33">I6*$B24</f>
        <v>18600</v>
      </c>
      <c r="K24" s="35">
        <f t="shared" si="33"/>
        <v>21600</v>
      </c>
      <c r="L24" s="35">
        <f t="shared" si="33"/>
        <v>24600</v>
      </c>
      <c r="M24" s="35">
        <f t="shared" si="33"/>
        <v>27600</v>
      </c>
      <c r="N24" s="35">
        <f t="shared" si="33"/>
        <v>30600</v>
      </c>
      <c r="O24" s="381">
        <f>'Non Staff costs'!O11</f>
        <v>0</v>
      </c>
      <c r="P24" s="356"/>
      <c r="Q24" s="356">
        <f t="shared" si="27"/>
        <v>123000</v>
      </c>
      <c r="R24" s="355"/>
      <c r="S24" s="35"/>
      <c r="T24" s="35"/>
      <c r="U24" s="35"/>
      <c r="V24" s="35"/>
      <c r="W24" s="35"/>
      <c r="X24" s="35"/>
      <c r="Y24" s="35"/>
      <c r="Z24" s="35"/>
      <c r="AA24" s="357"/>
      <c r="AB24" s="357"/>
      <c r="AC24" s="357"/>
      <c r="AD24" s="357"/>
      <c r="AE24" s="357"/>
      <c r="AF24" s="357"/>
      <c r="AG24" s="357"/>
      <c r="AH24" s="357"/>
      <c r="AI24" s="357"/>
      <c r="AJ24" s="357"/>
      <c r="AK24" s="357"/>
      <c r="AL24" s="357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9"/>
      <c r="AZ24" s="359"/>
      <c r="BA24" s="359"/>
      <c r="BB24" s="360">
        <f t="shared" ref="BB24:BB28" si="34">SUM(D24:O24)</f>
        <v>123000</v>
      </c>
      <c r="BC24" s="361" t="e">
        <f t="shared" ref="BC24:BC28" ca="1" si="35">SUM(OFFSET(#REF!,0,0,1,MATCH(#REF!,#REF!,0)))</f>
        <v>#REF!</v>
      </c>
      <c r="BD24" s="362" t="e">
        <f t="shared" ref="BD24:BD28" si="36">SUM(#REF!)</f>
        <v>#REF!</v>
      </c>
      <c r="BE24" s="363">
        <f t="shared" ref="BE24:BE35" si="37">SUM(C24)</f>
        <v>0</v>
      </c>
      <c r="BF24" s="364">
        <f t="shared" si="32"/>
        <v>123000</v>
      </c>
    </row>
    <row r="25" spans="1:58" ht="14">
      <c r="A25" s="19"/>
      <c r="B25" s="380"/>
      <c r="C25" s="35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6"/>
      <c r="Q25" s="356"/>
      <c r="R25" s="355"/>
      <c r="S25" s="35"/>
      <c r="T25" s="35"/>
      <c r="U25" s="35"/>
      <c r="V25" s="35"/>
      <c r="W25" s="35"/>
      <c r="X25" s="35"/>
      <c r="Y25" s="35"/>
      <c r="Z25" s="35"/>
      <c r="AA25" s="357"/>
      <c r="AB25" s="357"/>
      <c r="AC25" s="357"/>
      <c r="AD25" s="357"/>
      <c r="AE25" s="357"/>
      <c r="AF25" s="357"/>
      <c r="AG25" s="357"/>
      <c r="AH25" s="357"/>
      <c r="AI25" s="357"/>
      <c r="AJ25" s="357"/>
      <c r="AK25" s="357"/>
      <c r="AL25" s="357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9"/>
      <c r="AZ25" s="359"/>
      <c r="BA25" s="359"/>
      <c r="BB25" s="360">
        <f t="shared" si="34"/>
        <v>0</v>
      </c>
      <c r="BC25" s="361" t="e">
        <f t="shared" ca="1" si="35"/>
        <v>#REF!</v>
      </c>
      <c r="BD25" s="362" t="e">
        <f t="shared" si="36"/>
        <v>#REF!</v>
      </c>
      <c r="BE25" s="363">
        <f t="shared" si="37"/>
        <v>0</v>
      </c>
      <c r="BF25" s="364">
        <f t="shared" si="32"/>
        <v>0</v>
      </c>
    </row>
    <row r="26" spans="1:58" ht="14" outlineLevel="1">
      <c r="A26" s="336" t="s">
        <v>12</v>
      </c>
      <c r="B26" s="311"/>
      <c r="C26" s="35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6"/>
      <c r="Q26" s="356"/>
      <c r="R26" s="355"/>
      <c r="S26" s="35"/>
      <c r="T26" s="35"/>
      <c r="U26" s="35"/>
      <c r="V26" s="35"/>
      <c r="W26" s="35"/>
      <c r="X26" s="35"/>
      <c r="Y26" s="35"/>
      <c r="Z26" s="35"/>
      <c r="AA26" s="357"/>
      <c r="AB26" s="357"/>
      <c r="AC26" s="357"/>
      <c r="AD26" s="357"/>
      <c r="AE26" s="357"/>
      <c r="AF26" s="357"/>
      <c r="AG26" s="357"/>
      <c r="AH26" s="357"/>
      <c r="AI26" s="357"/>
      <c r="AJ26" s="357"/>
      <c r="AK26" s="357"/>
      <c r="AL26" s="357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9"/>
      <c r="AZ26" s="359"/>
      <c r="BA26" s="359"/>
      <c r="BB26" s="360">
        <f t="shared" si="34"/>
        <v>0</v>
      </c>
      <c r="BC26" s="361" t="e">
        <f t="shared" ca="1" si="35"/>
        <v>#REF!</v>
      </c>
      <c r="BD26" s="362" t="e">
        <f t="shared" si="36"/>
        <v>#REF!</v>
      </c>
      <c r="BE26" s="363">
        <f t="shared" si="37"/>
        <v>0</v>
      </c>
      <c r="BF26" s="364">
        <f t="shared" si="32"/>
        <v>0</v>
      </c>
    </row>
    <row r="27" spans="1:58" ht="14" outlineLevel="1">
      <c r="A27" s="383" t="s">
        <v>13</v>
      </c>
      <c r="B27" s="380"/>
      <c r="C27" s="355">
        <v>5000</v>
      </c>
      <c r="D27" s="35">
        <v>0</v>
      </c>
      <c r="E27" s="35">
        <v>5000</v>
      </c>
      <c r="F27" s="35">
        <v>5000</v>
      </c>
      <c r="G27" s="35">
        <v>0</v>
      </c>
      <c r="H27" s="35">
        <v>5000</v>
      </c>
      <c r="I27" s="35">
        <v>5000</v>
      </c>
      <c r="J27" s="35">
        <v>5000</v>
      </c>
      <c r="K27" s="35">
        <v>5000</v>
      </c>
      <c r="L27" s="35">
        <v>5000</v>
      </c>
      <c r="M27" s="35">
        <v>5000</v>
      </c>
      <c r="N27" s="35">
        <v>5000</v>
      </c>
      <c r="O27" s="35">
        <v>0</v>
      </c>
      <c r="P27" s="356"/>
      <c r="Q27" s="356">
        <f t="shared" ref="Q27:Q28" si="38">SUM(C27:N27)</f>
        <v>50000</v>
      </c>
      <c r="R27" s="355"/>
      <c r="S27" s="35"/>
      <c r="T27" s="35"/>
      <c r="U27" s="35"/>
      <c r="V27" s="35"/>
      <c r="W27" s="35"/>
      <c r="X27" s="35"/>
      <c r="Y27" s="35"/>
      <c r="Z27" s="35"/>
      <c r="AA27" s="357" t="s">
        <v>267</v>
      </c>
      <c r="AB27" s="357" t="s">
        <v>267</v>
      </c>
      <c r="AC27" s="357" t="s">
        <v>267</v>
      </c>
      <c r="AD27" s="357" t="s">
        <v>267</v>
      </c>
      <c r="AE27" s="357" t="s">
        <v>267</v>
      </c>
      <c r="AF27" s="357" t="s">
        <v>267</v>
      </c>
      <c r="AG27" s="357" t="s">
        <v>267</v>
      </c>
      <c r="AH27" s="357" t="s">
        <v>267</v>
      </c>
      <c r="AI27" s="357" t="s">
        <v>267</v>
      </c>
      <c r="AJ27" s="357" t="s">
        <v>267</v>
      </c>
      <c r="AK27" s="357" t="s">
        <v>267</v>
      </c>
      <c r="AL27" s="357" t="s">
        <v>267</v>
      </c>
      <c r="AM27" s="358" t="s">
        <v>267</v>
      </c>
      <c r="AN27" s="358" t="s">
        <v>267</v>
      </c>
      <c r="AO27" s="358" t="s">
        <v>267</v>
      </c>
      <c r="AP27" s="358" t="s">
        <v>267</v>
      </c>
      <c r="AQ27" s="358" t="s">
        <v>267</v>
      </c>
      <c r="AR27" s="358" t="s">
        <v>267</v>
      </c>
      <c r="AS27" s="358" t="s">
        <v>267</v>
      </c>
      <c r="AT27" s="358" t="s">
        <v>267</v>
      </c>
      <c r="AU27" s="358" t="s">
        <v>267</v>
      </c>
      <c r="AV27" s="358" t="s">
        <v>267</v>
      </c>
      <c r="AW27" s="358" t="s">
        <v>267</v>
      </c>
      <c r="AX27" s="358" t="s">
        <v>267</v>
      </c>
      <c r="AY27" s="359"/>
      <c r="AZ27" s="359"/>
      <c r="BA27" s="359"/>
      <c r="BB27" s="360">
        <f t="shared" si="34"/>
        <v>45000</v>
      </c>
      <c r="BC27" s="361" t="e">
        <f t="shared" ca="1" si="35"/>
        <v>#REF!</v>
      </c>
      <c r="BD27" s="362" t="e">
        <f t="shared" si="36"/>
        <v>#REF!</v>
      </c>
      <c r="BE27" s="363">
        <f t="shared" si="37"/>
        <v>5000</v>
      </c>
      <c r="BF27" s="364">
        <f t="shared" si="32"/>
        <v>45000</v>
      </c>
    </row>
    <row r="28" spans="1:58" ht="14" outlineLevel="1">
      <c r="A28" s="383" t="s">
        <v>217</v>
      </c>
      <c r="B28" s="380"/>
      <c r="C28" s="355">
        <v>0</v>
      </c>
      <c r="D28" s="355">
        <v>0</v>
      </c>
      <c r="E28" s="355">
        <v>0</v>
      </c>
      <c r="F28" s="355">
        <v>0</v>
      </c>
      <c r="G28" s="355">
        <v>0</v>
      </c>
      <c r="H28" s="355">
        <v>0</v>
      </c>
      <c r="I28" s="355">
        <f>'Staff costs'!P2/2</f>
        <v>3000</v>
      </c>
      <c r="J28" s="355">
        <f>'Staff costs'!Q2/2</f>
        <v>3000</v>
      </c>
      <c r="K28" s="355">
        <f>'Staff costs'!R2/2</f>
        <v>3000</v>
      </c>
      <c r="L28" s="355">
        <f>'Staff costs'!S2/2</f>
        <v>3000</v>
      </c>
      <c r="M28" s="355">
        <f>'Staff costs'!T2/2</f>
        <v>3000</v>
      </c>
      <c r="N28" s="355">
        <f>'Staff costs'!U2/2</f>
        <v>3000</v>
      </c>
      <c r="O28" s="381">
        <v>5000</v>
      </c>
      <c r="P28" s="356"/>
      <c r="Q28" s="356">
        <f t="shared" si="38"/>
        <v>18000</v>
      </c>
      <c r="R28" s="355"/>
      <c r="S28" s="35"/>
      <c r="T28" s="35"/>
      <c r="U28" s="35"/>
      <c r="V28" s="35"/>
      <c r="W28" s="35"/>
      <c r="X28" s="35"/>
      <c r="Y28" s="35"/>
      <c r="Z28" s="35"/>
      <c r="AA28" s="357" t="s">
        <v>267</v>
      </c>
      <c r="AB28" s="357" t="s">
        <v>267</v>
      </c>
      <c r="AC28" s="357" t="s">
        <v>267</v>
      </c>
      <c r="AD28" s="357" t="s">
        <v>267</v>
      </c>
      <c r="AE28" s="357" t="s">
        <v>267</v>
      </c>
      <c r="AF28" s="357" t="s">
        <v>267</v>
      </c>
      <c r="AG28" s="357" t="s">
        <v>267</v>
      </c>
      <c r="AH28" s="357" t="s">
        <v>267</v>
      </c>
      <c r="AI28" s="357" t="s">
        <v>267</v>
      </c>
      <c r="AJ28" s="357" t="s">
        <v>267</v>
      </c>
      <c r="AK28" s="357" t="s">
        <v>267</v>
      </c>
      <c r="AL28" s="357" t="s">
        <v>267</v>
      </c>
      <c r="AM28" s="358" t="s">
        <v>267</v>
      </c>
      <c r="AN28" s="358" t="s">
        <v>267</v>
      </c>
      <c r="AO28" s="358" t="s">
        <v>267</v>
      </c>
      <c r="AP28" s="358" t="s">
        <v>267</v>
      </c>
      <c r="AQ28" s="358" t="s">
        <v>267</v>
      </c>
      <c r="AR28" s="358" t="s">
        <v>267</v>
      </c>
      <c r="AS28" s="358" t="s">
        <v>267</v>
      </c>
      <c r="AT28" s="358" t="s">
        <v>267</v>
      </c>
      <c r="AU28" s="358" t="s">
        <v>267</v>
      </c>
      <c r="AV28" s="358" t="s">
        <v>267</v>
      </c>
      <c r="AW28" s="358" t="s">
        <v>267</v>
      </c>
      <c r="AX28" s="358" t="s">
        <v>267</v>
      </c>
      <c r="AY28" s="359"/>
      <c r="AZ28" s="359"/>
      <c r="BA28" s="359"/>
      <c r="BB28" s="360">
        <f t="shared" si="34"/>
        <v>23000</v>
      </c>
      <c r="BC28" s="361" t="e">
        <f t="shared" ca="1" si="35"/>
        <v>#REF!</v>
      </c>
      <c r="BD28" s="362" t="e">
        <f t="shared" si="36"/>
        <v>#REF!</v>
      </c>
      <c r="BE28" s="384">
        <f t="shared" si="37"/>
        <v>0</v>
      </c>
      <c r="BF28" s="364">
        <f t="shared" si="32"/>
        <v>23000</v>
      </c>
    </row>
    <row r="29" spans="1:58" ht="14" outlineLevel="1">
      <c r="A29" s="385" t="s">
        <v>15</v>
      </c>
      <c r="B29" s="325"/>
      <c r="C29" s="371">
        <f t="shared" ref="C29:O29" si="39">SUM(C27:C28)</f>
        <v>5000</v>
      </c>
      <c r="D29" s="52">
        <f t="shared" si="39"/>
        <v>0</v>
      </c>
      <c r="E29" s="52">
        <f t="shared" si="39"/>
        <v>5000</v>
      </c>
      <c r="F29" s="52">
        <f t="shared" si="39"/>
        <v>5000</v>
      </c>
      <c r="G29" s="52">
        <f t="shared" si="39"/>
        <v>0</v>
      </c>
      <c r="H29" s="52">
        <f t="shared" si="39"/>
        <v>5000</v>
      </c>
      <c r="I29" s="52">
        <f t="shared" si="39"/>
        <v>8000</v>
      </c>
      <c r="J29" s="52">
        <f t="shared" si="39"/>
        <v>8000</v>
      </c>
      <c r="K29" s="52">
        <f t="shared" si="39"/>
        <v>8000</v>
      </c>
      <c r="L29" s="52">
        <f t="shared" si="39"/>
        <v>8000</v>
      </c>
      <c r="M29" s="52">
        <f t="shared" si="39"/>
        <v>8000</v>
      </c>
      <c r="N29" s="52">
        <f t="shared" si="39"/>
        <v>8000</v>
      </c>
      <c r="O29" s="52">
        <f t="shared" si="39"/>
        <v>5000</v>
      </c>
      <c r="P29" s="369"/>
      <c r="Q29" s="369">
        <f>SUM(Q27:Q28)</f>
        <v>68000</v>
      </c>
      <c r="R29" s="371"/>
      <c r="S29" s="52"/>
      <c r="T29" s="52"/>
      <c r="U29" s="52"/>
      <c r="V29" s="52"/>
      <c r="W29" s="52"/>
      <c r="X29" s="52"/>
      <c r="Y29" s="52"/>
      <c r="Z29" s="52"/>
      <c r="AA29" s="372">
        <f t="shared" ref="AA29:AX29" si="40">SUM(AA27:AA28)</f>
        <v>0</v>
      </c>
      <c r="AB29" s="372">
        <f t="shared" si="40"/>
        <v>0</v>
      </c>
      <c r="AC29" s="372">
        <f t="shared" si="40"/>
        <v>0</v>
      </c>
      <c r="AD29" s="372">
        <f t="shared" si="40"/>
        <v>0</v>
      </c>
      <c r="AE29" s="372">
        <f t="shared" si="40"/>
        <v>0</v>
      </c>
      <c r="AF29" s="372">
        <f t="shared" si="40"/>
        <v>0</v>
      </c>
      <c r="AG29" s="372">
        <f t="shared" si="40"/>
        <v>0</v>
      </c>
      <c r="AH29" s="372">
        <f t="shared" si="40"/>
        <v>0</v>
      </c>
      <c r="AI29" s="372">
        <f t="shared" si="40"/>
        <v>0</v>
      </c>
      <c r="AJ29" s="372">
        <f t="shared" si="40"/>
        <v>0</v>
      </c>
      <c r="AK29" s="372">
        <f t="shared" si="40"/>
        <v>0</v>
      </c>
      <c r="AL29" s="372">
        <f t="shared" si="40"/>
        <v>0</v>
      </c>
      <c r="AM29" s="373">
        <f t="shared" si="40"/>
        <v>0</v>
      </c>
      <c r="AN29" s="373">
        <f t="shared" si="40"/>
        <v>0</v>
      </c>
      <c r="AO29" s="373">
        <f t="shared" si="40"/>
        <v>0</v>
      </c>
      <c r="AP29" s="373">
        <f t="shared" si="40"/>
        <v>0</v>
      </c>
      <c r="AQ29" s="373">
        <f t="shared" si="40"/>
        <v>0</v>
      </c>
      <c r="AR29" s="373">
        <f t="shared" si="40"/>
        <v>0</v>
      </c>
      <c r="AS29" s="373">
        <f t="shared" si="40"/>
        <v>0</v>
      </c>
      <c r="AT29" s="373">
        <f t="shared" si="40"/>
        <v>0</v>
      </c>
      <c r="AU29" s="373">
        <f t="shared" si="40"/>
        <v>0</v>
      </c>
      <c r="AV29" s="373">
        <f t="shared" si="40"/>
        <v>0</v>
      </c>
      <c r="AW29" s="373">
        <f t="shared" si="40"/>
        <v>0</v>
      </c>
      <c r="AX29" s="373">
        <f t="shared" si="40"/>
        <v>0</v>
      </c>
      <c r="AY29" s="374"/>
      <c r="AZ29" s="374"/>
      <c r="BA29" s="374"/>
      <c r="BB29" s="375">
        <f t="shared" ref="BB29:BD29" si="41">SUM(BB27:BB28)</f>
        <v>68000</v>
      </c>
      <c r="BC29" s="376" t="e">
        <f t="shared" ca="1" si="41"/>
        <v>#REF!</v>
      </c>
      <c r="BD29" s="377" t="e">
        <f t="shared" si="41"/>
        <v>#REF!</v>
      </c>
      <c r="BE29" s="378">
        <f t="shared" si="37"/>
        <v>5000</v>
      </c>
      <c r="BF29" s="379">
        <f t="shared" si="32"/>
        <v>68000</v>
      </c>
    </row>
    <row r="30" spans="1:58" ht="12.75" customHeight="1" outlineLevel="1">
      <c r="A30" s="19"/>
      <c r="B30" s="380"/>
      <c r="C30" s="386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6"/>
      <c r="Q30" s="356"/>
      <c r="R30" s="355"/>
      <c r="S30" s="35"/>
      <c r="T30" s="35"/>
      <c r="U30" s="35"/>
      <c r="V30" s="35"/>
      <c r="W30" s="35"/>
      <c r="X30" s="35"/>
      <c r="Y30" s="35"/>
      <c r="Z30" s="35"/>
      <c r="AA30" s="357"/>
      <c r="AB30" s="357"/>
      <c r="AC30" s="357"/>
      <c r="AD30" s="357"/>
      <c r="AE30" s="357"/>
      <c r="AF30" s="357"/>
      <c r="AG30" s="357"/>
      <c r="AH30" s="357"/>
      <c r="AI30" s="357"/>
      <c r="AJ30" s="357"/>
      <c r="AK30" s="357"/>
      <c r="AL30" s="357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87"/>
      <c r="AZ30" s="387"/>
      <c r="BA30" s="387"/>
      <c r="BB30" s="388"/>
      <c r="BC30" s="361"/>
      <c r="BD30" s="362"/>
      <c r="BE30" s="363">
        <f t="shared" si="37"/>
        <v>0</v>
      </c>
      <c r="BF30" s="364">
        <f t="shared" si="32"/>
        <v>0</v>
      </c>
    </row>
    <row r="31" spans="1:58" ht="12.75" customHeight="1">
      <c r="A31" s="389" t="s">
        <v>16</v>
      </c>
      <c r="B31" s="390"/>
      <c r="C31" s="391">
        <f t="shared" ref="C31:O31" si="42">SUM(C19:C24)+C29</f>
        <v>7560</v>
      </c>
      <c r="D31" s="59">
        <f t="shared" si="42"/>
        <v>7364</v>
      </c>
      <c r="E31" s="59">
        <f t="shared" si="42"/>
        <v>33805</v>
      </c>
      <c r="F31" s="59">
        <f t="shared" si="42"/>
        <v>30038.7</v>
      </c>
      <c r="G31" s="59">
        <f t="shared" si="42"/>
        <v>31307</v>
      </c>
      <c r="H31" s="59">
        <f t="shared" si="42"/>
        <v>84375</v>
      </c>
      <c r="I31" s="59">
        <f t="shared" si="42"/>
        <v>88500</v>
      </c>
      <c r="J31" s="59">
        <f t="shared" si="42"/>
        <v>108225</v>
      </c>
      <c r="K31" s="59">
        <f t="shared" si="42"/>
        <v>112350</v>
      </c>
      <c r="L31" s="59">
        <f t="shared" si="42"/>
        <v>116475</v>
      </c>
      <c r="M31" s="59">
        <f t="shared" si="42"/>
        <v>120600</v>
      </c>
      <c r="N31" s="392">
        <f t="shared" si="42"/>
        <v>124725</v>
      </c>
      <c r="O31" s="392">
        <f t="shared" si="42"/>
        <v>43115</v>
      </c>
      <c r="P31" s="393"/>
      <c r="Q31" s="393">
        <f>SUM(Q19:Q24)+Q29</f>
        <v>865324.7</v>
      </c>
      <c r="R31" s="391"/>
      <c r="S31" s="59"/>
      <c r="T31" s="59"/>
      <c r="U31" s="59"/>
      <c r="V31" s="59"/>
      <c r="W31" s="59"/>
      <c r="X31" s="59"/>
      <c r="Y31" s="59"/>
      <c r="Z31" s="59"/>
      <c r="AA31" s="394" t="e">
        <f t="shared" ref="AA31:AX31" si="43">(0+((AA19+AA23))+(AA29))-(0)</f>
        <v>#VALUE!</v>
      </c>
      <c r="AB31" s="394" t="e">
        <f t="shared" si="43"/>
        <v>#VALUE!</v>
      </c>
      <c r="AC31" s="394" t="e">
        <f t="shared" si="43"/>
        <v>#VALUE!</v>
      </c>
      <c r="AD31" s="394" t="e">
        <f t="shared" si="43"/>
        <v>#VALUE!</v>
      </c>
      <c r="AE31" s="394" t="e">
        <f t="shared" si="43"/>
        <v>#VALUE!</v>
      </c>
      <c r="AF31" s="394" t="e">
        <f t="shared" si="43"/>
        <v>#VALUE!</v>
      </c>
      <c r="AG31" s="394" t="e">
        <f t="shared" si="43"/>
        <v>#VALUE!</v>
      </c>
      <c r="AH31" s="394" t="e">
        <f t="shared" si="43"/>
        <v>#VALUE!</v>
      </c>
      <c r="AI31" s="394" t="e">
        <f t="shared" si="43"/>
        <v>#VALUE!</v>
      </c>
      <c r="AJ31" s="394" t="e">
        <f t="shared" si="43"/>
        <v>#VALUE!</v>
      </c>
      <c r="AK31" s="394" t="e">
        <f t="shared" si="43"/>
        <v>#VALUE!</v>
      </c>
      <c r="AL31" s="394" t="e">
        <f t="shared" si="43"/>
        <v>#VALUE!</v>
      </c>
      <c r="AM31" s="395" t="e">
        <f t="shared" si="43"/>
        <v>#VALUE!</v>
      </c>
      <c r="AN31" s="395" t="e">
        <f t="shared" si="43"/>
        <v>#VALUE!</v>
      </c>
      <c r="AO31" s="395" t="e">
        <f t="shared" si="43"/>
        <v>#VALUE!</v>
      </c>
      <c r="AP31" s="395" t="e">
        <f t="shared" si="43"/>
        <v>#VALUE!</v>
      </c>
      <c r="AQ31" s="395" t="e">
        <f t="shared" si="43"/>
        <v>#VALUE!</v>
      </c>
      <c r="AR31" s="395" t="e">
        <f t="shared" si="43"/>
        <v>#VALUE!</v>
      </c>
      <c r="AS31" s="395" t="e">
        <f t="shared" si="43"/>
        <v>#VALUE!</v>
      </c>
      <c r="AT31" s="395" t="e">
        <f t="shared" si="43"/>
        <v>#VALUE!</v>
      </c>
      <c r="AU31" s="395" t="e">
        <f t="shared" si="43"/>
        <v>#VALUE!</v>
      </c>
      <c r="AV31" s="395" t="e">
        <f t="shared" si="43"/>
        <v>#VALUE!</v>
      </c>
      <c r="AW31" s="395" t="e">
        <f t="shared" si="43"/>
        <v>#VALUE!</v>
      </c>
      <c r="AX31" s="395" t="e">
        <f t="shared" si="43"/>
        <v>#VALUE!</v>
      </c>
      <c r="AY31" s="396"/>
      <c r="AZ31" s="396"/>
      <c r="BA31" s="396"/>
      <c r="BB31" s="397">
        <f t="shared" ref="BB31:BD31" si="44">(0+((BB19+BB24))+(BB29))-(0)</f>
        <v>481740</v>
      </c>
      <c r="BC31" s="398" t="e">
        <f t="shared" ca="1" si="44"/>
        <v>#REF!</v>
      </c>
      <c r="BD31" s="399" t="e">
        <f t="shared" si="44"/>
        <v>#REF!</v>
      </c>
      <c r="BE31" s="400">
        <f t="shared" si="37"/>
        <v>7560</v>
      </c>
      <c r="BF31" s="401">
        <f t="shared" si="32"/>
        <v>900879.7</v>
      </c>
    </row>
    <row r="32" spans="1:58" ht="12.75" customHeight="1">
      <c r="A32" s="19"/>
      <c r="B32" s="380"/>
      <c r="C32" s="386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402"/>
      <c r="Q32" s="402"/>
      <c r="R32" s="386"/>
      <c r="S32" s="68"/>
      <c r="T32" s="68"/>
      <c r="U32" s="68"/>
      <c r="V32" s="68"/>
      <c r="W32" s="68"/>
      <c r="X32" s="68"/>
      <c r="Y32" s="68"/>
      <c r="Z32" s="68"/>
      <c r="AA32" s="403"/>
      <c r="AB32" s="403"/>
      <c r="AC32" s="403"/>
      <c r="AD32" s="403"/>
      <c r="AE32" s="403"/>
      <c r="AF32" s="403"/>
      <c r="AG32" s="403"/>
      <c r="AH32" s="403"/>
      <c r="AI32" s="403"/>
      <c r="AJ32" s="403"/>
      <c r="AK32" s="403"/>
      <c r="AL32" s="403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5"/>
      <c r="AZ32" s="405"/>
      <c r="BA32" s="405"/>
      <c r="BB32" s="406"/>
      <c r="BC32" s="407"/>
      <c r="BD32" s="408"/>
      <c r="BE32" s="409">
        <f t="shared" si="37"/>
        <v>0</v>
      </c>
      <c r="BF32" s="364">
        <f t="shared" si="32"/>
        <v>0</v>
      </c>
    </row>
    <row r="33" spans="1:58" ht="19.5" customHeight="1">
      <c r="A33" s="410" t="s">
        <v>17</v>
      </c>
      <c r="B33" s="411"/>
      <c r="C33" s="412">
        <f t="shared" ref="C33:O33" si="45">(C16)-(C31)</f>
        <v>29240</v>
      </c>
      <c r="D33" s="413">
        <f t="shared" si="45"/>
        <v>40936</v>
      </c>
      <c r="E33" s="413">
        <f t="shared" si="45"/>
        <v>-19185</v>
      </c>
      <c r="F33" s="413">
        <f t="shared" si="45"/>
        <v>32384.3</v>
      </c>
      <c r="G33" s="413">
        <f t="shared" si="45"/>
        <v>28466.800000000003</v>
      </c>
      <c r="H33" s="413">
        <f t="shared" si="45"/>
        <v>44450</v>
      </c>
      <c r="I33" s="413">
        <f t="shared" si="45"/>
        <v>45700</v>
      </c>
      <c r="J33" s="413">
        <f t="shared" si="45"/>
        <v>62350</v>
      </c>
      <c r="K33" s="413">
        <f t="shared" si="45"/>
        <v>68600</v>
      </c>
      <c r="L33" s="413">
        <f t="shared" si="45"/>
        <v>74850</v>
      </c>
      <c r="M33" s="413">
        <f t="shared" si="45"/>
        <v>81100</v>
      </c>
      <c r="N33" s="413">
        <f t="shared" si="45"/>
        <v>87350</v>
      </c>
      <c r="O33" s="413">
        <f t="shared" si="45"/>
        <v>126585</v>
      </c>
      <c r="P33" s="393"/>
      <c r="Q33" s="414">
        <f>(Q16)-(Q31)</f>
        <v>488742.10000000009</v>
      </c>
      <c r="R33" s="391"/>
      <c r="S33" s="59"/>
      <c r="T33" s="59"/>
      <c r="U33" s="59"/>
      <c r="V33" s="59"/>
      <c r="W33" s="59"/>
      <c r="X33" s="59"/>
      <c r="Y33" s="59"/>
      <c r="Z33" s="59"/>
      <c r="AA33" s="394" t="e">
        <f t="shared" ref="AA33:AX33" si="46">(AA16)-(AA31)</f>
        <v>#VALUE!</v>
      </c>
      <c r="AB33" s="394" t="e">
        <f t="shared" si="46"/>
        <v>#VALUE!</v>
      </c>
      <c r="AC33" s="394" t="e">
        <f t="shared" si="46"/>
        <v>#VALUE!</v>
      </c>
      <c r="AD33" s="394" t="e">
        <f t="shared" si="46"/>
        <v>#VALUE!</v>
      </c>
      <c r="AE33" s="394" t="e">
        <f t="shared" si="46"/>
        <v>#VALUE!</v>
      </c>
      <c r="AF33" s="394" t="e">
        <f t="shared" si="46"/>
        <v>#VALUE!</v>
      </c>
      <c r="AG33" s="394" t="e">
        <f t="shared" si="46"/>
        <v>#VALUE!</v>
      </c>
      <c r="AH33" s="394" t="e">
        <f t="shared" si="46"/>
        <v>#VALUE!</v>
      </c>
      <c r="AI33" s="394" t="e">
        <f t="shared" si="46"/>
        <v>#VALUE!</v>
      </c>
      <c r="AJ33" s="394" t="e">
        <f t="shared" si="46"/>
        <v>#VALUE!</v>
      </c>
      <c r="AK33" s="394" t="e">
        <f t="shared" si="46"/>
        <v>#VALUE!</v>
      </c>
      <c r="AL33" s="394" t="e">
        <f t="shared" si="46"/>
        <v>#VALUE!</v>
      </c>
      <c r="AM33" s="395" t="e">
        <f t="shared" si="46"/>
        <v>#VALUE!</v>
      </c>
      <c r="AN33" s="395" t="e">
        <f t="shared" si="46"/>
        <v>#VALUE!</v>
      </c>
      <c r="AO33" s="395" t="e">
        <f t="shared" si="46"/>
        <v>#VALUE!</v>
      </c>
      <c r="AP33" s="395" t="e">
        <f t="shared" si="46"/>
        <v>#VALUE!</v>
      </c>
      <c r="AQ33" s="395" t="e">
        <f t="shared" si="46"/>
        <v>#VALUE!</v>
      </c>
      <c r="AR33" s="395" t="e">
        <f t="shared" si="46"/>
        <v>#VALUE!</v>
      </c>
      <c r="AS33" s="395" t="e">
        <f t="shared" si="46"/>
        <v>#VALUE!</v>
      </c>
      <c r="AT33" s="395" t="e">
        <f t="shared" si="46"/>
        <v>#VALUE!</v>
      </c>
      <c r="AU33" s="395" t="e">
        <f t="shared" si="46"/>
        <v>#VALUE!</v>
      </c>
      <c r="AV33" s="395" t="e">
        <f t="shared" si="46"/>
        <v>#VALUE!</v>
      </c>
      <c r="AW33" s="395" t="e">
        <f t="shared" si="46"/>
        <v>#VALUE!</v>
      </c>
      <c r="AX33" s="395" t="e">
        <f t="shared" si="46"/>
        <v>#VALUE!</v>
      </c>
      <c r="AY33" s="396"/>
      <c r="AZ33" s="396"/>
      <c r="BA33" s="396"/>
      <c r="BB33" s="397">
        <f t="shared" ref="BB33:BD33" si="47">(BB16)-(BB31)</f>
        <v>905126.8</v>
      </c>
      <c r="BC33" s="398" t="e">
        <f t="shared" ca="1" si="47"/>
        <v>#REF!</v>
      </c>
      <c r="BD33" s="399" t="e">
        <f t="shared" si="47"/>
        <v>#REF!</v>
      </c>
      <c r="BE33" s="400">
        <f t="shared" si="37"/>
        <v>29240</v>
      </c>
      <c r="BF33" s="401">
        <f t="shared" si="32"/>
        <v>673587.1</v>
      </c>
    </row>
    <row r="34" spans="1:58" ht="12.75" customHeight="1">
      <c r="A34" s="19"/>
      <c r="B34" s="380"/>
      <c r="C34" s="386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356"/>
      <c r="Q34" s="356"/>
      <c r="R34" s="355"/>
      <c r="S34" s="35"/>
      <c r="T34" s="35"/>
      <c r="U34" s="35"/>
      <c r="V34" s="35"/>
      <c r="W34" s="35"/>
      <c r="X34" s="35"/>
      <c r="Y34" s="35"/>
      <c r="Z34" s="35"/>
      <c r="AA34" s="357"/>
      <c r="AB34" s="357"/>
      <c r="AC34" s="357"/>
      <c r="AD34" s="357"/>
      <c r="AE34" s="357"/>
      <c r="AF34" s="357"/>
      <c r="AG34" s="357"/>
      <c r="AH34" s="357"/>
      <c r="AI34" s="357"/>
      <c r="AJ34" s="357"/>
      <c r="AK34" s="357"/>
      <c r="AL34" s="357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9"/>
      <c r="AZ34" s="359"/>
      <c r="BA34" s="359"/>
      <c r="BB34" s="360"/>
      <c r="BC34" s="361"/>
      <c r="BD34" s="362"/>
      <c r="BE34" s="363">
        <f t="shared" si="37"/>
        <v>0</v>
      </c>
      <c r="BF34" s="364">
        <f t="shared" si="32"/>
        <v>0</v>
      </c>
    </row>
    <row r="35" spans="1:58" ht="12.75" customHeight="1">
      <c r="A35" s="336" t="s">
        <v>18</v>
      </c>
      <c r="B35" s="311"/>
      <c r="C35" s="35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356"/>
      <c r="Q35" s="356"/>
      <c r="R35" s="355"/>
      <c r="S35" s="35"/>
      <c r="T35" s="35"/>
      <c r="U35" s="35"/>
      <c r="V35" s="35"/>
      <c r="W35" s="35"/>
      <c r="X35" s="35"/>
      <c r="Y35" s="35"/>
      <c r="Z35" s="35"/>
      <c r="AA35" s="357"/>
      <c r="AB35" s="357"/>
      <c r="AC35" s="357"/>
      <c r="AD35" s="357"/>
      <c r="AE35" s="357"/>
      <c r="AF35" s="357"/>
      <c r="AG35" s="357"/>
      <c r="AH35" s="357"/>
      <c r="AI35" s="357"/>
      <c r="AJ35" s="357"/>
      <c r="AK35" s="357"/>
      <c r="AL35" s="357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8"/>
      <c r="AX35" s="358"/>
      <c r="AY35" s="359"/>
      <c r="AZ35" s="359"/>
      <c r="BA35" s="359"/>
      <c r="BB35" s="360"/>
      <c r="BC35" s="361" t="e">
        <f t="shared" ref="BC35:BC42" ca="1" si="48">SUM(OFFSET(#REF!,0,0,1,MATCH(#REF!,#REF!,0)))</f>
        <v>#REF!</v>
      </c>
      <c r="BD35" s="362"/>
      <c r="BE35" s="363">
        <f t="shared" si="37"/>
        <v>0</v>
      </c>
      <c r="BF35" s="364">
        <f t="shared" si="32"/>
        <v>0</v>
      </c>
    </row>
    <row r="36" spans="1:58" ht="12.75" customHeight="1">
      <c r="A36" s="383"/>
      <c r="B36" s="380"/>
      <c r="C36" s="35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356"/>
      <c r="Q36" s="356"/>
      <c r="R36" s="355"/>
      <c r="S36" s="35"/>
      <c r="T36" s="35"/>
      <c r="U36" s="35"/>
      <c r="V36" s="35"/>
      <c r="W36" s="35"/>
      <c r="X36" s="35"/>
      <c r="Y36" s="35"/>
      <c r="Z36" s="35"/>
      <c r="AA36" s="357"/>
      <c r="AB36" s="357"/>
      <c r="AC36" s="357"/>
      <c r="AD36" s="357"/>
      <c r="AE36" s="357"/>
      <c r="AF36" s="357"/>
      <c r="AG36" s="357"/>
      <c r="AH36" s="357"/>
      <c r="AI36" s="357"/>
      <c r="AJ36" s="357"/>
      <c r="AK36" s="357"/>
      <c r="AL36" s="357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9"/>
      <c r="AZ36" s="359"/>
      <c r="BA36" s="359"/>
      <c r="BB36" s="360"/>
      <c r="BC36" s="361" t="e">
        <f t="shared" ca="1" si="48"/>
        <v>#REF!</v>
      </c>
      <c r="BD36" s="362"/>
      <c r="BE36" s="363"/>
      <c r="BF36" s="364">
        <f t="shared" si="32"/>
        <v>0</v>
      </c>
    </row>
    <row r="37" spans="1:58" ht="12.75" customHeight="1">
      <c r="A37" s="353" t="s">
        <v>218</v>
      </c>
      <c r="B37" s="354"/>
      <c r="C37" s="355">
        <v>0</v>
      </c>
      <c r="D37" s="35">
        <v>0</v>
      </c>
      <c r="E37" s="35">
        <v>170</v>
      </c>
      <c r="F37" s="35">
        <v>170</v>
      </c>
      <c r="G37" s="35">
        <v>0</v>
      </c>
      <c r="H37" s="35">
        <v>170</v>
      </c>
      <c r="I37" s="35">
        <v>170</v>
      </c>
      <c r="J37" s="35">
        <v>170</v>
      </c>
      <c r="K37" s="35">
        <v>170</v>
      </c>
      <c r="L37" s="35">
        <v>170</v>
      </c>
      <c r="M37" s="35">
        <v>170</v>
      </c>
      <c r="N37" s="35">
        <v>170</v>
      </c>
      <c r="O37" s="381">
        <f>'Non Staff costs'!O17</f>
        <v>0</v>
      </c>
      <c r="P37" s="356"/>
      <c r="Q37" s="356">
        <f t="shared" ref="Q37:Q42" si="49">SUM(C37:N37)</f>
        <v>1530</v>
      </c>
      <c r="R37" s="355"/>
      <c r="S37" s="35"/>
      <c r="T37" s="35"/>
      <c r="U37" s="35"/>
      <c r="V37" s="35"/>
      <c r="W37" s="35"/>
      <c r="X37" s="35"/>
      <c r="Y37" s="35"/>
      <c r="Z37" s="35"/>
      <c r="AA37" s="357" t="s">
        <v>267</v>
      </c>
      <c r="AB37" s="357" t="s">
        <v>267</v>
      </c>
      <c r="AC37" s="357" t="s">
        <v>267</v>
      </c>
      <c r="AD37" s="357" t="s">
        <v>267</v>
      </c>
      <c r="AE37" s="357" t="s">
        <v>267</v>
      </c>
      <c r="AF37" s="357" t="s">
        <v>267</v>
      </c>
      <c r="AG37" s="357" t="s">
        <v>267</v>
      </c>
      <c r="AH37" s="357" t="s">
        <v>267</v>
      </c>
      <c r="AI37" s="357" t="s">
        <v>267</v>
      </c>
      <c r="AJ37" s="357" t="s">
        <v>267</v>
      </c>
      <c r="AK37" s="357" t="s">
        <v>267</v>
      </c>
      <c r="AL37" s="357" t="s">
        <v>267</v>
      </c>
      <c r="AM37" s="358" t="s">
        <v>267</v>
      </c>
      <c r="AN37" s="358" t="s">
        <v>267</v>
      </c>
      <c r="AO37" s="358" t="s">
        <v>267</v>
      </c>
      <c r="AP37" s="358" t="s">
        <v>267</v>
      </c>
      <c r="AQ37" s="358" t="s">
        <v>267</v>
      </c>
      <c r="AR37" s="358" t="s">
        <v>267</v>
      </c>
      <c r="AS37" s="358" t="s">
        <v>267</v>
      </c>
      <c r="AT37" s="358" t="s">
        <v>267</v>
      </c>
      <c r="AU37" s="358" t="s">
        <v>267</v>
      </c>
      <c r="AV37" s="358" t="s">
        <v>267</v>
      </c>
      <c r="AW37" s="358" t="s">
        <v>267</v>
      </c>
      <c r="AX37" s="358" t="s">
        <v>267</v>
      </c>
      <c r="AY37" s="359"/>
      <c r="AZ37" s="359"/>
      <c r="BA37" s="359"/>
      <c r="BB37" s="360">
        <f t="shared" ref="BB37:BB42" si="50">SUM(D37:O37)</f>
        <v>1530</v>
      </c>
      <c r="BC37" s="361" t="e">
        <f t="shared" ca="1" si="48"/>
        <v>#REF!</v>
      </c>
      <c r="BD37" s="362" t="e">
        <f t="shared" ref="BD37:BD42" si="51">SUM(#REF!)</f>
        <v>#REF!</v>
      </c>
      <c r="BE37" s="363">
        <f t="shared" ref="BE37:BE39" si="52">SUM(C37)</f>
        <v>0</v>
      </c>
      <c r="BF37" s="364">
        <f t="shared" si="32"/>
        <v>1530</v>
      </c>
    </row>
    <row r="38" spans="1:58" ht="14">
      <c r="A38" s="353" t="s">
        <v>219</v>
      </c>
      <c r="B38" s="354"/>
      <c r="C38" s="355">
        <v>75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81"/>
      <c r="O38" s="381">
        <f>'Non Staff costs'!O18</f>
        <v>500</v>
      </c>
      <c r="P38" s="356"/>
      <c r="Q38" s="356">
        <f t="shared" si="49"/>
        <v>75</v>
      </c>
      <c r="R38" s="355"/>
      <c r="S38" s="35"/>
      <c r="T38" s="35"/>
      <c r="U38" s="35"/>
      <c r="V38" s="35"/>
      <c r="W38" s="35"/>
      <c r="X38" s="35"/>
      <c r="Y38" s="35"/>
      <c r="Z38" s="35"/>
      <c r="AA38" s="357" t="s">
        <v>267</v>
      </c>
      <c r="AB38" s="357" t="s">
        <v>267</v>
      </c>
      <c r="AC38" s="357" t="s">
        <v>267</v>
      </c>
      <c r="AD38" s="357" t="s">
        <v>267</v>
      </c>
      <c r="AE38" s="357" t="s">
        <v>267</v>
      </c>
      <c r="AF38" s="357" t="s">
        <v>267</v>
      </c>
      <c r="AG38" s="357" t="s">
        <v>267</v>
      </c>
      <c r="AH38" s="357" t="s">
        <v>267</v>
      </c>
      <c r="AI38" s="357" t="s">
        <v>267</v>
      </c>
      <c r="AJ38" s="357" t="s">
        <v>267</v>
      </c>
      <c r="AK38" s="357" t="s">
        <v>267</v>
      </c>
      <c r="AL38" s="357" t="s">
        <v>267</v>
      </c>
      <c r="AM38" s="358" t="s">
        <v>267</v>
      </c>
      <c r="AN38" s="358" t="s">
        <v>267</v>
      </c>
      <c r="AO38" s="358" t="s">
        <v>267</v>
      </c>
      <c r="AP38" s="358" t="s">
        <v>267</v>
      </c>
      <c r="AQ38" s="358" t="s">
        <v>267</v>
      </c>
      <c r="AR38" s="358" t="s">
        <v>267</v>
      </c>
      <c r="AS38" s="358" t="s">
        <v>267</v>
      </c>
      <c r="AT38" s="358" t="s">
        <v>267</v>
      </c>
      <c r="AU38" s="358" t="s">
        <v>267</v>
      </c>
      <c r="AV38" s="358" t="s">
        <v>267</v>
      </c>
      <c r="AW38" s="358" t="s">
        <v>267</v>
      </c>
      <c r="AX38" s="358" t="s">
        <v>267</v>
      </c>
      <c r="AY38" s="359"/>
      <c r="AZ38" s="359"/>
      <c r="BA38" s="359"/>
      <c r="BB38" s="360">
        <f t="shared" si="50"/>
        <v>500</v>
      </c>
      <c r="BC38" s="361" t="e">
        <f t="shared" ca="1" si="48"/>
        <v>#REF!</v>
      </c>
      <c r="BD38" s="362" t="e">
        <f t="shared" si="51"/>
        <v>#REF!</v>
      </c>
      <c r="BE38" s="363">
        <f t="shared" si="52"/>
        <v>75</v>
      </c>
      <c r="BF38" s="364">
        <f t="shared" si="32"/>
        <v>500</v>
      </c>
    </row>
    <row r="39" spans="1:58" ht="12.75" hidden="1" customHeight="1">
      <c r="A39" s="353" t="s">
        <v>220</v>
      </c>
      <c r="B39" s="354"/>
      <c r="C39" s="35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81"/>
      <c r="O39" s="381">
        <f>'Non Staff costs'!O19</f>
        <v>0</v>
      </c>
      <c r="P39" s="356"/>
      <c r="Q39" s="356">
        <f t="shared" si="49"/>
        <v>0</v>
      </c>
      <c r="R39" s="355"/>
      <c r="S39" s="35"/>
      <c r="T39" s="35"/>
      <c r="U39" s="35"/>
      <c r="V39" s="35"/>
      <c r="W39" s="35"/>
      <c r="X39" s="35"/>
      <c r="Y39" s="35"/>
      <c r="Z39" s="35"/>
      <c r="AA39" s="357" t="s">
        <v>267</v>
      </c>
      <c r="AB39" s="357" t="s">
        <v>267</v>
      </c>
      <c r="AC39" s="357" t="s">
        <v>267</v>
      </c>
      <c r="AD39" s="357" t="s">
        <v>267</v>
      </c>
      <c r="AE39" s="357" t="s">
        <v>267</v>
      </c>
      <c r="AF39" s="357" t="s">
        <v>267</v>
      </c>
      <c r="AG39" s="357" t="s">
        <v>267</v>
      </c>
      <c r="AH39" s="357" t="s">
        <v>267</v>
      </c>
      <c r="AI39" s="357" t="s">
        <v>267</v>
      </c>
      <c r="AJ39" s="357" t="s">
        <v>267</v>
      </c>
      <c r="AK39" s="357" t="s">
        <v>267</v>
      </c>
      <c r="AL39" s="357" t="s">
        <v>267</v>
      </c>
      <c r="AM39" s="358" t="s">
        <v>267</v>
      </c>
      <c r="AN39" s="358" t="s">
        <v>267</v>
      </c>
      <c r="AO39" s="358" t="s">
        <v>267</v>
      </c>
      <c r="AP39" s="358" t="s">
        <v>267</v>
      </c>
      <c r="AQ39" s="358" t="s">
        <v>267</v>
      </c>
      <c r="AR39" s="358" t="s">
        <v>267</v>
      </c>
      <c r="AS39" s="358" t="s">
        <v>267</v>
      </c>
      <c r="AT39" s="358" t="s">
        <v>267</v>
      </c>
      <c r="AU39" s="358" t="s">
        <v>267</v>
      </c>
      <c r="AV39" s="358" t="s">
        <v>267</v>
      </c>
      <c r="AW39" s="358" t="s">
        <v>267</v>
      </c>
      <c r="AX39" s="358" t="s">
        <v>267</v>
      </c>
      <c r="AY39" s="359"/>
      <c r="AZ39" s="359"/>
      <c r="BA39" s="359"/>
      <c r="BB39" s="360">
        <f t="shared" si="50"/>
        <v>0</v>
      </c>
      <c r="BC39" s="361" t="e">
        <f t="shared" ca="1" si="48"/>
        <v>#REF!</v>
      </c>
      <c r="BD39" s="362" t="e">
        <f t="shared" si="51"/>
        <v>#REF!</v>
      </c>
      <c r="BE39" s="363">
        <f t="shared" si="52"/>
        <v>0</v>
      </c>
      <c r="BF39" s="364">
        <f t="shared" si="32"/>
        <v>0</v>
      </c>
    </row>
    <row r="40" spans="1:58" ht="12.75" hidden="1" customHeight="1">
      <c r="A40" s="353" t="s">
        <v>221</v>
      </c>
      <c r="B40" s="354"/>
      <c r="C40" s="35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81"/>
      <c r="O40" s="381">
        <f>'Non Staff costs'!O20</f>
        <v>5000</v>
      </c>
      <c r="P40" s="356"/>
      <c r="Q40" s="356">
        <f t="shared" si="49"/>
        <v>0</v>
      </c>
      <c r="R40" s="355"/>
      <c r="S40" s="35"/>
      <c r="T40" s="35"/>
      <c r="U40" s="35"/>
      <c r="V40" s="35"/>
      <c r="W40" s="35"/>
      <c r="X40" s="35"/>
      <c r="Y40" s="35"/>
      <c r="Z40" s="35"/>
      <c r="AA40" s="357" t="s">
        <v>267</v>
      </c>
      <c r="AB40" s="357" t="s">
        <v>267</v>
      </c>
      <c r="AC40" s="357" t="s">
        <v>267</v>
      </c>
      <c r="AD40" s="357" t="s">
        <v>267</v>
      </c>
      <c r="AE40" s="357" t="s">
        <v>267</v>
      </c>
      <c r="AF40" s="357" t="s">
        <v>267</v>
      </c>
      <c r="AG40" s="357" t="s">
        <v>267</v>
      </c>
      <c r="AH40" s="357" t="s">
        <v>267</v>
      </c>
      <c r="AI40" s="357" t="s">
        <v>267</v>
      </c>
      <c r="AJ40" s="357" t="s">
        <v>267</v>
      </c>
      <c r="AK40" s="357" t="s">
        <v>267</v>
      </c>
      <c r="AL40" s="357" t="s">
        <v>267</v>
      </c>
      <c r="AM40" s="358" t="s">
        <v>267</v>
      </c>
      <c r="AN40" s="358" t="s">
        <v>267</v>
      </c>
      <c r="AO40" s="358" t="s">
        <v>267</v>
      </c>
      <c r="AP40" s="358" t="s">
        <v>267</v>
      </c>
      <c r="AQ40" s="358" t="s">
        <v>267</v>
      </c>
      <c r="AR40" s="358" t="s">
        <v>267</v>
      </c>
      <c r="AS40" s="358" t="s">
        <v>267</v>
      </c>
      <c r="AT40" s="358" t="s">
        <v>267</v>
      </c>
      <c r="AU40" s="358" t="s">
        <v>267</v>
      </c>
      <c r="AV40" s="358" t="s">
        <v>267</v>
      </c>
      <c r="AW40" s="358" t="s">
        <v>267</v>
      </c>
      <c r="AX40" s="358" t="s">
        <v>267</v>
      </c>
      <c r="AY40" s="359"/>
      <c r="AZ40" s="359"/>
      <c r="BA40" s="359"/>
      <c r="BB40" s="360">
        <f t="shared" si="50"/>
        <v>5000</v>
      </c>
      <c r="BC40" s="361" t="e">
        <f t="shared" ca="1" si="48"/>
        <v>#REF!</v>
      </c>
      <c r="BD40" s="362" t="e">
        <f t="shared" si="51"/>
        <v>#REF!</v>
      </c>
      <c r="BE40" s="363"/>
      <c r="BF40" s="364">
        <f t="shared" si="32"/>
        <v>5000</v>
      </c>
    </row>
    <row r="41" spans="1:58" ht="12.75" hidden="1" customHeight="1">
      <c r="A41" s="353" t="s">
        <v>25</v>
      </c>
      <c r="B41" s="354"/>
      <c r="C41" s="35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81"/>
      <c r="O41" s="381">
        <f>'Non Staff costs'!O24</f>
        <v>0</v>
      </c>
      <c r="P41" s="356"/>
      <c r="Q41" s="356">
        <f t="shared" si="49"/>
        <v>0</v>
      </c>
      <c r="R41" s="355"/>
      <c r="S41" s="35"/>
      <c r="T41" s="35"/>
      <c r="U41" s="35"/>
      <c r="V41" s="35"/>
      <c r="W41" s="35"/>
      <c r="X41" s="35"/>
      <c r="Y41" s="35"/>
      <c r="Z41" s="35"/>
      <c r="AA41" s="357" t="s">
        <v>267</v>
      </c>
      <c r="AB41" s="357" t="s">
        <v>267</v>
      </c>
      <c r="AC41" s="357" t="s">
        <v>267</v>
      </c>
      <c r="AD41" s="357" t="s">
        <v>267</v>
      </c>
      <c r="AE41" s="357" t="s">
        <v>267</v>
      </c>
      <c r="AF41" s="357" t="s">
        <v>267</v>
      </c>
      <c r="AG41" s="357" t="s">
        <v>267</v>
      </c>
      <c r="AH41" s="357" t="s">
        <v>267</v>
      </c>
      <c r="AI41" s="357" t="s">
        <v>267</v>
      </c>
      <c r="AJ41" s="357" t="s">
        <v>267</v>
      </c>
      <c r="AK41" s="357" t="s">
        <v>267</v>
      </c>
      <c r="AL41" s="357" t="s">
        <v>267</v>
      </c>
      <c r="AM41" s="358" t="s">
        <v>267</v>
      </c>
      <c r="AN41" s="358" t="s">
        <v>267</v>
      </c>
      <c r="AO41" s="358" t="s">
        <v>267</v>
      </c>
      <c r="AP41" s="358" t="s">
        <v>267</v>
      </c>
      <c r="AQ41" s="358" t="s">
        <v>267</v>
      </c>
      <c r="AR41" s="358" t="s">
        <v>267</v>
      </c>
      <c r="AS41" s="358" t="s">
        <v>267</v>
      </c>
      <c r="AT41" s="358" t="s">
        <v>267</v>
      </c>
      <c r="AU41" s="358" t="s">
        <v>267</v>
      </c>
      <c r="AV41" s="358" t="s">
        <v>267</v>
      </c>
      <c r="AW41" s="358" t="s">
        <v>267</v>
      </c>
      <c r="AX41" s="358" t="s">
        <v>267</v>
      </c>
      <c r="AY41" s="359"/>
      <c r="AZ41" s="359"/>
      <c r="BA41" s="359"/>
      <c r="BB41" s="360">
        <f t="shared" si="50"/>
        <v>0</v>
      </c>
      <c r="BC41" s="361" t="e">
        <f t="shared" ca="1" si="48"/>
        <v>#REF!</v>
      </c>
      <c r="BD41" s="362" t="e">
        <f t="shared" si="51"/>
        <v>#REF!</v>
      </c>
      <c r="BE41" s="363">
        <f t="shared" ref="BE41:BE52" si="53">SUM(C41)</f>
        <v>0</v>
      </c>
      <c r="BF41" s="364">
        <f t="shared" si="32"/>
        <v>0</v>
      </c>
    </row>
    <row r="42" spans="1:58" ht="12.75" customHeight="1">
      <c r="A42" s="353" t="s">
        <v>28</v>
      </c>
      <c r="B42" s="354"/>
      <c r="C42" s="35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81">
        <v>0</v>
      </c>
      <c r="O42" s="381">
        <f>'Non Staff costs'!O25</f>
        <v>500</v>
      </c>
      <c r="P42" s="356"/>
      <c r="Q42" s="356">
        <f t="shared" si="49"/>
        <v>0</v>
      </c>
      <c r="R42" s="355"/>
      <c r="S42" s="35"/>
      <c r="T42" s="35"/>
      <c r="U42" s="35"/>
      <c r="V42" s="35"/>
      <c r="W42" s="35"/>
      <c r="X42" s="35"/>
      <c r="Y42" s="35"/>
      <c r="Z42" s="35"/>
      <c r="AA42" s="357" t="s">
        <v>267</v>
      </c>
      <c r="AB42" s="357" t="s">
        <v>267</v>
      </c>
      <c r="AC42" s="357" t="s">
        <v>267</v>
      </c>
      <c r="AD42" s="357" t="s">
        <v>267</v>
      </c>
      <c r="AE42" s="357" t="s">
        <v>267</v>
      </c>
      <c r="AF42" s="357" t="s">
        <v>267</v>
      </c>
      <c r="AG42" s="357" t="s">
        <v>267</v>
      </c>
      <c r="AH42" s="357" t="s">
        <v>267</v>
      </c>
      <c r="AI42" s="357" t="s">
        <v>267</v>
      </c>
      <c r="AJ42" s="357" t="s">
        <v>267</v>
      </c>
      <c r="AK42" s="357" t="s">
        <v>267</v>
      </c>
      <c r="AL42" s="357" t="s">
        <v>267</v>
      </c>
      <c r="AM42" s="358" t="s">
        <v>267</v>
      </c>
      <c r="AN42" s="358" t="s">
        <v>267</v>
      </c>
      <c r="AO42" s="358" t="s">
        <v>267</v>
      </c>
      <c r="AP42" s="358" t="s">
        <v>267</v>
      </c>
      <c r="AQ42" s="358" t="s">
        <v>267</v>
      </c>
      <c r="AR42" s="358" t="s">
        <v>267</v>
      </c>
      <c r="AS42" s="358" t="s">
        <v>267</v>
      </c>
      <c r="AT42" s="358" t="s">
        <v>267</v>
      </c>
      <c r="AU42" s="358" t="s">
        <v>267</v>
      </c>
      <c r="AV42" s="358" t="s">
        <v>267</v>
      </c>
      <c r="AW42" s="358" t="s">
        <v>267</v>
      </c>
      <c r="AX42" s="358" t="s">
        <v>267</v>
      </c>
      <c r="AY42" s="359"/>
      <c r="AZ42" s="359"/>
      <c r="BA42" s="359"/>
      <c r="BB42" s="360">
        <f t="shared" si="50"/>
        <v>500</v>
      </c>
      <c r="BC42" s="361" t="e">
        <f t="shared" ca="1" si="48"/>
        <v>#REF!</v>
      </c>
      <c r="BD42" s="362" t="e">
        <f t="shared" si="51"/>
        <v>#REF!</v>
      </c>
      <c r="BE42" s="363">
        <f t="shared" si="53"/>
        <v>0</v>
      </c>
      <c r="BF42" s="364">
        <f t="shared" si="32"/>
        <v>500</v>
      </c>
    </row>
    <row r="43" spans="1:58" ht="12.75" customHeight="1">
      <c r="A43" s="385" t="s">
        <v>29</v>
      </c>
      <c r="B43" s="325"/>
      <c r="C43" s="371">
        <f t="shared" ref="C43:O43" si="54">SUM(C37:C42)</f>
        <v>75</v>
      </c>
      <c r="D43" s="52">
        <f t="shared" si="54"/>
        <v>0</v>
      </c>
      <c r="E43" s="52">
        <f t="shared" si="54"/>
        <v>170</v>
      </c>
      <c r="F43" s="52">
        <f t="shared" si="54"/>
        <v>170</v>
      </c>
      <c r="G43" s="52">
        <f t="shared" si="54"/>
        <v>0</v>
      </c>
      <c r="H43" s="52">
        <f t="shared" si="54"/>
        <v>170</v>
      </c>
      <c r="I43" s="52">
        <f t="shared" si="54"/>
        <v>170</v>
      </c>
      <c r="J43" s="52">
        <f t="shared" si="54"/>
        <v>170</v>
      </c>
      <c r="K43" s="52">
        <f t="shared" si="54"/>
        <v>170</v>
      </c>
      <c r="L43" s="52">
        <f t="shared" si="54"/>
        <v>170</v>
      </c>
      <c r="M43" s="52">
        <f t="shared" si="54"/>
        <v>170</v>
      </c>
      <c r="N43" s="52">
        <f t="shared" si="54"/>
        <v>170</v>
      </c>
      <c r="O43" s="52">
        <f t="shared" si="54"/>
        <v>6000</v>
      </c>
      <c r="P43" s="369"/>
      <c r="Q43" s="369">
        <f>SUM(Q37:Q42)</f>
        <v>1605</v>
      </c>
      <c r="R43" s="371"/>
      <c r="S43" s="52"/>
      <c r="T43" s="52"/>
      <c r="U43" s="52"/>
      <c r="V43" s="52"/>
      <c r="W43" s="52"/>
      <c r="X43" s="52"/>
      <c r="Y43" s="52"/>
      <c r="Z43" s="52"/>
      <c r="AA43" s="372">
        <f t="shared" ref="AA43:AX43" si="55">SUM(AA37:AA42)</f>
        <v>0</v>
      </c>
      <c r="AB43" s="372">
        <f t="shared" si="55"/>
        <v>0</v>
      </c>
      <c r="AC43" s="372">
        <f t="shared" si="55"/>
        <v>0</v>
      </c>
      <c r="AD43" s="372">
        <f t="shared" si="55"/>
        <v>0</v>
      </c>
      <c r="AE43" s="372">
        <f t="shared" si="55"/>
        <v>0</v>
      </c>
      <c r="AF43" s="372">
        <f t="shared" si="55"/>
        <v>0</v>
      </c>
      <c r="AG43" s="372">
        <f t="shared" si="55"/>
        <v>0</v>
      </c>
      <c r="AH43" s="372">
        <f t="shared" si="55"/>
        <v>0</v>
      </c>
      <c r="AI43" s="372">
        <f t="shared" si="55"/>
        <v>0</v>
      </c>
      <c r="AJ43" s="372">
        <f t="shared" si="55"/>
        <v>0</v>
      </c>
      <c r="AK43" s="372">
        <f t="shared" si="55"/>
        <v>0</v>
      </c>
      <c r="AL43" s="372">
        <f t="shared" si="55"/>
        <v>0</v>
      </c>
      <c r="AM43" s="373">
        <f t="shared" si="55"/>
        <v>0</v>
      </c>
      <c r="AN43" s="373">
        <f t="shared" si="55"/>
        <v>0</v>
      </c>
      <c r="AO43" s="373">
        <f t="shared" si="55"/>
        <v>0</v>
      </c>
      <c r="AP43" s="373">
        <f t="shared" si="55"/>
        <v>0</v>
      </c>
      <c r="AQ43" s="373">
        <f t="shared" si="55"/>
        <v>0</v>
      </c>
      <c r="AR43" s="373">
        <f t="shared" si="55"/>
        <v>0</v>
      </c>
      <c r="AS43" s="373">
        <f t="shared" si="55"/>
        <v>0</v>
      </c>
      <c r="AT43" s="373">
        <f t="shared" si="55"/>
        <v>0</v>
      </c>
      <c r="AU43" s="373">
        <f t="shared" si="55"/>
        <v>0</v>
      </c>
      <c r="AV43" s="373">
        <f t="shared" si="55"/>
        <v>0</v>
      </c>
      <c r="AW43" s="373">
        <f t="shared" si="55"/>
        <v>0</v>
      </c>
      <c r="AX43" s="373">
        <f t="shared" si="55"/>
        <v>0</v>
      </c>
      <c r="AY43" s="374"/>
      <c r="AZ43" s="374"/>
      <c r="BA43" s="374"/>
      <c r="BB43" s="375">
        <f t="shared" ref="BB43:BD43" si="56">SUM(BB37:BB42)</f>
        <v>7530</v>
      </c>
      <c r="BC43" s="376" t="e">
        <f t="shared" ca="1" si="56"/>
        <v>#REF!</v>
      </c>
      <c r="BD43" s="377" t="e">
        <f t="shared" si="56"/>
        <v>#REF!</v>
      </c>
      <c r="BE43" s="378">
        <f t="shared" si="53"/>
        <v>75</v>
      </c>
      <c r="BF43" s="364">
        <f t="shared" si="32"/>
        <v>7530</v>
      </c>
    </row>
    <row r="44" spans="1:58" ht="12.75" customHeight="1">
      <c r="A44" s="19"/>
      <c r="B44" s="380"/>
      <c r="C44" s="386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402"/>
      <c r="Q44" s="402"/>
      <c r="R44" s="386"/>
      <c r="S44" s="68"/>
      <c r="T44" s="68"/>
      <c r="U44" s="68"/>
      <c r="V44" s="68"/>
      <c r="W44" s="68"/>
      <c r="X44" s="68"/>
      <c r="Y44" s="68"/>
      <c r="Z44" s="68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15"/>
      <c r="AZ44" s="415"/>
      <c r="BA44" s="415"/>
      <c r="BB44" s="416"/>
      <c r="BC44" s="407"/>
      <c r="BD44" s="408"/>
      <c r="BE44" s="409">
        <f t="shared" si="53"/>
        <v>0</v>
      </c>
      <c r="BF44" s="364">
        <f t="shared" si="32"/>
        <v>0</v>
      </c>
    </row>
    <row r="45" spans="1:58" ht="18.75" customHeight="1">
      <c r="A45" s="417" t="s">
        <v>30</v>
      </c>
      <c r="B45" s="418"/>
      <c r="C45" s="412">
        <f t="shared" ref="C45:O45" si="57">(C33)+(0)-(C43)+(0)-(0)</f>
        <v>29165</v>
      </c>
      <c r="D45" s="413">
        <f t="shared" si="57"/>
        <v>40936</v>
      </c>
      <c r="E45" s="413">
        <f t="shared" si="57"/>
        <v>-19355</v>
      </c>
      <c r="F45" s="413">
        <f t="shared" si="57"/>
        <v>32214.3</v>
      </c>
      <c r="G45" s="413">
        <f t="shared" si="57"/>
        <v>28466.800000000003</v>
      </c>
      <c r="H45" s="413">
        <f t="shared" si="57"/>
        <v>44280</v>
      </c>
      <c r="I45" s="413">
        <f t="shared" si="57"/>
        <v>45530</v>
      </c>
      <c r="J45" s="413">
        <f t="shared" si="57"/>
        <v>62180</v>
      </c>
      <c r="K45" s="413">
        <f t="shared" si="57"/>
        <v>68430</v>
      </c>
      <c r="L45" s="413">
        <f t="shared" si="57"/>
        <v>74680</v>
      </c>
      <c r="M45" s="413">
        <f t="shared" si="57"/>
        <v>80930</v>
      </c>
      <c r="N45" s="413">
        <f t="shared" si="57"/>
        <v>87180</v>
      </c>
      <c r="O45" s="413">
        <f t="shared" si="57"/>
        <v>120585</v>
      </c>
      <c r="P45" s="393"/>
      <c r="Q45" s="414">
        <f>(Q33)+(0)-(Q43)+(0)-(0)</f>
        <v>487137.10000000009</v>
      </c>
      <c r="R45" s="391"/>
      <c r="S45" s="59"/>
      <c r="T45" s="59"/>
      <c r="U45" s="59"/>
      <c r="V45" s="59"/>
      <c r="W45" s="59"/>
      <c r="X45" s="59"/>
      <c r="Y45" s="59"/>
      <c r="Z45" s="59"/>
      <c r="AA45" s="394" t="e">
        <f t="shared" ref="AA45:AX45" si="58">(AA33)+(0)-(AA43)+(0)-(0)</f>
        <v>#VALUE!</v>
      </c>
      <c r="AB45" s="394" t="e">
        <f t="shared" si="58"/>
        <v>#VALUE!</v>
      </c>
      <c r="AC45" s="394" t="e">
        <f t="shared" si="58"/>
        <v>#VALUE!</v>
      </c>
      <c r="AD45" s="394" t="e">
        <f t="shared" si="58"/>
        <v>#VALUE!</v>
      </c>
      <c r="AE45" s="394" t="e">
        <f t="shared" si="58"/>
        <v>#VALUE!</v>
      </c>
      <c r="AF45" s="394" t="e">
        <f t="shared" si="58"/>
        <v>#VALUE!</v>
      </c>
      <c r="AG45" s="394" t="e">
        <f t="shared" si="58"/>
        <v>#VALUE!</v>
      </c>
      <c r="AH45" s="394" t="e">
        <f t="shared" si="58"/>
        <v>#VALUE!</v>
      </c>
      <c r="AI45" s="394" t="e">
        <f t="shared" si="58"/>
        <v>#VALUE!</v>
      </c>
      <c r="AJ45" s="394" t="e">
        <f t="shared" si="58"/>
        <v>#VALUE!</v>
      </c>
      <c r="AK45" s="394" t="e">
        <f t="shared" si="58"/>
        <v>#VALUE!</v>
      </c>
      <c r="AL45" s="394" t="e">
        <f t="shared" si="58"/>
        <v>#VALUE!</v>
      </c>
      <c r="AM45" s="395" t="e">
        <f t="shared" si="58"/>
        <v>#VALUE!</v>
      </c>
      <c r="AN45" s="395" t="e">
        <f t="shared" si="58"/>
        <v>#VALUE!</v>
      </c>
      <c r="AO45" s="395" t="e">
        <f t="shared" si="58"/>
        <v>#VALUE!</v>
      </c>
      <c r="AP45" s="395" t="e">
        <f t="shared" si="58"/>
        <v>#VALUE!</v>
      </c>
      <c r="AQ45" s="395" t="e">
        <f t="shared" si="58"/>
        <v>#VALUE!</v>
      </c>
      <c r="AR45" s="395" t="e">
        <f t="shared" si="58"/>
        <v>#VALUE!</v>
      </c>
      <c r="AS45" s="395" t="e">
        <f t="shared" si="58"/>
        <v>#VALUE!</v>
      </c>
      <c r="AT45" s="395" t="e">
        <f t="shared" si="58"/>
        <v>#VALUE!</v>
      </c>
      <c r="AU45" s="395" t="e">
        <f t="shared" si="58"/>
        <v>#VALUE!</v>
      </c>
      <c r="AV45" s="395" t="e">
        <f t="shared" si="58"/>
        <v>#VALUE!</v>
      </c>
      <c r="AW45" s="395" t="e">
        <f t="shared" si="58"/>
        <v>#VALUE!</v>
      </c>
      <c r="AX45" s="395" t="e">
        <f t="shared" si="58"/>
        <v>#VALUE!</v>
      </c>
      <c r="AY45" s="396"/>
      <c r="AZ45" s="396"/>
      <c r="BA45" s="396"/>
      <c r="BB45" s="397">
        <f t="shared" ref="BB45:BD45" si="59">(BB33)+(0)-(BB43)+(0)-(0)</f>
        <v>897596.8</v>
      </c>
      <c r="BC45" s="398" t="e">
        <f t="shared" ca="1" si="59"/>
        <v>#REF!</v>
      </c>
      <c r="BD45" s="399" t="e">
        <f t="shared" si="59"/>
        <v>#REF!</v>
      </c>
      <c r="BE45" s="400">
        <f t="shared" si="53"/>
        <v>29165</v>
      </c>
      <c r="BF45" s="364">
        <f t="shared" si="32"/>
        <v>666057.1</v>
      </c>
    </row>
    <row r="46" spans="1:58" ht="12.75" customHeight="1">
      <c r="A46" s="2"/>
      <c r="B46" s="419"/>
      <c r="C46" s="420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421"/>
      <c r="Q46" s="421"/>
      <c r="R46" s="420"/>
      <c r="S46" s="78"/>
      <c r="T46" s="78"/>
      <c r="U46" s="78"/>
      <c r="V46" s="78"/>
      <c r="W46" s="78"/>
      <c r="X46" s="78"/>
      <c r="Y46" s="78"/>
      <c r="Z46" s="78"/>
      <c r="AA46" s="422"/>
      <c r="AB46" s="422"/>
      <c r="AC46" s="422"/>
      <c r="AD46" s="422"/>
      <c r="AE46" s="422"/>
      <c r="AF46" s="422"/>
      <c r="AG46" s="422"/>
      <c r="AH46" s="422"/>
      <c r="AI46" s="422"/>
      <c r="AJ46" s="422"/>
      <c r="AK46" s="422"/>
      <c r="AL46" s="422"/>
      <c r="AM46" s="423"/>
      <c r="AN46" s="423"/>
      <c r="AO46" s="423"/>
      <c r="AP46" s="423"/>
      <c r="AQ46" s="423"/>
      <c r="AR46" s="423"/>
      <c r="AS46" s="423"/>
      <c r="AT46" s="423"/>
      <c r="AU46" s="423"/>
      <c r="AV46" s="423"/>
      <c r="AW46" s="423"/>
      <c r="AX46" s="423"/>
      <c r="AY46" s="424"/>
      <c r="AZ46" s="424"/>
      <c r="BA46" s="424"/>
      <c r="BB46" s="425"/>
      <c r="BC46" s="426"/>
      <c r="BD46" s="427"/>
      <c r="BE46" s="428">
        <f t="shared" si="53"/>
        <v>0</v>
      </c>
      <c r="BF46" s="364">
        <f t="shared" si="32"/>
        <v>0</v>
      </c>
    </row>
    <row r="47" spans="1:58" ht="12.75" customHeight="1">
      <c r="A47" s="429" t="s">
        <v>31</v>
      </c>
      <c r="B47" s="430"/>
      <c r="C47" s="420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9"/>
      <c r="P47" s="421"/>
      <c r="Q47" s="421"/>
      <c r="R47" s="420"/>
      <c r="S47" s="78"/>
      <c r="T47" s="78"/>
      <c r="U47" s="78"/>
      <c r="V47" s="78"/>
      <c r="W47" s="78"/>
      <c r="X47" s="78"/>
      <c r="Y47" s="78"/>
      <c r="Z47" s="78"/>
      <c r="AA47" s="422"/>
      <c r="AB47" s="422"/>
      <c r="AC47" s="422"/>
      <c r="AD47" s="422"/>
      <c r="AE47" s="422"/>
      <c r="AF47" s="422"/>
      <c r="AG47" s="422"/>
      <c r="AH47" s="422"/>
      <c r="AI47" s="422"/>
      <c r="AJ47" s="422"/>
      <c r="AK47" s="422"/>
      <c r="AL47" s="422"/>
      <c r="AM47" s="423"/>
      <c r="AN47" s="423"/>
      <c r="AO47" s="423"/>
      <c r="AP47" s="423"/>
      <c r="AQ47" s="423"/>
      <c r="AR47" s="423"/>
      <c r="AS47" s="423"/>
      <c r="AT47" s="423"/>
      <c r="AU47" s="423"/>
      <c r="AV47" s="423"/>
      <c r="AW47" s="423"/>
      <c r="AX47" s="423"/>
      <c r="AY47" s="424"/>
      <c r="AZ47" s="424"/>
      <c r="BA47" s="424"/>
      <c r="BB47" s="425"/>
      <c r="BC47" s="426"/>
      <c r="BD47" s="427"/>
      <c r="BE47" s="428">
        <f t="shared" si="53"/>
        <v>0</v>
      </c>
      <c r="BF47" s="364">
        <f t="shared" si="32"/>
        <v>0</v>
      </c>
    </row>
    <row r="48" spans="1:58" ht="12.75" customHeight="1">
      <c r="A48" s="431"/>
      <c r="B48" s="432"/>
      <c r="C48" s="35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6"/>
      <c r="Q48" s="356">
        <f t="shared" ref="Q48:Q49" si="60">SUM(D48:O48)</f>
        <v>0</v>
      </c>
      <c r="R48" s="355"/>
      <c r="S48" s="35"/>
      <c r="T48" s="35"/>
      <c r="U48" s="35"/>
      <c r="V48" s="35"/>
      <c r="W48" s="35"/>
      <c r="X48" s="35"/>
      <c r="Y48" s="35"/>
      <c r="Z48" s="35"/>
      <c r="AA48" s="357" t="s">
        <v>267</v>
      </c>
      <c r="AB48" s="357" t="s">
        <v>267</v>
      </c>
      <c r="AC48" s="357" t="s">
        <v>267</v>
      </c>
      <c r="AD48" s="357" t="s">
        <v>267</v>
      </c>
      <c r="AE48" s="357" t="s">
        <v>267</v>
      </c>
      <c r="AF48" s="357" t="s">
        <v>267</v>
      </c>
      <c r="AG48" s="357" t="s">
        <v>267</v>
      </c>
      <c r="AH48" s="357" t="s">
        <v>267</v>
      </c>
      <c r="AI48" s="357" t="s">
        <v>267</v>
      </c>
      <c r="AJ48" s="357" t="s">
        <v>267</v>
      </c>
      <c r="AK48" s="357" t="s">
        <v>267</v>
      </c>
      <c r="AL48" s="357" t="s">
        <v>267</v>
      </c>
      <c r="AM48" s="358" t="s">
        <v>267</v>
      </c>
      <c r="AN48" s="358" t="s">
        <v>267</v>
      </c>
      <c r="AO48" s="358" t="s">
        <v>267</v>
      </c>
      <c r="AP48" s="358" t="s">
        <v>267</v>
      </c>
      <c r="AQ48" s="358" t="s">
        <v>267</v>
      </c>
      <c r="AR48" s="358" t="s">
        <v>267</v>
      </c>
      <c r="AS48" s="358" t="s">
        <v>267</v>
      </c>
      <c r="AT48" s="358" t="s">
        <v>267</v>
      </c>
      <c r="AU48" s="358" t="s">
        <v>267</v>
      </c>
      <c r="AV48" s="358" t="s">
        <v>267</v>
      </c>
      <c r="AW48" s="358" t="s">
        <v>267</v>
      </c>
      <c r="AX48" s="358" t="s">
        <v>267</v>
      </c>
      <c r="AY48" s="359"/>
      <c r="AZ48" s="359"/>
      <c r="BA48" s="359"/>
      <c r="BB48" s="360">
        <f t="shared" ref="BB48:BB49" si="61">SUM(D48:O48)</f>
        <v>0</v>
      </c>
      <c r="BC48" s="361" t="e">
        <f t="shared" ref="BC48:BC49" ca="1" si="62">SUM(OFFSET(#REF!,0,0,1,MATCH(#REF!,#REF!,0)))</f>
        <v>#REF!</v>
      </c>
      <c r="BD48" s="362" t="e">
        <f t="shared" ref="BD48:BD49" si="63">SUM(#REF!)</f>
        <v>#REF!</v>
      </c>
      <c r="BE48" s="428">
        <f t="shared" si="53"/>
        <v>0</v>
      </c>
      <c r="BF48" s="364">
        <f t="shared" si="32"/>
        <v>0</v>
      </c>
    </row>
    <row r="49" spans="1:58" ht="12.75" customHeight="1">
      <c r="A49" s="383" t="s">
        <v>32</v>
      </c>
      <c r="B49" s="380"/>
      <c r="C49" s="35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6"/>
      <c r="Q49" s="356">
        <f t="shared" si="60"/>
        <v>0</v>
      </c>
      <c r="R49" s="355"/>
      <c r="S49" s="35"/>
      <c r="T49" s="35"/>
      <c r="U49" s="35"/>
      <c r="V49" s="35"/>
      <c r="W49" s="35"/>
      <c r="X49" s="35"/>
      <c r="Y49" s="35"/>
      <c r="Z49" s="35"/>
      <c r="AA49" s="357">
        <v>0</v>
      </c>
      <c r="AB49" s="357">
        <v>0</v>
      </c>
      <c r="AC49" s="357">
        <v>0</v>
      </c>
      <c r="AD49" s="357">
        <v>0</v>
      </c>
      <c r="AE49" s="357">
        <v>0</v>
      </c>
      <c r="AF49" s="357">
        <v>0</v>
      </c>
      <c r="AG49" s="357">
        <v>0</v>
      </c>
      <c r="AH49" s="357">
        <v>0</v>
      </c>
      <c r="AI49" s="357">
        <v>0</v>
      </c>
      <c r="AJ49" s="357">
        <v>0</v>
      </c>
      <c r="AK49" s="357">
        <v>0</v>
      </c>
      <c r="AL49" s="357">
        <v>0</v>
      </c>
      <c r="AM49" s="358">
        <v>0</v>
      </c>
      <c r="AN49" s="358">
        <v>0</v>
      </c>
      <c r="AO49" s="358">
        <v>0</v>
      </c>
      <c r="AP49" s="358">
        <v>0</v>
      </c>
      <c r="AQ49" s="358">
        <v>0</v>
      </c>
      <c r="AR49" s="358">
        <v>0</v>
      </c>
      <c r="AS49" s="358">
        <v>0</v>
      </c>
      <c r="AT49" s="358">
        <v>0</v>
      </c>
      <c r="AU49" s="358">
        <v>0</v>
      </c>
      <c r="AV49" s="358">
        <v>0</v>
      </c>
      <c r="AW49" s="358">
        <v>0</v>
      </c>
      <c r="AX49" s="358">
        <v>0</v>
      </c>
      <c r="AY49" s="359"/>
      <c r="AZ49" s="359"/>
      <c r="BA49" s="359"/>
      <c r="BB49" s="360">
        <f t="shared" si="61"/>
        <v>0</v>
      </c>
      <c r="BC49" s="361" t="e">
        <f t="shared" ca="1" si="62"/>
        <v>#REF!</v>
      </c>
      <c r="BD49" s="362" t="e">
        <f t="shared" si="63"/>
        <v>#REF!</v>
      </c>
      <c r="BE49" s="363">
        <f t="shared" si="53"/>
        <v>0</v>
      </c>
      <c r="BF49" s="364">
        <f t="shared" si="32"/>
        <v>0</v>
      </c>
    </row>
    <row r="50" spans="1:58" ht="12.75" customHeight="1">
      <c r="A50" s="433" t="s">
        <v>33</v>
      </c>
      <c r="B50" s="434"/>
      <c r="C50" s="371">
        <f t="shared" ref="C50:O50" si="64">SUM(C48:C49)</f>
        <v>0</v>
      </c>
      <c r="D50" s="52">
        <f t="shared" si="64"/>
        <v>0</v>
      </c>
      <c r="E50" s="52">
        <f t="shared" si="64"/>
        <v>0</v>
      </c>
      <c r="F50" s="52">
        <f t="shared" si="64"/>
        <v>0</v>
      </c>
      <c r="G50" s="52">
        <f t="shared" si="64"/>
        <v>0</v>
      </c>
      <c r="H50" s="52">
        <f t="shared" si="64"/>
        <v>0</v>
      </c>
      <c r="I50" s="52">
        <f t="shared" si="64"/>
        <v>0</v>
      </c>
      <c r="J50" s="52">
        <f t="shared" si="64"/>
        <v>0</v>
      </c>
      <c r="K50" s="52">
        <f t="shared" si="64"/>
        <v>0</v>
      </c>
      <c r="L50" s="52">
        <f t="shared" si="64"/>
        <v>0</v>
      </c>
      <c r="M50" s="52">
        <f t="shared" si="64"/>
        <v>0</v>
      </c>
      <c r="N50" s="52">
        <f t="shared" si="64"/>
        <v>0</v>
      </c>
      <c r="O50" s="53">
        <f t="shared" si="64"/>
        <v>0</v>
      </c>
      <c r="P50" s="369"/>
      <c r="Q50" s="369">
        <f>SUM(Q48:Q49)</f>
        <v>0</v>
      </c>
      <c r="R50" s="371"/>
      <c r="S50" s="52"/>
      <c r="T50" s="52"/>
      <c r="U50" s="52"/>
      <c r="V50" s="52"/>
      <c r="W50" s="52"/>
      <c r="X50" s="52"/>
      <c r="Y50" s="52"/>
      <c r="Z50" s="52"/>
      <c r="AA50" s="372">
        <f t="shared" ref="AA50:AX50" si="65">SUM(AA48:AA49)</f>
        <v>0</v>
      </c>
      <c r="AB50" s="372">
        <f t="shared" si="65"/>
        <v>0</v>
      </c>
      <c r="AC50" s="372">
        <f t="shared" si="65"/>
        <v>0</v>
      </c>
      <c r="AD50" s="372">
        <f t="shared" si="65"/>
        <v>0</v>
      </c>
      <c r="AE50" s="372">
        <f t="shared" si="65"/>
        <v>0</v>
      </c>
      <c r="AF50" s="372">
        <f t="shared" si="65"/>
        <v>0</v>
      </c>
      <c r="AG50" s="372">
        <f t="shared" si="65"/>
        <v>0</v>
      </c>
      <c r="AH50" s="372">
        <f t="shared" si="65"/>
        <v>0</v>
      </c>
      <c r="AI50" s="372">
        <f t="shared" si="65"/>
        <v>0</v>
      </c>
      <c r="AJ50" s="372">
        <f t="shared" si="65"/>
        <v>0</v>
      </c>
      <c r="AK50" s="372">
        <f t="shared" si="65"/>
        <v>0</v>
      </c>
      <c r="AL50" s="372">
        <f t="shared" si="65"/>
        <v>0</v>
      </c>
      <c r="AM50" s="373">
        <f t="shared" si="65"/>
        <v>0</v>
      </c>
      <c r="AN50" s="373">
        <f t="shared" si="65"/>
        <v>0</v>
      </c>
      <c r="AO50" s="373">
        <f t="shared" si="65"/>
        <v>0</v>
      </c>
      <c r="AP50" s="373">
        <f t="shared" si="65"/>
        <v>0</v>
      </c>
      <c r="AQ50" s="373">
        <f t="shared" si="65"/>
        <v>0</v>
      </c>
      <c r="AR50" s="373">
        <f t="shared" si="65"/>
        <v>0</v>
      </c>
      <c r="AS50" s="373">
        <f t="shared" si="65"/>
        <v>0</v>
      </c>
      <c r="AT50" s="373">
        <f t="shared" si="65"/>
        <v>0</v>
      </c>
      <c r="AU50" s="373">
        <f t="shared" si="65"/>
        <v>0</v>
      </c>
      <c r="AV50" s="373">
        <f t="shared" si="65"/>
        <v>0</v>
      </c>
      <c r="AW50" s="373">
        <f t="shared" si="65"/>
        <v>0</v>
      </c>
      <c r="AX50" s="373">
        <f t="shared" si="65"/>
        <v>0</v>
      </c>
      <c r="AY50" s="374"/>
      <c r="AZ50" s="374"/>
      <c r="BA50" s="374"/>
      <c r="BB50" s="375">
        <f t="shared" ref="BB50:BD50" si="66">SUM(BB48:BB49)</f>
        <v>0</v>
      </c>
      <c r="BC50" s="376" t="e">
        <f t="shared" ca="1" si="66"/>
        <v>#REF!</v>
      </c>
      <c r="BD50" s="377" t="e">
        <f t="shared" si="66"/>
        <v>#REF!</v>
      </c>
      <c r="BE50" s="378">
        <f t="shared" si="53"/>
        <v>0</v>
      </c>
      <c r="BF50" s="364">
        <f t="shared" si="32"/>
        <v>0</v>
      </c>
    </row>
    <row r="51" spans="1:58" ht="12.75" customHeight="1">
      <c r="A51" s="2"/>
      <c r="B51" s="419"/>
      <c r="C51" s="420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  <c r="P51" s="421"/>
      <c r="Q51" s="421"/>
      <c r="R51" s="420"/>
      <c r="S51" s="78"/>
      <c r="T51" s="78"/>
      <c r="U51" s="78"/>
      <c r="V51" s="78"/>
      <c r="W51" s="78"/>
      <c r="X51" s="78"/>
      <c r="Y51" s="78"/>
      <c r="Z51" s="78"/>
      <c r="AA51" s="422"/>
      <c r="AB51" s="422"/>
      <c r="AC51" s="422"/>
      <c r="AD51" s="422"/>
      <c r="AE51" s="422"/>
      <c r="AF51" s="422"/>
      <c r="AG51" s="422"/>
      <c r="AH51" s="422"/>
      <c r="AI51" s="422"/>
      <c r="AJ51" s="422"/>
      <c r="AK51" s="422"/>
      <c r="AL51" s="422"/>
      <c r="AM51" s="423"/>
      <c r="AN51" s="423"/>
      <c r="AO51" s="423"/>
      <c r="AP51" s="423"/>
      <c r="AQ51" s="423"/>
      <c r="AR51" s="423"/>
      <c r="AS51" s="423"/>
      <c r="AT51" s="423"/>
      <c r="AU51" s="423"/>
      <c r="AV51" s="423"/>
      <c r="AW51" s="423"/>
      <c r="AX51" s="423"/>
      <c r="AY51" s="424"/>
      <c r="AZ51" s="424"/>
      <c r="BA51" s="424"/>
      <c r="BB51" s="425"/>
      <c r="BC51" s="426"/>
      <c r="BD51" s="427"/>
      <c r="BE51" s="428">
        <f t="shared" si="53"/>
        <v>0</v>
      </c>
      <c r="BF51" s="364">
        <f t="shared" si="32"/>
        <v>0</v>
      </c>
    </row>
    <row r="52" spans="1:58" ht="16.5" customHeight="1">
      <c r="A52" s="417" t="s">
        <v>34</v>
      </c>
      <c r="B52" s="418"/>
      <c r="C52" s="412">
        <f t="shared" ref="C52:O52" si="67">C45-C50</f>
        <v>29165</v>
      </c>
      <c r="D52" s="413">
        <f t="shared" si="67"/>
        <v>40936</v>
      </c>
      <c r="E52" s="413">
        <f t="shared" si="67"/>
        <v>-19355</v>
      </c>
      <c r="F52" s="413">
        <f t="shared" si="67"/>
        <v>32214.3</v>
      </c>
      <c r="G52" s="413">
        <f t="shared" si="67"/>
        <v>28466.800000000003</v>
      </c>
      <c r="H52" s="413">
        <f t="shared" si="67"/>
        <v>44280</v>
      </c>
      <c r="I52" s="413">
        <f t="shared" si="67"/>
        <v>45530</v>
      </c>
      <c r="J52" s="413">
        <f t="shared" si="67"/>
        <v>62180</v>
      </c>
      <c r="K52" s="413">
        <f t="shared" si="67"/>
        <v>68430</v>
      </c>
      <c r="L52" s="413">
        <f t="shared" si="67"/>
        <v>74680</v>
      </c>
      <c r="M52" s="413">
        <f t="shared" si="67"/>
        <v>80930</v>
      </c>
      <c r="N52" s="413">
        <f t="shared" si="67"/>
        <v>87180</v>
      </c>
      <c r="O52" s="413">
        <f t="shared" si="67"/>
        <v>120585</v>
      </c>
      <c r="P52" s="393"/>
      <c r="Q52" s="414">
        <f>Q45-Q50</f>
        <v>487137.10000000009</v>
      </c>
      <c r="R52" s="391"/>
      <c r="S52" s="59"/>
      <c r="T52" s="59"/>
      <c r="U52" s="59"/>
      <c r="V52" s="59"/>
      <c r="W52" s="59"/>
      <c r="X52" s="59"/>
      <c r="Y52" s="59"/>
      <c r="Z52" s="59"/>
      <c r="AA52" s="394" t="e">
        <f t="shared" ref="AA52:AX52" si="68">AA45-AA50</f>
        <v>#VALUE!</v>
      </c>
      <c r="AB52" s="394" t="e">
        <f t="shared" si="68"/>
        <v>#VALUE!</v>
      </c>
      <c r="AC52" s="394" t="e">
        <f t="shared" si="68"/>
        <v>#VALUE!</v>
      </c>
      <c r="AD52" s="394" t="e">
        <f t="shared" si="68"/>
        <v>#VALUE!</v>
      </c>
      <c r="AE52" s="394" t="e">
        <f t="shared" si="68"/>
        <v>#VALUE!</v>
      </c>
      <c r="AF52" s="394" t="e">
        <f t="shared" si="68"/>
        <v>#VALUE!</v>
      </c>
      <c r="AG52" s="394" t="e">
        <f t="shared" si="68"/>
        <v>#VALUE!</v>
      </c>
      <c r="AH52" s="394" t="e">
        <f t="shared" si="68"/>
        <v>#VALUE!</v>
      </c>
      <c r="AI52" s="394" t="e">
        <f t="shared" si="68"/>
        <v>#VALUE!</v>
      </c>
      <c r="AJ52" s="394" t="e">
        <f t="shared" si="68"/>
        <v>#VALUE!</v>
      </c>
      <c r="AK52" s="394" t="e">
        <f t="shared" si="68"/>
        <v>#VALUE!</v>
      </c>
      <c r="AL52" s="394" t="e">
        <f t="shared" si="68"/>
        <v>#VALUE!</v>
      </c>
      <c r="AM52" s="395" t="e">
        <f t="shared" si="68"/>
        <v>#VALUE!</v>
      </c>
      <c r="AN52" s="395" t="e">
        <f t="shared" si="68"/>
        <v>#VALUE!</v>
      </c>
      <c r="AO52" s="395" t="e">
        <f t="shared" si="68"/>
        <v>#VALUE!</v>
      </c>
      <c r="AP52" s="395" t="e">
        <f t="shared" si="68"/>
        <v>#VALUE!</v>
      </c>
      <c r="AQ52" s="395" t="e">
        <f t="shared" si="68"/>
        <v>#VALUE!</v>
      </c>
      <c r="AR52" s="395" t="e">
        <f t="shared" si="68"/>
        <v>#VALUE!</v>
      </c>
      <c r="AS52" s="395" t="e">
        <f t="shared" si="68"/>
        <v>#VALUE!</v>
      </c>
      <c r="AT52" s="395" t="e">
        <f t="shared" si="68"/>
        <v>#VALUE!</v>
      </c>
      <c r="AU52" s="395" t="e">
        <f t="shared" si="68"/>
        <v>#VALUE!</v>
      </c>
      <c r="AV52" s="395" t="e">
        <f t="shared" si="68"/>
        <v>#VALUE!</v>
      </c>
      <c r="AW52" s="395" t="e">
        <f t="shared" si="68"/>
        <v>#VALUE!</v>
      </c>
      <c r="AX52" s="395" t="e">
        <f t="shared" si="68"/>
        <v>#VALUE!</v>
      </c>
      <c r="AY52" s="396"/>
      <c r="AZ52" s="396"/>
      <c r="BA52" s="396"/>
      <c r="BB52" s="397">
        <f t="shared" ref="BB52:BD52" si="69">BB45-BB50</f>
        <v>897596.8</v>
      </c>
      <c r="BC52" s="398" t="e">
        <f t="shared" ca="1" si="69"/>
        <v>#REF!</v>
      </c>
      <c r="BD52" s="399" t="e">
        <f t="shared" si="69"/>
        <v>#REF!</v>
      </c>
      <c r="BE52" s="400">
        <f t="shared" si="53"/>
        <v>29165</v>
      </c>
      <c r="BF52" s="364">
        <f t="shared" si="32"/>
        <v>666057.1</v>
      </c>
    </row>
    <row r="53" spans="1:58" ht="12.75" customHeight="1">
      <c r="A53" s="2"/>
      <c r="B53" s="435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36"/>
    </row>
    <row r="54" spans="1:58" ht="12.75" customHeight="1">
      <c r="A54" s="2"/>
      <c r="B54" s="435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  <c r="N54" s="436"/>
      <c r="O54" s="436"/>
      <c r="P54" s="86"/>
      <c r="Q54" s="86"/>
      <c r="R54" s="26"/>
      <c r="S54" s="26"/>
      <c r="T54" s="26"/>
      <c r="U54" s="26"/>
      <c r="V54" s="26"/>
      <c r="W54" s="26"/>
      <c r="X54" s="26"/>
      <c r="Y54" s="26"/>
      <c r="Z54" s="26"/>
      <c r="AA54" s="436"/>
      <c r="AB54" s="436"/>
      <c r="AC54" s="436"/>
      <c r="AD54" s="436"/>
      <c r="AE54" s="436"/>
      <c r="AF54" s="436"/>
      <c r="AG54" s="436"/>
      <c r="AH54" s="436"/>
      <c r="AI54" s="436"/>
      <c r="AJ54" s="436"/>
      <c r="AK54" s="436"/>
      <c r="AL54" s="436"/>
      <c r="AM54" s="436"/>
      <c r="AN54" s="436"/>
      <c r="AO54" s="436"/>
      <c r="AP54" s="436"/>
      <c r="AQ54" s="436"/>
      <c r="AR54" s="436"/>
      <c r="AS54" s="436"/>
      <c r="AT54" s="436"/>
      <c r="AU54" s="436"/>
      <c r="AV54" s="436"/>
      <c r="AW54" s="436"/>
      <c r="AX54" s="436"/>
      <c r="AY54" s="436"/>
      <c r="AZ54" s="436"/>
      <c r="BA54" s="436"/>
      <c r="BB54" s="437"/>
      <c r="BC54" s="436"/>
      <c r="BD54" s="436"/>
      <c r="BE54" s="436"/>
      <c r="BF54" s="436"/>
    </row>
    <row r="55" spans="1:58" ht="12.75" customHeight="1">
      <c r="A55" s="2"/>
      <c r="B55" s="435"/>
      <c r="F55" s="438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39"/>
    </row>
    <row r="56" spans="1:58" ht="12.75" customHeight="1">
      <c r="A56" s="2"/>
      <c r="B56" s="435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39"/>
    </row>
    <row r="57" spans="1:58" ht="12.75" customHeight="1">
      <c r="A57" s="2"/>
      <c r="B57" s="435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39"/>
    </row>
    <row r="58" spans="1:58" ht="12.75" customHeight="1">
      <c r="A58" s="2"/>
      <c r="B58" s="435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39"/>
    </row>
    <row r="59" spans="1:58" ht="12.75" customHeight="1">
      <c r="A59" s="2"/>
      <c r="B59" s="435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39"/>
    </row>
    <row r="60" spans="1:58" ht="12.75" customHeight="1">
      <c r="A60" s="2"/>
      <c r="B60" s="435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39"/>
    </row>
    <row r="61" spans="1:58" ht="12.75" customHeight="1">
      <c r="A61" s="2"/>
      <c r="B61" s="435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39"/>
    </row>
    <row r="62" spans="1:58" ht="12.75" customHeight="1">
      <c r="A62" s="2"/>
      <c r="B62" s="435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39"/>
    </row>
    <row r="63" spans="1:58" ht="12.75" customHeight="1">
      <c r="A63" s="2"/>
      <c r="B63" s="435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39"/>
    </row>
    <row r="64" spans="1:58" ht="12.75" customHeight="1">
      <c r="A64" s="2"/>
      <c r="B64" s="435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39"/>
    </row>
    <row r="65" spans="1:56" ht="12.75" customHeight="1">
      <c r="A65" s="2"/>
      <c r="B65" s="435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39"/>
    </row>
    <row r="66" spans="1:56" ht="12.75" customHeight="1">
      <c r="A66" s="2"/>
      <c r="B66" s="435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39"/>
    </row>
    <row r="67" spans="1:56" ht="12.75" customHeight="1">
      <c r="A67" s="2"/>
      <c r="B67" s="435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39"/>
    </row>
    <row r="68" spans="1:56" ht="12.75" customHeight="1">
      <c r="A68" s="2"/>
      <c r="B68" s="435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39"/>
    </row>
    <row r="69" spans="1:56" ht="12.75" customHeight="1">
      <c r="A69" s="2"/>
      <c r="B69" s="435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39"/>
    </row>
    <row r="70" spans="1:56" ht="12.75" customHeight="1">
      <c r="A70" s="2"/>
      <c r="B70" s="435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39"/>
    </row>
    <row r="71" spans="1:56" ht="12.75" customHeight="1">
      <c r="A71" s="2"/>
      <c r="B71" s="435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39"/>
    </row>
    <row r="72" spans="1:56" ht="12.75" customHeight="1">
      <c r="A72" s="2"/>
      <c r="B72" s="435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39"/>
    </row>
    <row r="73" spans="1:56" ht="12.75" customHeight="1">
      <c r="A73" s="2"/>
      <c r="B73" s="435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39"/>
    </row>
    <row r="74" spans="1:56" ht="12.75" customHeight="1">
      <c r="A74" s="2"/>
      <c r="B74" s="435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39"/>
    </row>
    <row r="75" spans="1:56" ht="12.75" customHeight="1">
      <c r="A75" s="2"/>
      <c r="B75" s="435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39"/>
    </row>
    <row r="76" spans="1:56" ht="12.75" customHeight="1">
      <c r="A76" s="2"/>
      <c r="B76" s="435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39"/>
    </row>
    <row r="77" spans="1:56" ht="12.75" customHeight="1">
      <c r="A77" s="2"/>
      <c r="B77" s="435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39"/>
    </row>
    <row r="78" spans="1:56" ht="12.75" customHeight="1">
      <c r="A78" s="2"/>
      <c r="B78" s="435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39"/>
    </row>
    <row r="79" spans="1:56" ht="12.75" customHeight="1">
      <c r="A79" s="2"/>
      <c r="B79" s="435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39"/>
    </row>
    <row r="80" spans="1:56" ht="12.75" customHeight="1">
      <c r="A80" s="2"/>
      <c r="B80" s="435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39"/>
    </row>
    <row r="81" spans="1:56" ht="12.75" customHeight="1">
      <c r="A81" s="2"/>
      <c r="B81" s="435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39"/>
    </row>
    <row r="82" spans="1:56" ht="12.75" customHeight="1">
      <c r="A82" s="2"/>
      <c r="B82" s="435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39"/>
    </row>
    <row r="83" spans="1:56" ht="12.75" customHeight="1">
      <c r="A83" s="2"/>
      <c r="B83" s="435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39"/>
    </row>
    <row r="84" spans="1:56" ht="12.75" customHeight="1">
      <c r="A84" s="2"/>
      <c r="B84" s="435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39"/>
    </row>
    <row r="85" spans="1:56" ht="12.75" customHeight="1">
      <c r="A85" s="2"/>
      <c r="B85" s="435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39"/>
    </row>
    <row r="86" spans="1:56" ht="12.75" customHeight="1">
      <c r="A86" s="2"/>
      <c r="B86" s="435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39"/>
    </row>
    <row r="87" spans="1:56" ht="12.75" customHeight="1">
      <c r="A87" s="2"/>
      <c r="B87" s="435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39"/>
    </row>
    <row r="88" spans="1:56" ht="12.75" customHeight="1">
      <c r="A88" s="2"/>
      <c r="B88" s="435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39"/>
    </row>
    <row r="89" spans="1:56" ht="12.75" customHeight="1">
      <c r="A89" s="2"/>
      <c r="B89" s="435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39"/>
    </row>
    <row r="90" spans="1:56" ht="12.75" customHeight="1">
      <c r="A90" s="2"/>
      <c r="B90" s="435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39"/>
    </row>
    <row r="91" spans="1:56" ht="12.75" customHeight="1">
      <c r="A91" s="2"/>
      <c r="B91" s="435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39"/>
    </row>
    <row r="92" spans="1:56" ht="12.75" customHeight="1">
      <c r="A92" s="2"/>
      <c r="B92" s="435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39"/>
    </row>
    <row r="93" spans="1:56" ht="12.75" customHeight="1">
      <c r="A93" s="2"/>
      <c r="B93" s="435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39"/>
    </row>
    <row r="94" spans="1:56" ht="12.75" customHeight="1">
      <c r="A94" s="2"/>
      <c r="B94" s="435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39"/>
    </row>
    <row r="95" spans="1:56" ht="12.75" customHeight="1">
      <c r="A95" s="2"/>
      <c r="B95" s="435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39"/>
    </row>
    <row r="96" spans="1:56" ht="12.75" customHeight="1">
      <c r="A96" s="2"/>
      <c r="B96" s="435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39"/>
    </row>
    <row r="97" spans="1:56" ht="12.75" customHeight="1">
      <c r="A97" s="2"/>
      <c r="B97" s="435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39"/>
    </row>
    <row r="98" spans="1:56" ht="12.75" customHeight="1">
      <c r="A98" s="2"/>
      <c r="B98" s="435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39"/>
    </row>
    <row r="99" spans="1:56" ht="12.75" customHeight="1">
      <c r="A99" s="2"/>
      <c r="B99" s="435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39"/>
    </row>
    <row r="100" spans="1:56" ht="12.75" customHeight="1">
      <c r="A100" s="2"/>
      <c r="B100" s="435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39"/>
    </row>
    <row r="101" spans="1:56" ht="12.75" customHeight="1">
      <c r="A101" s="2"/>
      <c r="B101" s="435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39"/>
    </row>
    <row r="102" spans="1:56" ht="12.75" customHeight="1">
      <c r="A102" s="2"/>
      <c r="B102" s="435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39"/>
    </row>
    <row r="103" spans="1:56" ht="12.75" customHeight="1">
      <c r="A103" s="2"/>
      <c r="B103" s="435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39"/>
    </row>
    <row r="104" spans="1:56" ht="12.75" customHeight="1">
      <c r="A104" s="2"/>
      <c r="B104" s="435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39"/>
    </row>
    <row r="105" spans="1:56" ht="12.75" customHeight="1">
      <c r="A105" s="2"/>
      <c r="B105" s="435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39"/>
    </row>
    <row r="106" spans="1:56" ht="12.75" customHeight="1">
      <c r="A106" s="2"/>
      <c r="B106" s="435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39"/>
    </row>
    <row r="107" spans="1:56" ht="12.75" customHeight="1">
      <c r="A107" s="2"/>
      <c r="B107" s="435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39"/>
    </row>
    <row r="108" spans="1:56" ht="12.75" customHeight="1">
      <c r="A108" s="2"/>
      <c r="B108" s="435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39"/>
    </row>
    <row r="109" spans="1:56" ht="12.75" customHeight="1">
      <c r="A109" s="2"/>
      <c r="B109" s="435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39"/>
    </row>
    <row r="110" spans="1:56" ht="12.75" customHeight="1">
      <c r="A110" s="2"/>
      <c r="B110" s="435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39"/>
    </row>
    <row r="111" spans="1:56" ht="12.75" customHeight="1">
      <c r="A111" s="2"/>
      <c r="B111" s="435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39"/>
    </row>
    <row r="112" spans="1:56" ht="12.75" customHeight="1">
      <c r="A112" s="2"/>
      <c r="B112" s="435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39"/>
    </row>
    <row r="113" spans="1:56" ht="12.75" customHeight="1">
      <c r="A113" s="2"/>
      <c r="B113" s="435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39"/>
    </row>
    <row r="114" spans="1:56" ht="12.75" customHeight="1">
      <c r="A114" s="2"/>
      <c r="B114" s="435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39"/>
    </row>
    <row r="115" spans="1:56" ht="12.75" customHeight="1">
      <c r="A115" s="2"/>
      <c r="B115" s="435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39"/>
    </row>
    <row r="116" spans="1:56" ht="12.75" customHeight="1">
      <c r="A116" s="2"/>
      <c r="B116" s="435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39"/>
    </row>
    <row r="117" spans="1:56" ht="12.75" customHeight="1">
      <c r="A117" s="2"/>
      <c r="B117" s="435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39"/>
    </row>
    <row r="118" spans="1:56" ht="12.75" customHeight="1">
      <c r="A118" s="2"/>
      <c r="B118" s="435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39"/>
    </row>
    <row r="119" spans="1:56" ht="12.75" customHeight="1">
      <c r="A119" s="2"/>
      <c r="B119" s="435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39"/>
    </row>
    <row r="120" spans="1:56" ht="12.75" customHeight="1">
      <c r="A120" s="2"/>
      <c r="B120" s="435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39"/>
    </row>
    <row r="121" spans="1:56" ht="12.75" customHeight="1">
      <c r="A121" s="2"/>
      <c r="B121" s="435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39"/>
    </row>
    <row r="122" spans="1:56" ht="12.75" customHeight="1">
      <c r="A122" s="2"/>
      <c r="B122" s="435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39"/>
    </row>
    <row r="123" spans="1:56" ht="12.75" customHeight="1">
      <c r="A123" s="2"/>
      <c r="B123" s="435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39"/>
    </row>
    <row r="124" spans="1:56" ht="12.75" customHeight="1">
      <c r="A124" s="2"/>
      <c r="B124" s="435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39"/>
    </row>
    <row r="125" spans="1:56" ht="12.75" customHeight="1">
      <c r="A125" s="2"/>
      <c r="B125" s="435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39"/>
    </row>
    <row r="126" spans="1:56" ht="12.75" customHeight="1">
      <c r="A126" s="2"/>
      <c r="B126" s="435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39"/>
    </row>
    <row r="127" spans="1:56" ht="12.75" customHeight="1">
      <c r="A127" s="2"/>
      <c r="B127" s="435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39"/>
    </row>
    <row r="128" spans="1:56" ht="12.75" customHeight="1">
      <c r="A128" s="2"/>
      <c r="B128" s="435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39"/>
    </row>
    <row r="129" spans="1:56" ht="12.75" customHeight="1">
      <c r="A129" s="2"/>
      <c r="B129" s="435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39"/>
    </row>
    <row r="130" spans="1:56" ht="12.75" customHeight="1">
      <c r="A130" s="2"/>
      <c r="B130" s="435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39"/>
    </row>
    <row r="131" spans="1:56" ht="12.75" customHeight="1">
      <c r="A131" s="2"/>
      <c r="B131" s="435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39"/>
    </row>
    <row r="132" spans="1:56" ht="12.75" customHeight="1">
      <c r="A132" s="2"/>
      <c r="B132" s="435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39"/>
    </row>
    <row r="133" spans="1:56" ht="12.75" customHeight="1">
      <c r="A133" s="2"/>
      <c r="B133" s="435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39"/>
    </row>
    <row r="134" spans="1:56" ht="12.75" customHeight="1">
      <c r="A134" s="2"/>
      <c r="B134" s="435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39"/>
    </row>
    <row r="135" spans="1:56" ht="12.75" customHeight="1">
      <c r="A135" s="2"/>
      <c r="B135" s="435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39"/>
    </row>
    <row r="136" spans="1:56" ht="12.75" customHeight="1">
      <c r="A136" s="2"/>
      <c r="B136" s="435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39"/>
    </row>
    <row r="137" spans="1:56" ht="12.75" customHeight="1">
      <c r="A137" s="2"/>
      <c r="B137" s="435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39"/>
    </row>
    <row r="138" spans="1:56" ht="12.75" customHeight="1">
      <c r="A138" s="2"/>
      <c r="B138" s="435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39"/>
    </row>
    <row r="139" spans="1:56" ht="12.75" customHeight="1">
      <c r="A139" s="2"/>
      <c r="B139" s="435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39"/>
    </row>
    <row r="140" spans="1:56" ht="12.75" customHeight="1">
      <c r="A140" s="2"/>
      <c r="B140" s="435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39"/>
    </row>
    <row r="141" spans="1:56" ht="12.75" customHeight="1">
      <c r="A141" s="2"/>
      <c r="B141" s="435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39"/>
    </row>
    <row r="142" spans="1:56" ht="12.75" customHeight="1">
      <c r="A142" s="2"/>
      <c r="B142" s="435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39"/>
    </row>
    <row r="143" spans="1:56" ht="12.75" customHeight="1">
      <c r="A143" s="2"/>
      <c r="B143" s="435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39"/>
    </row>
    <row r="144" spans="1:56" ht="12.75" customHeight="1">
      <c r="A144" s="2"/>
      <c r="B144" s="435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39"/>
    </row>
    <row r="145" spans="1:56" ht="12.75" customHeight="1">
      <c r="A145" s="2"/>
      <c r="B145" s="435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39"/>
    </row>
    <row r="146" spans="1:56" ht="12.75" customHeight="1">
      <c r="A146" s="2"/>
      <c r="B146" s="435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39"/>
    </row>
    <row r="147" spans="1:56" ht="12.75" customHeight="1">
      <c r="A147" s="2"/>
      <c r="B147" s="435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39"/>
    </row>
    <row r="148" spans="1:56" ht="12.75" customHeight="1">
      <c r="A148" s="2"/>
      <c r="B148" s="435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39"/>
    </row>
    <row r="149" spans="1:56" ht="12.75" customHeight="1">
      <c r="A149" s="2"/>
      <c r="B149" s="435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39"/>
    </row>
    <row r="150" spans="1:56" ht="12.75" customHeight="1">
      <c r="A150" s="2"/>
      <c r="B150" s="435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39"/>
    </row>
    <row r="151" spans="1:56" ht="12.75" customHeight="1">
      <c r="A151" s="2"/>
      <c r="B151" s="435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39"/>
    </row>
    <row r="152" spans="1:56" ht="12.75" customHeight="1">
      <c r="A152" s="2"/>
      <c r="B152" s="435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39"/>
    </row>
    <row r="153" spans="1:56" ht="12.75" customHeight="1">
      <c r="A153" s="2"/>
      <c r="B153" s="435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39"/>
    </row>
    <row r="154" spans="1:56" ht="12.75" customHeight="1">
      <c r="A154" s="2"/>
      <c r="B154" s="435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39"/>
    </row>
    <row r="155" spans="1:56" ht="12.75" customHeight="1">
      <c r="A155" s="2"/>
      <c r="B155" s="435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39"/>
    </row>
    <row r="156" spans="1:56" ht="12.75" customHeight="1">
      <c r="A156" s="2"/>
      <c r="B156" s="435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39"/>
    </row>
    <row r="157" spans="1:56" ht="12.75" customHeight="1">
      <c r="A157" s="2"/>
      <c r="B157" s="435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39"/>
    </row>
    <row r="158" spans="1:56" ht="12.75" customHeight="1">
      <c r="A158" s="2"/>
      <c r="B158" s="435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39"/>
    </row>
    <row r="159" spans="1:56" ht="12.75" customHeight="1">
      <c r="A159" s="2"/>
      <c r="B159" s="435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39"/>
    </row>
    <row r="160" spans="1:56" ht="12.75" customHeight="1">
      <c r="A160" s="2"/>
      <c r="B160" s="435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39"/>
    </row>
    <row r="161" spans="1:56" ht="12.75" customHeight="1">
      <c r="A161" s="2"/>
      <c r="B161" s="435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39"/>
    </row>
    <row r="162" spans="1:56" ht="12.75" customHeight="1">
      <c r="A162" s="2"/>
      <c r="B162" s="435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39"/>
    </row>
    <row r="163" spans="1:56" ht="12.75" customHeight="1">
      <c r="A163" s="2"/>
      <c r="B163" s="435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39"/>
    </row>
    <row r="164" spans="1:56" ht="12.75" customHeight="1">
      <c r="A164" s="2"/>
      <c r="B164" s="435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39"/>
    </row>
    <row r="165" spans="1:56" ht="12.75" customHeight="1">
      <c r="A165" s="2"/>
      <c r="B165" s="435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39"/>
    </row>
    <row r="166" spans="1:56" ht="12.75" customHeight="1">
      <c r="A166" s="2"/>
      <c r="B166" s="435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39"/>
    </row>
    <row r="167" spans="1:56" ht="12.75" customHeight="1">
      <c r="A167" s="2"/>
      <c r="B167" s="435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39"/>
    </row>
    <row r="168" spans="1:56" ht="12.75" customHeight="1">
      <c r="A168" s="2"/>
      <c r="B168" s="435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39"/>
    </row>
    <row r="169" spans="1:56" ht="12.75" customHeight="1">
      <c r="A169" s="2"/>
      <c r="B169" s="435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39"/>
    </row>
    <row r="170" spans="1:56" ht="12.75" customHeight="1">
      <c r="A170" s="2"/>
      <c r="B170" s="435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39"/>
    </row>
    <row r="171" spans="1:56" ht="12.75" customHeight="1">
      <c r="A171" s="2"/>
      <c r="B171" s="435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39"/>
    </row>
    <row r="172" spans="1:56" ht="12.75" customHeight="1">
      <c r="A172" s="2"/>
      <c r="B172" s="435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39"/>
    </row>
    <row r="173" spans="1:56" ht="12.75" customHeight="1">
      <c r="A173" s="2"/>
      <c r="B173" s="435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39"/>
    </row>
    <row r="174" spans="1:56" ht="12.75" customHeight="1">
      <c r="A174" s="2"/>
      <c r="B174" s="435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39"/>
    </row>
    <row r="175" spans="1:56" ht="12.75" customHeight="1">
      <c r="A175" s="2"/>
      <c r="B175" s="435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39"/>
    </row>
    <row r="176" spans="1:56" ht="12.75" customHeight="1">
      <c r="A176" s="2"/>
      <c r="B176" s="435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39"/>
    </row>
    <row r="177" spans="1:56" ht="12.75" customHeight="1">
      <c r="A177" s="2"/>
      <c r="B177" s="435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39"/>
    </row>
    <row r="178" spans="1:56" ht="12.75" customHeight="1">
      <c r="A178" s="2"/>
      <c r="B178" s="435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39"/>
    </row>
    <row r="179" spans="1:56" ht="12.75" customHeight="1">
      <c r="A179" s="2"/>
      <c r="B179" s="435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39"/>
    </row>
    <row r="180" spans="1:56" ht="12.75" customHeight="1">
      <c r="A180" s="2"/>
      <c r="B180" s="435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39"/>
    </row>
    <row r="181" spans="1:56" ht="12.75" customHeight="1">
      <c r="A181" s="2"/>
      <c r="B181" s="435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39"/>
    </row>
    <row r="182" spans="1:56" ht="12.75" customHeight="1">
      <c r="A182" s="2"/>
      <c r="B182" s="435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39"/>
    </row>
    <row r="183" spans="1:56" ht="12.75" customHeight="1">
      <c r="A183" s="2"/>
      <c r="B183" s="435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39"/>
    </row>
    <row r="184" spans="1:56" ht="12.75" customHeight="1">
      <c r="A184" s="2"/>
      <c r="B184" s="435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39"/>
    </row>
    <row r="185" spans="1:56" ht="12.75" customHeight="1">
      <c r="A185" s="2"/>
      <c r="B185" s="435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39"/>
    </row>
    <row r="186" spans="1:56" ht="12.75" customHeight="1">
      <c r="A186" s="2"/>
      <c r="B186" s="435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39"/>
    </row>
    <row r="187" spans="1:56" ht="12.75" customHeight="1">
      <c r="A187" s="2"/>
      <c r="B187" s="435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39"/>
    </row>
    <row r="188" spans="1:56" ht="12.75" customHeight="1">
      <c r="A188" s="2"/>
      <c r="B188" s="435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39"/>
    </row>
    <row r="189" spans="1:56" ht="12.75" customHeight="1">
      <c r="A189" s="2"/>
      <c r="B189" s="435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39"/>
    </row>
    <row r="190" spans="1:56" ht="12.75" customHeight="1">
      <c r="A190" s="2"/>
      <c r="B190" s="435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39"/>
    </row>
    <row r="191" spans="1:56" ht="12.75" customHeight="1">
      <c r="A191" s="2"/>
      <c r="B191" s="435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39"/>
    </row>
    <row r="192" spans="1:56" ht="12.75" customHeight="1">
      <c r="A192" s="2"/>
      <c r="B192" s="435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39"/>
    </row>
    <row r="193" spans="1:56" ht="12.75" customHeight="1">
      <c r="A193" s="2"/>
      <c r="B193" s="435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39"/>
    </row>
    <row r="194" spans="1:56" ht="12.75" customHeight="1">
      <c r="A194" s="2"/>
      <c r="B194" s="435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39"/>
    </row>
    <row r="195" spans="1:56" ht="12.75" customHeight="1">
      <c r="A195" s="2"/>
      <c r="B195" s="435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39"/>
    </row>
    <row r="196" spans="1:56" ht="12.75" customHeight="1">
      <c r="A196" s="2"/>
      <c r="B196" s="435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39"/>
    </row>
    <row r="197" spans="1:56" ht="12.75" customHeight="1">
      <c r="A197" s="2"/>
      <c r="B197" s="435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39"/>
    </row>
    <row r="198" spans="1:56" ht="12.75" customHeight="1">
      <c r="A198" s="2"/>
      <c r="B198" s="435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39"/>
    </row>
    <row r="199" spans="1:56" ht="12.75" customHeight="1">
      <c r="A199" s="2"/>
      <c r="B199" s="435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39"/>
    </row>
    <row r="200" spans="1:56" ht="12.75" customHeight="1">
      <c r="A200" s="2"/>
      <c r="B200" s="435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39"/>
    </row>
    <row r="201" spans="1:56" ht="12.75" customHeight="1">
      <c r="A201" s="2"/>
      <c r="B201" s="435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39"/>
    </row>
    <row r="202" spans="1:56" ht="12.75" customHeight="1">
      <c r="A202" s="2"/>
      <c r="B202" s="435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39"/>
    </row>
    <row r="203" spans="1:56" ht="12.75" customHeight="1">
      <c r="A203" s="2"/>
      <c r="B203" s="435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39"/>
    </row>
    <row r="204" spans="1:56" ht="12.75" customHeight="1">
      <c r="A204" s="2"/>
      <c r="B204" s="435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39"/>
    </row>
    <row r="205" spans="1:56" ht="12.75" customHeight="1">
      <c r="A205" s="2"/>
      <c r="B205" s="435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39"/>
    </row>
    <row r="206" spans="1:56" ht="12.75" customHeight="1">
      <c r="A206" s="2"/>
      <c r="B206" s="435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39"/>
    </row>
    <row r="207" spans="1:56" ht="12.75" customHeight="1">
      <c r="A207" s="2"/>
      <c r="B207" s="435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39"/>
    </row>
    <row r="208" spans="1:56" ht="12.75" customHeight="1">
      <c r="A208" s="2"/>
      <c r="B208" s="435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39"/>
    </row>
    <row r="209" spans="1:56" ht="12.75" customHeight="1">
      <c r="A209" s="2"/>
      <c r="B209" s="435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39"/>
    </row>
    <row r="210" spans="1:56" ht="12.75" customHeight="1">
      <c r="A210" s="2"/>
      <c r="B210" s="435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39"/>
    </row>
    <row r="211" spans="1:56" ht="12.75" customHeight="1">
      <c r="A211" s="2"/>
      <c r="B211" s="435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39"/>
    </row>
    <row r="212" spans="1:56" ht="12.75" customHeight="1">
      <c r="A212" s="2"/>
      <c r="B212" s="435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39"/>
    </row>
    <row r="213" spans="1:56" ht="12.75" customHeight="1">
      <c r="A213" s="2"/>
      <c r="B213" s="435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39"/>
    </row>
    <row r="214" spans="1:56" ht="12.75" customHeight="1">
      <c r="A214" s="2"/>
      <c r="B214" s="435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39"/>
    </row>
    <row r="215" spans="1:56" ht="12.75" customHeight="1">
      <c r="A215" s="2"/>
      <c r="B215" s="435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39"/>
    </row>
    <row r="216" spans="1:56" ht="12.75" customHeight="1">
      <c r="A216" s="2"/>
      <c r="B216" s="435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39"/>
    </row>
    <row r="217" spans="1:56" ht="12.75" customHeight="1">
      <c r="A217" s="2"/>
      <c r="B217" s="435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39"/>
    </row>
    <row r="218" spans="1:56" ht="12.75" customHeight="1">
      <c r="A218" s="2"/>
      <c r="B218" s="435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39"/>
    </row>
    <row r="219" spans="1:56" ht="12.75" customHeight="1">
      <c r="A219" s="2"/>
      <c r="B219" s="435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39"/>
    </row>
    <row r="220" spans="1:56" ht="12.75" customHeight="1">
      <c r="A220" s="2"/>
      <c r="B220" s="435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39"/>
    </row>
    <row r="221" spans="1:56" ht="12.75" customHeight="1">
      <c r="A221" s="2"/>
      <c r="B221" s="435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39"/>
    </row>
    <row r="222" spans="1:56" ht="12.75" customHeight="1">
      <c r="A222" s="2"/>
      <c r="B222" s="435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39"/>
    </row>
    <row r="223" spans="1:56" ht="12.75" customHeight="1">
      <c r="A223" s="2"/>
      <c r="B223" s="435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39"/>
    </row>
    <row r="224" spans="1:56" ht="12.75" customHeight="1">
      <c r="A224" s="2"/>
      <c r="B224" s="435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39"/>
    </row>
    <row r="225" spans="1:56" ht="12.75" customHeight="1">
      <c r="A225" s="2"/>
      <c r="B225" s="435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39"/>
    </row>
    <row r="226" spans="1:56" ht="12.75" customHeight="1">
      <c r="A226" s="2"/>
      <c r="B226" s="435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39"/>
    </row>
    <row r="227" spans="1:56" ht="12.75" customHeight="1">
      <c r="A227" s="2"/>
      <c r="B227" s="435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39"/>
    </row>
    <row r="228" spans="1:56" ht="12.75" customHeight="1">
      <c r="A228" s="2"/>
      <c r="B228" s="435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39"/>
    </row>
    <row r="229" spans="1:56" ht="12.75" customHeight="1">
      <c r="A229" s="2"/>
      <c r="B229" s="435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39"/>
    </row>
    <row r="230" spans="1:56" ht="12.75" customHeight="1">
      <c r="A230" s="2"/>
      <c r="B230" s="435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39"/>
    </row>
    <row r="231" spans="1:56" ht="12.75" customHeight="1">
      <c r="A231" s="2"/>
      <c r="B231" s="435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39"/>
    </row>
    <row r="232" spans="1:56" ht="12.75" customHeight="1">
      <c r="A232" s="2"/>
      <c r="B232" s="435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39"/>
    </row>
    <row r="233" spans="1:56" ht="12.75" customHeight="1">
      <c r="A233" s="2"/>
      <c r="B233" s="435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39"/>
    </row>
    <row r="234" spans="1:56" ht="12.75" customHeight="1">
      <c r="A234" s="2"/>
      <c r="B234" s="435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39"/>
    </row>
    <row r="235" spans="1:56" ht="12.75" customHeight="1">
      <c r="A235" s="2"/>
      <c r="B235" s="435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39"/>
    </row>
    <row r="236" spans="1:56" ht="12.75" customHeight="1">
      <c r="A236" s="2"/>
      <c r="B236" s="435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39"/>
    </row>
    <row r="237" spans="1:56" ht="12.75" customHeight="1">
      <c r="A237" s="2"/>
      <c r="B237" s="435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39"/>
    </row>
    <row r="238" spans="1:56" ht="12.75" customHeight="1">
      <c r="A238" s="2"/>
      <c r="B238" s="435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39"/>
    </row>
    <row r="239" spans="1:56" ht="12.75" customHeight="1">
      <c r="A239" s="2"/>
      <c r="B239" s="435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39"/>
    </row>
    <row r="240" spans="1:56" ht="12.75" customHeight="1">
      <c r="A240" s="2"/>
      <c r="B240" s="435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39"/>
    </row>
    <row r="241" spans="1:56" ht="12.75" customHeight="1">
      <c r="A241" s="2"/>
      <c r="B241" s="435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39"/>
    </row>
    <row r="242" spans="1:56" ht="12.75" customHeight="1">
      <c r="A242" s="2"/>
      <c r="B242" s="435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39"/>
    </row>
    <row r="243" spans="1:56" ht="12.75" customHeight="1">
      <c r="A243" s="2"/>
      <c r="B243" s="435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39"/>
    </row>
    <row r="244" spans="1:56" ht="12.75" customHeight="1">
      <c r="A244" s="2"/>
      <c r="B244" s="435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39"/>
    </row>
    <row r="245" spans="1:56" ht="12.75" customHeight="1">
      <c r="A245" s="2"/>
      <c r="B245" s="435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39"/>
    </row>
    <row r="246" spans="1:56" ht="12.75" customHeight="1">
      <c r="A246" s="2"/>
      <c r="B246" s="435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39"/>
    </row>
    <row r="247" spans="1:56" ht="12.75" customHeight="1">
      <c r="A247" s="2"/>
      <c r="B247" s="435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39"/>
    </row>
    <row r="248" spans="1:56" ht="12.75" customHeight="1">
      <c r="A248" s="2"/>
      <c r="B248" s="435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39"/>
    </row>
    <row r="249" spans="1:56" ht="12.75" customHeight="1">
      <c r="A249" s="2"/>
      <c r="B249" s="435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39"/>
    </row>
    <row r="250" spans="1:56" ht="12.75" customHeight="1">
      <c r="A250" s="2"/>
      <c r="B250" s="435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39"/>
    </row>
    <row r="251" spans="1:56" ht="12.75" customHeight="1">
      <c r="A251" s="2"/>
      <c r="B251" s="435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39"/>
    </row>
    <row r="252" spans="1:56" ht="12.75" customHeight="1">
      <c r="A252" s="2"/>
      <c r="B252" s="435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39"/>
    </row>
    <row r="253" spans="1:56" ht="12.75" customHeight="1">
      <c r="A253" s="2"/>
      <c r="B253" s="435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39"/>
    </row>
    <row r="254" spans="1:56" ht="12.75" customHeight="1">
      <c r="A254" s="2"/>
      <c r="B254" s="435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39"/>
    </row>
    <row r="255" spans="1:56" ht="12.75" customHeight="1">
      <c r="A255" s="2"/>
      <c r="B255" s="435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39"/>
    </row>
    <row r="256" spans="1:56" ht="12.75" customHeight="1">
      <c r="A256" s="2"/>
      <c r="B256" s="435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39"/>
    </row>
    <row r="257" spans="1:56" ht="12.75" customHeight="1">
      <c r="A257" s="2"/>
      <c r="B257" s="435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39"/>
    </row>
    <row r="258" spans="1:56" ht="12.75" customHeight="1">
      <c r="A258" s="2"/>
      <c r="B258" s="435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39"/>
    </row>
    <row r="259" spans="1:56" ht="12.75" customHeight="1">
      <c r="A259" s="2"/>
      <c r="B259" s="435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39"/>
    </row>
    <row r="260" spans="1:56" ht="12.75" customHeight="1">
      <c r="A260" s="2"/>
      <c r="B260" s="435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39"/>
    </row>
    <row r="261" spans="1:56" ht="12.75" customHeight="1">
      <c r="A261" s="2"/>
      <c r="B261" s="435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39"/>
    </row>
    <row r="262" spans="1:56" ht="12.75" customHeight="1">
      <c r="A262" s="2"/>
      <c r="B262" s="435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39"/>
    </row>
    <row r="263" spans="1:56" ht="12.75" customHeight="1">
      <c r="A263" s="2"/>
      <c r="B263" s="435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39"/>
    </row>
    <row r="264" spans="1:56" ht="12.75" customHeight="1">
      <c r="A264" s="2"/>
      <c r="B264" s="435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39"/>
    </row>
    <row r="265" spans="1:56" ht="12.75" customHeight="1">
      <c r="A265" s="2"/>
      <c r="B265" s="435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39"/>
    </row>
    <row r="266" spans="1:56" ht="12.75" customHeight="1">
      <c r="A266" s="2"/>
      <c r="B266" s="435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39"/>
    </row>
    <row r="267" spans="1:56" ht="12.75" customHeight="1">
      <c r="A267" s="2"/>
      <c r="B267" s="435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39"/>
    </row>
    <row r="268" spans="1:56" ht="12.75" customHeight="1">
      <c r="A268" s="2"/>
      <c r="B268" s="435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39"/>
    </row>
    <row r="269" spans="1:56" ht="12.75" customHeight="1">
      <c r="A269" s="2"/>
      <c r="B269" s="435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39"/>
    </row>
    <row r="270" spans="1:56" ht="12.75" customHeight="1">
      <c r="A270" s="2"/>
      <c r="B270" s="435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39"/>
    </row>
    <row r="271" spans="1:56" ht="12.75" customHeight="1">
      <c r="A271" s="2"/>
      <c r="B271" s="435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39"/>
    </row>
    <row r="272" spans="1:56" ht="12.75" customHeight="1">
      <c r="A272" s="2"/>
      <c r="B272" s="435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39"/>
    </row>
    <row r="273" spans="1:56" ht="12.75" customHeight="1">
      <c r="A273" s="2"/>
      <c r="B273" s="435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39"/>
    </row>
    <row r="274" spans="1:56" ht="12.75" customHeight="1">
      <c r="A274" s="2"/>
      <c r="B274" s="435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39"/>
    </row>
    <row r="275" spans="1:56" ht="12.75" customHeight="1">
      <c r="A275" s="2"/>
      <c r="B275" s="435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39"/>
    </row>
    <row r="276" spans="1:56" ht="12.75" customHeight="1">
      <c r="A276" s="2"/>
      <c r="B276" s="435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39"/>
    </row>
    <row r="277" spans="1:56" ht="12.75" customHeight="1">
      <c r="A277" s="2"/>
      <c r="B277" s="435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39"/>
    </row>
    <row r="278" spans="1:56" ht="12.75" customHeight="1">
      <c r="A278" s="2"/>
      <c r="B278" s="435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39"/>
    </row>
    <row r="279" spans="1:56" ht="12.75" customHeight="1">
      <c r="A279" s="2"/>
      <c r="B279" s="435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39"/>
    </row>
    <row r="280" spans="1:56" ht="12.75" customHeight="1">
      <c r="A280" s="2"/>
      <c r="B280" s="435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39"/>
    </row>
    <row r="281" spans="1:56" ht="12.75" customHeight="1">
      <c r="A281" s="2"/>
      <c r="B281" s="435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39"/>
    </row>
    <row r="282" spans="1:56" ht="12.75" customHeight="1">
      <c r="A282" s="2"/>
      <c r="B282" s="435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39"/>
    </row>
    <row r="283" spans="1:56" ht="12.75" customHeight="1">
      <c r="A283" s="2"/>
      <c r="B283" s="435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39"/>
    </row>
    <row r="284" spans="1:56" ht="12.75" customHeight="1">
      <c r="A284" s="2"/>
      <c r="B284" s="435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39"/>
    </row>
    <row r="285" spans="1:56" ht="12.75" customHeight="1">
      <c r="A285" s="2"/>
      <c r="B285" s="435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39"/>
    </row>
    <row r="286" spans="1:56" ht="12.75" customHeight="1">
      <c r="A286" s="2"/>
      <c r="B286" s="435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39"/>
    </row>
    <row r="287" spans="1:56" ht="12.75" customHeight="1">
      <c r="A287" s="2"/>
      <c r="B287" s="435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39"/>
    </row>
    <row r="288" spans="1:56" ht="12.75" customHeight="1">
      <c r="A288" s="2"/>
      <c r="B288" s="435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39"/>
    </row>
    <row r="289" spans="1:56" ht="12.75" customHeight="1">
      <c r="A289" s="2"/>
      <c r="B289" s="435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39"/>
    </row>
    <row r="290" spans="1:56" ht="12.75" customHeight="1">
      <c r="A290" s="2"/>
      <c r="B290" s="435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39"/>
    </row>
    <row r="291" spans="1:56" ht="12.75" customHeight="1">
      <c r="A291" s="2"/>
      <c r="B291" s="435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39"/>
    </row>
    <row r="292" spans="1:56" ht="12.75" customHeight="1">
      <c r="A292" s="2"/>
      <c r="B292" s="435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39"/>
    </row>
    <row r="293" spans="1:56" ht="12.75" customHeight="1">
      <c r="A293" s="2"/>
      <c r="B293" s="435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39"/>
    </row>
    <row r="294" spans="1:56" ht="12.75" customHeight="1">
      <c r="A294" s="2"/>
      <c r="B294" s="435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39"/>
    </row>
    <row r="295" spans="1:56" ht="12.75" customHeight="1">
      <c r="A295" s="2"/>
      <c r="B295" s="435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39"/>
    </row>
    <row r="296" spans="1:56" ht="12.75" customHeight="1">
      <c r="A296" s="2"/>
      <c r="B296" s="435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39"/>
    </row>
    <row r="297" spans="1:56" ht="12.75" customHeight="1">
      <c r="A297" s="2"/>
      <c r="B297" s="435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39"/>
    </row>
    <row r="298" spans="1:56" ht="12.75" customHeight="1">
      <c r="A298" s="2"/>
      <c r="B298" s="435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39"/>
    </row>
    <row r="299" spans="1:56" ht="12.75" customHeight="1">
      <c r="A299" s="2"/>
      <c r="B299" s="435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39"/>
    </row>
    <row r="300" spans="1:56" ht="12.75" customHeight="1">
      <c r="A300" s="2"/>
      <c r="B300" s="435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39"/>
    </row>
    <row r="301" spans="1:56" ht="12.75" customHeight="1">
      <c r="A301" s="2"/>
      <c r="B301" s="435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39"/>
    </row>
    <row r="302" spans="1:56" ht="12.75" customHeight="1">
      <c r="A302" s="2"/>
      <c r="B302" s="435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39"/>
    </row>
    <row r="303" spans="1:56" ht="12.75" customHeight="1">
      <c r="A303" s="2"/>
      <c r="B303" s="435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39"/>
    </row>
    <row r="304" spans="1:56" ht="12.75" customHeight="1">
      <c r="A304" s="2"/>
      <c r="B304" s="435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39"/>
    </row>
    <row r="305" spans="1:56" ht="12.75" customHeight="1">
      <c r="A305" s="2"/>
      <c r="B305" s="435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39"/>
    </row>
    <row r="306" spans="1:56" ht="12.75" customHeight="1">
      <c r="A306" s="2"/>
      <c r="B306" s="435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39"/>
    </row>
    <row r="307" spans="1:56" ht="12.75" customHeight="1">
      <c r="A307" s="2"/>
      <c r="B307" s="435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39"/>
    </row>
    <row r="308" spans="1:56" ht="12.75" customHeight="1">
      <c r="A308" s="2"/>
      <c r="B308" s="435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39"/>
    </row>
    <row r="309" spans="1:56" ht="12.75" customHeight="1">
      <c r="A309" s="2"/>
      <c r="B309" s="435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39"/>
    </row>
    <row r="310" spans="1:56" ht="12.75" customHeight="1">
      <c r="A310" s="2"/>
      <c r="B310" s="435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39"/>
    </row>
    <row r="311" spans="1:56" ht="12.75" customHeight="1">
      <c r="A311" s="2"/>
      <c r="B311" s="435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39"/>
    </row>
    <row r="312" spans="1:56" ht="12.75" customHeight="1">
      <c r="A312" s="2"/>
      <c r="B312" s="435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39"/>
    </row>
    <row r="313" spans="1:56" ht="12.75" customHeight="1">
      <c r="A313" s="2"/>
      <c r="B313" s="435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39"/>
    </row>
    <row r="314" spans="1:56" ht="12.75" customHeight="1">
      <c r="A314" s="2"/>
      <c r="B314" s="435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39"/>
    </row>
    <row r="315" spans="1:56" ht="12.75" customHeight="1">
      <c r="A315" s="2"/>
      <c r="B315" s="435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39"/>
    </row>
    <row r="316" spans="1:56" ht="12.75" customHeight="1">
      <c r="A316" s="2"/>
      <c r="B316" s="435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39"/>
    </row>
    <row r="317" spans="1:56" ht="12.75" customHeight="1">
      <c r="A317" s="2"/>
      <c r="B317" s="435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39"/>
    </row>
    <row r="318" spans="1:56" ht="12.75" customHeight="1">
      <c r="A318" s="2"/>
      <c r="B318" s="435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39"/>
    </row>
    <row r="319" spans="1:56" ht="12.75" customHeight="1">
      <c r="A319" s="2"/>
      <c r="B319" s="435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39"/>
    </row>
    <row r="320" spans="1:56" ht="12.75" customHeight="1">
      <c r="A320" s="2"/>
      <c r="B320" s="435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39"/>
    </row>
    <row r="321" spans="1:56" ht="12.75" customHeight="1">
      <c r="A321" s="2"/>
      <c r="B321" s="435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39"/>
    </row>
    <row r="322" spans="1:56" ht="12.75" customHeight="1">
      <c r="A322" s="2"/>
      <c r="B322" s="435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39"/>
    </row>
    <row r="323" spans="1:56" ht="12.75" customHeight="1">
      <c r="A323" s="2"/>
      <c r="B323" s="435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39"/>
    </row>
    <row r="324" spans="1:56" ht="12.75" customHeight="1">
      <c r="A324" s="2"/>
      <c r="B324" s="435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39"/>
    </row>
    <row r="325" spans="1:56" ht="12.75" customHeight="1">
      <c r="A325" s="2"/>
      <c r="B325" s="435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39"/>
    </row>
    <row r="326" spans="1:56" ht="12.75" customHeight="1">
      <c r="A326" s="2"/>
      <c r="B326" s="435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39"/>
    </row>
    <row r="327" spans="1:56" ht="12.75" customHeight="1">
      <c r="A327" s="2"/>
      <c r="B327" s="435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39"/>
    </row>
    <row r="328" spans="1:56" ht="12.75" customHeight="1">
      <c r="A328" s="2"/>
      <c r="B328" s="435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39"/>
    </row>
    <row r="329" spans="1:56" ht="12.75" customHeight="1">
      <c r="A329" s="2"/>
      <c r="B329" s="435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39"/>
    </row>
    <row r="330" spans="1:56" ht="12.75" customHeight="1">
      <c r="A330" s="2"/>
      <c r="B330" s="435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39"/>
    </row>
    <row r="331" spans="1:56" ht="12.75" customHeight="1">
      <c r="A331" s="2"/>
      <c r="B331" s="435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39"/>
    </row>
    <row r="332" spans="1:56" ht="12.75" customHeight="1">
      <c r="A332" s="2"/>
      <c r="B332" s="435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39"/>
    </row>
    <row r="333" spans="1:56" ht="12.75" customHeight="1">
      <c r="A333" s="2"/>
      <c r="B333" s="435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39"/>
    </row>
    <row r="334" spans="1:56" ht="12.75" customHeight="1">
      <c r="A334" s="2"/>
      <c r="B334" s="435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39"/>
    </row>
    <row r="335" spans="1:56" ht="12.75" customHeight="1">
      <c r="A335" s="2"/>
      <c r="B335" s="435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39"/>
    </row>
    <row r="336" spans="1:56" ht="12.75" customHeight="1">
      <c r="A336" s="2"/>
      <c r="B336" s="435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39"/>
    </row>
    <row r="337" spans="1:56" ht="12.75" customHeight="1">
      <c r="A337" s="2"/>
      <c r="B337" s="435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39"/>
    </row>
    <row r="338" spans="1:56" ht="12.75" customHeight="1">
      <c r="A338" s="2"/>
      <c r="B338" s="435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39"/>
    </row>
    <row r="339" spans="1:56" ht="12.75" customHeight="1">
      <c r="A339" s="2"/>
      <c r="B339" s="435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39"/>
    </row>
    <row r="340" spans="1:56" ht="12.75" customHeight="1">
      <c r="A340" s="2"/>
      <c r="B340" s="435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39"/>
    </row>
    <row r="341" spans="1:56" ht="12.75" customHeight="1">
      <c r="A341" s="2"/>
      <c r="B341" s="435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39"/>
    </row>
    <row r="342" spans="1:56" ht="12.75" customHeight="1">
      <c r="A342" s="2"/>
      <c r="B342" s="435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39"/>
    </row>
    <row r="343" spans="1:56" ht="12.75" customHeight="1">
      <c r="A343" s="2"/>
      <c r="B343" s="435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39"/>
    </row>
    <row r="344" spans="1:56" ht="12.75" customHeight="1">
      <c r="A344" s="2"/>
      <c r="B344" s="435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39"/>
    </row>
    <row r="345" spans="1:56" ht="12.75" customHeight="1">
      <c r="A345" s="2"/>
      <c r="B345" s="435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39"/>
    </row>
    <row r="346" spans="1:56" ht="12.75" customHeight="1">
      <c r="A346" s="2"/>
      <c r="B346" s="435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39"/>
    </row>
    <row r="347" spans="1:56" ht="12.75" customHeight="1">
      <c r="A347" s="2"/>
      <c r="B347" s="435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39"/>
    </row>
    <row r="348" spans="1:56" ht="12.75" customHeight="1">
      <c r="A348" s="2"/>
      <c r="B348" s="435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39"/>
    </row>
    <row r="349" spans="1:56" ht="12.75" customHeight="1">
      <c r="A349" s="2"/>
      <c r="B349" s="435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39"/>
    </row>
    <row r="350" spans="1:56" ht="12.75" customHeight="1">
      <c r="A350" s="2"/>
      <c r="B350" s="435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39"/>
    </row>
    <row r="351" spans="1:56" ht="12.75" customHeight="1">
      <c r="A351" s="2"/>
      <c r="B351" s="435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39"/>
    </row>
    <row r="352" spans="1:56" ht="12.75" customHeight="1">
      <c r="A352" s="2"/>
      <c r="B352" s="435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39"/>
    </row>
    <row r="353" spans="1:56" ht="12.75" customHeight="1">
      <c r="A353" s="2"/>
      <c r="B353" s="435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39"/>
    </row>
    <row r="354" spans="1:56" ht="12.75" customHeight="1">
      <c r="A354" s="2"/>
      <c r="B354" s="435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39"/>
    </row>
    <row r="355" spans="1:56" ht="12.75" customHeight="1">
      <c r="A355" s="2"/>
      <c r="B355" s="435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39"/>
    </row>
    <row r="356" spans="1:56" ht="12.75" customHeight="1">
      <c r="A356" s="2"/>
      <c r="B356" s="435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39"/>
    </row>
    <row r="357" spans="1:56" ht="12.75" customHeight="1">
      <c r="A357" s="2"/>
      <c r="B357" s="435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39"/>
    </row>
    <row r="358" spans="1:56" ht="12.75" customHeight="1">
      <c r="A358" s="2"/>
      <c r="B358" s="435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39"/>
    </row>
    <row r="359" spans="1:56" ht="12.75" customHeight="1">
      <c r="A359" s="2"/>
      <c r="B359" s="435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39"/>
    </row>
    <row r="360" spans="1:56" ht="12.75" customHeight="1">
      <c r="A360" s="2"/>
      <c r="B360" s="435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39"/>
    </row>
    <row r="361" spans="1:56" ht="12.75" customHeight="1">
      <c r="A361" s="2"/>
      <c r="B361" s="435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39"/>
    </row>
    <row r="362" spans="1:56" ht="12.75" customHeight="1">
      <c r="A362" s="2"/>
      <c r="B362" s="435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39"/>
    </row>
    <row r="363" spans="1:56" ht="12.75" customHeight="1">
      <c r="A363" s="2"/>
      <c r="B363" s="435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39"/>
    </row>
    <row r="364" spans="1:56" ht="12.75" customHeight="1">
      <c r="A364" s="2"/>
      <c r="B364" s="435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39"/>
    </row>
    <row r="365" spans="1:56" ht="12.75" customHeight="1">
      <c r="A365" s="2"/>
      <c r="B365" s="435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39"/>
    </row>
    <row r="366" spans="1:56" ht="12.75" customHeight="1">
      <c r="A366" s="2"/>
      <c r="B366" s="435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39"/>
    </row>
    <row r="367" spans="1:56" ht="12.75" customHeight="1">
      <c r="A367" s="2"/>
      <c r="B367" s="435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39"/>
    </row>
    <row r="368" spans="1:56" ht="12.75" customHeight="1">
      <c r="A368" s="2"/>
      <c r="B368" s="435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39"/>
    </row>
    <row r="369" spans="1:56" ht="12.75" customHeight="1">
      <c r="A369" s="2"/>
      <c r="B369" s="435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39"/>
    </row>
    <row r="370" spans="1:56" ht="12.75" customHeight="1">
      <c r="A370" s="2"/>
      <c r="B370" s="435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39"/>
    </row>
    <row r="371" spans="1:56" ht="12.75" customHeight="1">
      <c r="A371" s="2"/>
      <c r="B371" s="435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39"/>
    </row>
    <row r="372" spans="1:56" ht="12.75" customHeight="1">
      <c r="A372" s="2"/>
      <c r="B372" s="435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39"/>
    </row>
    <row r="373" spans="1:56" ht="12.75" customHeight="1">
      <c r="A373" s="2"/>
      <c r="B373" s="435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39"/>
    </row>
    <row r="374" spans="1:56" ht="12.75" customHeight="1">
      <c r="A374" s="2"/>
      <c r="B374" s="435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39"/>
    </row>
    <row r="375" spans="1:56" ht="12.75" customHeight="1">
      <c r="A375" s="2"/>
      <c r="B375" s="435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39"/>
    </row>
    <row r="376" spans="1:56" ht="12.75" customHeight="1">
      <c r="A376" s="2"/>
      <c r="B376" s="435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39"/>
    </row>
    <row r="377" spans="1:56" ht="12.75" customHeight="1">
      <c r="A377" s="2"/>
      <c r="B377" s="435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39"/>
    </row>
    <row r="378" spans="1:56" ht="12.75" customHeight="1">
      <c r="A378" s="2"/>
      <c r="B378" s="435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39"/>
    </row>
    <row r="379" spans="1:56" ht="12.75" customHeight="1">
      <c r="A379" s="2"/>
      <c r="B379" s="435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39"/>
    </row>
    <row r="380" spans="1:56" ht="12.75" customHeight="1">
      <c r="A380" s="2"/>
      <c r="B380" s="435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39"/>
    </row>
    <row r="381" spans="1:56" ht="12.75" customHeight="1">
      <c r="A381" s="2"/>
      <c r="B381" s="435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39"/>
    </row>
    <row r="382" spans="1:56" ht="12.75" customHeight="1">
      <c r="A382" s="2"/>
      <c r="B382" s="435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39"/>
    </row>
    <row r="383" spans="1:56" ht="12.75" customHeight="1">
      <c r="A383" s="2"/>
      <c r="B383" s="435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39"/>
    </row>
    <row r="384" spans="1:56" ht="12.75" customHeight="1">
      <c r="A384" s="2"/>
      <c r="B384" s="435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39"/>
    </row>
    <row r="385" spans="1:56" ht="12.75" customHeight="1">
      <c r="A385" s="2"/>
      <c r="B385" s="435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39"/>
    </row>
    <row r="386" spans="1:56" ht="12.75" customHeight="1">
      <c r="A386" s="2"/>
      <c r="B386" s="435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39"/>
    </row>
    <row r="387" spans="1:56" ht="12.75" customHeight="1">
      <c r="A387" s="2"/>
      <c r="B387" s="435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39"/>
    </row>
    <row r="388" spans="1:56" ht="12.75" customHeight="1">
      <c r="A388" s="2"/>
      <c r="B388" s="435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39"/>
    </row>
    <row r="389" spans="1:56" ht="12.75" customHeight="1">
      <c r="A389" s="2"/>
      <c r="B389" s="435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39"/>
    </row>
    <row r="390" spans="1:56" ht="12.75" customHeight="1">
      <c r="A390" s="2"/>
      <c r="B390" s="435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39"/>
    </row>
    <row r="391" spans="1:56" ht="12.75" customHeight="1">
      <c r="A391" s="2"/>
      <c r="B391" s="435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39"/>
    </row>
    <row r="392" spans="1:56" ht="12.75" customHeight="1">
      <c r="A392" s="2"/>
      <c r="B392" s="435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39"/>
    </row>
    <row r="393" spans="1:56" ht="12.75" customHeight="1">
      <c r="A393" s="2"/>
      <c r="B393" s="435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39"/>
    </row>
    <row r="394" spans="1:56" ht="12.75" customHeight="1">
      <c r="A394" s="2"/>
      <c r="B394" s="435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39"/>
    </row>
    <row r="395" spans="1:56" ht="12.75" customHeight="1">
      <c r="A395" s="2"/>
      <c r="B395" s="435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39"/>
    </row>
    <row r="396" spans="1:56" ht="12.75" customHeight="1">
      <c r="A396" s="2"/>
      <c r="B396" s="435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39"/>
    </row>
    <row r="397" spans="1:56" ht="12.75" customHeight="1">
      <c r="A397" s="2"/>
      <c r="B397" s="435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39"/>
    </row>
    <row r="398" spans="1:56" ht="12.75" customHeight="1">
      <c r="A398" s="2"/>
      <c r="B398" s="435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39"/>
    </row>
    <row r="399" spans="1:56" ht="12.75" customHeight="1">
      <c r="A399" s="2"/>
      <c r="B399" s="435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39"/>
    </row>
    <row r="400" spans="1:56" ht="12.75" customHeight="1">
      <c r="A400" s="2"/>
      <c r="B400" s="435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39"/>
    </row>
    <row r="401" spans="1:56" ht="12.75" customHeight="1">
      <c r="A401" s="2"/>
      <c r="B401" s="435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39"/>
    </row>
    <row r="402" spans="1:56" ht="12.75" customHeight="1">
      <c r="A402" s="2"/>
      <c r="B402" s="435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39"/>
    </row>
    <row r="403" spans="1:56" ht="12.75" customHeight="1">
      <c r="A403" s="2"/>
      <c r="B403" s="435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39"/>
    </row>
    <row r="404" spans="1:56" ht="12.75" customHeight="1">
      <c r="A404" s="2"/>
      <c r="B404" s="435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39"/>
    </row>
    <row r="405" spans="1:56" ht="12.75" customHeight="1">
      <c r="A405" s="2"/>
      <c r="B405" s="435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39"/>
    </row>
    <row r="406" spans="1:56" ht="12.75" customHeight="1">
      <c r="A406" s="2"/>
      <c r="B406" s="435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39"/>
    </row>
    <row r="407" spans="1:56" ht="12.75" customHeight="1">
      <c r="A407" s="2"/>
      <c r="B407" s="435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39"/>
    </row>
    <row r="408" spans="1:56" ht="12.75" customHeight="1">
      <c r="A408" s="2"/>
      <c r="B408" s="435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39"/>
    </row>
    <row r="409" spans="1:56" ht="12.75" customHeight="1">
      <c r="A409" s="2"/>
      <c r="B409" s="435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39"/>
    </row>
    <row r="410" spans="1:56" ht="12.75" customHeight="1">
      <c r="A410" s="2"/>
      <c r="B410" s="435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39"/>
    </row>
    <row r="411" spans="1:56" ht="12.75" customHeight="1">
      <c r="A411" s="2"/>
      <c r="B411" s="435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39"/>
    </row>
    <row r="412" spans="1:56" ht="12.75" customHeight="1">
      <c r="A412" s="2"/>
      <c r="B412" s="435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39"/>
    </row>
    <row r="413" spans="1:56" ht="12.75" customHeight="1">
      <c r="A413" s="2"/>
      <c r="B413" s="435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39"/>
    </row>
    <row r="414" spans="1:56" ht="12.75" customHeight="1">
      <c r="A414" s="2"/>
      <c r="B414" s="435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39"/>
    </row>
    <row r="415" spans="1:56" ht="12.75" customHeight="1">
      <c r="A415" s="2"/>
      <c r="B415" s="435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39"/>
    </row>
    <row r="416" spans="1:56" ht="12.75" customHeight="1">
      <c r="A416" s="2"/>
      <c r="B416" s="435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39"/>
    </row>
    <row r="417" spans="1:56" ht="12.75" customHeight="1">
      <c r="A417" s="2"/>
      <c r="B417" s="435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39"/>
    </row>
    <row r="418" spans="1:56" ht="12.75" customHeight="1">
      <c r="A418" s="2"/>
      <c r="B418" s="435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39"/>
    </row>
    <row r="419" spans="1:56" ht="12.75" customHeight="1">
      <c r="A419" s="2"/>
      <c r="B419" s="435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39"/>
    </row>
    <row r="420" spans="1:56" ht="12.75" customHeight="1">
      <c r="A420" s="2"/>
      <c r="B420" s="435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39"/>
    </row>
    <row r="421" spans="1:56" ht="12.75" customHeight="1">
      <c r="A421" s="2"/>
      <c r="B421" s="435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39"/>
    </row>
    <row r="422" spans="1:56" ht="12.75" customHeight="1">
      <c r="A422" s="2"/>
      <c r="B422" s="435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39"/>
    </row>
    <row r="423" spans="1:56" ht="12.75" customHeight="1">
      <c r="A423" s="2"/>
      <c r="B423" s="435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39"/>
    </row>
    <row r="424" spans="1:56" ht="12.75" customHeight="1">
      <c r="A424" s="2"/>
      <c r="B424" s="435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39"/>
    </row>
    <row r="425" spans="1:56" ht="12.75" customHeight="1">
      <c r="A425" s="2"/>
      <c r="B425" s="435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39"/>
    </row>
    <row r="426" spans="1:56" ht="12.75" customHeight="1">
      <c r="A426" s="2"/>
      <c r="B426" s="435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39"/>
    </row>
    <row r="427" spans="1:56" ht="12.75" customHeight="1">
      <c r="A427" s="2"/>
      <c r="B427" s="435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39"/>
    </row>
    <row r="428" spans="1:56" ht="12.75" customHeight="1">
      <c r="A428" s="2"/>
      <c r="B428" s="435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39"/>
    </row>
    <row r="429" spans="1:56" ht="12.75" customHeight="1">
      <c r="A429" s="2"/>
      <c r="B429" s="435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39"/>
    </row>
    <row r="430" spans="1:56" ht="12.75" customHeight="1">
      <c r="A430" s="2"/>
      <c r="B430" s="435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39"/>
    </row>
    <row r="431" spans="1:56" ht="12.75" customHeight="1">
      <c r="A431" s="2"/>
      <c r="B431" s="435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39"/>
    </row>
    <row r="432" spans="1:56" ht="12.75" customHeight="1">
      <c r="A432" s="2"/>
      <c r="B432" s="435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39"/>
    </row>
    <row r="433" spans="1:56" ht="12.75" customHeight="1">
      <c r="A433" s="2"/>
      <c r="B433" s="435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39"/>
    </row>
    <row r="434" spans="1:56" ht="12.75" customHeight="1">
      <c r="A434" s="2"/>
      <c r="B434" s="435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39"/>
    </row>
    <row r="435" spans="1:56" ht="12.75" customHeight="1">
      <c r="A435" s="2"/>
      <c r="B435" s="435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39"/>
    </row>
    <row r="436" spans="1:56" ht="12.75" customHeight="1">
      <c r="A436" s="2"/>
      <c r="B436" s="435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39"/>
    </row>
    <row r="437" spans="1:56" ht="12.75" customHeight="1">
      <c r="A437" s="2"/>
      <c r="B437" s="435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39"/>
    </row>
    <row r="438" spans="1:56" ht="12.75" customHeight="1">
      <c r="A438" s="2"/>
      <c r="B438" s="435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39"/>
    </row>
    <row r="439" spans="1:56" ht="12.75" customHeight="1">
      <c r="A439" s="2"/>
      <c r="B439" s="435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39"/>
    </row>
    <row r="440" spans="1:56" ht="12.75" customHeight="1">
      <c r="A440" s="2"/>
      <c r="B440" s="435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39"/>
    </row>
    <row r="441" spans="1:56" ht="12.75" customHeight="1">
      <c r="A441" s="2"/>
      <c r="B441" s="435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39"/>
    </row>
    <row r="442" spans="1:56" ht="12.75" customHeight="1">
      <c r="A442" s="2"/>
      <c r="B442" s="435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39"/>
    </row>
    <row r="443" spans="1:56" ht="12.75" customHeight="1">
      <c r="A443" s="2"/>
      <c r="B443" s="435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39"/>
    </row>
    <row r="444" spans="1:56" ht="12.75" customHeight="1">
      <c r="A444" s="2"/>
      <c r="B444" s="435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39"/>
    </row>
    <row r="445" spans="1:56" ht="12.75" customHeight="1">
      <c r="A445" s="2"/>
      <c r="B445" s="435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39"/>
    </row>
    <row r="446" spans="1:56" ht="12.75" customHeight="1">
      <c r="A446" s="2"/>
      <c r="B446" s="435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39"/>
    </row>
    <row r="447" spans="1:56" ht="12.75" customHeight="1">
      <c r="A447" s="2"/>
      <c r="B447" s="435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39"/>
    </row>
    <row r="448" spans="1:56" ht="12.75" customHeight="1">
      <c r="A448" s="2"/>
      <c r="B448" s="435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39"/>
    </row>
    <row r="449" spans="1:56" ht="12.75" customHeight="1">
      <c r="A449" s="2"/>
      <c r="B449" s="435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39"/>
    </row>
    <row r="450" spans="1:56" ht="12.75" customHeight="1">
      <c r="A450" s="2"/>
      <c r="B450" s="435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39"/>
    </row>
    <row r="451" spans="1:56" ht="12.75" customHeight="1">
      <c r="A451" s="2"/>
      <c r="B451" s="435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39"/>
    </row>
    <row r="452" spans="1:56" ht="12.75" customHeight="1">
      <c r="A452" s="2"/>
      <c r="B452" s="435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39"/>
    </row>
    <row r="453" spans="1:56" ht="12.75" customHeight="1">
      <c r="A453" s="2"/>
      <c r="B453" s="435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39"/>
    </row>
    <row r="454" spans="1:56" ht="12.75" customHeight="1">
      <c r="A454" s="2"/>
      <c r="B454" s="435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39"/>
    </row>
    <row r="455" spans="1:56" ht="12.75" customHeight="1">
      <c r="A455" s="2"/>
      <c r="B455" s="435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39"/>
    </row>
    <row r="456" spans="1:56" ht="12.75" customHeight="1">
      <c r="A456" s="2"/>
      <c r="B456" s="435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39"/>
    </row>
    <row r="457" spans="1:56" ht="12.75" customHeight="1">
      <c r="A457" s="2"/>
      <c r="B457" s="435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39"/>
    </row>
    <row r="458" spans="1:56" ht="12.75" customHeight="1">
      <c r="A458" s="2"/>
      <c r="B458" s="435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39"/>
    </row>
    <row r="459" spans="1:56" ht="12.75" customHeight="1">
      <c r="A459" s="2"/>
      <c r="B459" s="435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39"/>
    </row>
    <row r="460" spans="1:56" ht="12.75" customHeight="1">
      <c r="A460" s="2"/>
      <c r="B460" s="435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39"/>
    </row>
    <row r="461" spans="1:56" ht="12.75" customHeight="1">
      <c r="A461" s="2"/>
      <c r="B461" s="435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39"/>
    </row>
    <row r="462" spans="1:56" ht="12.75" customHeight="1">
      <c r="A462" s="2"/>
      <c r="B462" s="435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39"/>
    </row>
    <row r="463" spans="1:56" ht="12.75" customHeight="1">
      <c r="A463" s="2"/>
      <c r="B463" s="435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39"/>
    </row>
    <row r="464" spans="1:56" ht="12.75" customHeight="1">
      <c r="A464" s="2"/>
      <c r="B464" s="435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39"/>
    </row>
    <row r="465" spans="1:56" ht="12.75" customHeight="1">
      <c r="A465" s="2"/>
      <c r="B465" s="435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39"/>
    </row>
    <row r="466" spans="1:56" ht="12.75" customHeight="1">
      <c r="A466" s="2"/>
      <c r="B466" s="435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39"/>
    </row>
    <row r="467" spans="1:56" ht="12.75" customHeight="1">
      <c r="A467" s="2"/>
      <c r="B467" s="435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39"/>
    </row>
    <row r="468" spans="1:56" ht="12.75" customHeight="1">
      <c r="A468" s="2"/>
      <c r="B468" s="435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39"/>
    </row>
    <row r="469" spans="1:56" ht="12.75" customHeight="1">
      <c r="A469" s="2"/>
      <c r="B469" s="435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39"/>
    </row>
    <row r="470" spans="1:56" ht="12.75" customHeight="1">
      <c r="A470" s="2"/>
      <c r="B470" s="435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39"/>
    </row>
    <row r="471" spans="1:56" ht="12.75" customHeight="1">
      <c r="A471" s="2"/>
      <c r="B471" s="435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39"/>
    </row>
    <row r="472" spans="1:56" ht="12.75" customHeight="1">
      <c r="A472" s="2"/>
      <c r="B472" s="435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39"/>
    </row>
    <row r="473" spans="1:56" ht="12.75" customHeight="1">
      <c r="A473" s="2"/>
      <c r="B473" s="435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39"/>
    </row>
    <row r="474" spans="1:56" ht="12.75" customHeight="1">
      <c r="A474" s="2"/>
      <c r="B474" s="435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39"/>
    </row>
    <row r="475" spans="1:56" ht="12.75" customHeight="1">
      <c r="A475" s="2"/>
      <c r="B475" s="435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39"/>
    </row>
    <row r="476" spans="1:56" ht="12.75" customHeight="1">
      <c r="A476" s="2"/>
      <c r="B476" s="435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39"/>
    </row>
    <row r="477" spans="1:56" ht="12.75" customHeight="1">
      <c r="A477" s="2"/>
      <c r="B477" s="435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39"/>
    </row>
    <row r="478" spans="1:56" ht="12.75" customHeight="1">
      <c r="A478" s="2"/>
      <c r="B478" s="435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39"/>
    </row>
    <row r="479" spans="1:56" ht="12.75" customHeight="1">
      <c r="A479" s="2"/>
      <c r="B479" s="435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39"/>
    </row>
    <row r="480" spans="1:56" ht="12.75" customHeight="1">
      <c r="A480" s="2"/>
      <c r="B480" s="435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39"/>
    </row>
    <row r="481" spans="1:56" ht="12.75" customHeight="1">
      <c r="A481" s="2"/>
      <c r="B481" s="435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39"/>
    </row>
    <row r="482" spans="1:56" ht="12.75" customHeight="1">
      <c r="A482" s="2"/>
      <c r="B482" s="435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39"/>
    </row>
    <row r="483" spans="1:56" ht="12.75" customHeight="1">
      <c r="A483" s="2"/>
      <c r="B483" s="435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39"/>
    </row>
    <row r="484" spans="1:56" ht="12.75" customHeight="1">
      <c r="A484" s="2"/>
      <c r="B484" s="435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39"/>
    </row>
    <row r="485" spans="1:56" ht="12.75" customHeight="1">
      <c r="A485" s="2"/>
      <c r="B485" s="435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39"/>
    </row>
    <row r="486" spans="1:56" ht="12.75" customHeight="1">
      <c r="A486" s="2"/>
      <c r="B486" s="435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39"/>
    </row>
    <row r="487" spans="1:56" ht="12.75" customHeight="1">
      <c r="A487" s="2"/>
      <c r="B487" s="435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39"/>
    </row>
    <row r="488" spans="1:56" ht="12.75" customHeight="1">
      <c r="A488" s="2"/>
      <c r="B488" s="435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39"/>
    </row>
    <row r="489" spans="1:56" ht="12.75" customHeight="1">
      <c r="A489" s="2"/>
      <c r="B489" s="435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39"/>
    </row>
    <row r="490" spans="1:56" ht="12.75" customHeight="1">
      <c r="A490" s="2"/>
      <c r="B490" s="435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39"/>
    </row>
    <row r="491" spans="1:56" ht="12.75" customHeight="1">
      <c r="A491" s="2"/>
      <c r="B491" s="435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39"/>
    </row>
    <row r="492" spans="1:56" ht="12.75" customHeight="1">
      <c r="A492" s="2"/>
      <c r="B492" s="435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39"/>
    </row>
    <row r="493" spans="1:56" ht="12.75" customHeight="1">
      <c r="A493" s="2"/>
      <c r="B493" s="435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39"/>
    </row>
    <row r="494" spans="1:56" ht="12.75" customHeight="1">
      <c r="A494" s="2"/>
      <c r="B494" s="435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39"/>
    </row>
    <row r="495" spans="1:56" ht="12.75" customHeight="1">
      <c r="A495" s="2"/>
      <c r="B495" s="435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39"/>
    </row>
    <row r="496" spans="1:56" ht="12.75" customHeight="1">
      <c r="A496" s="2"/>
      <c r="B496" s="435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39"/>
    </row>
    <row r="497" spans="1:56" ht="12.75" customHeight="1">
      <c r="A497" s="2"/>
      <c r="B497" s="435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39"/>
    </row>
    <row r="498" spans="1:56" ht="12.75" customHeight="1">
      <c r="A498" s="2"/>
      <c r="B498" s="435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39"/>
    </row>
    <row r="499" spans="1:56" ht="12.75" customHeight="1">
      <c r="A499" s="2"/>
      <c r="B499" s="435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39"/>
    </row>
    <row r="500" spans="1:56" ht="12.75" customHeight="1">
      <c r="A500" s="2"/>
      <c r="B500" s="435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39"/>
    </row>
    <row r="501" spans="1:56" ht="12.75" customHeight="1">
      <c r="A501" s="2"/>
      <c r="B501" s="435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39"/>
    </row>
    <row r="502" spans="1:56" ht="12.75" customHeight="1">
      <c r="A502" s="2"/>
      <c r="B502" s="435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39"/>
    </row>
    <row r="503" spans="1:56" ht="12.75" customHeight="1">
      <c r="A503" s="2"/>
      <c r="B503" s="435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39"/>
    </row>
    <row r="504" spans="1:56" ht="12.75" customHeight="1">
      <c r="A504" s="2"/>
      <c r="B504" s="435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39"/>
    </row>
    <row r="505" spans="1:56" ht="12.75" customHeight="1">
      <c r="A505" s="2"/>
      <c r="B505" s="435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39"/>
    </row>
    <row r="506" spans="1:56" ht="12.75" customHeight="1">
      <c r="A506" s="2"/>
      <c r="B506" s="435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39"/>
    </row>
    <row r="507" spans="1:56" ht="12.75" customHeight="1">
      <c r="A507" s="2"/>
      <c r="B507" s="435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39"/>
    </row>
    <row r="508" spans="1:56" ht="12.75" customHeight="1">
      <c r="A508" s="2"/>
      <c r="B508" s="435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39"/>
    </row>
    <row r="509" spans="1:56" ht="12.75" customHeight="1">
      <c r="A509" s="2"/>
      <c r="B509" s="435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39"/>
    </row>
    <row r="510" spans="1:56" ht="12.75" customHeight="1">
      <c r="A510" s="2"/>
      <c r="B510" s="435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39"/>
    </row>
    <row r="511" spans="1:56" ht="12.75" customHeight="1">
      <c r="A511" s="2"/>
      <c r="B511" s="435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39"/>
    </row>
    <row r="512" spans="1:56" ht="12.75" customHeight="1">
      <c r="A512" s="2"/>
      <c r="B512" s="435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39"/>
    </row>
    <row r="513" spans="1:56" ht="12.75" customHeight="1">
      <c r="A513" s="2"/>
      <c r="B513" s="435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39"/>
    </row>
    <row r="514" spans="1:56" ht="12.75" customHeight="1">
      <c r="A514" s="2"/>
      <c r="B514" s="435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39"/>
    </row>
    <row r="515" spans="1:56" ht="12.75" customHeight="1">
      <c r="A515" s="2"/>
      <c r="B515" s="435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39"/>
    </row>
    <row r="516" spans="1:56" ht="12.75" customHeight="1">
      <c r="A516" s="2"/>
      <c r="B516" s="435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39"/>
    </row>
    <row r="517" spans="1:56" ht="12.75" customHeight="1">
      <c r="A517" s="2"/>
      <c r="B517" s="435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39"/>
    </row>
    <row r="518" spans="1:56" ht="12.75" customHeight="1">
      <c r="A518" s="2"/>
      <c r="B518" s="435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39"/>
    </row>
    <row r="519" spans="1:56" ht="12.75" customHeight="1">
      <c r="A519" s="2"/>
      <c r="B519" s="435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39"/>
    </row>
    <row r="520" spans="1:56" ht="12.75" customHeight="1">
      <c r="A520" s="2"/>
      <c r="B520" s="435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39"/>
    </row>
    <row r="521" spans="1:56" ht="12.75" customHeight="1">
      <c r="A521" s="2"/>
      <c r="B521" s="435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39"/>
    </row>
    <row r="522" spans="1:56" ht="12.75" customHeight="1">
      <c r="A522" s="2"/>
      <c r="B522" s="435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39"/>
    </row>
    <row r="523" spans="1:56" ht="12.75" customHeight="1">
      <c r="A523" s="2"/>
      <c r="B523" s="435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39"/>
    </row>
    <row r="524" spans="1:56" ht="12.75" customHeight="1">
      <c r="A524" s="2"/>
      <c r="B524" s="435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39"/>
    </row>
    <row r="525" spans="1:56" ht="12.75" customHeight="1">
      <c r="A525" s="2"/>
      <c r="B525" s="435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39"/>
    </row>
    <row r="526" spans="1:56" ht="12.75" customHeight="1">
      <c r="A526" s="2"/>
      <c r="B526" s="435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39"/>
    </row>
    <row r="527" spans="1:56" ht="12.75" customHeight="1">
      <c r="A527" s="2"/>
      <c r="B527" s="435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39"/>
    </row>
    <row r="528" spans="1:56" ht="12.75" customHeight="1">
      <c r="A528" s="2"/>
      <c r="B528" s="435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39"/>
    </row>
    <row r="529" spans="1:56" ht="12.75" customHeight="1">
      <c r="A529" s="2"/>
      <c r="B529" s="435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39"/>
    </row>
    <row r="530" spans="1:56" ht="12.75" customHeight="1">
      <c r="A530" s="2"/>
      <c r="B530" s="435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39"/>
    </row>
    <row r="531" spans="1:56" ht="12.75" customHeight="1">
      <c r="A531" s="2"/>
      <c r="B531" s="435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39"/>
    </row>
    <row r="532" spans="1:56" ht="12.75" customHeight="1">
      <c r="A532" s="2"/>
      <c r="B532" s="435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39"/>
    </row>
    <row r="533" spans="1:56" ht="12.75" customHeight="1">
      <c r="A533" s="2"/>
      <c r="B533" s="435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39"/>
    </row>
    <row r="534" spans="1:56" ht="12.75" customHeight="1">
      <c r="A534" s="2"/>
      <c r="B534" s="435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39"/>
    </row>
    <row r="535" spans="1:56" ht="12.75" customHeight="1">
      <c r="A535" s="2"/>
      <c r="B535" s="435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39"/>
    </row>
    <row r="536" spans="1:56" ht="12.75" customHeight="1">
      <c r="A536" s="2"/>
      <c r="B536" s="435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39"/>
    </row>
    <row r="537" spans="1:56" ht="12.75" customHeight="1">
      <c r="A537" s="2"/>
      <c r="B537" s="435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39"/>
    </row>
    <row r="538" spans="1:56" ht="12.75" customHeight="1">
      <c r="A538" s="2"/>
      <c r="B538" s="435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39"/>
    </row>
    <row r="539" spans="1:56" ht="12.75" customHeight="1">
      <c r="A539" s="2"/>
      <c r="B539" s="435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39"/>
    </row>
    <row r="540" spans="1:56" ht="12.75" customHeight="1">
      <c r="A540" s="2"/>
      <c r="B540" s="435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39"/>
    </row>
    <row r="541" spans="1:56" ht="12.75" customHeight="1">
      <c r="A541" s="2"/>
      <c r="B541" s="435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39"/>
    </row>
    <row r="542" spans="1:56" ht="12.75" customHeight="1">
      <c r="A542" s="2"/>
      <c r="B542" s="435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39"/>
    </row>
    <row r="543" spans="1:56" ht="12.75" customHeight="1">
      <c r="A543" s="2"/>
      <c r="B543" s="435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39"/>
    </row>
    <row r="544" spans="1:56" ht="12.75" customHeight="1">
      <c r="A544" s="2"/>
      <c r="B544" s="435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39"/>
    </row>
    <row r="545" spans="1:56" ht="12.75" customHeight="1">
      <c r="A545" s="2"/>
      <c r="B545" s="435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39"/>
    </row>
    <row r="546" spans="1:56" ht="12.75" customHeight="1">
      <c r="A546" s="2"/>
      <c r="B546" s="435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39"/>
    </row>
    <row r="547" spans="1:56" ht="12.75" customHeight="1">
      <c r="A547" s="2"/>
      <c r="B547" s="435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39"/>
    </row>
    <row r="548" spans="1:56" ht="12.75" customHeight="1">
      <c r="A548" s="2"/>
      <c r="B548" s="435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39"/>
    </row>
    <row r="549" spans="1:56" ht="12.75" customHeight="1">
      <c r="A549" s="2"/>
      <c r="B549" s="435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39"/>
    </row>
    <row r="550" spans="1:56" ht="12.75" customHeight="1">
      <c r="A550" s="2"/>
      <c r="B550" s="435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39"/>
    </row>
    <row r="551" spans="1:56" ht="12.75" customHeight="1">
      <c r="A551" s="2"/>
      <c r="B551" s="435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39"/>
    </row>
    <row r="552" spans="1:56" ht="12.75" customHeight="1">
      <c r="A552" s="2"/>
      <c r="B552" s="435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39"/>
    </row>
    <row r="553" spans="1:56" ht="12.75" customHeight="1">
      <c r="A553" s="2"/>
      <c r="B553" s="435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39"/>
    </row>
    <row r="554" spans="1:56" ht="12.75" customHeight="1">
      <c r="A554" s="2"/>
      <c r="B554" s="435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39"/>
    </row>
    <row r="555" spans="1:56" ht="12.75" customHeight="1">
      <c r="A555" s="2"/>
      <c r="B555" s="435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39"/>
    </row>
    <row r="556" spans="1:56" ht="12.75" customHeight="1">
      <c r="A556" s="2"/>
      <c r="B556" s="435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39"/>
    </row>
    <row r="557" spans="1:56" ht="12.75" customHeight="1">
      <c r="A557" s="2"/>
      <c r="B557" s="435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39"/>
    </row>
    <row r="558" spans="1:56" ht="12.75" customHeight="1">
      <c r="A558" s="2"/>
      <c r="B558" s="435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39"/>
    </row>
    <row r="559" spans="1:56" ht="12.75" customHeight="1">
      <c r="A559" s="2"/>
      <c r="B559" s="435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39"/>
    </row>
    <row r="560" spans="1:56" ht="12.75" customHeight="1">
      <c r="A560" s="2"/>
      <c r="B560" s="435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39"/>
    </row>
    <row r="561" spans="1:56" ht="12.75" customHeight="1">
      <c r="A561" s="2"/>
      <c r="B561" s="435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39"/>
    </row>
    <row r="562" spans="1:56" ht="12.75" customHeight="1">
      <c r="A562" s="2"/>
      <c r="B562" s="435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39"/>
    </row>
    <row r="563" spans="1:56" ht="12.75" customHeight="1">
      <c r="A563" s="2"/>
      <c r="B563" s="435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39"/>
    </row>
    <row r="564" spans="1:56" ht="12.75" customHeight="1">
      <c r="A564" s="2"/>
      <c r="B564" s="435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39"/>
    </row>
    <row r="565" spans="1:56" ht="12.75" customHeight="1">
      <c r="A565" s="2"/>
      <c r="B565" s="435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39"/>
    </row>
    <row r="566" spans="1:56" ht="12.75" customHeight="1">
      <c r="A566" s="2"/>
      <c r="B566" s="435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39"/>
    </row>
    <row r="567" spans="1:56" ht="12.75" customHeight="1">
      <c r="A567" s="2"/>
      <c r="B567" s="435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39"/>
    </row>
    <row r="568" spans="1:56" ht="12.75" customHeight="1">
      <c r="A568" s="2"/>
      <c r="B568" s="435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39"/>
    </row>
    <row r="569" spans="1:56" ht="12.75" customHeight="1">
      <c r="A569" s="2"/>
      <c r="B569" s="435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39"/>
    </row>
    <row r="570" spans="1:56" ht="12.75" customHeight="1">
      <c r="A570" s="2"/>
      <c r="B570" s="435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39"/>
    </row>
    <row r="571" spans="1:56" ht="12.75" customHeight="1">
      <c r="A571" s="2"/>
      <c r="B571" s="435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39"/>
    </row>
    <row r="572" spans="1:56" ht="12.75" customHeight="1">
      <c r="A572" s="2"/>
      <c r="B572" s="435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39"/>
    </row>
    <row r="573" spans="1:56" ht="12.75" customHeight="1">
      <c r="A573" s="2"/>
      <c r="B573" s="435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39"/>
    </row>
    <row r="574" spans="1:56" ht="12.75" customHeight="1">
      <c r="A574" s="2"/>
      <c r="B574" s="435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39"/>
    </row>
    <row r="575" spans="1:56" ht="12.75" customHeight="1">
      <c r="A575" s="2"/>
      <c r="B575" s="435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39"/>
    </row>
    <row r="576" spans="1:56" ht="12.75" customHeight="1">
      <c r="A576" s="2"/>
      <c r="B576" s="435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39"/>
    </row>
    <row r="577" spans="1:56" ht="12.75" customHeight="1">
      <c r="A577" s="2"/>
      <c r="B577" s="435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39"/>
    </row>
    <row r="578" spans="1:56" ht="12.75" customHeight="1">
      <c r="A578" s="2"/>
      <c r="B578" s="435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39"/>
    </row>
    <row r="579" spans="1:56" ht="12.75" customHeight="1">
      <c r="A579" s="2"/>
      <c r="B579" s="435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39"/>
    </row>
    <row r="580" spans="1:56" ht="12.75" customHeight="1">
      <c r="A580" s="2"/>
      <c r="B580" s="435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39"/>
    </row>
    <row r="581" spans="1:56" ht="12.75" customHeight="1">
      <c r="A581" s="2"/>
      <c r="B581" s="435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39"/>
    </row>
    <row r="582" spans="1:56" ht="12.75" customHeight="1">
      <c r="A582" s="2"/>
      <c r="B582" s="435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39"/>
    </row>
    <row r="583" spans="1:56" ht="12.75" customHeight="1">
      <c r="A583" s="2"/>
      <c r="B583" s="435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39"/>
    </row>
    <row r="584" spans="1:56" ht="12.75" customHeight="1">
      <c r="A584" s="2"/>
      <c r="B584" s="435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39"/>
    </row>
    <row r="585" spans="1:56" ht="12.75" customHeight="1">
      <c r="A585" s="2"/>
      <c r="B585" s="435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39"/>
    </row>
    <row r="586" spans="1:56" ht="12.75" customHeight="1">
      <c r="A586" s="2"/>
      <c r="B586" s="435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39"/>
    </row>
    <row r="587" spans="1:56" ht="12.75" customHeight="1">
      <c r="A587" s="2"/>
      <c r="B587" s="435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39"/>
    </row>
    <row r="588" spans="1:56" ht="12.75" customHeight="1">
      <c r="A588" s="2"/>
      <c r="B588" s="435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39"/>
    </row>
    <row r="589" spans="1:56" ht="12.75" customHeight="1">
      <c r="A589" s="2"/>
      <c r="B589" s="435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39"/>
    </row>
    <row r="590" spans="1:56" ht="12.75" customHeight="1">
      <c r="A590" s="2"/>
      <c r="B590" s="435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39"/>
    </row>
    <row r="591" spans="1:56" ht="12.75" customHeight="1">
      <c r="A591" s="2"/>
      <c r="B591" s="435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39"/>
    </row>
    <row r="592" spans="1:56" ht="12.75" customHeight="1">
      <c r="A592" s="2"/>
      <c r="B592" s="435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39"/>
    </row>
    <row r="593" spans="1:56" ht="12.75" customHeight="1">
      <c r="A593" s="2"/>
      <c r="B593" s="435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39"/>
    </row>
    <row r="594" spans="1:56" ht="12.75" customHeight="1">
      <c r="A594" s="2"/>
      <c r="B594" s="435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39"/>
    </row>
    <row r="595" spans="1:56" ht="12.75" customHeight="1">
      <c r="A595" s="2"/>
      <c r="B595" s="435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39"/>
    </row>
    <row r="596" spans="1:56" ht="12.75" customHeight="1">
      <c r="A596" s="2"/>
      <c r="B596" s="435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39"/>
    </row>
    <row r="597" spans="1:56" ht="12.75" customHeight="1">
      <c r="A597" s="2"/>
      <c r="B597" s="435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39"/>
    </row>
    <row r="598" spans="1:56" ht="12.75" customHeight="1">
      <c r="A598" s="2"/>
      <c r="B598" s="435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39"/>
    </row>
    <row r="599" spans="1:56" ht="12.75" customHeight="1">
      <c r="A599" s="2"/>
      <c r="B599" s="435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39"/>
    </row>
    <row r="600" spans="1:56" ht="12.75" customHeight="1">
      <c r="A600" s="2"/>
      <c r="B600" s="435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39"/>
    </row>
    <row r="601" spans="1:56" ht="12.75" customHeight="1">
      <c r="A601" s="2"/>
      <c r="B601" s="435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39"/>
    </row>
    <row r="602" spans="1:56" ht="12.75" customHeight="1">
      <c r="A602" s="2"/>
      <c r="B602" s="435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39"/>
    </row>
    <row r="603" spans="1:56" ht="12.75" customHeight="1">
      <c r="A603" s="2"/>
      <c r="B603" s="435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39"/>
    </row>
    <row r="604" spans="1:56" ht="12.75" customHeight="1">
      <c r="A604" s="2"/>
      <c r="B604" s="435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39"/>
    </row>
    <row r="605" spans="1:56" ht="12.75" customHeight="1">
      <c r="A605" s="2"/>
      <c r="B605" s="435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39"/>
    </row>
    <row r="606" spans="1:56" ht="12.75" customHeight="1">
      <c r="A606" s="2"/>
      <c r="B606" s="435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39"/>
    </row>
    <row r="607" spans="1:56" ht="12.75" customHeight="1">
      <c r="A607" s="2"/>
      <c r="B607" s="435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39"/>
    </row>
    <row r="608" spans="1:56" ht="12.75" customHeight="1">
      <c r="A608" s="2"/>
      <c r="B608" s="435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39"/>
    </row>
    <row r="609" spans="1:56" ht="12.75" customHeight="1">
      <c r="A609" s="2"/>
      <c r="B609" s="435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39"/>
    </row>
    <row r="610" spans="1:56" ht="12.75" customHeight="1">
      <c r="A610" s="2"/>
      <c r="B610" s="435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39"/>
    </row>
    <row r="611" spans="1:56" ht="12.75" customHeight="1">
      <c r="A611" s="2"/>
      <c r="B611" s="435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39"/>
    </row>
    <row r="612" spans="1:56" ht="12.75" customHeight="1">
      <c r="A612" s="2"/>
      <c r="B612" s="435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39"/>
    </row>
    <row r="613" spans="1:56" ht="12.75" customHeight="1">
      <c r="A613" s="2"/>
      <c r="B613" s="435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39"/>
    </row>
    <row r="614" spans="1:56" ht="12.75" customHeight="1">
      <c r="A614" s="2"/>
      <c r="B614" s="435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39"/>
    </row>
    <row r="615" spans="1:56" ht="12.75" customHeight="1">
      <c r="A615" s="2"/>
      <c r="B615" s="435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39"/>
    </row>
    <row r="616" spans="1:56" ht="12.75" customHeight="1">
      <c r="A616" s="2"/>
      <c r="B616" s="435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39"/>
    </row>
    <row r="617" spans="1:56" ht="12.75" customHeight="1">
      <c r="A617" s="2"/>
      <c r="B617" s="435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39"/>
    </row>
    <row r="618" spans="1:56" ht="12.75" customHeight="1">
      <c r="A618" s="2"/>
      <c r="B618" s="435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39"/>
    </row>
    <row r="619" spans="1:56" ht="12.75" customHeight="1">
      <c r="A619" s="2"/>
      <c r="B619" s="435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39"/>
    </row>
    <row r="620" spans="1:56" ht="12.75" customHeight="1">
      <c r="A620" s="2"/>
      <c r="B620" s="435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39"/>
    </row>
    <row r="621" spans="1:56" ht="12.75" customHeight="1">
      <c r="A621" s="2"/>
      <c r="B621" s="435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39"/>
    </row>
    <row r="622" spans="1:56" ht="12.75" customHeight="1">
      <c r="A622" s="2"/>
      <c r="B622" s="435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39"/>
    </row>
    <row r="623" spans="1:56" ht="12.75" customHeight="1">
      <c r="A623" s="2"/>
      <c r="B623" s="435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39"/>
    </row>
    <row r="624" spans="1:56" ht="12.75" customHeight="1">
      <c r="A624" s="2"/>
      <c r="B624" s="435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39"/>
    </row>
    <row r="625" spans="1:56" ht="12.75" customHeight="1">
      <c r="A625" s="2"/>
      <c r="B625" s="435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39"/>
    </row>
    <row r="626" spans="1:56" ht="12.75" customHeight="1">
      <c r="A626" s="2"/>
      <c r="B626" s="435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39"/>
    </row>
    <row r="627" spans="1:56" ht="12.75" customHeight="1">
      <c r="A627" s="2"/>
      <c r="B627" s="435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39"/>
    </row>
    <row r="628" spans="1:56" ht="12.75" customHeight="1">
      <c r="A628" s="2"/>
      <c r="B628" s="435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39"/>
    </row>
    <row r="629" spans="1:56" ht="12.75" customHeight="1">
      <c r="A629" s="2"/>
      <c r="B629" s="435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39"/>
    </row>
    <row r="630" spans="1:56" ht="12.75" customHeight="1">
      <c r="A630" s="2"/>
      <c r="B630" s="435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39"/>
    </row>
    <row r="631" spans="1:56" ht="12.75" customHeight="1">
      <c r="A631" s="2"/>
      <c r="B631" s="435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39"/>
    </row>
    <row r="632" spans="1:56" ht="12.75" customHeight="1">
      <c r="A632" s="2"/>
      <c r="B632" s="435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39"/>
    </row>
    <row r="633" spans="1:56" ht="12.75" customHeight="1">
      <c r="A633" s="2"/>
      <c r="B633" s="435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39"/>
    </row>
    <row r="634" spans="1:56" ht="12.75" customHeight="1">
      <c r="A634" s="2"/>
      <c r="B634" s="435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39"/>
    </row>
    <row r="635" spans="1:56" ht="12.75" customHeight="1">
      <c r="A635" s="2"/>
      <c r="B635" s="435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39"/>
    </row>
    <row r="636" spans="1:56" ht="12.75" customHeight="1">
      <c r="A636" s="2"/>
      <c r="B636" s="435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39"/>
    </row>
    <row r="637" spans="1:56" ht="12.75" customHeight="1">
      <c r="A637" s="2"/>
      <c r="B637" s="435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39"/>
    </row>
    <row r="638" spans="1:56" ht="12.75" customHeight="1">
      <c r="A638" s="2"/>
      <c r="B638" s="435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39"/>
    </row>
    <row r="639" spans="1:56" ht="12.75" customHeight="1">
      <c r="A639" s="2"/>
      <c r="B639" s="435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39"/>
    </row>
    <row r="640" spans="1:56" ht="12.75" customHeight="1">
      <c r="A640" s="2"/>
      <c r="B640" s="435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39"/>
    </row>
    <row r="641" spans="1:56" ht="12.75" customHeight="1">
      <c r="A641" s="2"/>
      <c r="B641" s="435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39"/>
    </row>
    <row r="642" spans="1:56" ht="12.75" customHeight="1">
      <c r="A642" s="2"/>
      <c r="B642" s="435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39"/>
    </row>
    <row r="643" spans="1:56" ht="12.75" customHeight="1">
      <c r="A643" s="2"/>
      <c r="B643" s="435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39"/>
    </row>
    <row r="644" spans="1:56" ht="12.75" customHeight="1">
      <c r="A644" s="2"/>
      <c r="B644" s="435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39"/>
    </row>
    <row r="645" spans="1:56" ht="12.75" customHeight="1">
      <c r="A645" s="2"/>
      <c r="B645" s="435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39"/>
    </row>
    <row r="646" spans="1:56" ht="12.75" customHeight="1">
      <c r="A646" s="2"/>
      <c r="B646" s="435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39"/>
    </row>
    <row r="647" spans="1:56" ht="12.75" customHeight="1">
      <c r="A647" s="2"/>
      <c r="B647" s="435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39"/>
    </row>
    <row r="648" spans="1:56" ht="12.75" customHeight="1">
      <c r="A648" s="2"/>
      <c r="B648" s="435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39"/>
    </row>
    <row r="649" spans="1:56" ht="12.75" customHeight="1">
      <c r="A649" s="2"/>
      <c r="B649" s="435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39"/>
    </row>
    <row r="650" spans="1:56" ht="12.75" customHeight="1">
      <c r="A650" s="2"/>
      <c r="B650" s="435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39"/>
    </row>
    <row r="651" spans="1:56" ht="12.75" customHeight="1">
      <c r="A651" s="2"/>
      <c r="B651" s="435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39"/>
    </row>
    <row r="652" spans="1:56" ht="12.75" customHeight="1">
      <c r="A652" s="2"/>
      <c r="B652" s="435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39"/>
    </row>
    <row r="653" spans="1:56" ht="12.75" customHeight="1">
      <c r="A653" s="2"/>
      <c r="B653" s="435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39"/>
    </row>
    <row r="654" spans="1:56" ht="12.75" customHeight="1">
      <c r="A654" s="2"/>
      <c r="B654" s="435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39"/>
    </row>
    <row r="655" spans="1:56" ht="12.75" customHeight="1">
      <c r="A655" s="2"/>
      <c r="B655" s="435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39"/>
    </row>
    <row r="656" spans="1:56" ht="12.75" customHeight="1">
      <c r="A656" s="2"/>
      <c r="B656" s="435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39"/>
    </row>
    <row r="657" spans="1:56" ht="12.75" customHeight="1">
      <c r="A657" s="2"/>
      <c r="B657" s="435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39"/>
    </row>
    <row r="658" spans="1:56" ht="12.75" customHeight="1">
      <c r="A658" s="2"/>
      <c r="B658" s="435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39"/>
    </row>
    <row r="659" spans="1:56" ht="12.75" customHeight="1">
      <c r="A659" s="2"/>
      <c r="B659" s="435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39"/>
    </row>
    <row r="660" spans="1:56" ht="12.75" customHeight="1">
      <c r="A660" s="2"/>
      <c r="B660" s="435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39"/>
    </row>
    <row r="661" spans="1:56" ht="12.75" customHeight="1">
      <c r="A661" s="2"/>
      <c r="B661" s="435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39"/>
    </row>
    <row r="662" spans="1:56" ht="12.75" customHeight="1">
      <c r="A662" s="2"/>
      <c r="B662" s="435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39"/>
    </row>
    <row r="663" spans="1:56" ht="12.75" customHeight="1">
      <c r="A663" s="2"/>
      <c r="B663" s="435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39"/>
    </row>
    <row r="664" spans="1:56" ht="12.75" customHeight="1">
      <c r="A664" s="2"/>
      <c r="B664" s="435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39"/>
    </row>
    <row r="665" spans="1:56" ht="12.75" customHeight="1">
      <c r="A665" s="2"/>
      <c r="B665" s="435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39"/>
    </row>
    <row r="666" spans="1:56" ht="12.75" customHeight="1">
      <c r="A666" s="2"/>
      <c r="B666" s="435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39"/>
    </row>
    <row r="667" spans="1:56" ht="12.75" customHeight="1">
      <c r="A667" s="2"/>
      <c r="B667" s="435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39"/>
    </row>
    <row r="668" spans="1:56" ht="12.75" customHeight="1">
      <c r="A668" s="2"/>
      <c r="B668" s="435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39"/>
    </row>
    <row r="669" spans="1:56" ht="12.75" customHeight="1">
      <c r="A669" s="2"/>
      <c r="B669" s="435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39"/>
    </row>
    <row r="670" spans="1:56" ht="12.75" customHeight="1">
      <c r="A670" s="2"/>
      <c r="B670" s="435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39"/>
    </row>
    <row r="671" spans="1:56" ht="12.75" customHeight="1">
      <c r="A671" s="2"/>
      <c r="B671" s="435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39"/>
    </row>
    <row r="672" spans="1:56" ht="12.75" customHeight="1">
      <c r="A672" s="2"/>
      <c r="B672" s="435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39"/>
    </row>
    <row r="673" spans="1:56" ht="12.75" customHeight="1">
      <c r="A673" s="2"/>
      <c r="B673" s="435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39"/>
    </row>
    <row r="674" spans="1:56" ht="12.75" customHeight="1">
      <c r="A674" s="2"/>
      <c r="B674" s="435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39"/>
    </row>
    <row r="675" spans="1:56" ht="12.75" customHeight="1">
      <c r="A675" s="2"/>
      <c r="B675" s="435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39"/>
    </row>
    <row r="676" spans="1:56" ht="12.75" customHeight="1">
      <c r="A676" s="2"/>
      <c r="B676" s="435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39"/>
    </row>
    <row r="677" spans="1:56" ht="12.75" customHeight="1">
      <c r="A677" s="2"/>
      <c r="B677" s="435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39"/>
    </row>
    <row r="678" spans="1:56" ht="12.75" customHeight="1">
      <c r="A678" s="2"/>
      <c r="B678" s="435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39"/>
    </row>
    <row r="679" spans="1:56" ht="12.75" customHeight="1">
      <c r="A679" s="2"/>
      <c r="B679" s="435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39"/>
    </row>
    <row r="680" spans="1:56" ht="12.75" customHeight="1">
      <c r="A680" s="2"/>
      <c r="B680" s="435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39"/>
    </row>
    <row r="681" spans="1:56" ht="12.75" customHeight="1">
      <c r="A681" s="2"/>
      <c r="B681" s="435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39"/>
    </row>
    <row r="682" spans="1:56" ht="12.75" customHeight="1">
      <c r="A682" s="2"/>
      <c r="B682" s="435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39"/>
    </row>
    <row r="683" spans="1:56" ht="12.75" customHeight="1">
      <c r="A683" s="2"/>
      <c r="B683" s="435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39"/>
    </row>
    <row r="684" spans="1:56" ht="12.75" customHeight="1">
      <c r="A684" s="2"/>
      <c r="B684" s="435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39"/>
    </row>
    <row r="685" spans="1:56" ht="12.75" customHeight="1">
      <c r="A685" s="2"/>
      <c r="B685" s="435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39"/>
    </row>
    <row r="686" spans="1:56" ht="12.75" customHeight="1">
      <c r="A686" s="2"/>
      <c r="B686" s="435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39"/>
    </row>
    <row r="687" spans="1:56" ht="12.75" customHeight="1">
      <c r="A687" s="2"/>
      <c r="B687" s="435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39"/>
    </row>
    <row r="688" spans="1:56" ht="12.75" customHeight="1">
      <c r="A688" s="2"/>
      <c r="B688" s="435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39"/>
    </row>
    <row r="689" spans="1:56" ht="12.75" customHeight="1">
      <c r="A689" s="2"/>
      <c r="B689" s="435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39"/>
    </row>
    <row r="690" spans="1:56" ht="12.75" customHeight="1">
      <c r="A690" s="2"/>
      <c r="B690" s="435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39"/>
    </row>
    <row r="691" spans="1:56" ht="12.75" customHeight="1">
      <c r="A691" s="2"/>
      <c r="B691" s="435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39"/>
    </row>
    <row r="692" spans="1:56" ht="12.75" customHeight="1">
      <c r="A692" s="2"/>
      <c r="B692" s="435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39"/>
    </row>
    <row r="693" spans="1:56" ht="12.75" customHeight="1">
      <c r="A693" s="2"/>
      <c r="B693" s="435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39"/>
    </row>
    <row r="694" spans="1:56" ht="12.75" customHeight="1">
      <c r="A694" s="2"/>
      <c r="B694" s="435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39"/>
    </row>
    <row r="695" spans="1:56" ht="12.75" customHeight="1">
      <c r="A695" s="2"/>
      <c r="B695" s="435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39"/>
    </row>
    <row r="696" spans="1:56" ht="12.75" customHeight="1">
      <c r="A696" s="2"/>
      <c r="B696" s="435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39"/>
    </row>
    <row r="697" spans="1:56" ht="12.75" customHeight="1">
      <c r="A697" s="2"/>
      <c r="B697" s="435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39"/>
    </row>
    <row r="698" spans="1:56" ht="12.75" customHeight="1">
      <c r="A698" s="2"/>
      <c r="B698" s="435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39"/>
    </row>
    <row r="699" spans="1:56" ht="12.75" customHeight="1">
      <c r="A699" s="2"/>
      <c r="B699" s="435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39"/>
    </row>
    <row r="700" spans="1:56" ht="12.75" customHeight="1">
      <c r="A700" s="2"/>
      <c r="B700" s="435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39"/>
    </row>
    <row r="701" spans="1:56" ht="12.75" customHeight="1">
      <c r="A701" s="2"/>
      <c r="B701" s="435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39"/>
    </row>
    <row r="702" spans="1:56" ht="12.75" customHeight="1">
      <c r="A702" s="2"/>
      <c r="B702" s="435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39"/>
    </row>
    <row r="703" spans="1:56" ht="12.75" customHeight="1">
      <c r="A703" s="2"/>
      <c r="B703" s="435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39"/>
    </row>
    <row r="704" spans="1:56" ht="12.75" customHeight="1">
      <c r="A704" s="2"/>
      <c r="B704" s="435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39"/>
    </row>
    <row r="705" spans="1:56" ht="12.75" customHeight="1">
      <c r="A705" s="2"/>
      <c r="B705" s="435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39"/>
    </row>
    <row r="706" spans="1:56" ht="12.75" customHeight="1">
      <c r="A706" s="2"/>
      <c r="B706" s="435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39"/>
    </row>
    <row r="707" spans="1:56" ht="12.75" customHeight="1">
      <c r="A707" s="2"/>
      <c r="B707" s="435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39"/>
    </row>
    <row r="708" spans="1:56" ht="12.75" customHeight="1">
      <c r="A708" s="2"/>
      <c r="B708" s="435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39"/>
    </row>
    <row r="709" spans="1:56" ht="12.75" customHeight="1">
      <c r="A709" s="2"/>
      <c r="B709" s="435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39"/>
    </row>
    <row r="710" spans="1:56" ht="12.75" customHeight="1">
      <c r="A710" s="2"/>
      <c r="B710" s="435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39"/>
    </row>
    <row r="711" spans="1:56" ht="12.75" customHeight="1">
      <c r="A711" s="2"/>
      <c r="B711" s="435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39"/>
    </row>
    <row r="712" spans="1:56" ht="12.75" customHeight="1">
      <c r="A712" s="2"/>
      <c r="B712" s="435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39"/>
    </row>
    <row r="713" spans="1:56" ht="12.75" customHeight="1">
      <c r="A713" s="2"/>
      <c r="B713" s="435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39"/>
    </row>
    <row r="714" spans="1:56" ht="12.75" customHeight="1">
      <c r="A714" s="2"/>
      <c r="B714" s="435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39"/>
    </row>
    <row r="715" spans="1:56" ht="12.75" customHeight="1">
      <c r="A715" s="2"/>
      <c r="B715" s="435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39"/>
    </row>
    <row r="716" spans="1:56" ht="12.75" customHeight="1">
      <c r="A716" s="2"/>
      <c r="B716" s="435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39"/>
    </row>
    <row r="717" spans="1:56" ht="12.75" customHeight="1">
      <c r="A717" s="2"/>
      <c r="B717" s="435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39"/>
    </row>
    <row r="718" spans="1:56" ht="12.75" customHeight="1">
      <c r="A718" s="2"/>
      <c r="B718" s="435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39"/>
    </row>
    <row r="719" spans="1:56" ht="12.75" customHeight="1">
      <c r="A719" s="2"/>
      <c r="B719" s="435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39"/>
    </row>
    <row r="720" spans="1:56" ht="12.75" customHeight="1">
      <c r="A720" s="2"/>
      <c r="B720" s="435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39"/>
    </row>
    <row r="721" spans="1:56" ht="12.75" customHeight="1">
      <c r="A721" s="2"/>
      <c r="B721" s="435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39"/>
    </row>
    <row r="722" spans="1:56" ht="12.75" customHeight="1">
      <c r="A722" s="2"/>
      <c r="B722" s="435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39"/>
    </row>
    <row r="723" spans="1:56" ht="12.75" customHeight="1">
      <c r="A723" s="2"/>
      <c r="B723" s="435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39"/>
    </row>
    <row r="724" spans="1:56" ht="12.75" customHeight="1">
      <c r="A724" s="2"/>
      <c r="B724" s="435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39"/>
    </row>
    <row r="725" spans="1:56" ht="12.75" customHeight="1">
      <c r="A725" s="2"/>
      <c r="B725" s="435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39"/>
    </row>
    <row r="726" spans="1:56" ht="12.75" customHeight="1">
      <c r="A726" s="2"/>
      <c r="B726" s="435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39"/>
    </row>
    <row r="727" spans="1:56" ht="12.75" customHeight="1">
      <c r="A727" s="2"/>
      <c r="B727" s="435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39"/>
    </row>
    <row r="728" spans="1:56" ht="12.75" customHeight="1">
      <c r="A728" s="2"/>
      <c r="B728" s="435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39"/>
    </row>
    <row r="729" spans="1:56" ht="12.75" customHeight="1">
      <c r="A729" s="2"/>
      <c r="B729" s="435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39"/>
    </row>
    <row r="730" spans="1:56" ht="12.75" customHeight="1">
      <c r="A730" s="2"/>
      <c r="B730" s="435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39"/>
    </row>
    <row r="731" spans="1:56" ht="12.75" customHeight="1">
      <c r="A731" s="2"/>
      <c r="B731" s="435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39"/>
    </row>
    <row r="732" spans="1:56" ht="12.75" customHeight="1">
      <c r="A732" s="2"/>
      <c r="B732" s="435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39"/>
    </row>
    <row r="733" spans="1:56" ht="12.75" customHeight="1">
      <c r="A733" s="2"/>
      <c r="B733" s="435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39"/>
    </row>
    <row r="734" spans="1:56" ht="12.75" customHeight="1">
      <c r="A734" s="2"/>
      <c r="B734" s="435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39"/>
    </row>
    <row r="735" spans="1:56" ht="12.75" customHeight="1">
      <c r="A735" s="2"/>
      <c r="B735" s="435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39"/>
    </row>
    <row r="736" spans="1:56" ht="12.75" customHeight="1">
      <c r="A736" s="2"/>
      <c r="B736" s="435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39"/>
    </row>
    <row r="737" spans="1:56" ht="12.75" customHeight="1">
      <c r="A737" s="2"/>
      <c r="B737" s="435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39"/>
    </row>
    <row r="738" spans="1:56" ht="12.75" customHeight="1">
      <c r="A738" s="2"/>
      <c r="B738" s="435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39"/>
    </row>
    <row r="739" spans="1:56" ht="12.75" customHeight="1">
      <c r="A739" s="2"/>
      <c r="B739" s="435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39"/>
    </row>
    <row r="740" spans="1:56" ht="12.75" customHeight="1">
      <c r="A740" s="2"/>
      <c r="B740" s="435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39"/>
    </row>
    <row r="741" spans="1:56" ht="12.75" customHeight="1">
      <c r="A741" s="2"/>
      <c r="B741" s="435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39"/>
    </row>
    <row r="742" spans="1:56" ht="12.75" customHeight="1">
      <c r="A742" s="2"/>
      <c r="B742" s="435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39"/>
    </row>
    <row r="743" spans="1:56" ht="12.75" customHeight="1">
      <c r="A743" s="2"/>
      <c r="B743" s="435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39"/>
    </row>
    <row r="744" spans="1:56" ht="12.75" customHeight="1">
      <c r="A744" s="2"/>
      <c r="B744" s="435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39"/>
    </row>
    <row r="745" spans="1:56" ht="12.75" customHeight="1">
      <c r="A745" s="2"/>
      <c r="B745" s="435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39"/>
    </row>
    <row r="746" spans="1:56" ht="12.75" customHeight="1">
      <c r="A746" s="2"/>
      <c r="B746" s="435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39"/>
    </row>
    <row r="747" spans="1:56" ht="12.75" customHeight="1">
      <c r="A747" s="2"/>
      <c r="B747" s="435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39"/>
    </row>
    <row r="748" spans="1:56" ht="12.75" customHeight="1">
      <c r="A748" s="2"/>
      <c r="B748" s="435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39"/>
    </row>
    <row r="749" spans="1:56" ht="12.75" customHeight="1">
      <c r="A749" s="2"/>
      <c r="B749" s="435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39"/>
    </row>
    <row r="750" spans="1:56" ht="12.75" customHeight="1">
      <c r="A750" s="2"/>
      <c r="B750" s="435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39"/>
    </row>
    <row r="751" spans="1:56" ht="12.75" customHeight="1">
      <c r="A751" s="2"/>
      <c r="B751" s="435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39"/>
    </row>
    <row r="752" spans="1:56" ht="12.75" customHeight="1">
      <c r="A752" s="2"/>
      <c r="B752" s="435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39"/>
    </row>
    <row r="753" spans="1:56" ht="12.75" customHeight="1">
      <c r="A753" s="2"/>
      <c r="B753" s="435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39"/>
    </row>
    <row r="754" spans="1:56" ht="12.75" customHeight="1">
      <c r="A754" s="2"/>
      <c r="B754" s="435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39"/>
    </row>
    <row r="755" spans="1:56" ht="12.75" customHeight="1">
      <c r="A755" s="2"/>
      <c r="B755" s="435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39"/>
    </row>
    <row r="756" spans="1:56" ht="12.75" customHeight="1">
      <c r="A756" s="2"/>
      <c r="B756" s="435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39"/>
    </row>
    <row r="757" spans="1:56" ht="12.75" customHeight="1">
      <c r="A757" s="2"/>
      <c r="B757" s="435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39"/>
    </row>
    <row r="758" spans="1:56" ht="12.75" customHeight="1">
      <c r="A758" s="2"/>
      <c r="B758" s="435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39"/>
    </row>
    <row r="759" spans="1:56" ht="12.75" customHeight="1">
      <c r="A759" s="2"/>
      <c r="B759" s="435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39"/>
    </row>
    <row r="760" spans="1:56" ht="12.75" customHeight="1">
      <c r="A760" s="2"/>
      <c r="B760" s="435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39"/>
    </row>
    <row r="761" spans="1:56" ht="12.75" customHeight="1">
      <c r="A761" s="2"/>
      <c r="B761" s="435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39"/>
    </row>
    <row r="762" spans="1:56" ht="12.75" customHeight="1">
      <c r="A762" s="2"/>
      <c r="B762" s="435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39"/>
    </row>
    <row r="763" spans="1:56" ht="12.75" customHeight="1">
      <c r="A763" s="2"/>
      <c r="B763" s="435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39"/>
    </row>
    <row r="764" spans="1:56" ht="12.75" customHeight="1">
      <c r="A764" s="2"/>
      <c r="B764" s="435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39"/>
    </row>
    <row r="765" spans="1:56" ht="12.75" customHeight="1">
      <c r="A765" s="2"/>
      <c r="B765" s="435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39"/>
    </row>
    <row r="766" spans="1:56" ht="12.75" customHeight="1">
      <c r="A766" s="2"/>
      <c r="B766" s="435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39"/>
    </row>
    <row r="767" spans="1:56" ht="12.75" customHeight="1">
      <c r="A767" s="2"/>
      <c r="B767" s="435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39"/>
    </row>
    <row r="768" spans="1:56" ht="12.75" customHeight="1">
      <c r="A768" s="2"/>
      <c r="B768" s="435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39"/>
    </row>
    <row r="769" spans="1:56" ht="12.75" customHeight="1">
      <c r="A769" s="2"/>
      <c r="B769" s="435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39"/>
    </row>
    <row r="770" spans="1:56" ht="12.75" customHeight="1">
      <c r="A770" s="2"/>
      <c r="B770" s="435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39"/>
    </row>
    <row r="771" spans="1:56" ht="12.75" customHeight="1">
      <c r="A771" s="2"/>
      <c r="B771" s="435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39"/>
    </row>
    <row r="772" spans="1:56" ht="12.75" customHeight="1">
      <c r="A772" s="2"/>
      <c r="B772" s="435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39"/>
    </row>
    <row r="773" spans="1:56" ht="12.75" customHeight="1">
      <c r="A773" s="2"/>
      <c r="B773" s="435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39"/>
    </row>
    <row r="774" spans="1:56" ht="12.75" customHeight="1">
      <c r="A774" s="2"/>
      <c r="B774" s="435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39"/>
    </row>
    <row r="775" spans="1:56" ht="12.75" customHeight="1">
      <c r="A775" s="2"/>
      <c r="B775" s="435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39"/>
    </row>
    <row r="776" spans="1:56" ht="12.75" customHeight="1">
      <c r="A776" s="2"/>
      <c r="B776" s="435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39"/>
    </row>
    <row r="777" spans="1:56" ht="12.75" customHeight="1">
      <c r="A777" s="2"/>
      <c r="B777" s="435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39"/>
    </row>
    <row r="778" spans="1:56" ht="12.75" customHeight="1">
      <c r="A778" s="2"/>
      <c r="B778" s="435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39"/>
    </row>
    <row r="779" spans="1:56" ht="12.75" customHeight="1">
      <c r="A779" s="2"/>
      <c r="B779" s="435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39"/>
    </row>
    <row r="780" spans="1:56" ht="12.75" customHeight="1">
      <c r="A780" s="2"/>
      <c r="B780" s="435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39"/>
    </row>
    <row r="781" spans="1:56" ht="12.75" customHeight="1">
      <c r="A781" s="2"/>
      <c r="B781" s="435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39"/>
    </row>
    <row r="782" spans="1:56" ht="12.75" customHeight="1">
      <c r="A782" s="2"/>
      <c r="B782" s="435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39"/>
    </row>
    <row r="783" spans="1:56" ht="12.75" customHeight="1">
      <c r="A783" s="2"/>
      <c r="B783" s="435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39"/>
    </row>
    <row r="784" spans="1:56" ht="12.75" customHeight="1">
      <c r="A784" s="2"/>
      <c r="B784" s="435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39"/>
    </row>
    <row r="785" spans="1:56" ht="12.75" customHeight="1">
      <c r="A785" s="2"/>
      <c r="B785" s="435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39"/>
    </row>
    <row r="786" spans="1:56" ht="12.75" customHeight="1">
      <c r="A786" s="2"/>
      <c r="B786" s="435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39"/>
    </row>
    <row r="787" spans="1:56" ht="12.75" customHeight="1">
      <c r="A787" s="2"/>
      <c r="B787" s="435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39"/>
    </row>
    <row r="788" spans="1:56" ht="12.75" customHeight="1">
      <c r="A788" s="2"/>
      <c r="B788" s="435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39"/>
    </row>
    <row r="789" spans="1:56" ht="12.75" customHeight="1">
      <c r="A789" s="2"/>
      <c r="B789" s="435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39"/>
    </row>
    <row r="790" spans="1:56" ht="12.75" customHeight="1">
      <c r="A790" s="2"/>
      <c r="B790" s="435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39"/>
    </row>
    <row r="791" spans="1:56" ht="12.75" customHeight="1">
      <c r="A791" s="2"/>
      <c r="B791" s="435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39"/>
    </row>
    <row r="792" spans="1:56" ht="12.75" customHeight="1">
      <c r="A792" s="2"/>
      <c r="B792" s="435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39"/>
    </row>
    <row r="793" spans="1:56" ht="12.75" customHeight="1">
      <c r="A793" s="2"/>
      <c r="B793" s="435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39"/>
    </row>
    <row r="794" spans="1:56" ht="12.75" customHeight="1">
      <c r="A794" s="2"/>
      <c r="B794" s="435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39"/>
    </row>
    <row r="795" spans="1:56" ht="12.75" customHeight="1">
      <c r="A795" s="2"/>
      <c r="B795" s="435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39"/>
    </row>
    <row r="796" spans="1:56" ht="12.75" customHeight="1">
      <c r="A796" s="2"/>
      <c r="B796" s="435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39"/>
    </row>
    <row r="797" spans="1:56" ht="12.75" customHeight="1">
      <c r="A797" s="2"/>
      <c r="B797" s="435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39"/>
    </row>
    <row r="798" spans="1:56" ht="12.75" customHeight="1">
      <c r="A798" s="2"/>
      <c r="B798" s="435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39"/>
    </row>
    <row r="799" spans="1:56" ht="12.75" customHeight="1">
      <c r="A799" s="2"/>
      <c r="B799" s="435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39"/>
    </row>
    <row r="800" spans="1:56" ht="12.75" customHeight="1">
      <c r="A800" s="2"/>
      <c r="B800" s="435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39"/>
    </row>
    <row r="801" spans="1:56" ht="12.75" customHeight="1">
      <c r="A801" s="2"/>
      <c r="B801" s="435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39"/>
    </row>
    <row r="802" spans="1:56" ht="12.75" customHeight="1">
      <c r="A802" s="2"/>
      <c r="B802" s="435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39"/>
    </row>
    <row r="803" spans="1:56" ht="12.75" customHeight="1">
      <c r="A803" s="2"/>
      <c r="B803" s="435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39"/>
    </row>
    <row r="804" spans="1:56" ht="12.75" customHeight="1">
      <c r="A804" s="2"/>
      <c r="B804" s="435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39"/>
    </row>
    <row r="805" spans="1:56" ht="12.75" customHeight="1">
      <c r="A805" s="2"/>
      <c r="B805" s="435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39"/>
    </row>
    <row r="806" spans="1:56" ht="12.75" customHeight="1">
      <c r="A806" s="2"/>
      <c r="B806" s="435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39"/>
    </row>
    <row r="807" spans="1:56" ht="12.75" customHeight="1">
      <c r="A807" s="2"/>
      <c r="B807" s="435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39"/>
    </row>
    <row r="808" spans="1:56" ht="12.75" customHeight="1">
      <c r="A808" s="2"/>
      <c r="B808" s="435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39"/>
    </row>
    <row r="809" spans="1:56" ht="12.75" customHeight="1">
      <c r="A809" s="2"/>
      <c r="B809" s="435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39"/>
    </row>
    <row r="810" spans="1:56" ht="12.75" customHeight="1">
      <c r="A810" s="2"/>
      <c r="B810" s="435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39"/>
    </row>
    <row r="811" spans="1:56" ht="12.75" customHeight="1">
      <c r="A811" s="2"/>
      <c r="B811" s="435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39"/>
    </row>
    <row r="812" spans="1:56" ht="12.75" customHeight="1">
      <c r="A812" s="2"/>
      <c r="B812" s="435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39"/>
    </row>
    <row r="813" spans="1:56" ht="12.75" customHeight="1">
      <c r="A813" s="2"/>
      <c r="B813" s="435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39"/>
    </row>
    <row r="814" spans="1:56" ht="12.75" customHeight="1">
      <c r="A814" s="2"/>
      <c r="B814" s="435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39"/>
    </row>
    <row r="815" spans="1:56" ht="12.75" customHeight="1">
      <c r="A815" s="2"/>
      <c r="B815" s="435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39"/>
    </row>
    <row r="816" spans="1:56" ht="12.75" customHeight="1">
      <c r="A816" s="2"/>
      <c r="B816" s="435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39"/>
    </row>
    <row r="817" spans="1:56" ht="12.75" customHeight="1">
      <c r="A817" s="2"/>
      <c r="B817" s="435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39"/>
    </row>
    <row r="818" spans="1:56" ht="12.75" customHeight="1">
      <c r="A818" s="2"/>
      <c r="B818" s="435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39"/>
    </row>
    <row r="819" spans="1:56" ht="12.75" customHeight="1">
      <c r="A819" s="2"/>
      <c r="B819" s="435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39"/>
    </row>
    <row r="820" spans="1:56" ht="12.75" customHeight="1">
      <c r="A820" s="2"/>
      <c r="B820" s="435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39"/>
    </row>
    <row r="821" spans="1:56" ht="12.75" customHeight="1">
      <c r="A821" s="2"/>
      <c r="B821" s="435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39"/>
    </row>
    <row r="822" spans="1:56" ht="12.75" customHeight="1">
      <c r="A822" s="2"/>
      <c r="B822" s="435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39"/>
    </row>
    <row r="823" spans="1:56" ht="12.75" customHeight="1">
      <c r="A823" s="2"/>
      <c r="B823" s="435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39"/>
    </row>
    <row r="824" spans="1:56" ht="12.75" customHeight="1">
      <c r="A824" s="2"/>
      <c r="B824" s="435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39"/>
    </row>
    <row r="825" spans="1:56" ht="12.75" customHeight="1">
      <c r="A825" s="2"/>
      <c r="B825" s="435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39"/>
    </row>
    <row r="826" spans="1:56" ht="12.75" customHeight="1">
      <c r="A826" s="2"/>
      <c r="B826" s="435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39"/>
    </row>
    <row r="827" spans="1:56" ht="12.75" customHeight="1">
      <c r="A827" s="2"/>
      <c r="B827" s="435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39"/>
    </row>
    <row r="828" spans="1:56" ht="12.75" customHeight="1">
      <c r="A828" s="2"/>
      <c r="B828" s="435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39"/>
    </row>
    <row r="829" spans="1:56" ht="12.75" customHeight="1">
      <c r="A829" s="2"/>
      <c r="B829" s="435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39"/>
    </row>
    <row r="830" spans="1:56" ht="12.75" customHeight="1">
      <c r="A830" s="2"/>
      <c r="B830" s="435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39"/>
    </row>
    <row r="831" spans="1:56" ht="12.75" customHeight="1">
      <c r="A831" s="2"/>
      <c r="B831" s="435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39"/>
    </row>
    <row r="832" spans="1:56" ht="12.75" customHeight="1">
      <c r="A832" s="2"/>
      <c r="B832" s="435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39"/>
    </row>
    <row r="833" spans="1:56" ht="12.75" customHeight="1">
      <c r="A833" s="2"/>
      <c r="B833" s="435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39"/>
    </row>
    <row r="834" spans="1:56" ht="12.75" customHeight="1">
      <c r="A834" s="2"/>
      <c r="B834" s="435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39"/>
    </row>
    <row r="835" spans="1:56" ht="12.75" customHeight="1">
      <c r="A835" s="2"/>
      <c r="B835" s="435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39"/>
    </row>
    <row r="836" spans="1:56" ht="12.75" customHeight="1">
      <c r="A836" s="2"/>
      <c r="B836" s="435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39"/>
    </row>
    <row r="837" spans="1:56" ht="12.75" customHeight="1">
      <c r="A837" s="2"/>
      <c r="B837" s="435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39"/>
    </row>
    <row r="838" spans="1:56" ht="12.75" customHeight="1">
      <c r="A838" s="2"/>
      <c r="B838" s="435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39"/>
    </row>
    <row r="839" spans="1:56" ht="12.75" customHeight="1">
      <c r="A839" s="2"/>
      <c r="B839" s="435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39"/>
    </row>
    <row r="840" spans="1:56" ht="12.75" customHeight="1">
      <c r="A840" s="2"/>
      <c r="B840" s="435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39"/>
    </row>
    <row r="841" spans="1:56" ht="12.75" customHeight="1">
      <c r="A841" s="2"/>
      <c r="B841" s="435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39"/>
    </row>
    <row r="842" spans="1:56" ht="12.75" customHeight="1">
      <c r="A842" s="2"/>
      <c r="B842" s="435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39"/>
    </row>
    <row r="843" spans="1:56" ht="12.75" customHeight="1">
      <c r="A843" s="2"/>
      <c r="B843" s="435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39"/>
    </row>
    <row r="844" spans="1:56" ht="12.75" customHeight="1">
      <c r="A844" s="2"/>
      <c r="B844" s="435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39"/>
    </row>
    <row r="845" spans="1:56" ht="12.75" customHeight="1">
      <c r="A845" s="2"/>
      <c r="B845" s="435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39"/>
    </row>
    <row r="846" spans="1:56" ht="12.75" customHeight="1">
      <c r="A846" s="2"/>
      <c r="B846" s="435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39"/>
    </row>
    <row r="847" spans="1:56" ht="12.75" customHeight="1">
      <c r="A847" s="2"/>
      <c r="B847" s="435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39"/>
    </row>
    <row r="848" spans="1:56" ht="12.75" customHeight="1">
      <c r="A848" s="2"/>
      <c r="B848" s="435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39"/>
    </row>
    <row r="849" spans="1:56" ht="12.75" customHeight="1">
      <c r="A849" s="2"/>
      <c r="B849" s="435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39"/>
    </row>
    <row r="850" spans="1:56" ht="12.75" customHeight="1">
      <c r="A850" s="2"/>
      <c r="B850" s="435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39"/>
    </row>
    <row r="851" spans="1:56" ht="12.75" customHeight="1">
      <c r="A851" s="2"/>
      <c r="B851" s="435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39"/>
    </row>
    <row r="852" spans="1:56" ht="12.75" customHeight="1">
      <c r="A852" s="2"/>
      <c r="B852" s="435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39"/>
    </row>
    <row r="853" spans="1:56" ht="12.75" customHeight="1">
      <c r="A853" s="2"/>
      <c r="B853" s="435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39"/>
    </row>
    <row r="854" spans="1:56" ht="12.75" customHeight="1">
      <c r="A854" s="2"/>
      <c r="B854" s="435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39"/>
    </row>
    <row r="855" spans="1:56" ht="12.75" customHeight="1">
      <c r="A855" s="2"/>
      <c r="B855" s="435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39"/>
    </row>
    <row r="856" spans="1:56" ht="12.75" customHeight="1">
      <c r="A856" s="2"/>
      <c r="B856" s="435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39"/>
    </row>
    <row r="857" spans="1:56" ht="12.75" customHeight="1">
      <c r="A857" s="2"/>
      <c r="B857" s="435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39"/>
    </row>
    <row r="858" spans="1:56" ht="12.75" customHeight="1">
      <c r="A858" s="2"/>
      <c r="B858" s="435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39"/>
    </row>
    <row r="859" spans="1:56" ht="12.75" customHeight="1">
      <c r="A859" s="2"/>
      <c r="B859" s="435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39"/>
    </row>
    <row r="860" spans="1:56" ht="12.75" customHeight="1">
      <c r="A860" s="2"/>
      <c r="B860" s="435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39"/>
    </row>
    <row r="861" spans="1:56" ht="12.75" customHeight="1">
      <c r="A861" s="2"/>
      <c r="B861" s="435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39"/>
    </row>
    <row r="862" spans="1:56" ht="12.75" customHeight="1">
      <c r="A862" s="2"/>
      <c r="B862" s="435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39"/>
    </row>
    <row r="863" spans="1:56" ht="12.75" customHeight="1">
      <c r="A863" s="2"/>
      <c r="B863" s="435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39"/>
    </row>
    <row r="864" spans="1:56" ht="12.75" customHeight="1">
      <c r="A864" s="2"/>
      <c r="B864" s="435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39"/>
    </row>
    <row r="865" spans="1:56" ht="12.75" customHeight="1">
      <c r="A865" s="2"/>
      <c r="B865" s="435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39"/>
    </row>
    <row r="866" spans="1:56" ht="12.75" customHeight="1">
      <c r="A866" s="2"/>
      <c r="B866" s="435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39"/>
    </row>
    <row r="867" spans="1:56" ht="12.75" customHeight="1">
      <c r="A867" s="2"/>
      <c r="B867" s="435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39"/>
    </row>
    <row r="868" spans="1:56" ht="12.75" customHeight="1">
      <c r="A868" s="2"/>
      <c r="B868" s="435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39"/>
    </row>
    <row r="869" spans="1:56" ht="12.75" customHeight="1">
      <c r="A869" s="2"/>
      <c r="B869" s="435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39"/>
    </row>
    <row r="870" spans="1:56" ht="12.75" customHeight="1">
      <c r="A870" s="2"/>
      <c r="B870" s="435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39"/>
    </row>
    <row r="871" spans="1:56" ht="12.75" customHeight="1">
      <c r="A871" s="2"/>
      <c r="B871" s="435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39"/>
    </row>
    <row r="872" spans="1:56" ht="12.75" customHeight="1">
      <c r="A872" s="2"/>
      <c r="B872" s="435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39"/>
    </row>
    <row r="873" spans="1:56" ht="12.75" customHeight="1">
      <c r="A873" s="2"/>
      <c r="B873" s="435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39"/>
    </row>
    <row r="874" spans="1:56" ht="12.75" customHeight="1">
      <c r="A874" s="2"/>
      <c r="B874" s="435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39"/>
    </row>
    <row r="875" spans="1:56" ht="12.75" customHeight="1">
      <c r="A875" s="2"/>
      <c r="B875" s="435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39"/>
    </row>
    <row r="876" spans="1:56" ht="12.75" customHeight="1">
      <c r="A876" s="2"/>
      <c r="B876" s="435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39"/>
    </row>
    <row r="877" spans="1:56" ht="12.75" customHeight="1">
      <c r="A877" s="2"/>
      <c r="B877" s="435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39"/>
    </row>
    <row r="878" spans="1:56" ht="12.75" customHeight="1">
      <c r="A878" s="2"/>
      <c r="B878" s="435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39"/>
    </row>
    <row r="879" spans="1:56" ht="12.75" customHeight="1">
      <c r="A879" s="2"/>
      <c r="B879" s="435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39"/>
    </row>
    <row r="880" spans="1:56" ht="12.75" customHeight="1">
      <c r="A880" s="2"/>
      <c r="B880" s="435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39"/>
    </row>
    <row r="881" spans="1:56" ht="12.75" customHeight="1">
      <c r="A881" s="2"/>
      <c r="B881" s="435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39"/>
    </row>
    <row r="882" spans="1:56" ht="12.75" customHeight="1">
      <c r="A882" s="2"/>
      <c r="B882" s="435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39"/>
    </row>
    <row r="883" spans="1:56" ht="12.75" customHeight="1">
      <c r="A883" s="2"/>
      <c r="B883" s="435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39"/>
    </row>
    <row r="884" spans="1:56" ht="12.75" customHeight="1">
      <c r="A884" s="2"/>
      <c r="B884" s="435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39"/>
    </row>
    <row r="885" spans="1:56" ht="12.75" customHeight="1">
      <c r="A885" s="2"/>
      <c r="B885" s="435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39"/>
    </row>
    <row r="886" spans="1:56" ht="12.75" customHeight="1">
      <c r="A886" s="2"/>
      <c r="B886" s="435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39"/>
    </row>
    <row r="887" spans="1:56" ht="12.75" customHeight="1">
      <c r="A887" s="2"/>
      <c r="B887" s="435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39"/>
    </row>
    <row r="888" spans="1:56" ht="12.75" customHeight="1">
      <c r="A888" s="2"/>
      <c r="B888" s="435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39"/>
    </row>
    <row r="889" spans="1:56" ht="12.75" customHeight="1">
      <c r="A889" s="2"/>
      <c r="B889" s="435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39"/>
    </row>
    <row r="890" spans="1:56" ht="12.75" customHeight="1">
      <c r="A890" s="2"/>
      <c r="B890" s="435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39"/>
    </row>
    <row r="891" spans="1:56" ht="12.75" customHeight="1">
      <c r="A891" s="2"/>
      <c r="B891" s="435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39"/>
    </row>
    <row r="892" spans="1:56" ht="12.75" customHeight="1">
      <c r="A892" s="2"/>
      <c r="B892" s="435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39"/>
    </row>
    <row r="893" spans="1:56" ht="12.75" customHeight="1">
      <c r="A893" s="2"/>
      <c r="B893" s="435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39"/>
    </row>
    <row r="894" spans="1:56" ht="12.75" customHeight="1">
      <c r="A894" s="2"/>
      <c r="B894" s="435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39"/>
    </row>
    <row r="895" spans="1:56" ht="12.75" customHeight="1">
      <c r="A895" s="2"/>
      <c r="B895" s="435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39"/>
    </row>
    <row r="896" spans="1:56" ht="12.75" customHeight="1">
      <c r="A896" s="2"/>
      <c r="B896" s="435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39"/>
    </row>
    <row r="897" spans="1:56" ht="12.75" customHeight="1">
      <c r="A897" s="2"/>
      <c r="B897" s="435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39"/>
    </row>
    <row r="898" spans="1:56" ht="12.75" customHeight="1">
      <c r="A898" s="2"/>
      <c r="B898" s="435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39"/>
    </row>
    <row r="899" spans="1:56" ht="12.75" customHeight="1">
      <c r="A899" s="2"/>
      <c r="B899" s="435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39"/>
    </row>
    <row r="900" spans="1:56" ht="12.75" customHeight="1">
      <c r="A900" s="2"/>
      <c r="B900" s="435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39"/>
    </row>
    <row r="901" spans="1:56" ht="12.75" customHeight="1">
      <c r="A901" s="2"/>
      <c r="B901" s="435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39"/>
    </row>
    <row r="902" spans="1:56" ht="12.75" customHeight="1">
      <c r="A902" s="2"/>
      <c r="B902" s="435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39"/>
    </row>
    <row r="903" spans="1:56" ht="12.75" customHeight="1">
      <c r="A903" s="2"/>
      <c r="B903" s="435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39"/>
    </row>
    <row r="904" spans="1:56" ht="12.75" customHeight="1">
      <c r="A904" s="2"/>
      <c r="B904" s="435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39"/>
    </row>
    <row r="905" spans="1:56" ht="12.75" customHeight="1">
      <c r="A905" s="2"/>
      <c r="B905" s="435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39"/>
    </row>
    <row r="906" spans="1:56" ht="12.75" customHeight="1">
      <c r="A906" s="2"/>
      <c r="B906" s="435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39"/>
    </row>
    <row r="907" spans="1:56" ht="12.75" customHeight="1">
      <c r="A907" s="2"/>
      <c r="B907" s="435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39"/>
    </row>
    <row r="908" spans="1:56" ht="12.75" customHeight="1">
      <c r="A908" s="2"/>
      <c r="B908" s="435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39"/>
    </row>
    <row r="909" spans="1:56" ht="12.75" customHeight="1">
      <c r="A909" s="2"/>
      <c r="B909" s="435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39"/>
    </row>
    <row r="910" spans="1:56" ht="12.75" customHeight="1">
      <c r="A910" s="2"/>
      <c r="B910" s="435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39"/>
    </row>
    <row r="911" spans="1:56" ht="12.75" customHeight="1">
      <c r="A911" s="2"/>
      <c r="B911" s="435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39"/>
    </row>
    <row r="912" spans="1:56" ht="12.75" customHeight="1">
      <c r="A912" s="2"/>
      <c r="B912" s="435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39"/>
    </row>
    <row r="913" spans="1:56" ht="12.75" customHeight="1">
      <c r="A913" s="2"/>
      <c r="B913" s="435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39"/>
    </row>
    <row r="914" spans="1:56" ht="12.75" customHeight="1">
      <c r="A914" s="2"/>
      <c r="B914" s="435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39"/>
    </row>
    <row r="915" spans="1:56" ht="12.75" customHeight="1">
      <c r="A915" s="2"/>
      <c r="B915" s="435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39"/>
    </row>
    <row r="916" spans="1:56" ht="12.75" customHeight="1">
      <c r="A916" s="2"/>
      <c r="B916" s="435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39"/>
    </row>
    <row r="917" spans="1:56" ht="12.75" customHeight="1">
      <c r="A917" s="2"/>
      <c r="B917" s="435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39"/>
    </row>
    <row r="918" spans="1:56" ht="12.75" customHeight="1">
      <c r="A918" s="2"/>
      <c r="B918" s="435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39"/>
    </row>
    <row r="919" spans="1:56" ht="12.75" customHeight="1">
      <c r="A919" s="2"/>
      <c r="B919" s="435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39"/>
    </row>
    <row r="920" spans="1:56" ht="12.75" customHeight="1">
      <c r="A920" s="2"/>
      <c r="B920" s="435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39"/>
    </row>
    <row r="921" spans="1:56" ht="12.75" customHeight="1">
      <c r="A921" s="2"/>
      <c r="B921" s="435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39"/>
    </row>
    <row r="922" spans="1:56" ht="12.75" customHeight="1">
      <c r="A922" s="2"/>
      <c r="B922" s="435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39"/>
    </row>
    <row r="923" spans="1:56" ht="12.75" customHeight="1">
      <c r="A923" s="2"/>
      <c r="B923" s="435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39"/>
    </row>
    <row r="924" spans="1:56" ht="12.75" customHeight="1">
      <c r="A924" s="2"/>
      <c r="B924" s="435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39"/>
    </row>
    <row r="925" spans="1:56" ht="12.75" customHeight="1">
      <c r="A925" s="2"/>
      <c r="B925" s="435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39"/>
    </row>
    <row r="926" spans="1:56" ht="12.75" customHeight="1">
      <c r="A926" s="2"/>
      <c r="B926" s="435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39"/>
    </row>
    <row r="927" spans="1:56" ht="12.75" customHeight="1">
      <c r="A927" s="2"/>
      <c r="B927" s="435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39"/>
    </row>
    <row r="928" spans="1:56" ht="12.75" customHeight="1">
      <c r="A928" s="2"/>
      <c r="B928" s="435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39"/>
    </row>
    <row r="929" spans="1:56" ht="12.75" customHeight="1">
      <c r="A929" s="2"/>
      <c r="B929" s="435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39"/>
    </row>
    <row r="930" spans="1:56" ht="12.75" customHeight="1">
      <c r="A930" s="2"/>
      <c r="B930" s="435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39"/>
    </row>
    <row r="931" spans="1:56" ht="12.75" customHeight="1">
      <c r="A931" s="2"/>
      <c r="B931" s="435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39"/>
    </row>
    <row r="932" spans="1:56" ht="12.75" customHeight="1">
      <c r="A932" s="2"/>
      <c r="B932" s="435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39"/>
    </row>
    <row r="933" spans="1:56" ht="12.75" customHeight="1">
      <c r="A933" s="2"/>
      <c r="B933" s="435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39"/>
    </row>
    <row r="934" spans="1:56" ht="12.75" customHeight="1">
      <c r="A934" s="2"/>
      <c r="B934" s="435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39"/>
    </row>
    <row r="935" spans="1:56" ht="12.75" customHeight="1">
      <c r="A935" s="2"/>
      <c r="B935" s="435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39"/>
    </row>
    <row r="936" spans="1:56" ht="12.75" customHeight="1">
      <c r="A936" s="2"/>
      <c r="B936" s="435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39"/>
    </row>
    <row r="937" spans="1:56" ht="12.75" customHeight="1">
      <c r="A937" s="2"/>
      <c r="B937" s="435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39"/>
    </row>
    <row r="938" spans="1:56" ht="12.75" customHeight="1">
      <c r="A938" s="2"/>
      <c r="B938" s="435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39"/>
    </row>
    <row r="939" spans="1:56" ht="12.75" customHeight="1">
      <c r="A939" s="2"/>
      <c r="B939" s="435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39"/>
    </row>
    <row r="940" spans="1:56" ht="12.75" customHeight="1">
      <c r="A940" s="2"/>
      <c r="B940" s="435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39"/>
    </row>
    <row r="941" spans="1:56" ht="12.75" customHeight="1">
      <c r="A941" s="2"/>
      <c r="B941" s="435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39"/>
    </row>
    <row r="942" spans="1:56" ht="12.75" customHeight="1">
      <c r="A942" s="2"/>
      <c r="B942" s="435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39"/>
    </row>
    <row r="943" spans="1:56" ht="12.75" customHeight="1">
      <c r="A943" s="2"/>
      <c r="B943" s="435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39"/>
    </row>
    <row r="944" spans="1:56" ht="12.75" customHeight="1">
      <c r="A944" s="2"/>
      <c r="B944" s="435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39"/>
    </row>
    <row r="945" spans="1:56" ht="12.75" customHeight="1">
      <c r="A945" s="2"/>
      <c r="B945" s="435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39"/>
    </row>
    <row r="946" spans="1:56" ht="12.75" customHeight="1">
      <c r="A946" s="2"/>
      <c r="B946" s="435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39"/>
    </row>
    <row r="947" spans="1:56" ht="12.75" customHeight="1">
      <c r="A947" s="2"/>
      <c r="B947" s="435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39"/>
    </row>
    <row r="948" spans="1:56" ht="12.75" customHeight="1">
      <c r="A948" s="2"/>
      <c r="B948" s="435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39"/>
    </row>
    <row r="949" spans="1:56" ht="12.75" customHeight="1">
      <c r="A949" s="2"/>
      <c r="B949" s="435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39"/>
    </row>
    <row r="950" spans="1:56" ht="12.75" customHeight="1">
      <c r="A950" s="2"/>
      <c r="B950" s="435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39"/>
    </row>
    <row r="951" spans="1:56" ht="12.75" customHeight="1">
      <c r="A951" s="2"/>
      <c r="B951" s="435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39"/>
    </row>
    <row r="952" spans="1:56" ht="12.75" customHeight="1">
      <c r="A952" s="2"/>
      <c r="B952" s="435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39"/>
    </row>
    <row r="953" spans="1:56" ht="12.75" customHeight="1">
      <c r="A953" s="2"/>
      <c r="B953" s="435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39"/>
    </row>
    <row r="954" spans="1:56" ht="12.75" customHeight="1">
      <c r="A954" s="2"/>
      <c r="B954" s="435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39"/>
    </row>
    <row r="955" spans="1:56" ht="12.75" customHeight="1">
      <c r="A955" s="2"/>
      <c r="B955" s="435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39"/>
    </row>
    <row r="956" spans="1:56" ht="12.75" customHeight="1">
      <c r="A956" s="2"/>
      <c r="B956" s="435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39"/>
    </row>
    <row r="957" spans="1:56" ht="12.75" customHeight="1">
      <c r="A957" s="2"/>
      <c r="B957" s="435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39"/>
    </row>
    <row r="958" spans="1:56" ht="12.75" customHeight="1">
      <c r="A958" s="2"/>
      <c r="B958" s="435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39"/>
    </row>
    <row r="959" spans="1:56" ht="12.75" customHeight="1">
      <c r="A959" s="2"/>
      <c r="B959" s="435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39"/>
    </row>
    <row r="960" spans="1:56" ht="12.75" customHeight="1">
      <c r="A960" s="2"/>
      <c r="B960" s="435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39"/>
    </row>
    <row r="961" spans="1:56" ht="12.75" customHeight="1">
      <c r="A961" s="2"/>
      <c r="B961" s="435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39"/>
    </row>
    <row r="962" spans="1:56" ht="12.75" customHeight="1">
      <c r="A962" s="2"/>
      <c r="B962" s="435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39"/>
    </row>
    <row r="963" spans="1:56" ht="12.75" customHeight="1">
      <c r="A963" s="2"/>
      <c r="B963" s="435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39"/>
    </row>
    <row r="964" spans="1:56" ht="12.75" customHeight="1">
      <c r="A964" s="2"/>
      <c r="B964" s="435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39"/>
    </row>
    <row r="965" spans="1:56" ht="12.75" customHeight="1">
      <c r="A965" s="2"/>
      <c r="B965" s="435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39"/>
    </row>
    <row r="966" spans="1:56" ht="12.75" customHeight="1">
      <c r="A966" s="2"/>
      <c r="B966" s="435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39"/>
    </row>
    <row r="967" spans="1:56" ht="12.75" customHeight="1">
      <c r="A967" s="2"/>
      <c r="B967" s="435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39"/>
    </row>
    <row r="968" spans="1:56" ht="12.75" customHeight="1">
      <c r="A968" s="2"/>
      <c r="B968" s="435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39"/>
    </row>
    <row r="969" spans="1:56" ht="12.75" customHeight="1">
      <c r="A969" s="2"/>
      <c r="B969" s="435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39"/>
    </row>
    <row r="970" spans="1:56" ht="12.75" customHeight="1">
      <c r="A970" s="2"/>
      <c r="B970" s="435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39"/>
    </row>
    <row r="971" spans="1:56" ht="12.75" customHeight="1">
      <c r="A971" s="2"/>
      <c r="B971" s="435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39"/>
    </row>
    <row r="972" spans="1:56" ht="12.75" customHeight="1">
      <c r="A972" s="2"/>
      <c r="B972" s="435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39"/>
    </row>
    <row r="973" spans="1:56" ht="12.75" customHeight="1">
      <c r="A973" s="2"/>
      <c r="B973" s="435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39"/>
    </row>
    <row r="974" spans="1:56" ht="12.75" customHeight="1">
      <c r="A974" s="2"/>
      <c r="B974" s="435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39"/>
    </row>
    <row r="975" spans="1:56" ht="12.75" customHeight="1">
      <c r="A975" s="2"/>
      <c r="B975" s="435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39"/>
    </row>
    <row r="976" spans="1:56" ht="12.75" customHeight="1">
      <c r="A976" s="2"/>
      <c r="B976" s="435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39"/>
    </row>
    <row r="977" spans="1:56" ht="12.75" customHeight="1">
      <c r="A977" s="2"/>
      <c r="B977" s="435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39"/>
    </row>
    <row r="978" spans="1:56" ht="12.75" customHeight="1">
      <c r="A978" s="2"/>
      <c r="B978" s="435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39"/>
    </row>
    <row r="979" spans="1:56" ht="12.75" customHeight="1">
      <c r="A979" s="2"/>
      <c r="B979" s="435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39"/>
    </row>
    <row r="980" spans="1:56" ht="12.75" customHeight="1">
      <c r="A980" s="2"/>
      <c r="B980" s="435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39"/>
    </row>
    <row r="981" spans="1:56" ht="12.75" customHeight="1">
      <c r="A981" s="2"/>
      <c r="B981" s="435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39"/>
    </row>
    <row r="982" spans="1:56" ht="12.75" customHeight="1">
      <c r="A982" s="2"/>
      <c r="B982" s="435"/>
      <c r="P982" s="84"/>
      <c r="Q982" s="84"/>
      <c r="R982" s="2"/>
      <c r="S982" s="2"/>
      <c r="T982" s="2"/>
      <c r="U982" s="2"/>
      <c r="V982" s="2"/>
      <c r="W982" s="2"/>
      <c r="X982" s="2"/>
      <c r="Y982" s="2"/>
      <c r="Z982" s="2"/>
      <c r="BB982" s="118"/>
      <c r="BD982" s="439"/>
    </row>
    <row r="983" spans="1:56" ht="12.75" customHeight="1">
      <c r="A983" s="2"/>
      <c r="B983" s="435"/>
      <c r="P983" s="84"/>
      <c r="Q983" s="84"/>
      <c r="R983" s="2"/>
      <c r="S983" s="2"/>
      <c r="T983" s="2"/>
      <c r="U983" s="2"/>
      <c r="V983" s="2"/>
      <c r="W983" s="2"/>
      <c r="X983" s="2"/>
      <c r="Y983" s="2"/>
      <c r="Z983" s="2"/>
      <c r="BB983" s="118"/>
      <c r="BD983" s="439"/>
    </row>
    <row r="984" spans="1:56" ht="12.75" customHeight="1">
      <c r="A984" s="2"/>
      <c r="B984" s="435"/>
      <c r="P984" s="84"/>
      <c r="Q984" s="84"/>
      <c r="R984" s="2"/>
      <c r="S984" s="2"/>
      <c r="T984" s="2"/>
      <c r="U984" s="2"/>
      <c r="V984" s="2"/>
      <c r="W984" s="2"/>
      <c r="X984" s="2"/>
      <c r="Y984" s="2"/>
      <c r="Z984" s="2"/>
      <c r="BB984" s="118"/>
      <c r="BD984" s="439"/>
    </row>
    <row r="985" spans="1:56" ht="12.75" customHeight="1">
      <c r="A985" s="2"/>
      <c r="B985" s="435"/>
      <c r="P985" s="84"/>
      <c r="Q985" s="84"/>
      <c r="R985" s="2"/>
      <c r="S985" s="2"/>
      <c r="T985" s="2"/>
      <c r="U985" s="2"/>
      <c r="V985" s="2"/>
      <c r="W985" s="2"/>
      <c r="X985" s="2"/>
      <c r="Y985" s="2"/>
      <c r="Z985" s="2"/>
      <c r="BB985" s="118"/>
      <c r="BD985" s="439"/>
    </row>
    <row r="986" spans="1:56" ht="12.75" customHeight="1">
      <c r="A986" s="2"/>
      <c r="B986" s="435"/>
      <c r="P986" s="84"/>
      <c r="Q986" s="84"/>
      <c r="R986" s="2"/>
      <c r="S986" s="2"/>
      <c r="T986" s="2"/>
      <c r="U986" s="2"/>
      <c r="V986" s="2"/>
      <c r="W986" s="2"/>
      <c r="X986" s="2"/>
      <c r="Y986" s="2"/>
      <c r="Z986" s="2"/>
      <c r="BB986" s="118"/>
      <c r="BD986" s="439"/>
    </row>
    <row r="987" spans="1:56" ht="12.75" customHeight="1">
      <c r="A987" s="2"/>
      <c r="B987" s="435"/>
      <c r="P987" s="84"/>
      <c r="Q987" s="84"/>
      <c r="R987" s="2"/>
      <c r="S987" s="2"/>
      <c r="T987" s="2"/>
      <c r="U987" s="2"/>
      <c r="V987" s="2"/>
      <c r="W987" s="2"/>
      <c r="X987" s="2"/>
      <c r="Y987" s="2"/>
      <c r="Z987" s="2"/>
      <c r="BB987" s="118"/>
      <c r="BD987" s="439"/>
    </row>
  </sheetData>
  <mergeCells count="1">
    <mergeCell ref="C1:O1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E0B3"/>
  </sheetPr>
  <dimension ref="A1:BF9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3984375" defaultRowHeight="15" customHeight="1" outlineLevelRow="1" outlineLevelCol="1"/>
  <cols>
    <col min="1" max="1" width="31.19921875" customWidth="1"/>
    <col min="2" max="2" width="11.19921875" customWidth="1"/>
    <col min="3" max="6" width="12.3984375" customWidth="1" outlineLevel="1"/>
    <col min="7" max="14" width="12.3984375" customWidth="1"/>
    <col min="15" max="15" width="10.59765625" customWidth="1"/>
    <col min="16" max="16" width="7.796875" customWidth="1"/>
    <col min="17" max="17" width="14" customWidth="1"/>
    <col min="18" max="26" width="8.796875" customWidth="1"/>
    <col min="27" max="53" width="8.796875" hidden="1" customWidth="1"/>
    <col min="54" max="54" width="10.3984375" hidden="1" customWidth="1"/>
    <col min="55" max="55" width="8.796875" hidden="1" customWidth="1"/>
    <col min="56" max="56" width="9.19921875" hidden="1" customWidth="1"/>
    <col min="57" max="58" width="8.796875" hidden="1" customWidth="1"/>
  </cols>
  <sheetData>
    <row r="1" spans="1:58" ht="25.5" customHeight="1">
      <c r="A1" s="440" t="s">
        <v>222</v>
      </c>
      <c r="B1" s="441" t="s">
        <v>223</v>
      </c>
      <c r="C1" s="497" t="s">
        <v>186</v>
      </c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9"/>
      <c r="P1" s="308"/>
      <c r="Q1" s="3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26.25" customHeight="1">
      <c r="A2" s="442" t="s">
        <v>224</v>
      </c>
      <c r="B2" s="443" t="s">
        <v>225</v>
      </c>
      <c r="C2" s="312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444">
        <v>45352</v>
      </c>
      <c r="P2" s="313"/>
      <c r="Q2" s="314" t="s">
        <v>189</v>
      </c>
      <c r="R2" s="315"/>
      <c r="S2" s="7"/>
      <c r="T2" s="7"/>
      <c r="U2" s="7"/>
      <c r="V2" s="7"/>
      <c r="W2" s="7"/>
      <c r="X2" s="7"/>
      <c r="Y2" s="7"/>
      <c r="Z2" s="7"/>
      <c r="AA2" s="316" t="s">
        <v>107</v>
      </c>
      <c r="AB2" s="316" t="s">
        <v>108</v>
      </c>
      <c r="AC2" s="316" t="s">
        <v>109</v>
      </c>
      <c r="AD2" s="316" t="s">
        <v>110</v>
      </c>
      <c r="AE2" s="316" t="s">
        <v>111</v>
      </c>
      <c r="AF2" s="316" t="s">
        <v>112</v>
      </c>
      <c r="AG2" s="316" t="s">
        <v>113</v>
      </c>
      <c r="AH2" s="316" t="s">
        <v>114</v>
      </c>
      <c r="AI2" s="316" t="s">
        <v>115</v>
      </c>
      <c r="AJ2" s="316" t="s">
        <v>116</v>
      </c>
      <c r="AK2" s="316" t="s">
        <v>117</v>
      </c>
      <c r="AL2" s="316" t="s">
        <v>118</v>
      </c>
      <c r="AM2" s="317" t="s">
        <v>190</v>
      </c>
      <c r="AN2" s="317" t="s">
        <v>191</v>
      </c>
      <c r="AO2" s="317" t="s">
        <v>192</v>
      </c>
      <c r="AP2" s="317" t="s">
        <v>193</v>
      </c>
      <c r="AQ2" s="317" t="s">
        <v>194</v>
      </c>
      <c r="AR2" s="317" t="s">
        <v>195</v>
      </c>
      <c r="AS2" s="317" t="s">
        <v>196</v>
      </c>
      <c r="AT2" s="317" t="s">
        <v>197</v>
      </c>
      <c r="AU2" s="317" t="s">
        <v>198</v>
      </c>
      <c r="AV2" s="317" t="s">
        <v>199</v>
      </c>
      <c r="AW2" s="317" t="s">
        <v>200</v>
      </c>
      <c r="AX2" s="317" t="s">
        <v>201</v>
      </c>
      <c r="AY2" s="318"/>
      <c r="AZ2" s="318"/>
      <c r="BA2" s="318"/>
      <c r="BB2" s="319"/>
      <c r="BC2" s="320" t="e">
        <f>#REF!</f>
        <v>#REF!</v>
      </c>
      <c r="BD2" s="321"/>
      <c r="BE2" s="322"/>
      <c r="BF2" s="323"/>
    </row>
    <row r="3" spans="1:58" ht="12.75" customHeight="1">
      <c r="A3" s="324"/>
      <c r="B3" s="445"/>
      <c r="C3" s="326" t="s">
        <v>0</v>
      </c>
      <c r="D3" s="12" t="s">
        <v>0</v>
      </c>
      <c r="E3" s="12" t="s">
        <v>0</v>
      </c>
      <c r="F3" s="12" t="s">
        <v>0</v>
      </c>
      <c r="G3" s="13" t="s">
        <v>1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27"/>
      <c r="Q3" s="327"/>
      <c r="R3" s="328"/>
      <c r="S3" s="14"/>
      <c r="T3" s="14"/>
      <c r="U3" s="14"/>
      <c r="V3" s="14"/>
      <c r="W3" s="14"/>
      <c r="X3" s="14"/>
      <c r="Y3" s="14"/>
      <c r="Z3" s="14"/>
      <c r="AA3" s="329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30"/>
      <c r="AW3" s="330"/>
      <c r="AX3" s="330"/>
      <c r="AY3" s="330"/>
      <c r="AZ3" s="330"/>
      <c r="BA3" s="330"/>
      <c r="BB3" s="331"/>
      <c r="BC3" s="332" t="e">
        <f>#REF!&amp;BC2</f>
        <v>#REF!</v>
      </c>
      <c r="BD3" s="333"/>
      <c r="BE3" s="334"/>
      <c r="BF3" s="335"/>
    </row>
    <row r="4" spans="1:58" ht="12.75" customHeight="1">
      <c r="A4" s="336" t="s">
        <v>2</v>
      </c>
      <c r="B4" s="443"/>
      <c r="C4" s="33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338"/>
      <c r="Q4" s="338"/>
      <c r="R4" s="337"/>
      <c r="S4" s="17"/>
      <c r="T4" s="17"/>
      <c r="U4" s="17"/>
      <c r="V4" s="17"/>
      <c r="W4" s="17"/>
      <c r="X4" s="17"/>
      <c r="Y4" s="17"/>
      <c r="Z4" s="17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1"/>
      <c r="AZ4" s="341"/>
      <c r="BA4" s="341"/>
      <c r="BB4" s="342"/>
      <c r="BC4" s="343"/>
      <c r="BD4" s="344"/>
      <c r="BE4" s="345"/>
      <c r="BF4" s="346"/>
    </row>
    <row r="5" spans="1:58" ht="15" customHeight="1">
      <c r="A5" s="21" t="s">
        <v>3</v>
      </c>
      <c r="B5" s="446"/>
      <c r="C5" s="447"/>
      <c r="D5" s="448"/>
      <c r="E5" s="448"/>
      <c r="F5" s="448"/>
      <c r="G5" s="448"/>
      <c r="H5" s="448"/>
      <c r="I5" s="448"/>
      <c r="J5" s="448">
        <v>50</v>
      </c>
      <c r="K5" s="448">
        <v>50</v>
      </c>
      <c r="L5" s="448">
        <v>50</v>
      </c>
      <c r="M5" s="448">
        <v>50</v>
      </c>
      <c r="N5" s="448">
        <v>50</v>
      </c>
      <c r="O5" s="449">
        <v>50</v>
      </c>
      <c r="P5" s="450"/>
      <c r="Q5" s="450"/>
      <c r="R5" s="447"/>
      <c r="S5" s="448"/>
      <c r="T5" s="448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351"/>
      <c r="AZ5" s="351"/>
      <c r="BA5" s="351"/>
      <c r="BB5" s="352"/>
      <c r="BC5" s="447"/>
      <c r="BD5" s="448"/>
      <c r="BE5" s="448"/>
      <c r="BF5" s="351"/>
    </row>
    <row r="6" spans="1:58" ht="15" hidden="1" customHeight="1" outlineLevel="1">
      <c r="A6" s="451" t="s">
        <v>226</v>
      </c>
      <c r="B6" s="452"/>
      <c r="C6" s="453"/>
      <c r="D6" s="454"/>
      <c r="E6" s="454"/>
      <c r="F6" s="454"/>
      <c r="G6" s="454"/>
      <c r="H6" s="454">
        <v>0</v>
      </c>
      <c r="I6" s="454">
        <v>0</v>
      </c>
      <c r="J6" s="454">
        <f t="shared" ref="J6:O6" si="0">IF($B$1="Yes",J5,0)</f>
        <v>50</v>
      </c>
      <c r="K6" s="454">
        <f t="shared" si="0"/>
        <v>50</v>
      </c>
      <c r="L6" s="454">
        <f t="shared" si="0"/>
        <v>50</v>
      </c>
      <c r="M6" s="454">
        <f t="shared" si="0"/>
        <v>50</v>
      </c>
      <c r="N6" s="454">
        <f t="shared" si="0"/>
        <v>50</v>
      </c>
      <c r="O6" s="454">
        <f t="shared" si="0"/>
        <v>50</v>
      </c>
      <c r="P6" s="455"/>
      <c r="Q6" s="455"/>
      <c r="R6" s="453"/>
      <c r="S6" s="454"/>
      <c r="T6" s="454"/>
      <c r="U6" s="454"/>
      <c r="V6" s="454"/>
      <c r="W6" s="454"/>
      <c r="X6" s="454"/>
      <c r="Y6" s="454"/>
      <c r="Z6" s="454"/>
      <c r="AA6" s="454"/>
      <c r="AB6" s="454"/>
      <c r="AC6" s="454"/>
      <c r="AD6" s="454"/>
      <c r="AE6" s="454"/>
      <c r="AF6" s="454"/>
      <c r="AG6" s="454"/>
      <c r="AH6" s="454"/>
      <c r="AI6" s="454"/>
      <c r="AJ6" s="454"/>
      <c r="AK6" s="454"/>
      <c r="AL6" s="454"/>
      <c r="AM6" s="454"/>
      <c r="AN6" s="454"/>
      <c r="AO6" s="454"/>
      <c r="AP6" s="454"/>
      <c r="AQ6" s="454"/>
      <c r="AR6" s="454"/>
      <c r="AS6" s="454"/>
      <c r="AT6" s="454"/>
      <c r="AU6" s="454"/>
      <c r="AV6" s="454"/>
      <c r="AW6" s="454"/>
      <c r="AX6" s="454"/>
      <c r="AY6" s="456"/>
      <c r="AZ6" s="456"/>
      <c r="BA6" s="456"/>
      <c r="BB6" s="457"/>
      <c r="BC6" s="453"/>
      <c r="BD6" s="454"/>
      <c r="BE6" s="454"/>
      <c r="BF6" s="456"/>
    </row>
    <row r="7" spans="1:58" ht="15" customHeight="1" collapsed="1">
      <c r="A7" s="21" t="s">
        <v>227</v>
      </c>
      <c r="B7" s="446"/>
      <c r="C7" s="348">
        <v>0</v>
      </c>
      <c r="D7" s="349">
        <v>0</v>
      </c>
      <c r="E7" s="349">
        <v>0</v>
      </c>
      <c r="F7" s="349">
        <v>0</v>
      </c>
      <c r="G7" s="349">
        <v>0</v>
      </c>
      <c r="H7" s="349">
        <f>H6</f>
        <v>0</v>
      </c>
      <c r="I7" s="349">
        <f t="shared" ref="I7:O7" si="1">H7+I6</f>
        <v>0</v>
      </c>
      <c r="J7" s="349">
        <f t="shared" si="1"/>
        <v>50</v>
      </c>
      <c r="K7" s="349">
        <f t="shared" si="1"/>
        <v>100</v>
      </c>
      <c r="L7" s="349">
        <f t="shared" si="1"/>
        <v>150</v>
      </c>
      <c r="M7" s="349">
        <f t="shared" si="1"/>
        <v>200</v>
      </c>
      <c r="N7" s="349">
        <f t="shared" si="1"/>
        <v>250</v>
      </c>
      <c r="O7" s="349">
        <f t="shared" si="1"/>
        <v>300</v>
      </c>
      <c r="P7" s="350"/>
      <c r="Q7" s="350"/>
      <c r="R7" s="348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51"/>
      <c r="AZ7" s="351"/>
      <c r="BA7" s="351"/>
      <c r="BB7" s="352"/>
      <c r="BC7" s="348"/>
      <c r="BD7" s="349"/>
      <c r="BE7" s="349"/>
      <c r="BF7" s="351"/>
    </row>
    <row r="8" spans="1:58" ht="15" customHeight="1">
      <c r="A8" s="353" t="s">
        <v>228</v>
      </c>
      <c r="B8" s="458">
        <v>200</v>
      </c>
      <c r="C8" s="355"/>
      <c r="D8" s="35"/>
      <c r="E8" s="35"/>
      <c r="F8" s="35"/>
      <c r="G8" s="35">
        <v>0</v>
      </c>
      <c r="H8" s="35"/>
      <c r="I8" s="35"/>
      <c r="J8" s="35">
        <f t="shared" ref="J8:O8" si="2">J7*$B8</f>
        <v>10000</v>
      </c>
      <c r="K8" s="35">
        <f t="shared" si="2"/>
        <v>20000</v>
      </c>
      <c r="L8" s="35">
        <f t="shared" si="2"/>
        <v>30000</v>
      </c>
      <c r="M8" s="35">
        <f t="shared" si="2"/>
        <v>40000</v>
      </c>
      <c r="N8" s="35">
        <f t="shared" si="2"/>
        <v>50000</v>
      </c>
      <c r="O8" s="35">
        <f t="shared" si="2"/>
        <v>60000</v>
      </c>
      <c r="P8" s="356"/>
      <c r="Q8" s="356">
        <f>SUM(C8:N8)</f>
        <v>150000</v>
      </c>
      <c r="R8" s="355"/>
      <c r="S8" s="35"/>
      <c r="T8" s="35"/>
      <c r="U8" s="35"/>
      <c r="V8" s="35"/>
      <c r="W8" s="35"/>
      <c r="X8" s="35"/>
      <c r="Y8" s="35"/>
      <c r="Z8" s="35"/>
      <c r="AA8" s="357" t="s">
        <v>267</v>
      </c>
      <c r="AB8" s="357" t="s">
        <v>267</v>
      </c>
      <c r="AC8" s="357" t="s">
        <v>267</v>
      </c>
      <c r="AD8" s="357" t="s">
        <v>267</v>
      </c>
      <c r="AE8" s="357" t="s">
        <v>267</v>
      </c>
      <c r="AF8" s="357" t="s">
        <v>267</v>
      </c>
      <c r="AG8" s="357" t="s">
        <v>267</v>
      </c>
      <c r="AH8" s="357" t="s">
        <v>267</v>
      </c>
      <c r="AI8" s="357" t="s">
        <v>267</v>
      </c>
      <c r="AJ8" s="357" t="s">
        <v>267</v>
      </c>
      <c r="AK8" s="357" t="s">
        <v>267</v>
      </c>
      <c r="AL8" s="357" t="s">
        <v>267</v>
      </c>
      <c r="AM8" s="358" t="s">
        <v>267</v>
      </c>
      <c r="AN8" s="358" t="s">
        <v>267</v>
      </c>
      <c r="AO8" s="358" t="s">
        <v>267</v>
      </c>
      <c r="AP8" s="358" t="s">
        <v>267</v>
      </c>
      <c r="AQ8" s="358" t="s">
        <v>267</v>
      </c>
      <c r="AR8" s="358" t="s">
        <v>267</v>
      </c>
      <c r="AS8" s="358" t="s">
        <v>267</v>
      </c>
      <c r="AT8" s="358" t="s">
        <v>267</v>
      </c>
      <c r="AU8" s="358" t="s">
        <v>267</v>
      </c>
      <c r="AV8" s="358" t="s">
        <v>267</v>
      </c>
      <c r="AW8" s="358" t="s">
        <v>267</v>
      </c>
      <c r="AX8" s="358" t="s">
        <v>267</v>
      </c>
      <c r="AY8" s="359"/>
      <c r="AZ8" s="359"/>
      <c r="BA8" s="359"/>
      <c r="BB8" s="360">
        <f>SUM(D8:O8)</f>
        <v>210000</v>
      </c>
      <c r="BC8" s="361" t="e">
        <f ca="1">SUM(OFFSET(#REF!,0,0,1,MATCH(#REF!,#REF!,0)))</f>
        <v>#REF!</v>
      </c>
      <c r="BD8" s="362" t="e">
        <f>SUM(#REF!)</f>
        <v>#REF!</v>
      </c>
      <c r="BE8" s="363">
        <f>SUM(C8)</f>
        <v>0</v>
      </c>
      <c r="BF8" s="364"/>
    </row>
    <row r="9" spans="1:58" ht="15" customHeight="1">
      <c r="A9" s="353"/>
      <c r="B9" s="458"/>
      <c r="C9" s="35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459"/>
      <c r="P9" s="356"/>
      <c r="Q9" s="356"/>
      <c r="R9" s="355"/>
      <c r="S9" s="35"/>
      <c r="T9" s="35"/>
      <c r="U9" s="35"/>
      <c r="V9" s="35"/>
      <c r="W9" s="35"/>
      <c r="X9" s="35"/>
      <c r="Y9" s="35"/>
      <c r="Z9" s="35"/>
      <c r="AA9" s="357"/>
      <c r="AB9" s="357"/>
      <c r="AC9" s="357"/>
      <c r="AD9" s="357"/>
      <c r="AE9" s="357"/>
      <c r="AF9" s="357"/>
      <c r="AG9" s="357"/>
      <c r="AH9" s="357"/>
      <c r="AI9" s="357"/>
      <c r="AJ9" s="357"/>
      <c r="AK9" s="357"/>
      <c r="AL9" s="357"/>
      <c r="AM9" s="358"/>
      <c r="AN9" s="358"/>
      <c r="AO9" s="358"/>
      <c r="AP9" s="358"/>
      <c r="AQ9" s="358"/>
      <c r="AR9" s="358"/>
      <c r="AS9" s="358"/>
      <c r="AT9" s="358"/>
      <c r="AU9" s="358"/>
      <c r="AV9" s="358"/>
      <c r="AW9" s="358"/>
      <c r="AX9" s="358"/>
      <c r="AY9" s="359"/>
      <c r="AZ9" s="359"/>
      <c r="BA9" s="359"/>
      <c r="BB9" s="360"/>
      <c r="BC9" s="361"/>
      <c r="BD9" s="362"/>
      <c r="BE9" s="363"/>
      <c r="BF9" s="364"/>
    </row>
    <row r="10" spans="1:58" ht="17.25" customHeight="1">
      <c r="A10" s="365" t="s">
        <v>8</v>
      </c>
      <c r="B10" s="460"/>
      <c r="C10" s="367">
        <f t="shared" ref="C10:O10" si="3">SUM(C8:C9)</f>
        <v>0</v>
      </c>
      <c r="D10" s="368">
        <f t="shared" si="3"/>
        <v>0</v>
      </c>
      <c r="E10" s="368">
        <f t="shared" si="3"/>
        <v>0</v>
      </c>
      <c r="F10" s="368">
        <f t="shared" si="3"/>
        <v>0</v>
      </c>
      <c r="G10" s="368">
        <f t="shared" si="3"/>
        <v>0</v>
      </c>
      <c r="H10" s="368">
        <f t="shared" si="3"/>
        <v>0</v>
      </c>
      <c r="I10" s="368">
        <f t="shared" si="3"/>
        <v>0</v>
      </c>
      <c r="J10" s="368">
        <f t="shared" si="3"/>
        <v>10000</v>
      </c>
      <c r="K10" s="368">
        <f t="shared" si="3"/>
        <v>20000</v>
      </c>
      <c r="L10" s="368">
        <f t="shared" si="3"/>
        <v>30000</v>
      </c>
      <c r="M10" s="368">
        <f t="shared" si="3"/>
        <v>40000</v>
      </c>
      <c r="N10" s="368">
        <f t="shared" si="3"/>
        <v>50000</v>
      </c>
      <c r="O10" s="461">
        <f t="shared" si="3"/>
        <v>60000</v>
      </c>
      <c r="P10" s="369"/>
      <c r="Q10" s="370">
        <f>SUM(Q8:Q9)</f>
        <v>150000</v>
      </c>
      <c r="R10" s="371"/>
      <c r="S10" s="52"/>
      <c r="T10" s="52"/>
      <c r="U10" s="52"/>
      <c r="V10" s="52"/>
      <c r="W10" s="52"/>
      <c r="X10" s="52"/>
      <c r="Y10" s="52"/>
      <c r="Z10" s="52"/>
      <c r="AA10" s="372">
        <f t="shared" ref="AA10:AX10" si="4">SUM(AA8:AA9)</f>
        <v>0</v>
      </c>
      <c r="AB10" s="372">
        <f t="shared" si="4"/>
        <v>0</v>
      </c>
      <c r="AC10" s="372">
        <f t="shared" si="4"/>
        <v>0</v>
      </c>
      <c r="AD10" s="372">
        <f t="shared" si="4"/>
        <v>0</v>
      </c>
      <c r="AE10" s="372">
        <f t="shared" si="4"/>
        <v>0</v>
      </c>
      <c r="AF10" s="372">
        <f t="shared" si="4"/>
        <v>0</v>
      </c>
      <c r="AG10" s="372">
        <f t="shared" si="4"/>
        <v>0</v>
      </c>
      <c r="AH10" s="372">
        <f t="shared" si="4"/>
        <v>0</v>
      </c>
      <c r="AI10" s="372">
        <f t="shared" si="4"/>
        <v>0</v>
      </c>
      <c r="AJ10" s="372">
        <f t="shared" si="4"/>
        <v>0</v>
      </c>
      <c r="AK10" s="372">
        <f t="shared" si="4"/>
        <v>0</v>
      </c>
      <c r="AL10" s="372">
        <f t="shared" si="4"/>
        <v>0</v>
      </c>
      <c r="AM10" s="373">
        <f t="shared" si="4"/>
        <v>0</v>
      </c>
      <c r="AN10" s="373">
        <f t="shared" si="4"/>
        <v>0</v>
      </c>
      <c r="AO10" s="373">
        <f t="shared" si="4"/>
        <v>0</v>
      </c>
      <c r="AP10" s="373">
        <f t="shared" si="4"/>
        <v>0</v>
      </c>
      <c r="AQ10" s="373">
        <f t="shared" si="4"/>
        <v>0</v>
      </c>
      <c r="AR10" s="373">
        <f t="shared" si="4"/>
        <v>0</v>
      </c>
      <c r="AS10" s="373">
        <f t="shared" si="4"/>
        <v>0</v>
      </c>
      <c r="AT10" s="373">
        <f t="shared" si="4"/>
        <v>0</v>
      </c>
      <c r="AU10" s="373">
        <f t="shared" si="4"/>
        <v>0</v>
      </c>
      <c r="AV10" s="373">
        <f t="shared" si="4"/>
        <v>0</v>
      </c>
      <c r="AW10" s="373">
        <f t="shared" si="4"/>
        <v>0</v>
      </c>
      <c r="AX10" s="373">
        <f t="shared" si="4"/>
        <v>0</v>
      </c>
      <c r="AY10" s="374"/>
      <c r="AZ10" s="374"/>
      <c r="BA10" s="374"/>
      <c r="BB10" s="375">
        <f t="shared" ref="BB10:BC10" si="5">SUM(BB8:BB9)</f>
        <v>210000</v>
      </c>
      <c r="BC10" s="376" t="e">
        <f t="shared" ca="1" si="5"/>
        <v>#REF!</v>
      </c>
      <c r="BD10" s="377" t="e">
        <f>SUM(#REF!)</f>
        <v>#REF!</v>
      </c>
      <c r="BE10" s="378">
        <f t="shared" ref="BE10:BE24" si="6">SUM(C10)</f>
        <v>0</v>
      </c>
      <c r="BF10" s="379">
        <f t="shared" ref="BF10:BF26" si="7">SUM(D10:O10)</f>
        <v>210000</v>
      </c>
    </row>
    <row r="11" spans="1:58" ht="12.75" customHeight="1">
      <c r="A11" s="19"/>
      <c r="B11" s="462"/>
      <c r="C11" s="35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356"/>
      <c r="Q11" s="356"/>
      <c r="R11" s="35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32"/>
      <c r="BA11" s="32"/>
      <c r="BB11" s="463"/>
      <c r="BC11" s="355"/>
      <c r="BD11" s="35"/>
      <c r="BE11" s="35">
        <f t="shared" si="6"/>
        <v>0</v>
      </c>
      <c r="BF11" s="32">
        <f t="shared" si="7"/>
        <v>0</v>
      </c>
    </row>
    <row r="12" spans="1:58" ht="12.75" customHeight="1">
      <c r="A12" s="336" t="s">
        <v>9</v>
      </c>
      <c r="B12" s="443"/>
      <c r="C12" s="35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356"/>
      <c r="Q12" s="356"/>
      <c r="R12" s="355"/>
      <c r="S12" s="35"/>
      <c r="T12" s="35"/>
      <c r="U12" s="35"/>
      <c r="V12" s="35"/>
      <c r="W12" s="35"/>
      <c r="X12" s="35"/>
      <c r="Y12" s="35"/>
      <c r="Z12" s="35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9"/>
      <c r="AZ12" s="359"/>
      <c r="BA12" s="359"/>
      <c r="BB12" s="360"/>
      <c r="BC12" s="361"/>
      <c r="BD12" s="362"/>
      <c r="BE12" s="363">
        <f t="shared" si="6"/>
        <v>0</v>
      </c>
      <c r="BF12" s="364">
        <f t="shared" si="7"/>
        <v>0</v>
      </c>
    </row>
    <row r="13" spans="1:58" ht="14">
      <c r="A13" s="353" t="s">
        <v>229</v>
      </c>
      <c r="B13" s="458"/>
      <c r="C13" s="35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6"/>
      <c r="Q13" s="356">
        <f>SUM(C13:N13)</f>
        <v>0</v>
      </c>
      <c r="R13" s="355"/>
      <c r="S13" s="35"/>
      <c r="T13" s="35"/>
      <c r="U13" s="35"/>
      <c r="V13" s="35"/>
      <c r="W13" s="35"/>
      <c r="X13" s="35"/>
      <c r="Y13" s="35"/>
      <c r="Z13" s="35"/>
      <c r="AA13" s="357" t="s">
        <v>267</v>
      </c>
      <c r="AB13" s="357" t="s">
        <v>267</v>
      </c>
      <c r="AC13" s="357" t="s">
        <v>267</v>
      </c>
      <c r="AD13" s="357" t="s">
        <v>267</v>
      </c>
      <c r="AE13" s="357" t="s">
        <v>267</v>
      </c>
      <c r="AF13" s="357" t="s">
        <v>267</v>
      </c>
      <c r="AG13" s="357" t="s">
        <v>267</v>
      </c>
      <c r="AH13" s="357" t="s">
        <v>267</v>
      </c>
      <c r="AI13" s="357" t="s">
        <v>267</v>
      </c>
      <c r="AJ13" s="357" t="s">
        <v>267</v>
      </c>
      <c r="AK13" s="357" t="s">
        <v>267</v>
      </c>
      <c r="AL13" s="357" t="s">
        <v>267</v>
      </c>
      <c r="AM13" s="358" t="s">
        <v>267</v>
      </c>
      <c r="AN13" s="358" t="s">
        <v>267</v>
      </c>
      <c r="AO13" s="358" t="s">
        <v>267</v>
      </c>
      <c r="AP13" s="358" t="s">
        <v>267</v>
      </c>
      <c r="AQ13" s="358" t="s">
        <v>267</v>
      </c>
      <c r="AR13" s="358" t="s">
        <v>267</v>
      </c>
      <c r="AS13" s="358" t="s">
        <v>267</v>
      </c>
      <c r="AT13" s="358" t="s">
        <v>267</v>
      </c>
      <c r="AU13" s="358" t="s">
        <v>267</v>
      </c>
      <c r="AV13" s="358" t="s">
        <v>267</v>
      </c>
      <c r="AW13" s="358" t="s">
        <v>267</v>
      </c>
      <c r="AX13" s="358" t="s">
        <v>267</v>
      </c>
      <c r="AY13" s="359"/>
      <c r="AZ13" s="359"/>
      <c r="BA13" s="359"/>
      <c r="BB13" s="360">
        <f t="shared" ref="BB13:BB17" si="8">SUM(D13:O13)</f>
        <v>0</v>
      </c>
      <c r="BC13" s="361" t="e">
        <f t="shared" ref="BC13:BC17" ca="1" si="9">SUM(OFFSET(#REF!,0,0,1,MATCH(#REF!,#REF!,0)))</f>
        <v>#REF!</v>
      </c>
      <c r="BD13" s="362" t="e">
        <f t="shared" ref="BD13:BD17" si="10">SUM(#REF!)</f>
        <v>#REF!</v>
      </c>
      <c r="BE13" s="363">
        <f t="shared" si="6"/>
        <v>0</v>
      </c>
      <c r="BF13" s="364">
        <f t="shared" si="7"/>
        <v>0</v>
      </c>
    </row>
    <row r="14" spans="1:58" ht="14">
      <c r="A14" s="19"/>
      <c r="B14" s="464"/>
      <c r="C14" s="35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6"/>
      <c r="Q14" s="356"/>
      <c r="R14" s="355"/>
      <c r="S14" s="35"/>
      <c r="T14" s="35"/>
      <c r="U14" s="35"/>
      <c r="V14" s="35"/>
      <c r="W14" s="35"/>
      <c r="X14" s="35"/>
      <c r="Y14" s="35"/>
      <c r="Z14" s="35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9"/>
      <c r="AZ14" s="359"/>
      <c r="BA14" s="359"/>
      <c r="BB14" s="360">
        <f t="shared" si="8"/>
        <v>0</v>
      </c>
      <c r="BC14" s="361" t="e">
        <f t="shared" ca="1" si="9"/>
        <v>#REF!</v>
      </c>
      <c r="BD14" s="362" t="e">
        <f t="shared" si="10"/>
        <v>#REF!</v>
      </c>
      <c r="BE14" s="363">
        <f t="shared" si="6"/>
        <v>0</v>
      </c>
      <c r="BF14" s="364">
        <f t="shared" si="7"/>
        <v>0</v>
      </c>
    </row>
    <row r="15" spans="1:58" ht="14" outlineLevel="1">
      <c r="A15" s="336" t="s">
        <v>12</v>
      </c>
      <c r="B15" s="443"/>
      <c r="C15" s="35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6"/>
      <c r="Q15" s="356"/>
      <c r="R15" s="355"/>
      <c r="S15" s="35"/>
      <c r="T15" s="35"/>
      <c r="U15" s="35"/>
      <c r="V15" s="35"/>
      <c r="W15" s="35"/>
      <c r="X15" s="35"/>
      <c r="Y15" s="35"/>
      <c r="Z15" s="35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9"/>
      <c r="AZ15" s="359"/>
      <c r="BA15" s="359"/>
      <c r="BB15" s="360">
        <f t="shared" si="8"/>
        <v>0</v>
      </c>
      <c r="BC15" s="361" t="e">
        <f t="shared" ca="1" si="9"/>
        <v>#REF!</v>
      </c>
      <c r="BD15" s="362" t="e">
        <f t="shared" si="10"/>
        <v>#REF!</v>
      </c>
      <c r="BE15" s="363">
        <f t="shared" si="6"/>
        <v>0</v>
      </c>
      <c r="BF15" s="364">
        <f t="shared" si="7"/>
        <v>0</v>
      </c>
    </row>
    <row r="16" spans="1:58" ht="14" outlineLevel="1">
      <c r="A16" s="383" t="s">
        <v>13</v>
      </c>
      <c r="B16" s="464"/>
      <c r="C16" s="35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6"/>
      <c r="Q16" s="356">
        <f t="shared" ref="Q16:Q17" si="11">SUM(C16:N16)</f>
        <v>0</v>
      </c>
      <c r="R16" s="355"/>
      <c r="S16" s="35"/>
      <c r="T16" s="35"/>
      <c r="U16" s="35"/>
      <c r="V16" s="35"/>
      <c r="W16" s="35"/>
      <c r="X16" s="35"/>
      <c r="Y16" s="35"/>
      <c r="Z16" s="35"/>
      <c r="AA16" s="357" t="s">
        <v>267</v>
      </c>
      <c r="AB16" s="357" t="s">
        <v>267</v>
      </c>
      <c r="AC16" s="357" t="s">
        <v>267</v>
      </c>
      <c r="AD16" s="357" t="s">
        <v>267</v>
      </c>
      <c r="AE16" s="357" t="s">
        <v>267</v>
      </c>
      <c r="AF16" s="357" t="s">
        <v>267</v>
      </c>
      <c r="AG16" s="357" t="s">
        <v>267</v>
      </c>
      <c r="AH16" s="357" t="s">
        <v>267</v>
      </c>
      <c r="AI16" s="357" t="s">
        <v>267</v>
      </c>
      <c r="AJ16" s="357" t="s">
        <v>267</v>
      </c>
      <c r="AK16" s="357" t="s">
        <v>267</v>
      </c>
      <c r="AL16" s="357" t="s">
        <v>267</v>
      </c>
      <c r="AM16" s="358" t="s">
        <v>267</v>
      </c>
      <c r="AN16" s="358" t="s">
        <v>267</v>
      </c>
      <c r="AO16" s="358" t="s">
        <v>267</v>
      </c>
      <c r="AP16" s="358" t="s">
        <v>267</v>
      </c>
      <c r="AQ16" s="358" t="s">
        <v>267</v>
      </c>
      <c r="AR16" s="358" t="s">
        <v>267</v>
      </c>
      <c r="AS16" s="358" t="s">
        <v>267</v>
      </c>
      <c r="AT16" s="358" t="s">
        <v>267</v>
      </c>
      <c r="AU16" s="358" t="s">
        <v>267</v>
      </c>
      <c r="AV16" s="358" t="s">
        <v>267</v>
      </c>
      <c r="AW16" s="358" t="s">
        <v>267</v>
      </c>
      <c r="AX16" s="358" t="s">
        <v>267</v>
      </c>
      <c r="AY16" s="359"/>
      <c r="AZ16" s="359"/>
      <c r="BA16" s="359"/>
      <c r="BB16" s="360">
        <f t="shared" si="8"/>
        <v>0</v>
      </c>
      <c r="BC16" s="361" t="e">
        <f t="shared" ca="1" si="9"/>
        <v>#REF!</v>
      </c>
      <c r="BD16" s="362" t="e">
        <f t="shared" si="10"/>
        <v>#REF!</v>
      </c>
      <c r="BE16" s="363">
        <f t="shared" si="6"/>
        <v>0</v>
      </c>
      <c r="BF16" s="364">
        <f t="shared" si="7"/>
        <v>0</v>
      </c>
    </row>
    <row r="17" spans="1:58" ht="14" outlineLevel="1">
      <c r="A17" s="383" t="s">
        <v>217</v>
      </c>
      <c r="B17" s="464"/>
      <c r="C17" s="35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f>'Staff costs'!P2/2</f>
        <v>3000</v>
      </c>
      <c r="J17" s="35">
        <f>'Staff costs'!Q2/2</f>
        <v>3000</v>
      </c>
      <c r="K17" s="35">
        <f>'Staff costs'!R2/2</f>
        <v>3000</v>
      </c>
      <c r="L17" s="35">
        <f>'Staff costs'!S2/2</f>
        <v>3000</v>
      </c>
      <c r="M17" s="35">
        <f>'Staff costs'!T2/2</f>
        <v>3000</v>
      </c>
      <c r="N17" s="35">
        <f>'Staff costs'!U2/2</f>
        <v>3000</v>
      </c>
      <c r="O17" s="35" t="e">
        <f>#REF!/2</f>
        <v>#REF!</v>
      </c>
      <c r="P17" s="356"/>
      <c r="Q17" s="356">
        <f t="shared" si="11"/>
        <v>18000</v>
      </c>
      <c r="R17" s="355"/>
      <c r="S17" s="35"/>
      <c r="T17" s="35"/>
      <c r="U17" s="35"/>
      <c r="V17" s="35"/>
      <c r="W17" s="35"/>
      <c r="X17" s="35"/>
      <c r="Y17" s="35"/>
      <c r="Z17" s="35"/>
      <c r="AA17" s="357" t="s">
        <v>267</v>
      </c>
      <c r="AB17" s="357" t="s">
        <v>267</v>
      </c>
      <c r="AC17" s="357" t="s">
        <v>267</v>
      </c>
      <c r="AD17" s="357" t="s">
        <v>267</v>
      </c>
      <c r="AE17" s="357" t="s">
        <v>267</v>
      </c>
      <c r="AF17" s="357" t="s">
        <v>267</v>
      </c>
      <c r="AG17" s="357" t="s">
        <v>267</v>
      </c>
      <c r="AH17" s="357" t="s">
        <v>267</v>
      </c>
      <c r="AI17" s="357" t="s">
        <v>267</v>
      </c>
      <c r="AJ17" s="357" t="s">
        <v>267</v>
      </c>
      <c r="AK17" s="357" t="s">
        <v>267</v>
      </c>
      <c r="AL17" s="357" t="s">
        <v>267</v>
      </c>
      <c r="AM17" s="358" t="s">
        <v>267</v>
      </c>
      <c r="AN17" s="358" t="s">
        <v>267</v>
      </c>
      <c r="AO17" s="358" t="s">
        <v>267</v>
      </c>
      <c r="AP17" s="358" t="s">
        <v>267</v>
      </c>
      <c r="AQ17" s="358" t="s">
        <v>267</v>
      </c>
      <c r="AR17" s="358" t="s">
        <v>267</v>
      </c>
      <c r="AS17" s="358" t="s">
        <v>267</v>
      </c>
      <c r="AT17" s="358" t="s">
        <v>267</v>
      </c>
      <c r="AU17" s="358" t="s">
        <v>267</v>
      </c>
      <c r="AV17" s="358" t="s">
        <v>267</v>
      </c>
      <c r="AW17" s="358" t="s">
        <v>267</v>
      </c>
      <c r="AX17" s="358" t="s">
        <v>267</v>
      </c>
      <c r="AY17" s="359"/>
      <c r="AZ17" s="359"/>
      <c r="BA17" s="359"/>
      <c r="BB17" s="360" t="e">
        <f t="shared" si="8"/>
        <v>#REF!</v>
      </c>
      <c r="BC17" s="361" t="e">
        <f t="shared" ca="1" si="9"/>
        <v>#REF!</v>
      </c>
      <c r="BD17" s="362" t="e">
        <f t="shared" si="10"/>
        <v>#REF!</v>
      </c>
      <c r="BE17" s="384">
        <f t="shared" si="6"/>
        <v>0</v>
      </c>
      <c r="BF17" s="364" t="e">
        <f t="shared" si="7"/>
        <v>#REF!</v>
      </c>
    </row>
    <row r="18" spans="1:58" ht="14" outlineLevel="1">
      <c r="A18" s="385" t="s">
        <v>15</v>
      </c>
      <c r="B18" s="445"/>
      <c r="C18" s="371">
        <f t="shared" ref="C18:O18" si="12">SUM(C16:C17)</f>
        <v>0</v>
      </c>
      <c r="D18" s="52">
        <f t="shared" si="12"/>
        <v>0</v>
      </c>
      <c r="E18" s="52">
        <f t="shared" si="12"/>
        <v>0</v>
      </c>
      <c r="F18" s="52">
        <f t="shared" si="12"/>
        <v>0</v>
      </c>
      <c r="G18" s="52">
        <f t="shared" si="12"/>
        <v>0</v>
      </c>
      <c r="H18" s="52">
        <f t="shared" si="12"/>
        <v>0</v>
      </c>
      <c r="I18" s="52">
        <f t="shared" si="12"/>
        <v>3000</v>
      </c>
      <c r="J18" s="52">
        <f t="shared" si="12"/>
        <v>3000</v>
      </c>
      <c r="K18" s="52">
        <f t="shared" si="12"/>
        <v>3000</v>
      </c>
      <c r="L18" s="52">
        <f t="shared" si="12"/>
        <v>3000</v>
      </c>
      <c r="M18" s="52">
        <f t="shared" si="12"/>
        <v>3000</v>
      </c>
      <c r="N18" s="52">
        <f t="shared" si="12"/>
        <v>3000</v>
      </c>
      <c r="O18" s="52" t="e">
        <f t="shared" si="12"/>
        <v>#REF!</v>
      </c>
      <c r="P18" s="369"/>
      <c r="Q18" s="369">
        <f>SUM(Q16:Q17)</f>
        <v>18000</v>
      </c>
      <c r="R18" s="371"/>
      <c r="S18" s="52"/>
      <c r="T18" s="52"/>
      <c r="U18" s="52"/>
      <c r="V18" s="52"/>
      <c r="W18" s="52"/>
      <c r="X18" s="52"/>
      <c r="Y18" s="52"/>
      <c r="Z18" s="52"/>
      <c r="AA18" s="372">
        <f t="shared" ref="AA18:AX18" si="13">SUM(AA16:AA17)</f>
        <v>0</v>
      </c>
      <c r="AB18" s="372">
        <f t="shared" si="13"/>
        <v>0</v>
      </c>
      <c r="AC18" s="372">
        <f t="shared" si="13"/>
        <v>0</v>
      </c>
      <c r="AD18" s="372">
        <f t="shared" si="13"/>
        <v>0</v>
      </c>
      <c r="AE18" s="372">
        <f t="shared" si="13"/>
        <v>0</v>
      </c>
      <c r="AF18" s="372">
        <f t="shared" si="13"/>
        <v>0</v>
      </c>
      <c r="AG18" s="372">
        <f t="shared" si="13"/>
        <v>0</v>
      </c>
      <c r="AH18" s="372">
        <f t="shared" si="13"/>
        <v>0</v>
      </c>
      <c r="AI18" s="372">
        <f t="shared" si="13"/>
        <v>0</v>
      </c>
      <c r="AJ18" s="372">
        <f t="shared" si="13"/>
        <v>0</v>
      </c>
      <c r="AK18" s="372">
        <f t="shared" si="13"/>
        <v>0</v>
      </c>
      <c r="AL18" s="372">
        <f t="shared" si="13"/>
        <v>0</v>
      </c>
      <c r="AM18" s="373">
        <f t="shared" si="13"/>
        <v>0</v>
      </c>
      <c r="AN18" s="373">
        <f t="shared" si="13"/>
        <v>0</v>
      </c>
      <c r="AO18" s="373">
        <f t="shared" si="13"/>
        <v>0</v>
      </c>
      <c r="AP18" s="373">
        <f t="shared" si="13"/>
        <v>0</v>
      </c>
      <c r="AQ18" s="373">
        <f t="shared" si="13"/>
        <v>0</v>
      </c>
      <c r="AR18" s="373">
        <f t="shared" si="13"/>
        <v>0</v>
      </c>
      <c r="AS18" s="373">
        <f t="shared" si="13"/>
        <v>0</v>
      </c>
      <c r="AT18" s="373">
        <f t="shared" si="13"/>
        <v>0</v>
      </c>
      <c r="AU18" s="373">
        <f t="shared" si="13"/>
        <v>0</v>
      </c>
      <c r="AV18" s="373">
        <f t="shared" si="13"/>
        <v>0</v>
      </c>
      <c r="AW18" s="373">
        <f t="shared" si="13"/>
        <v>0</v>
      </c>
      <c r="AX18" s="373">
        <f t="shared" si="13"/>
        <v>0</v>
      </c>
      <c r="AY18" s="374"/>
      <c r="AZ18" s="374"/>
      <c r="BA18" s="374"/>
      <c r="BB18" s="375" t="e">
        <f t="shared" ref="BB18:BD18" si="14">SUM(BB16:BB17)</f>
        <v>#REF!</v>
      </c>
      <c r="BC18" s="376" t="e">
        <f t="shared" ca="1" si="14"/>
        <v>#REF!</v>
      </c>
      <c r="BD18" s="377" t="e">
        <f t="shared" si="14"/>
        <v>#REF!</v>
      </c>
      <c r="BE18" s="378">
        <f t="shared" si="6"/>
        <v>0</v>
      </c>
      <c r="BF18" s="379" t="e">
        <f t="shared" si="7"/>
        <v>#REF!</v>
      </c>
    </row>
    <row r="19" spans="1:58" ht="12.75" customHeight="1">
      <c r="A19" s="19"/>
      <c r="B19" s="464"/>
      <c r="C19" s="386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6"/>
      <c r="Q19" s="356"/>
      <c r="R19" s="355"/>
      <c r="S19" s="35"/>
      <c r="T19" s="35"/>
      <c r="U19" s="35"/>
      <c r="V19" s="35"/>
      <c r="W19" s="35"/>
      <c r="X19" s="35"/>
      <c r="Y19" s="35"/>
      <c r="Z19" s="35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87"/>
      <c r="AZ19" s="387"/>
      <c r="BA19" s="387"/>
      <c r="BB19" s="388"/>
      <c r="BC19" s="361"/>
      <c r="BD19" s="362"/>
      <c r="BE19" s="363">
        <f t="shared" si="6"/>
        <v>0</v>
      </c>
      <c r="BF19" s="364">
        <f t="shared" si="7"/>
        <v>0</v>
      </c>
    </row>
    <row r="20" spans="1:58" ht="12.75" customHeight="1">
      <c r="A20" s="389" t="s">
        <v>16</v>
      </c>
      <c r="B20" s="465"/>
      <c r="C20" s="391">
        <f t="shared" ref="C20:O20" si="15">SUM(C13)+C18</f>
        <v>0</v>
      </c>
      <c r="D20" s="59">
        <f t="shared" si="15"/>
        <v>0</v>
      </c>
      <c r="E20" s="59">
        <f t="shared" si="15"/>
        <v>0</v>
      </c>
      <c r="F20" s="59">
        <f t="shared" si="15"/>
        <v>0</v>
      </c>
      <c r="G20" s="59">
        <f t="shared" si="15"/>
        <v>0</v>
      </c>
      <c r="H20" s="59">
        <f t="shared" si="15"/>
        <v>0</v>
      </c>
      <c r="I20" s="59">
        <f t="shared" si="15"/>
        <v>3000</v>
      </c>
      <c r="J20" s="59">
        <f t="shared" si="15"/>
        <v>3000</v>
      </c>
      <c r="K20" s="59">
        <f t="shared" si="15"/>
        <v>3000</v>
      </c>
      <c r="L20" s="59">
        <f t="shared" si="15"/>
        <v>3000</v>
      </c>
      <c r="M20" s="59">
        <f t="shared" si="15"/>
        <v>3000</v>
      </c>
      <c r="N20" s="392">
        <f t="shared" si="15"/>
        <v>3000</v>
      </c>
      <c r="O20" s="392" t="e">
        <f t="shared" si="15"/>
        <v>#REF!</v>
      </c>
      <c r="P20" s="393"/>
      <c r="Q20" s="393">
        <f>SUM(Q13)+Q18</f>
        <v>18000</v>
      </c>
      <c r="R20" s="391"/>
      <c r="S20" s="59"/>
      <c r="T20" s="59"/>
      <c r="U20" s="59"/>
      <c r="V20" s="59"/>
      <c r="W20" s="59"/>
      <c r="X20" s="59"/>
      <c r="Y20" s="59"/>
      <c r="Z20" s="59"/>
      <c r="AA20" s="394" t="e">
        <f t="shared" ref="AA20:AX20" si="16">(0+((AA13+#REF!))+(AA18))-(0)</f>
        <v>#VALUE!</v>
      </c>
      <c r="AB20" s="394" t="e">
        <f t="shared" si="16"/>
        <v>#VALUE!</v>
      </c>
      <c r="AC20" s="394" t="e">
        <f t="shared" si="16"/>
        <v>#VALUE!</v>
      </c>
      <c r="AD20" s="394" t="e">
        <f t="shared" si="16"/>
        <v>#VALUE!</v>
      </c>
      <c r="AE20" s="394" t="e">
        <f t="shared" si="16"/>
        <v>#VALUE!</v>
      </c>
      <c r="AF20" s="394" t="e">
        <f t="shared" si="16"/>
        <v>#VALUE!</v>
      </c>
      <c r="AG20" s="394" t="e">
        <f t="shared" si="16"/>
        <v>#VALUE!</v>
      </c>
      <c r="AH20" s="394" t="e">
        <f t="shared" si="16"/>
        <v>#VALUE!</v>
      </c>
      <c r="AI20" s="394" t="e">
        <f t="shared" si="16"/>
        <v>#VALUE!</v>
      </c>
      <c r="AJ20" s="394" t="e">
        <f t="shared" si="16"/>
        <v>#VALUE!</v>
      </c>
      <c r="AK20" s="394" t="e">
        <f t="shared" si="16"/>
        <v>#VALUE!</v>
      </c>
      <c r="AL20" s="394" t="e">
        <f t="shared" si="16"/>
        <v>#VALUE!</v>
      </c>
      <c r="AM20" s="395" t="e">
        <f t="shared" si="16"/>
        <v>#VALUE!</v>
      </c>
      <c r="AN20" s="395" t="e">
        <f t="shared" si="16"/>
        <v>#VALUE!</v>
      </c>
      <c r="AO20" s="395" t="e">
        <f t="shared" si="16"/>
        <v>#VALUE!</v>
      </c>
      <c r="AP20" s="395" t="e">
        <f t="shared" si="16"/>
        <v>#VALUE!</v>
      </c>
      <c r="AQ20" s="395" t="e">
        <f t="shared" si="16"/>
        <v>#VALUE!</v>
      </c>
      <c r="AR20" s="395" t="e">
        <f t="shared" si="16"/>
        <v>#VALUE!</v>
      </c>
      <c r="AS20" s="395" t="e">
        <f t="shared" si="16"/>
        <v>#VALUE!</v>
      </c>
      <c r="AT20" s="395" t="e">
        <f t="shared" si="16"/>
        <v>#VALUE!</v>
      </c>
      <c r="AU20" s="395" t="e">
        <f t="shared" si="16"/>
        <v>#VALUE!</v>
      </c>
      <c r="AV20" s="395" t="e">
        <f t="shared" si="16"/>
        <v>#VALUE!</v>
      </c>
      <c r="AW20" s="395" t="e">
        <f t="shared" si="16"/>
        <v>#VALUE!</v>
      </c>
      <c r="AX20" s="395" t="e">
        <f t="shared" si="16"/>
        <v>#VALUE!</v>
      </c>
      <c r="AY20" s="396"/>
      <c r="AZ20" s="396"/>
      <c r="BA20" s="396"/>
      <c r="BB20" s="397" t="e">
        <f t="shared" ref="BB20:BD20" si="17">(0+((BB13+#REF!))+(BB18))-(0)</f>
        <v>#REF!</v>
      </c>
      <c r="BC20" s="398" t="e">
        <f t="shared" ca="1" si="17"/>
        <v>#REF!</v>
      </c>
      <c r="BD20" s="399" t="e">
        <f t="shared" si="17"/>
        <v>#REF!</v>
      </c>
      <c r="BE20" s="400">
        <f t="shared" si="6"/>
        <v>0</v>
      </c>
      <c r="BF20" s="401" t="e">
        <f t="shared" si="7"/>
        <v>#REF!</v>
      </c>
    </row>
    <row r="21" spans="1:58" ht="12.75" customHeight="1">
      <c r="A21" s="19"/>
      <c r="B21" s="464"/>
      <c r="C21" s="386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402"/>
      <c r="Q21" s="402"/>
      <c r="R21" s="386"/>
      <c r="S21" s="68"/>
      <c r="T21" s="68"/>
      <c r="U21" s="68"/>
      <c r="V21" s="68"/>
      <c r="W21" s="68"/>
      <c r="X21" s="68"/>
      <c r="Y21" s="68"/>
      <c r="Z21" s="68"/>
      <c r="AA21" s="403"/>
      <c r="AB21" s="403"/>
      <c r="AC21" s="403"/>
      <c r="AD21" s="403"/>
      <c r="AE21" s="403"/>
      <c r="AF21" s="403"/>
      <c r="AG21" s="403"/>
      <c r="AH21" s="403"/>
      <c r="AI21" s="403"/>
      <c r="AJ21" s="403"/>
      <c r="AK21" s="403"/>
      <c r="AL21" s="403"/>
      <c r="AM21" s="404"/>
      <c r="AN21" s="404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5"/>
      <c r="AZ21" s="405"/>
      <c r="BA21" s="405"/>
      <c r="BB21" s="406"/>
      <c r="BC21" s="407"/>
      <c r="BD21" s="408"/>
      <c r="BE21" s="409">
        <f t="shared" si="6"/>
        <v>0</v>
      </c>
      <c r="BF21" s="364">
        <f t="shared" si="7"/>
        <v>0</v>
      </c>
    </row>
    <row r="22" spans="1:58" ht="19.5" customHeight="1">
      <c r="A22" s="410" t="s">
        <v>17</v>
      </c>
      <c r="B22" s="466"/>
      <c r="C22" s="412">
        <f t="shared" ref="C22:O22" si="18">(C10)-(C20)</f>
        <v>0</v>
      </c>
      <c r="D22" s="413">
        <f t="shared" si="18"/>
        <v>0</v>
      </c>
      <c r="E22" s="413">
        <f t="shared" si="18"/>
        <v>0</v>
      </c>
      <c r="F22" s="413">
        <f t="shared" si="18"/>
        <v>0</v>
      </c>
      <c r="G22" s="413">
        <f t="shared" si="18"/>
        <v>0</v>
      </c>
      <c r="H22" s="413">
        <f t="shared" si="18"/>
        <v>0</v>
      </c>
      <c r="I22" s="413">
        <f t="shared" si="18"/>
        <v>-3000</v>
      </c>
      <c r="J22" s="413">
        <f t="shared" si="18"/>
        <v>7000</v>
      </c>
      <c r="K22" s="413">
        <f t="shared" si="18"/>
        <v>17000</v>
      </c>
      <c r="L22" s="413">
        <f t="shared" si="18"/>
        <v>27000</v>
      </c>
      <c r="M22" s="413">
        <f t="shared" si="18"/>
        <v>37000</v>
      </c>
      <c r="N22" s="413">
        <f t="shared" si="18"/>
        <v>47000</v>
      </c>
      <c r="O22" s="413" t="e">
        <f t="shared" si="18"/>
        <v>#REF!</v>
      </c>
      <c r="P22" s="393"/>
      <c r="Q22" s="414">
        <f>(Q10)-(Q20)</f>
        <v>132000</v>
      </c>
      <c r="R22" s="391"/>
      <c r="S22" s="59"/>
      <c r="T22" s="59"/>
      <c r="U22" s="59"/>
      <c r="V22" s="59"/>
      <c r="W22" s="59"/>
      <c r="X22" s="59"/>
      <c r="Y22" s="59"/>
      <c r="Z22" s="59"/>
      <c r="AA22" s="394" t="e">
        <f t="shared" ref="AA22:AX22" si="19">(AA10)-(AA20)</f>
        <v>#VALUE!</v>
      </c>
      <c r="AB22" s="394" t="e">
        <f t="shared" si="19"/>
        <v>#VALUE!</v>
      </c>
      <c r="AC22" s="394" t="e">
        <f t="shared" si="19"/>
        <v>#VALUE!</v>
      </c>
      <c r="AD22" s="394" t="e">
        <f t="shared" si="19"/>
        <v>#VALUE!</v>
      </c>
      <c r="AE22" s="394" t="e">
        <f t="shared" si="19"/>
        <v>#VALUE!</v>
      </c>
      <c r="AF22" s="394" t="e">
        <f t="shared" si="19"/>
        <v>#VALUE!</v>
      </c>
      <c r="AG22" s="394" t="e">
        <f t="shared" si="19"/>
        <v>#VALUE!</v>
      </c>
      <c r="AH22" s="394" t="e">
        <f t="shared" si="19"/>
        <v>#VALUE!</v>
      </c>
      <c r="AI22" s="394" t="e">
        <f t="shared" si="19"/>
        <v>#VALUE!</v>
      </c>
      <c r="AJ22" s="394" t="e">
        <f t="shared" si="19"/>
        <v>#VALUE!</v>
      </c>
      <c r="AK22" s="394" t="e">
        <f t="shared" si="19"/>
        <v>#VALUE!</v>
      </c>
      <c r="AL22" s="394" t="e">
        <f t="shared" si="19"/>
        <v>#VALUE!</v>
      </c>
      <c r="AM22" s="395" t="e">
        <f t="shared" si="19"/>
        <v>#VALUE!</v>
      </c>
      <c r="AN22" s="395" t="e">
        <f t="shared" si="19"/>
        <v>#VALUE!</v>
      </c>
      <c r="AO22" s="395" t="e">
        <f t="shared" si="19"/>
        <v>#VALUE!</v>
      </c>
      <c r="AP22" s="395" t="e">
        <f t="shared" si="19"/>
        <v>#VALUE!</v>
      </c>
      <c r="AQ22" s="395" t="e">
        <f t="shared" si="19"/>
        <v>#VALUE!</v>
      </c>
      <c r="AR22" s="395" t="e">
        <f t="shared" si="19"/>
        <v>#VALUE!</v>
      </c>
      <c r="AS22" s="395" t="e">
        <f t="shared" si="19"/>
        <v>#VALUE!</v>
      </c>
      <c r="AT22" s="395" t="e">
        <f t="shared" si="19"/>
        <v>#VALUE!</v>
      </c>
      <c r="AU22" s="395" t="e">
        <f t="shared" si="19"/>
        <v>#VALUE!</v>
      </c>
      <c r="AV22" s="395" t="e">
        <f t="shared" si="19"/>
        <v>#VALUE!</v>
      </c>
      <c r="AW22" s="395" t="e">
        <f t="shared" si="19"/>
        <v>#VALUE!</v>
      </c>
      <c r="AX22" s="395" t="e">
        <f t="shared" si="19"/>
        <v>#VALUE!</v>
      </c>
      <c r="AY22" s="396"/>
      <c r="AZ22" s="396"/>
      <c r="BA22" s="396"/>
      <c r="BB22" s="397" t="e">
        <f t="shared" ref="BB22:BD22" si="20">(BB10)-(BB20)</f>
        <v>#REF!</v>
      </c>
      <c r="BC22" s="398" t="e">
        <f t="shared" ca="1" si="20"/>
        <v>#REF!</v>
      </c>
      <c r="BD22" s="399" t="e">
        <f t="shared" si="20"/>
        <v>#REF!</v>
      </c>
      <c r="BE22" s="400">
        <f t="shared" si="6"/>
        <v>0</v>
      </c>
      <c r="BF22" s="401" t="e">
        <f t="shared" si="7"/>
        <v>#REF!</v>
      </c>
    </row>
    <row r="23" spans="1:58" ht="12.75" customHeight="1">
      <c r="A23" s="19"/>
      <c r="B23" s="464"/>
      <c r="C23" s="386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6"/>
      <c r="Q23" s="356"/>
      <c r="R23" s="355"/>
      <c r="S23" s="35"/>
      <c r="T23" s="35"/>
      <c r="U23" s="35"/>
      <c r="V23" s="35"/>
      <c r="W23" s="35"/>
      <c r="X23" s="35"/>
      <c r="Y23" s="35"/>
      <c r="Z23" s="35"/>
      <c r="AA23" s="357"/>
      <c r="AB23" s="357"/>
      <c r="AC23" s="357"/>
      <c r="AD23" s="357"/>
      <c r="AE23" s="357"/>
      <c r="AF23" s="357"/>
      <c r="AG23" s="357"/>
      <c r="AH23" s="357"/>
      <c r="AI23" s="357"/>
      <c r="AJ23" s="357"/>
      <c r="AK23" s="357"/>
      <c r="AL23" s="357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9"/>
      <c r="AZ23" s="359"/>
      <c r="BA23" s="359"/>
      <c r="BB23" s="360"/>
      <c r="BC23" s="361"/>
      <c r="BD23" s="362"/>
      <c r="BE23" s="363">
        <f t="shared" si="6"/>
        <v>0</v>
      </c>
      <c r="BF23" s="364">
        <f t="shared" si="7"/>
        <v>0</v>
      </c>
    </row>
    <row r="24" spans="1:58" ht="12.75" customHeight="1">
      <c r="A24" s="336" t="s">
        <v>18</v>
      </c>
      <c r="B24" s="443"/>
      <c r="C24" s="35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6"/>
      <c r="Q24" s="356"/>
      <c r="R24" s="355"/>
      <c r="S24" s="35"/>
      <c r="T24" s="35"/>
      <c r="U24" s="35"/>
      <c r="V24" s="35"/>
      <c r="W24" s="35"/>
      <c r="X24" s="35"/>
      <c r="Y24" s="35"/>
      <c r="Z24" s="35"/>
      <c r="AA24" s="357"/>
      <c r="AB24" s="357"/>
      <c r="AC24" s="357"/>
      <c r="AD24" s="357"/>
      <c r="AE24" s="357"/>
      <c r="AF24" s="357"/>
      <c r="AG24" s="357"/>
      <c r="AH24" s="357"/>
      <c r="AI24" s="357"/>
      <c r="AJ24" s="357"/>
      <c r="AK24" s="357"/>
      <c r="AL24" s="357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9"/>
      <c r="AZ24" s="359"/>
      <c r="BA24" s="359"/>
      <c r="BB24" s="360"/>
      <c r="BC24" s="361" t="e">
        <f t="shared" ref="BC24:BC26" ca="1" si="21">SUM(OFFSET(#REF!,0,0,1,MATCH(#REF!,#REF!,0)))</f>
        <v>#REF!</v>
      </c>
      <c r="BD24" s="362"/>
      <c r="BE24" s="363">
        <f t="shared" si="6"/>
        <v>0</v>
      </c>
      <c r="BF24" s="364">
        <f t="shared" si="7"/>
        <v>0</v>
      </c>
    </row>
    <row r="25" spans="1:58" ht="12.75" customHeight="1">
      <c r="A25" s="383"/>
      <c r="B25" s="464"/>
      <c r="C25" s="35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6"/>
      <c r="Q25" s="356"/>
      <c r="R25" s="355"/>
      <c r="S25" s="35"/>
      <c r="T25" s="35"/>
      <c r="U25" s="35"/>
      <c r="V25" s="35"/>
      <c r="W25" s="35"/>
      <c r="X25" s="35"/>
      <c r="Y25" s="35"/>
      <c r="Z25" s="35"/>
      <c r="AA25" s="357"/>
      <c r="AB25" s="357"/>
      <c r="AC25" s="357"/>
      <c r="AD25" s="357"/>
      <c r="AE25" s="357"/>
      <c r="AF25" s="357"/>
      <c r="AG25" s="357"/>
      <c r="AH25" s="357"/>
      <c r="AI25" s="357"/>
      <c r="AJ25" s="357"/>
      <c r="AK25" s="357"/>
      <c r="AL25" s="357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9"/>
      <c r="AZ25" s="359"/>
      <c r="BA25" s="359"/>
      <c r="BB25" s="360"/>
      <c r="BC25" s="361" t="e">
        <f t="shared" ca="1" si="21"/>
        <v>#REF!</v>
      </c>
      <c r="BD25" s="362"/>
      <c r="BE25" s="363"/>
      <c r="BF25" s="364">
        <f t="shared" si="7"/>
        <v>0</v>
      </c>
    </row>
    <row r="26" spans="1:58" ht="12.75" customHeight="1">
      <c r="A26" s="353" t="s">
        <v>230</v>
      </c>
      <c r="B26" s="467">
        <f>22.5+10</f>
        <v>32.5</v>
      </c>
      <c r="C26" s="355">
        <v>0</v>
      </c>
      <c r="D26" s="35">
        <v>0</v>
      </c>
      <c r="E26" s="35">
        <v>0</v>
      </c>
      <c r="F26" s="35">
        <v>0</v>
      </c>
      <c r="G26" s="35">
        <v>0</v>
      </c>
      <c r="H26" s="35">
        <f t="shared" ref="H26:O26" si="22">H7*$B$26</f>
        <v>0</v>
      </c>
      <c r="I26" s="35">
        <f t="shared" si="22"/>
        <v>0</v>
      </c>
      <c r="J26" s="35">
        <f t="shared" si="22"/>
        <v>1625</v>
      </c>
      <c r="K26" s="35">
        <f t="shared" si="22"/>
        <v>3250</v>
      </c>
      <c r="L26" s="35">
        <f t="shared" si="22"/>
        <v>4875</v>
      </c>
      <c r="M26" s="35">
        <f t="shared" si="22"/>
        <v>6500</v>
      </c>
      <c r="N26" s="35">
        <f t="shared" si="22"/>
        <v>8125</v>
      </c>
      <c r="O26" s="35">
        <f t="shared" si="22"/>
        <v>9750</v>
      </c>
      <c r="P26" s="356"/>
      <c r="Q26" s="356">
        <f t="shared" ref="Q26:Q31" si="23">SUM(C26:N26)</f>
        <v>24375</v>
      </c>
      <c r="R26" s="355"/>
      <c r="S26" s="35"/>
      <c r="T26" s="35"/>
      <c r="U26" s="35"/>
      <c r="V26" s="35"/>
      <c r="W26" s="35"/>
      <c r="X26" s="35"/>
      <c r="Y26" s="35"/>
      <c r="Z26" s="35"/>
      <c r="AA26" s="357" t="s">
        <v>267</v>
      </c>
      <c r="AB26" s="357" t="s">
        <v>267</v>
      </c>
      <c r="AC26" s="357" t="s">
        <v>267</v>
      </c>
      <c r="AD26" s="357" t="s">
        <v>267</v>
      </c>
      <c r="AE26" s="357" t="s">
        <v>267</v>
      </c>
      <c r="AF26" s="357" t="s">
        <v>267</v>
      </c>
      <c r="AG26" s="357" t="s">
        <v>267</v>
      </c>
      <c r="AH26" s="357" t="s">
        <v>267</v>
      </c>
      <c r="AI26" s="357" t="s">
        <v>267</v>
      </c>
      <c r="AJ26" s="357" t="s">
        <v>267</v>
      </c>
      <c r="AK26" s="357" t="s">
        <v>267</v>
      </c>
      <c r="AL26" s="357" t="s">
        <v>267</v>
      </c>
      <c r="AM26" s="358" t="s">
        <v>267</v>
      </c>
      <c r="AN26" s="358" t="s">
        <v>267</v>
      </c>
      <c r="AO26" s="358" t="s">
        <v>267</v>
      </c>
      <c r="AP26" s="358" t="s">
        <v>267</v>
      </c>
      <c r="AQ26" s="358" t="s">
        <v>267</v>
      </c>
      <c r="AR26" s="358" t="s">
        <v>267</v>
      </c>
      <c r="AS26" s="358" t="s">
        <v>267</v>
      </c>
      <c r="AT26" s="358" t="s">
        <v>267</v>
      </c>
      <c r="AU26" s="358" t="s">
        <v>267</v>
      </c>
      <c r="AV26" s="358" t="s">
        <v>267</v>
      </c>
      <c r="AW26" s="358" t="s">
        <v>267</v>
      </c>
      <c r="AX26" s="358" t="s">
        <v>267</v>
      </c>
      <c r="AY26" s="359"/>
      <c r="AZ26" s="359"/>
      <c r="BA26" s="359"/>
      <c r="BB26" s="360">
        <f>SUM(D26:O26)</f>
        <v>34125</v>
      </c>
      <c r="BC26" s="361" t="e">
        <f t="shared" ca="1" si="21"/>
        <v>#REF!</v>
      </c>
      <c r="BD26" s="362" t="e">
        <f>SUM(#REF!)</f>
        <v>#REF!</v>
      </c>
      <c r="BE26" s="363">
        <f>SUM(C26)</f>
        <v>0</v>
      </c>
      <c r="BF26" s="364">
        <f t="shared" si="7"/>
        <v>34125</v>
      </c>
    </row>
    <row r="27" spans="1:58" ht="12.75" customHeight="1">
      <c r="A27" s="353" t="s">
        <v>231</v>
      </c>
      <c r="B27" s="458">
        <v>35</v>
      </c>
      <c r="C27" s="355">
        <v>0</v>
      </c>
      <c r="D27" s="35">
        <v>0</v>
      </c>
      <c r="E27" s="35">
        <v>0</v>
      </c>
      <c r="F27" s="35">
        <v>0</v>
      </c>
      <c r="G27" s="35">
        <v>0</v>
      </c>
      <c r="H27" s="35">
        <f t="shared" ref="H27:O27" si="24">H6*$B$27</f>
        <v>0</v>
      </c>
      <c r="I27" s="35">
        <f t="shared" si="24"/>
        <v>0</v>
      </c>
      <c r="J27" s="35">
        <f t="shared" si="24"/>
        <v>1750</v>
      </c>
      <c r="K27" s="35">
        <f t="shared" si="24"/>
        <v>1750</v>
      </c>
      <c r="L27" s="35">
        <f t="shared" si="24"/>
        <v>1750</v>
      </c>
      <c r="M27" s="35">
        <f t="shared" si="24"/>
        <v>1750</v>
      </c>
      <c r="N27" s="35">
        <f t="shared" si="24"/>
        <v>1750</v>
      </c>
      <c r="O27" s="35">
        <f t="shared" si="24"/>
        <v>1750</v>
      </c>
      <c r="P27" s="356"/>
      <c r="Q27" s="356">
        <f t="shared" si="23"/>
        <v>8750</v>
      </c>
      <c r="R27" s="355"/>
      <c r="S27" s="35"/>
      <c r="T27" s="35"/>
      <c r="U27" s="35"/>
      <c r="V27" s="35"/>
      <c r="W27" s="35"/>
      <c r="X27" s="35"/>
      <c r="Y27" s="35"/>
      <c r="Z27" s="35"/>
      <c r="AA27" s="357"/>
      <c r="AB27" s="357"/>
      <c r="AC27" s="357"/>
      <c r="AD27" s="357"/>
      <c r="AE27" s="357"/>
      <c r="AF27" s="357"/>
      <c r="AG27" s="357"/>
      <c r="AH27" s="357"/>
      <c r="AI27" s="357"/>
      <c r="AJ27" s="357"/>
      <c r="AK27" s="357"/>
      <c r="AL27" s="357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9"/>
      <c r="AZ27" s="359"/>
      <c r="BA27" s="359"/>
      <c r="BB27" s="360"/>
      <c r="BC27" s="361"/>
      <c r="BD27" s="362"/>
      <c r="BE27" s="363"/>
      <c r="BF27" s="364"/>
    </row>
    <row r="28" spans="1:58" ht="12.75" customHeight="1">
      <c r="A28" s="353" t="s">
        <v>232</v>
      </c>
      <c r="B28" s="458">
        <v>3</v>
      </c>
      <c r="C28" s="355">
        <v>0</v>
      </c>
      <c r="D28" s="35">
        <v>0</v>
      </c>
      <c r="E28" s="35">
        <v>0</v>
      </c>
      <c r="F28" s="35">
        <v>0</v>
      </c>
      <c r="G28" s="35">
        <v>0</v>
      </c>
      <c r="H28" s="35">
        <f t="shared" ref="H28:O28" si="25">H7*$B$28</f>
        <v>0</v>
      </c>
      <c r="I28" s="35">
        <f t="shared" si="25"/>
        <v>0</v>
      </c>
      <c r="J28" s="35">
        <f t="shared" si="25"/>
        <v>150</v>
      </c>
      <c r="K28" s="35">
        <f t="shared" si="25"/>
        <v>300</v>
      </c>
      <c r="L28" s="35">
        <f t="shared" si="25"/>
        <v>450</v>
      </c>
      <c r="M28" s="35">
        <f t="shared" si="25"/>
        <v>600</v>
      </c>
      <c r="N28" s="35">
        <f t="shared" si="25"/>
        <v>750</v>
      </c>
      <c r="O28" s="35">
        <f t="shared" si="25"/>
        <v>900</v>
      </c>
      <c r="P28" s="356"/>
      <c r="Q28" s="356">
        <f t="shared" si="23"/>
        <v>2250</v>
      </c>
      <c r="R28" s="355"/>
      <c r="S28" s="35"/>
      <c r="T28" s="35"/>
      <c r="U28" s="35"/>
      <c r="V28" s="35"/>
      <c r="W28" s="35"/>
      <c r="X28" s="35"/>
      <c r="Y28" s="35"/>
      <c r="Z28" s="35"/>
      <c r="AA28" s="357"/>
      <c r="AB28" s="357"/>
      <c r="AC28" s="357"/>
      <c r="AD28" s="357"/>
      <c r="AE28" s="357"/>
      <c r="AF28" s="357"/>
      <c r="AG28" s="357"/>
      <c r="AH28" s="357"/>
      <c r="AI28" s="357"/>
      <c r="AJ28" s="357"/>
      <c r="AK28" s="357"/>
      <c r="AL28" s="357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9"/>
      <c r="AZ28" s="359"/>
      <c r="BA28" s="359"/>
      <c r="BB28" s="360"/>
      <c r="BC28" s="361"/>
      <c r="BD28" s="362"/>
      <c r="BE28" s="363"/>
      <c r="BF28" s="364"/>
    </row>
    <row r="29" spans="1:58" ht="12.75" customHeight="1">
      <c r="A29" s="353" t="s">
        <v>233</v>
      </c>
      <c r="B29" s="458">
        <v>20</v>
      </c>
      <c r="C29" s="355">
        <v>0</v>
      </c>
      <c r="D29" s="35">
        <v>0</v>
      </c>
      <c r="E29" s="35">
        <v>0</v>
      </c>
      <c r="F29" s="35">
        <v>0</v>
      </c>
      <c r="G29" s="35">
        <v>0</v>
      </c>
      <c r="H29" s="35">
        <f t="shared" ref="H29:O29" si="26">H7*$B$29</f>
        <v>0</v>
      </c>
      <c r="I29" s="35">
        <f t="shared" si="26"/>
        <v>0</v>
      </c>
      <c r="J29" s="35">
        <f t="shared" si="26"/>
        <v>1000</v>
      </c>
      <c r="K29" s="35">
        <f t="shared" si="26"/>
        <v>2000</v>
      </c>
      <c r="L29" s="35">
        <f t="shared" si="26"/>
        <v>3000</v>
      </c>
      <c r="M29" s="35">
        <f t="shared" si="26"/>
        <v>4000</v>
      </c>
      <c r="N29" s="35">
        <f t="shared" si="26"/>
        <v>5000</v>
      </c>
      <c r="O29" s="35">
        <f t="shared" si="26"/>
        <v>6000</v>
      </c>
      <c r="P29" s="356"/>
      <c r="Q29" s="356">
        <f t="shared" si="23"/>
        <v>15000</v>
      </c>
      <c r="R29" s="355"/>
      <c r="S29" s="35"/>
      <c r="T29" s="35"/>
      <c r="U29" s="35"/>
      <c r="V29" s="35"/>
      <c r="W29" s="35"/>
      <c r="X29" s="35"/>
      <c r="Y29" s="35"/>
      <c r="Z29" s="35"/>
      <c r="AA29" s="357"/>
      <c r="AB29" s="357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9"/>
      <c r="AZ29" s="359"/>
      <c r="BA29" s="359"/>
      <c r="BB29" s="360"/>
      <c r="BC29" s="361"/>
      <c r="BD29" s="362"/>
      <c r="BE29" s="363"/>
      <c r="BF29" s="364"/>
    </row>
    <row r="30" spans="1:58" ht="14">
      <c r="A30" s="353" t="s">
        <v>234</v>
      </c>
      <c r="B30" s="458">
        <v>200</v>
      </c>
      <c r="C30" s="355">
        <v>0</v>
      </c>
      <c r="D30" s="35">
        <v>0</v>
      </c>
      <c r="E30" s="35">
        <v>0</v>
      </c>
      <c r="F30" s="35">
        <v>0</v>
      </c>
      <c r="G30" s="35">
        <v>0</v>
      </c>
      <c r="H30" s="35">
        <f t="shared" ref="H30:O30" si="27">H6*$B$30</f>
        <v>0</v>
      </c>
      <c r="I30" s="35">
        <f t="shared" si="27"/>
        <v>0</v>
      </c>
      <c r="J30" s="35">
        <f t="shared" si="27"/>
        <v>10000</v>
      </c>
      <c r="K30" s="35">
        <f t="shared" si="27"/>
        <v>10000</v>
      </c>
      <c r="L30" s="35">
        <f t="shared" si="27"/>
        <v>10000</v>
      </c>
      <c r="M30" s="35">
        <f t="shared" si="27"/>
        <v>10000</v>
      </c>
      <c r="N30" s="35">
        <f t="shared" si="27"/>
        <v>10000</v>
      </c>
      <c r="O30" s="35">
        <f t="shared" si="27"/>
        <v>10000</v>
      </c>
      <c r="P30" s="356"/>
      <c r="Q30" s="356">
        <f t="shared" si="23"/>
        <v>50000</v>
      </c>
      <c r="R30" s="355"/>
      <c r="S30" s="35"/>
      <c r="T30" s="35"/>
      <c r="U30" s="35"/>
      <c r="V30" s="35"/>
      <c r="W30" s="35"/>
      <c r="X30" s="35"/>
      <c r="Y30" s="35"/>
      <c r="Z30" s="35"/>
      <c r="AA30" s="357" t="s">
        <v>267</v>
      </c>
      <c r="AB30" s="357" t="s">
        <v>267</v>
      </c>
      <c r="AC30" s="357" t="s">
        <v>267</v>
      </c>
      <c r="AD30" s="357" t="s">
        <v>267</v>
      </c>
      <c r="AE30" s="357" t="s">
        <v>267</v>
      </c>
      <c r="AF30" s="357" t="s">
        <v>267</v>
      </c>
      <c r="AG30" s="357" t="s">
        <v>267</v>
      </c>
      <c r="AH30" s="357" t="s">
        <v>267</v>
      </c>
      <c r="AI30" s="357" t="s">
        <v>267</v>
      </c>
      <c r="AJ30" s="357" t="s">
        <v>267</v>
      </c>
      <c r="AK30" s="357" t="s">
        <v>267</v>
      </c>
      <c r="AL30" s="357" t="s">
        <v>267</v>
      </c>
      <c r="AM30" s="358" t="s">
        <v>267</v>
      </c>
      <c r="AN30" s="358" t="s">
        <v>267</v>
      </c>
      <c r="AO30" s="358" t="s">
        <v>267</v>
      </c>
      <c r="AP30" s="358" t="s">
        <v>267</v>
      </c>
      <c r="AQ30" s="358" t="s">
        <v>267</v>
      </c>
      <c r="AR30" s="358" t="s">
        <v>267</v>
      </c>
      <c r="AS30" s="358" t="s">
        <v>267</v>
      </c>
      <c r="AT30" s="358" t="s">
        <v>267</v>
      </c>
      <c r="AU30" s="358" t="s">
        <v>267</v>
      </c>
      <c r="AV30" s="358" t="s">
        <v>267</v>
      </c>
      <c r="AW30" s="358" t="s">
        <v>267</v>
      </c>
      <c r="AX30" s="358" t="s">
        <v>267</v>
      </c>
      <c r="AY30" s="359"/>
      <c r="AZ30" s="359"/>
      <c r="BA30" s="359"/>
      <c r="BB30" s="360">
        <f t="shared" ref="BB30:BB31" si="28">SUM(D30:O30)</f>
        <v>60000</v>
      </c>
      <c r="BC30" s="361" t="e">
        <f t="shared" ref="BC30:BC31" ca="1" si="29">SUM(OFFSET(#REF!,0,0,1,MATCH(#REF!,#REF!,0)))</f>
        <v>#REF!</v>
      </c>
      <c r="BD30" s="362" t="e">
        <f t="shared" ref="BD30:BD31" si="30">SUM(#REF!)</f>
        <v>#REF!</v>
      </c>
      <c r="BE30" s="363">
        <f t="shared" ref="BE30:BE31" si="31">SUM(C30)</f>
        <v>0</v>
      </c>
      <c r="BF30" s="364">
        <f t="shared" ref="BF30:BF31" si="32">SUM(D30:O30)</f>
        <v>60000</v>
      </c>
    </row>
    <row r="31" spans="1:58" ht="12.75" customHeight="1">
      <c r="A31" s="353" t="s">
        <v>235</v>
      </c>
      <c r="B31" s="458">
        <v>100</v>
      </c>
      <c r="C31" s="355">
        <v>0</v>
      </c>
      <c r="D31" s="35">
        <v>0</v>
      </c>
      <c r="E31" s="35">
        <v>0</v>
      </c>
      <c r="F31" s="35">
        <v>0</v>
      </c>
      <c r="G31" s="35">
        <v>0</v>
      </c>
      <c r="H31" s="35">
        <f t="shared" ref="H31:I31" si="33">H6*25</f>
        <v>0</v>
      </c>
      <c r="I31" s="35">
        <f t="shared" si="33"/>
        <v>0</v>
      </c>
      <c r="J31" s="35">
        <f t="shared" ref="J31:O31" si="34">$B$31*J5</f>
        <v>5000</v>
      </c>
      <c r="K31" s="35">
        <f t="shared" si="34"/>
        <v>5000</v>
      </c>
      <c r="L31" s="35">
        <f t="shared" si="34"/>
        <v>5000</v>
      </c>
      <c r="M31" s="35">
        <f t="shared" si="34"/>
        <v>5000</v>
      </c>
      <c r="N31" s="35">
        <f t="shared" si="34"/>
        <v>5000</v>
      </c>
      <c r="O31" s="35">
        <f t="shared" si="34"/>
        <v>5000</v>
      </c>
      <c r="P31" s="356"/>
      <c r="Q31" s="356">
        <f t="shared" si="23"/>
        <v>25000</v>
      </c>
      <c r="R31" s="355"/>
      <c r="S31" s="35"/>
      <c r="T31" s="35"/>
      <c r="U31" s="35"/>
      <c r="V31" s="35"/>
      <c r="W31" s="35"/>
      <c r="X31" s="35"/>
      <c r="Y31" s="35"/>
      <c r="Z31" s="35"/>
      <c r="AA31" s="357" t="s">
        <v>267</v>
      </c>
      <c r="AB31" s="357" t="s">
        <v>267</v>
      </c>
      <c r="AC31" s="357" t="s">
        <v>267</v>
      </c>
      <c r="AD31" s="357" t="s">
        <v>267</v>
      </c>
      <c r="AE31" s="357" t="s">
        <v>267</v>
      </c>
      <c r="AF31" s="357" t="s">
        <v>267</v>
      </c>
      <c r="AG31" s="357" t="s">
        <v>267</v>
      </c>
      <c r="AH31" s="357" t="s">
        <v>267</v>
      </c>
      <c r="AI31" s="357" t="s">
        <v>267</v>
      </c>
      <c r="AJ31" s="357" t="s">
        <v>267</v>
      </c>
      <c r="AK31" s="357" t="s">
        <v>267</v>
      </c>
      <c r="AL31" s="357" t="s">
        <v>267</v>
      </c>
      <c r="AM31" s="358" t="s">
        <v>267</v>
      </c>
      <c r="AN31" s="358" t="s">
        <v>267</v>
      </c>
      <c r="AO31" s="358" t="s">
        <v>267</v>
      </c>
      <c r="AP31" s="358" t="s">
        <v>267</v>
      </c>
      <c r="AQ31" s="358" t="s">
        <v>267</v>
      </c>
      <c r="AR31" s="358" t="s">
        <v>267</v>
      </c>
      <c r="AS31" s="358" t="s">
        <v>267</v>
      </c>
      <c r="AT31" s="358" t="s">
        <v>267</v>
      </c>
      <c r="AU31" s="358" t="s">
        <v>267</v>
      </c>
      <c r="AV31" s="358" t="s">
        <v>267</v>
      </c>
      <c r="AW31" s="358" t="s">
        <v>267</v>
      </c>
      <c r="AX31" s="358" t="s">
        <v>267</v>
      </c>
      <c r="AY31" s="359"/>
      <c r="AZ31" s="359"/>
      <c r="BA31" s="359"/>
      <c r="BB31" s="360">
        <f t="shared" si="28"/>
        <v>30000</v>
      </c>
      <c r="BC31" s="361" t="e">
        <f t="shared" ca="1" si="29"/>
        <v>#REF!</v>
      </c>
      <c r="BD31" s="362" t="e">
        <f t="shared" si="30"/>
        <v>#REF!</v>
      </c>
      <c r="BE31" s="363">
        <f t="shared" si="31"/>
        <v>0</v>
      </c>
      <c r="BF31" s="364">
        <f t="shared" si="32"/>
        <v>30000</v>
      </c>
    </row>
    <row r="32" spans="1:58" ht="12.75" customHeight="1">
      <c r="A32" s="353"/>
      <c r="B32" s="458"/>
      <c r="C32" s="35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  <c r="O32" s="36"/>
      <c r="P32" s="356"/>
      <c r="Q32" s="356"/>
      <c r="R32" s="355"/>
      <c r="S32" s="35"/>
      <c r="T32" s="35"/>
      <c r="U32" s="35"/>
      <c r="V32" s="35"/>
      <c r="W32" s="35"/>
      <c r="X32" s="35"/>
      <c r="Y32" s="35"/>
      <c r="Z32" s="35"/>
      <c r="AA32" s="357"/>
      <c r="AB32" s="357"/>
      <c r="AC32" s="357"/>
      <c r="AD32" s="357"/>
      <c r="AE32" s="357"/>
      <c r="AF32" s="357"/>
      <c r="AG32" s="357"/>
      <c r="AH32" s="357"/>
      <c r="AI32" s="357"/>
      <c r="AJ32" s="357"/>
      <c r="AK32" s="357"/>
      <c r="AL32" s="357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9"/>
      <c r="AZ32" s="359"/>
      <c r="BA32" s="359"/>
      <c r="BB32" s="360"/>
      <c r="BC32" s="361"/>
      <c r="BD32" s="362"/>
      <c r="BE32" s="363"/>
      <c r="BF32" s="364"/>
    </row>
    <row r="33" spans="1:58" ht="12.75" customHeight="1">
      <c r="A33" s="353"/>
      <c r="B33" s="458"/>
      <c r="C33" s="35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  <c r="O33" s="36"/>
      <c r="P33" s="356"/>
      <c r="Q33" s="356"/>
      <c r="R33" s="355"/>
      <c r="S33" s="35"/>
      <c r="T33" s="35"/>
      <c r="U33" s="35"/>
      <c r="V33" s="35"/>
      <c r="W33" s="35"/>
      <c r="X33" s="35"/>
      <c r="Y33" s="35"/>
      <c r="Z33" s="35"/>
      <c r="AA33" s="357"/>
      <c r="AB33" s="357"/>
      <c r="AC33" s="357"/>
      <c r="AD33" s="357"/>
      <c r="AE33" s="357"/>
      <c r="AF33" s="357"/>
      <c r="AG33" s="357"/>
      <c r="AH33" s="357"/>
      <c r="AI33" s="357"/>
      <c r="AJ33" s="357"/>
      <c r="AK33" s="357"/>
      <c r="AL33" s="357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9"/>
      <c r="AZ33" s="359"/>
      <c r="BA33" s="359"/>
      <c r="BB33" s="360"/>
      <c r="BC33" s="361"/>
      <c r="BD33" s="362"/>
      <c r="BE33" s="363"/>
      <c r="BF33" s="364"/>
    </row>
    <row r="34" spans="1:58" ht="12.75" customHeight="1">
      <c r="A34" s="353"/>
      <c r="B34" s="458"/>
      <c r="C34" s="35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6"/>
      <c r="O34" s="36"/>
      <c r="P34" s="356"/>
      <c r="Q34" s="356"/>
      <c r="R34" s="355"/>
      <c r="S34" s="35"/>
      <c r="T34" s="35"/>
      <c r="U34" s="35"/>
      <c r="V34" s="35"/>
      <c r="W34" s="35"/>
      <c r="X34" s="35"/>
      <c r="Y34" s="35"/>
      <c r="Z34" s="35"/>
      <c r="AA34" s="357"/>
      <c r="AB34" s="357"/>
      <c r="AC34" s="357"/>
      <c r="AD34" s="357"/>
      <c r="AE34" s="357"/>
      <c r="AF34" s="357"/>
      <c r="AG34" s="357"/>
      <c r="AH34" s="357"/>
      <c r="AI34" s="357"/>
      <c r="AJ34" s="357"/>
      <c r="AK34" s="357"/>
      <c r="AL34" s="357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9"/>
      <c r="AZ34" s="359"/>
      <c r="BA34" s="359"/>
      <c r="BB34" s="360"/>
      <c r="BC34" s="361"/>
      <c r="BD34" s="362"/>
      <c r="BE34" s="363"/>
      <c r="BF34" s="364"/>
    </row>
    <row r="35" spans="1:58" ht="12.75" customHeight="1">
      <c r="A35" s="353"/>
      <c r="B35" s="458"/>
      <c r="C35" s="35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6"/>
      <c r="O35" s="36"/>
      <c r="P35" s="356"/>
      <c r="Q35" s="356"/>
      <c r="R35" s="355"/>
      <c r="S35" s="35"/>
      <c r="T35" s="35"/>
      <c r="U35" s="35"/>
      <c r="V35" s="35"/>
      <c r="W35" s="35"/>
      <c r="X35" s="35"/>
      <c r="Y35" s="35"/>
      <c r="Z35" s="35"/>
      <c r="AA35" s="357"/>
      <c r="AB35" s="357"/>
      <c r="AC35" s="357"/>
      <c r="AD35" s="357"/>
      <c r="AE35" s="357"/>
      <c r="AF35" s="357"/>
      <c r="AG35" s="357"/>
      <c r="AH35" s="357"/>
      <c r="AI35" s="357"/>
      <c r="AJ35" s="357"/>
      <c r="AK35" s="357"/>
      <c r="AL35" s="357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8"/>
      <c r="AX35" s="358"/>
      <c r="AY35" s="359"/>
      <c r="AZ35" s="359"/>
      <c r="BA35" s="359"/>
      <c r="BB35" s="360"/>
      <c r="BC35" s="361"/>
      <c r="BD35" s="362"/>
      <c r="BE35" s="363"/>
      <c r="BF35" s="364"/>
    </row>
    <row r="36" spans="1:58" ht="12.75" customHeight="1">
      <c r="A36" s="353"/>
      <c r="B36" s="458"/>
      <c r="C36" s="35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81"/>
      <c r="O36" s="381"/>
      <c r="P36" s="356"/>
      <c r="Q36" s="356"/>
      <c r="R36" s="355"/>
      <c r="S36" s="35"/>
      <c r="T36" s="35"/>
      <c r="U36" s="35"/>
      <c r="V36" s="35"/>
      <c r="W36" s="35"/>
      <c r="X36" s="35"/>
      <c r="Y36" s="35"/>
      <c r="Z36" s="35"/>
      <c r="AA36" s="357"/>
      <c r="AB36" s="357"/>
      <c r="AC36" s="357"/>
      <c r="AD36" s="357"/>
      <c r="AE36" s="357"/>
      <c r="AF36" s="357"/>
      <c r="AG36" s="357"/>
      <c r="AH36" s="357"/>
      <c r="AI36" s="357"/>
      <c r="AJ36" s="357"/>
      <c r="AK36" s="357"/>
      <c r="AL36" s="357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9"/>
      <c r="AZ36" s="359"/>
      <c r="BA36" s="359"/>
      <c r="BB36" s="360"/>
      <c r="BC36" s="361"/>
      <c r="BD36" s="362"/>
      <c r="BE36" s="363"/>
      <c r="BF36" s="364"/>
    </row>
    <row r="37" spans="1:58" ht="12.75" customHeight="1">
      <c r="A37" s="385" t="s">
        <v>29</v>
      </c>
      <c r="B37" s="445"/>
      <c r="C37" s="371">
        <f t="shared" ref="C37:O37" si="35">SUM(C26:C36)</f>
        <v>0</v>
      </c>
      <c r="D37" s="52">
        <f t="shared" si="35"/>
        <v>0</v>
      </c>
      <c r="E37" s="52">
        <f t="shared" si="35"/>
        <v>0</v>
      </c>
      <c r="F37" s="52">
        <f t="shared" si="35"/>
        <v>0</v>
      </c>
      <c r="G37" s="52">
        <f t="shared" si="35"/>
        <v>0</v>
      </c>
      <c r="H37" s="52">
        <f t="shared" si="35"/>
        <v>0</v>
      </c>
      <c r="I37" s="52">
        <f t="shared" si="35"/>
        <v>0</v>
      </c>
      <c r="J37" s="52">
        <f t="shared" si="35"/>
        <v>19525</v>
      </c>
      <c r="K37" s="52">
        <f t="shared" si="35"/>
        <v>22300</v>
      </c>
      <c r="L37" s="52">
        <f t="shared" si="35"/>
        <v>25075</v>
      </c>
      <c r="M37" s="52">
        <f t="shared" si="35"/>
        <v>27850</v>
      </c>
      <c r="N37" s="52">
        <f t="shared" si="35"/>
        <v>30625</v>
      </c>
      <c r="O37" s="52">
        <f t="shared" si="35"/>
        <v>33400</v>
      </c>
      <c r="P37" s="369"/>
      <c r="Q37" s="369">
        <f>SUM(Q26:Q36)</f>
        <v>125375</v>
      </c>
      <c r="R37" s="371"/>
      <c r="S37" s="52"/>
      <c r="T37" s="52"/>
      <c r="U37" s="52"/>
      <c r="V37" s="52"/>
      <c r="W37" s="52"/>
      <c r="X37" s="52"/>
      <c r="Y37" s="52"/>
      <c r="Z37" s="52"/>
      <c r="AA37" s="372">
        <f t="shared" ref="AA37:AX37" si="36">SUM(AA26:AA36)</f>
        <v>0</v>
      </c>
      <c r="AB37" s="372">
        <f t="shared" si="36"/>
        <v>0</v>
      </c>
      <c r="AC37" s="372">
        <f t="shared" si="36"/>
        <v>0</v>
      </c>
      <c r="AD37" s="372">
        <f t="shared" si="36"/>
        <v>0</v>
      </c>
      <c r="AE37" s="372">
        <f t="shared" si="36"/>
        <v>0</v>
      </c>
      <c r="AF37" s="372">
        <f t="shared" si="36"/>
        <v>0</v>
      </c>
      <c r="AG37" s="372">
        <f t="shared" si="36"/>
        <v>0</v>
      </c>
      <c r="AH37" s="372">
        <f t="shared" si="36"/>
        <v>0</v>
      </c>
      <c r="AI37" s="372">
        <f t="shared" si="36"/>
        <v>0</v>
      </c>
      <c r="AJ37" s="372">
        <f t="shared" si="36"/>
        <v>0</v>
      </c>
      <c r="AK37" s="372">
        <f t="shared" si="36"/>
        <v>0</v>
      </c>
      <c r="AL37" s="372">
        <f t="shared" si="36"/>
        <v>0</v>
      </c>
      <c r="AM37" s="373">
        <f t="shared" si="36"/>
        <v>0</v>
      </c>
      <c r="AN37" s="373">
        <f t="shared" si="36"/>
        <v>0</v>
      </c>
      <c r="AO37" s="373">
        <f t="shared" si="36"/>
        <v>0</v>
      </c>
      <c r="AP37" s="373">
        <f t="shared" si="36"/>
        <v>0</v>
      </c>
      <c r="AQ37" s="373">
        <f t="shared" si="36"/>
        <v>0</v>
      </c>
      <c r="AR37" s="373">
        <f t="shared" si="36"/>
        <v>0</v>
      </c>
      <c r="AS37" s="373">
        <f t="shared" si="36"/>
        <v>0</v>
      </c>
      <c r="AT37" s="373">
        <f t="shared" si="36"/>
        <v>0</v>
      </c>
      <c r="AU37" s="373">
        <f t="shared" si="36"/>
        <v>0</v>
      </c>
      <c r="AV37" s="373">
        <f t="shared" si="36"/>
        <v>0</v>
      </c>
      <c r="AW37" s="373">
        <f t="shared" si="36"/>
        <v>0</v>
      </c>
      <c r="AX37" s="373">
        <f t="shared" si="36"/>
        <v>0</v>
      </c>
      <c r="AY37" s="374"/>
      <c r="AZ37" s="374"/>
      <c r="BA37" s="374"/>
      <c r="BB37" s="375">
        <f t="shared" ref="BB37:BD37" si="37">SUM(BB26:BB36)</f>
        <v>124125</v>
      </c>
      <c r="BC37" s="376" t="e">
        <f t="shared" ca="1" si="37"/>
        <v>#REF!</v>
      </c>
      <c r="BD37" s="377" t="e">
        <f t="shared" si="37"/>
        <v>#REF!</v>
      </c>
      <c r="BE37" s="378">
        <f t="shared" ref="BE37:BE46" si="38">SUM(C37)</f>
        <v>0</v>
      </c>
      <c r="BF37" s="364">
        <f t="shared" ref="BF37:BF46" si="39">SUM(D37:O37)</f>
        <v>158775</v>
      </c>
    </row>
    <row r="38" spans="1:58" ht="12.75" customHeight="1">
      <c r="A38" s="19"/>
      <c r="B38" s="464"/>
      <c r="C38" s="386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402"/>
      <c r="Q38" s="402"/>
      <c r="R38" s="386"/>
      <c r="S38" s="68"/>
      <c r="T38" s="68"/>
      <c r="U38" s="68"/>
      <c r="V38" s="68"/>
      <c r="W38" s="68"/>
      <c r="X38" s="68"/>
      <c r="Y38" s="68"/>
      <c r="Z38" s="68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15"/>
      <c r="AZ38" s="415"/>
      <c r="BA38" s="415"/>
      <c r="BB38" s="416"/>
      <c r="BC38" s="407"/>
      <c r="BD38" s="408"/>
      <c r="BE38" s="409">
        <f t="shared" si="38"/>
        <v>0</v>
      </c>
      <c r="BF38" s="364">
        <f t="shared" si="39"/>
        <v>0</v>
      </c>
    </row>
    <row r="39" spans="1:58" ht="18.75" customHeight="1">
      <c r="A39" s="417" t="s">
        <v>30</v>
      </c>
      <c r="B39" s="468"/>
      <c r="C39" s="412">
        <f t="shared" ref="C39:O39" si="40">(C22)+(0)-(C37)+(0)-(0)</f>
        <v>0</v>
      </c>
      <c r="D39" s="413">
        <f t="shared" si="40"/>
        <v>0</v>
      </c>
      <c r="E39" s="413">
        <f t="shared" si="40"/>
        <v>0</v>
      </c>
      <c r="F39" s="413">
        <f t="shared" si="40"/>
        <v>0</v>
      </c>
      <c r="G39" s="413">
        <f t="shared" si="40"/>
        <v>0</v>
      </c>
      <c r="H39" s="413">
        <f t="shared" si="40"/>
        <v>0</v>
      </c>
      <c r="I39" s="413">
        <f t="shared" si="40"/>
        <v>-3000</v>
      </c>
      <c r="J39" s="413">
        <f t="shared" si="40"/>
        <v>-12525</v>
      </c>
      <c r="K39" s="413">
        <f t="shared" si="40"/>
        <v>-5300</v>
      </c>
      <c r="L39" s="413">
        <f t="shared" si="40"/>
        <v>1925</v>
      </c>
      <c r="M39" s="413">
        <f t="shared" si="40"/>
        <v>9150</v>
      </c>
      <c r="N39" s="413">
        <f t="shared" si="40"/>
        <v>16375</v>
      </c>
      <c r="O39" s="413" t="e">
        <f t="shared" si="40"/>
        <v>#REF!</v>
      </c>
      <c r="P39" s="393"/>
      <c r="Q39" s="414">
        <f>(Q22)+(0)-(Q37)+(0)-(0)</f>
        <v>6625</v>
      </c>
      <c r="R39" s="391"/>
      <c r="S39" s="59"/>
      <c r="T39" s="59"/>
      <c r="U39" s="59"/>
      <c r="V39" s="59"/>
      <c r="W39" s="59"/>
      <c r="X39" s="59"/>
      <c r="Y39" s="59"/>
      <c r="Z39" s="59"/>
      <c r="AA39" s="394" t="e">
        <f t="shared" ref="AA39:AX39" si="41">(AA22)+(0)-(AA37)+(0)-(0)</f>
        <v>#VALUE!</v>
      </c>
      <c r="AB39" s="394" t="e">
        <f t="shared" si="41"/>
        <v>#VALUE!</v>
      </c>
      <c r="AC39" s="394" t="e">
        <f t="shared" si="41"/>
        <v>#VALUE!</v>
      </c>
      <c r="AD39" s="394" t="e">
        <f t="shared" si="41"/>
        <v>#VALUE!</v>
      </c>
      <c r="AE39" s="394" t="e">
        <f t="shared" si="41"/>
        <v>#VALUE!</v>
      </c>
      <c r="AF39" s="394" t="e">
        <f t="shared" si="41"/>
        <v>#VALUE!</v>
      </c>
      <c r="AG39" s="394" t="e">
        <f t="shared" si="41"/>
        <v>#VALUE!</v>
      </c>
      <c r="AH39" s="394" t="e">
        <f t="shared" si="41"/>
        <v>#VALUE!</v>
      </c>
      <c r="AI39" s="394" t="e">
        <f t="shared" si="41"/>
        <v>#VALUE!</v>
      </c>
      <c r="AJ39" s="394" t="e">
        <f t="shared" si="41"/>
        <v>#VALUE!</v>
      </c>
      <c r="AK39" s="394" t="e">
        <f t="shared" si="41"/>
        <v>#VALUE!</v>
      </c>
      <c r="AL39" s="394" t="e">
        <f t="shared" si="41"/>
        <v>#VALUE!</v>
      </c>
      <c r="AM39" s="395" t="e">
        <f t="shared" si="41"/>
        <v>#VALUE!</v>
      </c>
      <c r="AN39" s="395" t="e">
        <f t="shared" si="41"/>
        <v>#VALUE!</v>
      </c>
      <c r="AO39" s="395" t="e">
        <f t="shared" si="41"/>
        <v>#VALUE!</v>
      </c>
      <c r="AP39" s="395" t="e">
        <f t="shared" si="41"/>
        <v>#VALUE!</v>
      </c>
      <c r="AQ39" s="395" t="e">
        <f t="shared" si="41"/>
        <v>#VALUE!</v>
      </c>
      <c r="AR39" s="395" t="e">
        <f t="shared" si="41"/>
        <v>#VALUE!</v>
      </c>
      <c r="AS39" s="395" t="e">
        <f t="shared" si="41"/>
        <v>#VALUE!</v>
      </c>
      <c r="AT39" s="395" t="e">
        <f t="shared" si="41"/>
        <v>#VALUE!</v>
      </c>
      <c r="AU39" s="395" t="e">
        <f t="shared" si="41"/>
        <v>#VALUE!</v>
      </c>
      <c r="AV39" s="395" t="e">
        <f t="shared" si="41"/>
        <v>#VALUE!</v>
      </c>
      <c r="AW39" s="395" t="e">
        <f t="shared" si="41"/>
        <v>#VALUE!</v>
      </c>
      <c r="AX39" s="395" t="e">
        <f t="shared" si="41"/>
        <v>#VALUE!</v>
      </c>
      <c r="AY39" s="396"/>
      <c r="AZ39" s="396"/>
      <c r="BA39" s="396"/>
      <c r="BB39" s="397" t="e">
        <f t="shared" ref="BB39:BD39" si="42">(BB22)+(0)-(BB37)+(0)-(0)</f>
        <v>#REF!</v>
      </c>
      <c r="BC39" s="398" t="e">
        <f t="shared" ca="1" si="42"/>
        <v>#REF!</v>
      </c>
      <c r="BD39" s="399" t="e">
        <f t="shared" si="42"/>
        <v>#REF!</v>
      </c>
      <c r="BE39" s="400">
        <f t="shared" si="38"/>
        <v>0</v>
      </c>
      <c r="BF39" s="364" t="e">
        <f t="shared" si="39"/>
        <v>#REF!</v>
      </c>
    </row>
    <row r="40" spans="1:58" ht="12.75" customHeight="1">
      <c r="A40" s="2"/>
      <c r="B40" s="469"/>
      <c r="C40" s="420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421"/>
      <c r="Q40" s="421"/>
      <c r="R40" s="420"/>
      <c r="S40" s="78"/>
      <c r="T40" s="78"/>
      <c r="U40" s="78"/>
      <c r="V40" s="78"/>
      <c r="W40" s="78"/>
      <c r="X40" s="78"/>
      <c r="Y40" s="78"/>
      <c r="Z40" s="78"/>
      <c r="AA40" s="422"/>
      <c r="AB40" s="422"/>
      <c r="AC40" s="422"/>
      <c r="AD40" s="422"/>
      <c r="AE40" s="422"/>
      <c r="AF40" s="422"/>
      <c r="AG40" s="422"/>
      <c r="AH40" s="422"/>
      <c r="AI40" s="422"/>
      <c r="AJ40" s="422"/>
      <c r="AK40" s="422"/>
      <c r="AL40" s="422"/>
      <c r="AM40" s="423"/>
      <c r="AN40" s="423"/>
      <c r="AO40" s="423"/>
      <c r="AP40" s="423"/>
      <c r="AQ40" s="423"/>
      <c r="AR40" s="423"/>
      <c r="AS40" s="423"/>
      <c r="AT40" s="423"/>
      <c r="AU40" s="423"/>
      <c r="AV40" s="423"/>
      <c r="AW40" s="423"/>
      <c r="AX40" s="423"/>
      <c r="AY40" s="424"/>
      <c r="AZ40" s="424"/>
      <c r="BA40" s="424"/>
      <c r="BB40" s="425"/>
      <c r="BC40" s="426"/>
      <c r="BD40" s="427"/>
      <c r="BE40" s="428">
        <f t="shared" si="38"/>
        <v>0</v>
      </c>
      <c r="BF40" s="364">
        <f t="shared" si="39"/>
        <v>0</v>
      </c>
    </row>
    <row r="41" spans="1:58" ht="12.75" customHeight="1">
      <c r="A41" s="429" t="s">
        <v>31</v>
      </c>
      <c r="B41" s="470"/>
      <c r="C41" s="420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421"/>
      <c r="Q41" s="421"/>
      <c r="R41" s="420"/>
      <c r="S41" s="78"/>
      <c r="T41" s="78"/>
      <c r="U41" s="78"/>
      <c r="V41" s="78"/>
      <c r="W41" s="78"/>
      <c r="X41" s="78"/>
      <c r="Y41" s="78"/>
      <c r="Z41" s="78"/>
      <c r="AA41" s="422"/>
      <c r="AB41" s="422"/>
      <c r="AC41" s="422"/>
      <c r="AD41" s="422"/>
      <c r="AE41" s="422"/>
      <c r="AF41" s="422"/>
      <c r="AG41" s="422"/>
      <c r="AH41" s="422"/>
      <c r="AI41" s="422"/>
      <c r="AJ41" s="422"/>
      <c r="AK41" s="422"/>
      <c r="AL41" s="422"/>
      <c r="AM41" s="423"/>
      <c r="AN41" s="423"/>
      <c r="AO41" s="423"/>
      <c r="AP41" s="423"/>
      <c r="AQ41" s="423"/>
      <c r="AR41" s="423"/>
      <c r="AS41" s="423"/>
      <c r="AT41" s="423"/>
      <c r="AU41" s="423"/>
      <c r="AV41" s="423"/>
      <c r="AW41" s="423"/>
      <c r="AX41" s="423"/>
      <c r="AY41" s="424"/>
      <c r="AZ41" s="424"/>
      <c r="BA41" s="424"/>
      <c r="BB41" s="425"/>
      <c r="BC41" s="426"/>
      <c r="BD41" s="427"/>
      <c r="BE41" s="428">
        <f t="shared" si="38"/>
        <v>0</v>
      </c>
      <c r="BF41" s="364">
        <f t="shared" si="39"/>
        <v>0</v>
      </c>
    </row>
    <row r="42" spans="1:58" ht="12.75" customHeight="1">
      <c r="A42" s="431"/>
      <c r="B42" s="471"/>
      <c r="C42" s="35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6"/>
      <c r="Q42" s="356">
        <f t="shared" ref="Q42:Q43" si="43">SUM(D42:O42)</f>
        <v>0</v>
      </c>
      <c r="R42" s="355"/>
      <c r="S42" s="35"/>
      <c r="T42" s="35"/>
      <c r="U42" s="35"/>
      <c r="V42" s="35"/>
      <c r="W42" s="35"/>
      <c r="X42" s="35"/>
      <c r="Y42" s="35"/>
      <c r="Z42" s="35"/>
      <c r="AA42" s="357" t="s">
        <v>267</v>
      </c>
      <c r="AB42" s="357" t="s">
        <v>267</v>
      </c>
      <c r="AC42" s="357" t="s">
        <v>267</v>
      </c>
      <c r="AD42" s="357" t="s">
        <v>267</v>
      </c>
      <c r="AE42" s="357" t="s">
        <v>267</v>
      </c>
      <c r="AF42" s="357" t="s">
        <v>267</v>
      </c>
      <c r="AG42" s="357" t="s">
        <v>267</v>
      </c>
      <c r="AH42" s="357" t="s">
        <v>267</v>
      </c>
      <c r="AI42" s="357" t="s">
        <v>267</v>
      </c>
      <c r="AJ42" s="357" t="s">
        <v>267</v>
      </c>
      <c r="AK42" s="357" t="s">
        <v>267</v>
      </c>
      <c r="AL42" s="357" t="s">
        <v>267</v>
      </c>
      <c r="AM42" s="358" t="s">
        <v>267</v>
      </c>
      <c r="AN42" s="358" t="s">
        <v>267</v>
      </c>
      <c r="AO42" s="358" t="s">
        <v>267</v>
      </c>
      <c r="AP42" s="358" t="s">
        <v>267</v>
      </c>
      <c r="AQ42" s="358" t="s">
        <v>267</v>
      </c>
      <c r="AR42" s="358" t="s">
        <v>267</v>
      </c>
      <c r="AS42" s="358" t="s">
        <v>267</v>
      </c>
      <c r="AT42" s="358" t="s">
        <v>267</v>
      </c>
      <c r="AU42" s="358" t="s">
        <v>267</v>
      </c>
      <c r="AV42" s="358" t="s">
        <v>267</v>
      </c>
      <c r="AW42" s="358" t="s">
        <v>267</v>
      </c>
      <c r="AX42" s="358" t="s">
        <v>267</v>
      </c>
      <c r="AY42" s="359"/>
      <c r="AZ42" s="359"/>
      <c r="BA42" s="359"/>
      <c r="BB42" s="360">
        <f t="shared" ref="BB42:BB43" si="44">SUM(D42:O42)</f>
        <v>0</v>
      </c>
      <c r="BC42" s="361" t="e">
        <f t="shared" ref="BC42:BC43" ca="1" si="45">SUM(OFFSET(#REF!,0,0,1,MATCH(#REF!,#REF!,0)))</f>
        <v>#REF!</v>
      </c>
      <c r="BD42" s="362" t="e">
        <f t="shared" ref="BD42:BD43" si="46">SUM(#REF!)</f>
        <v>#REF!</v>
      </c>
      <c r="BE42" s="428">
        <f t="shared" si="38"/>
        <v>0</v>
      </c>
      <c r="BF42" s="364">
        <f t="shared" si="39"/>
        <v>0</v>
      </c>
    </row>
    <row r="43" spans="1:58" ht="12.75" customHeight="1">
      <c r="A43" s="383" t="s">
        <v>32</v>
      </c>
      <c r="B43" s="464"/>
      <c r="C43" s="35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6"/>
      <c r="Q43" s="356">
        <f t="shared" si="43"/>
        <v>0</v>
      </c>
      <c r="R43" s="355"/>
      <c r="S43" s="35"/>
      <c r="T43" s="35"/>
      <c r="U43" s="35"/>
      <c r="V43" s="35"/>
      <c r="W43" s="35"/>
      <c r="X43" s="35"/>
      <c r="Y43" s="35"/>
      <c r="Z43" s="35"/>
      <c r="AA43" s="357">
        <v>0</v>
      </c>
      <c r="AB43" s="357">
        <v>0</v>
      </c>
      <c r="AC43" s="357">
        <v>0</v>
      </c>
      <c r="AD43" s="357">
        <v>0</v>
      </c>
      <c r="AE43" s="357">
        <v>0</v>
      </c>
      <c r="AF43" s="357">
        <v>0</v>
      </c>
      <c r="AG43" s="357">
        <v>0</v>
      </c>
      <c r="AH43" s="357">
        <v>0</v>
      </c>
      <c r="AI43" s="357">
        <v>0</v>
      </c>
      <c r="AJ43" s="357">
        <v>0</v>
      </c>
      <c r="AK43" s="357">
        <v>0</v>
      </c>
      <c r="AL43" s="357">
        <v>0</v>
      </c>
      <c r="AM43" s="358">
        <v>0</v>
      </c>
      <c r="AN43" s="358">
        <v>0</v>
      </c>
      <c r="AO43" s="358">
        <v>0</v>
      </c>
      <c r="AP43" s="358">
        <v>0</v>
      </c>
      <c r="AQ43" s="358">
        <v>0</v>
      </c>
      <c r="AR43" s="358">
        <v>0</v>
      </c>
      <c r="AS43" s="358">
        <v>0</v>
      </c>
      <c r="AT43" s="358">
        <v>0</v>
      </c>
      <c r="AU43" s="358">
        <v>0</v>
      </c>
      <c r="AV43" s="358">
        <v>0</v>
      </c>
      <c r="AW43" s="358">
        <v>0</v>
      </c>
      <c r="AX43" s="358">
        <v>0</v>
      </c>
      <c r="AY43" s="359"/>
      <c r="AZ43" s="359"/>
      <c r="BA43" s="359"/>
      <c r="BB43" s="360">
        <f t="shared" si="44"/>
        <v>0</v>
      </c>
      <c r="BC43" s="361" t="e">
        <f t="shared" ca="1" si="45"/>
        <v>#REF!</v>
      </c>
      <c r="BD43" s="362" t="e">
        <f t="shared" si="46"/>
        <v>#REF!</v>
      </c>
      <c r="BE43" s="363">
        <f t="shared" si="38"/>
        <v>0</v>
      </c>
      <c r="BF43" s="364">
        <f t="shared" si="39"/>
        <v>0</v>
      </c>
    </row>
    <row r="44" spans="1:58" ht="12.75" customHeight="1">
      <c r="A44" s="433" t="s">
        <v>33</v>
      </c>
      <c r="B44" s="472"/>
      <c r="C44" s="371">
        <f t="shared" ref="C44:O44" si="47">SUM(C42:C43)</f>
        <v>0</v>
      </c>
      <c r="D44" s="52">
        <f t="shared" si="47"/>
        <v>0</v>
      </c>
      <c r="E44" s="52">
        <f t="shared" si="47"/>
        <v>0</v>
      </c>
      <c r="F44" s="52">
        <f t="shared" si="47"/>
        <v>0</v>
      </c>
      <c r="G44" s="52">
        <f t="shared" si="47"/>
        <v>0</v>
      </c>
      <c r="H44" s="52">
        <f t="shared" si="47"/>
        <v>0</v>
      </c>
      <c r="I44" s="52">
        <f t="shared" si="47"/>
        <v>0</v>
      </c>
      <c r="J44" s="52">
        <f t="shared" si="47"/>
        <v>0</v>
      </c>
      <c r="K44" s="52">
        <f t="shared" si="47"/>
        <v>0</v>
      </c>
      <c r="L44" s="52">
        <f t="shared" si="47"/>
        <v>0</v>
      </c>
      <c r="M44" s="52">
        <f t="shared" si="47"/>
        <v>0</v>
      </c>
      <c r="N44" s="52">
        <f t="shared" si="47"/>
        <v>0</v>
      </c>
      <c r="O44" s="52">
        <f t="shared" si="47"/>
        <v>0</v>
      </c>
      <c r="P44" s="369"/>
      <c r="Q44" s="369">
        <f>SUM(Q42:Q43)</f>
        <v>0</v>
      </c>
      <c r="R44" s="371"/>
      <c r="S44" s="52"/>
      <c r="T44" s="52"/>
      <c r="U44" s="52"/>
      <c r="V44" s="52"/>
      <c r="W44" s="52"/>
      <c r="X44" s="52"/>
      <c r="Y44" s="52"/>
      <c r="Z44" s="52"/>
      <c r="AA44" s="372">
        <f t="shared" ref="AA44:AX44" si="48">SUM(AA42:AA43)</f>
        <v>0</v>
      </c>
      <c r="AB44" s="372">
        <f t="shared" si="48"/>
        <v>0</v>
      </c>
      <c r="AC44" s="372">
        <f t="shared" si="48"/>
        <v>0</v>
      </c>
      <c r="AD44" s="372">
        <f t="shared" si="48"/>
        <v>0</v>
      </c>
      <c r="AE44" s="372">
        <f t="shared" si="48"/>
        <v>0</v>
      </c>
      <c r="AF44" s="372">
        <f t="shared" si="48"/>
        <v>0</v>
      </c>
      <c r="AG44" s="372">
        <f t="shared" si="48"/>
        <v>0</v>
      </c>
      <c r="AH44" s="372">
        <f t="shared" si="48"/>
        <v>0</v>
      </c>
      <c r="AI44" s="372">
        <f t="shared" si="48"/>
        <v>0</v>
      </c>
      <c r="AJ44" s="372">
        <f t="shared" si="48"/>
        <v>0</v>
      </c>
      <c r="AK44" s="372">
        <f t="shared" si="48"/>
        <v>0</v>
      </c>
      <c r="AL44" s="372">
        <f t="shared" si="48"/>
        <v>0</v>
      </c>
      <c r="AM44" s="373">
        <f t="shared" si="48"/>
        <v>0</v>
      </c>
      <c r="AN44" s="373">
        <f t="shared" si="48"/>
        <v>0</v>
      </c>
      <c r="AO44" s="373">
        <f t="shared" si="48"/>
        <v>0</v>
      </c>
      <c r="AP44" s="373">
        <f t="shared" si="48"/>
        <v>0</v>
      </c>
      <c r="AQ44" s="373">
        <f t="shared" si="48"/>
        <v>0</v>
      </c>
      <c r="AR44" s="373">
        <f t="shared" si="48"/>
        <v>0</v>
      </c>
      <c r="AS44" s="373">
        <f t="shared" si="48"/>
        <v>0</v>
      </c>
      <c r="AT44" s="373">
        <f t="shared" si="48"/>
        <v>0</v>
      </c>
      <c r="AU44" s="373">
        <f t="shared" si="48"/>
        <v>0</v>
      </c>
      <c r="AV44" s="373">
        <f t="shared" si="48"/>
        <v>0</v>
      </c>
      <c r="AW44" s="373">
        <f t="shared" si="48"/>
        <v>0</v>
      </c>
      <c r="AX44" s="373">
        <f t="shared" si="48"/>
        <v>0</v>
      </c>
      <c r="AY44" s="374"/>
      <c r="AZ44" s="374"/>
      <c r="BA44" s="374"/>
      <c r="BB44" s="375">
        <f t="shared" ref="BB44:BD44" si="49">SUM(BB42:BB43)</f>
        <v>0</v>
      </c>
      <c r="BC44" s="376" t="e">
        <f t="shared" ca="1" si="49"/>
        <v>#REF!</v>
      </c>
      <c r="BD44" s="377" t="e">
        <f t="shared" si="49"/>
        <v>#REF!</v>
      </c>
      <c r="BE44" s="378">
        <f t="shared" si="38"/>
        <v>0</v>
      </c>
      <c r="BF44" s="364">
        <f t="shared" si="39"/>
        <v>0</v>
      </c>
    </row>
    <row r="45" spans="1:58" ht="12.75" customHeight="1">
      <c r="A45" s="2"/>
      <c r="B45" s="469"/>
      <c r="C45" s="42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421"/>
      <c r="Q45" s="421"/>
      <c r="R45" s="420"/>
      <c r="S45" s="78"/>
      <c r="T45" s="78"/>
      <c r="U45" s="78"/>
      <c r="V45" s="78"/>
      <c r="W45" s="78"/>
      <c r="X45" s="78"/>
      <c r="Y45" s="78"/>
      <c r="Z45" s="78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3"/>
      <c r="AN45" s="423"/>
      <c r="AO45" s="423"/>
      <c r="AP45" s="423"/>
      <c r="AQ45" s="423"/>
      <c r="AR45" s="423"/>
      <c r="AS45" s="423"/>
      <c r="AT45" s="423"/>
      <c r="AU45" s="423"/>
      <c r="AV45" s="423"/>
      <c r="AW45" s="423"/>
      <c r="AX45" s="423"/>
      <c r="AY45" s="424"/>
      <c r="AZ45" s="424"/>
      <c r="BA45" s="424"/>
      <c r="BB45" s="425"/>
      <c r="BC45" s="426"/>
      <c r="BD45" s="427"/>
      <c r="BE45" s="428">
        <f t="shared" si="38"/>
        <v>0</v>
      </c>
      <c r="BF45" s="364">
        <f t="shared" si="39"/>
        <v>0</v>
      </c>
    </row>
    <row r="46" spans="1:58" ht="16.5" customHeight="1">
      <c r="A46" s="417" t="s">
        <v>34</v>
      </c>
      <c r="B46" s="468"/>
      <c r="C46" s="412">
        <f t="shared" ref="C46:O46" si="50">C39-C44</f>
        <v>0</v>
      </c>
      <c r="D46" s="413">
        <f t="shared" si="50"/>
        <v>0</v>
      </c>
      <c r="E46" s="413">
        <f t="shared" si="50"/>
        <v>0</v>
      </c>
      <c r="F46" s="413">
        <f t="shared" si="50"/>
        <v>0</v>
      </c>
      <c r="G46" s="413">
        <f t="shared" si="50"/>
        <v>0</v>
      </c>
      <c r="H46" s="413">
        <f t="shared" si="50"/>
        <v>0</v>
      </c>
      <c r="I46" s="413">
        <f t="shared" si="50"/>
        <v>-3000</v>
      </c>
      <c r="J46" s="413">
        <f t="shared" si="50"/>
        <v>-12525</v>
      </c>
      <c r="K46" s="413">
        <f t="shared" si="50"/>
        <v>-5300</v>
      </c>
      <c r="L46" s="413">
        <f t="shared" si="50"/>
        <v>1925</v>
      </c>
      <c r="M46" s="413">
        <f t="shared" si="50"/>
        <v>9150</v>
      </c>
      <c r="N46" s="413">
        <f t="shared" si="50"/>
        <v>16375</v>
      </c>
      <c r="O46" s="413" t="e">
        <f t="shared" si="50"/>
        <v>#REF!</v>
      </c>
      <c r="P46" s="393"/>
      <c r="Q46" s="414">
        <f>Q39-Q44</f>
        <v>6625</v>
      </c>
      <c r="R46" s="391"/>
      <c r="S46" s="59"/>
      <c r="T46" s="59"/>
      <c r="U46" s="59"/>
      <c r="V46" s="59"/>
      <c r="W46" s="59"/>
      <c r="X46" s="59"/>
      <c r="Y46" s="59"/>
      <c r="Z46" s="59"/>
      <c r="AA46" s="394" t="e">
        <f t="shared" ref="AA46:AX46" si="51">AA39-AA44</f>
        <v>#VALUE!</v>
      </c>
      <c r="AB46" s="394" t="e">
        <f t="shared" si="51"/>
        <v>#VALUE!</v>
      </c>
      <c r="AC46" s="394" t="e">
        <f t="shared" si="51"/>
        <v>#VALUE!</v>
      </c>
      <c r="AD46" s="394" t="e">
        <f t="shared" si="51"/>
        <v>#VALUE!</v>
      </c>
      <c r="AE46" s="394" t="e">
        <f t="shared" si="51"/>
        <v>#VALUE!</v>
      </c>
      <c r="AF46" s="394" t="e">
        <f t="shared" si="51"/>
        <v>#VALUE!</v>
      </c>
      <c r="AG46" s="394" t="e">
        <f t="shared" si="51"/>
        <v>#VALUE!</v>
      </c>
      <c r="AH46" s="394" t="e">
        <f t="shared" si="51"/>
        <v>#VALUE!</v>
      </c>
      <c r="AI46" s="394" t="e">
        <f t="shared" si="51"/>
        <v>#VALUE!</v>
      </c>
      <c r="AJ46" s="394" t="e">
        <f t="shared" si="51"/>
        <v>#VALUE!</v>
      </c>
      <c r="AK46" s="394" t="e">
        <f t="shared" si="51"/>
        <v>#VALUE!</v>
      </c>
      <c r="AL46" s="394" t="e">
        <f t="shared" si="51"/>
        <v>#VALUE!</v>
      </c>
      <c r="AM46" s="395" t="e">
        <f t="shared" si="51"/>
        <v>#VALUE!</v>
      </c>
      <c r="AN46" s="395" t="e">
        <f t="shared" si="51"/>
        <v>#VALUE!</v>
      </c>
      <c r="AO46" s="395" t="e">
        <f t="shared" si="51"/>
        <v>#VALUE!</v>
      </c>
      <c r="AP46" s="395" t="e">
        <f t="shared" si="51"/>
        <v>#VALUE!</v>
      </c>
      <c r="AQ46" s="395" t="e">
        <f t="shared" si="51"/>
        <v>#VALUE!</v>
      </c>
      <c r="AR46" s="395" t="e">
        <f t="shared" si="51"/>
        <v>#VALUE!</v>
      </c>
      <c r="AS46" s="395" t="e">
        <f t="shared" si="51"/>
        <v>#VALUE!</v>
      </c>
      <c r="AT46" s="395" t="e">
        <f t="shared" si="51"/>
        <v>#VALUE!</v>
      </c>
      <c r="AU46" s="395" t="e">
        <f t="shared" si="51"/>
        <v>#VALUE!</v>
      </c>
      <c r="AV46" s="395" t="e">
        <f t="shared" si="51"/>
        <v>#VALUE!</v>
      </c>
      <c r="AW46" s="395" t="e">
        <f t="shared" si="51"/>
        <v>#VALUE!</v>
      </c>
      <c r="AX46" s="395" t="e">
        <f t="shared" si="51"/>
        <v>#VALUE!</v>
      </c>
      <c r="AY46" s="396"/>
      <c r="AZ46" s="396"/>
      <c r="BA46" s="396"/>
      <c r="BB46" s="397" t="e">
        <f t="shared" ref="BB46:BD46" si="52">BB39-BB44</f>
        <v>#REF!</v>
      </c>
      <c r="BC46" s="398" t="e">
        <f t="shared" ca="1" si="52"/>
        <v>#REF!</v>
      </c>
      <c r="BD46" s="399" t="e">
        <f t="shared" si="52"/>
        <v>#REF!</v>
      </c>
      <c r="BE46" s="400">
        <f t="shared" si="38"/>
        <v>0</v>
      </c>
      <c r="BF46" s="364" t="e">
        <f t="shared" si="39"/>
        <v>#REF!</v>
      </c>
    </row>
    <row r="47" spans="1:58" ht="12.75" customHeight="1">
      <c r="A47" s="2"/>
      <c r="B47" s="473"/>
      <c r="P47" s="84"/>
      <c r="Q47" s="84"/>
      <c r="R47" s="2"/>
      <c r="S47" s="2"/>
      <c r="T47" s="2"/>
      <c r="U47" s="2"/>
      <c r="V47" s="2"/>
      <c r="W47" s="2"/>
      <c r="X47" s="2"/>
      <c r="Y47" s="2"/>
      <c r="Z47" s="2"/>
      <c r="BB47" s="118"/>
      <c r="BD47" s="436"/>
    </row>
    <row r="48" spans="1:58" ht="12.75" customHeight="1">
      <c r="A48" s="474" t="s">
        <v>236</v>
      </c>
      <c r="B48" s="473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86"/>
      <c r="Q48" s="86"/>
      <c r="R48" s="26"/>
      <c r="S48" s="26"/>
      <c r="T48" s="26"/>
      <c r="U48" s="26"/>
      <c r="V48" s="26"/>
      <c r="W48" s="26"/>
      <c r="X48" s="26"/>
      <c r="Y48" s="26"/>
      <c r="Z48" s="26"/>
      <c r="AA48" s="436"/>
      <c r="AB48" s="436"/>
      <c r="AC48" s="436"/>
      <c r="AD48" s="436"/>
      <c r="AE48" s="436"/>
      <c r="AF48" s="436"/>
      <c r="AG48" s="436"/>
      <c r="AH48" s="436"/>
      <c r="AI48" s="436"/>
      <c r="AJ48" s="436"/>
      <c r="AK48" s="436"/>
      <c r="AL48" s="436"/>
      <c r="AM48" s="436"/>
      <c r="AN48" s="436"/>
      <c r="AO48" s="436"/>
      <c r="AP48" s="436"/>
      <c r="AQ48" s="436"/>
      <c r="AR48" s="436"/>
      <c r="AS48" s="436"/>
      <c r="AT48" s="436"/>
      <c r="AU48" s="436"/>
      <c r="AV48" s="436"/>
      <c r="AW48" s="436"/>
      <c r="AX48" s="436"/>
      <c r="AY48" s="436"/>
      <c r="AZ48" s="436"/>
      <c r="BA48" s="436"/>
      <c r="BB48" s="437"/>
      <c r="BC48" s="436"/>
      <c r="BD48" s="436"/>
      <c r="BE48" s="436"/>
      <c r="BF48" s="436"/>
    </row>
    <row r="49" spans="1:58" ht="12.75" customHeight="1" outlineLevel="1">
      <c r="A49" s="76" t="s">
        <v>237</v>
      </c>
      <c r="B49" s="469"/>
      <c r="C49" s="76"/>
      <c r="D49" s="76"/>
      <c r="E49" s="76"/>
      <c r="F49" s="475"/>
      <c r="G49" s="76"/>
      <c r="H49" s="476">
        <v>-30000</v>
      </c>
      <c r="I49" s="476">
        <v>-30000</v>
      </c>
      <c r="J49" s="476">
        <v>-30000</v>
      </c>
      <c r="K49" s="476">
        <v>-30000</v>
      </c>
      <c r="L49" s="476">
        <v>-30000</v>
      </c>
      <c r="M49" s="476">
        <v>-30000</v>
      </c>
      <c r="N49" s="476">
        <v>-30000</v>
      </c>
      <c r="O49" s="476">
        <v>-30000</v>
      </c>
      <c r="P49" s="84"/>
      <c r="Q49" s="84"/>
      <c r="R49" s="2"/>
      <c r="S49" s="2"/>
      <c r="T49" s="2"/>
      <c r="U49" s="2"/>
      <c r="V49" s="2"/>
      <c r="W49" s="2"/>
      <c r="X49" s="2"/>
      <c r="Y49" s="2"/>
      <c r="Z49" s="2"/>
      <c r="BB49" s="118"/>
      <c r="BD49" s="439"/>
    </row>
    <row r="50" spans="1:58" ht="12.75" customHeight="1" outlineLevel="1">
      <c r="A50" s="76" t="s">
        <v>238</v>
      </c>
      <c r="B50" s="469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84"/>
      <c r="Q50" s="84"/>
      <c r="R50" s="2"/>
      <c r="S50" s="2"/>
      <c r="T50" s="2"/>
      <c r="U50" s="2"/>
      <c r="V50" s="2"/>
      <c r="W50" s="2"/>
      <c r="X50" s="2"/>
      <c r="Y50" s="2"/>
      <c r="Z50" s="2"/>
      <c r="BB50" s="118"/>
      <c r="BD50" s="439"/>
    </row>
    <row r="51" spans="1:58" ht="12.75" customHeight="1" outlineLevel="1">
      <c r="A51" s="76"/>
      <c r="B51" s="469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84"/>
      <c r="Q51" s="84"/>
      <c r="R51" s="2"/>
      <c r="S51" s="2"/>
      <c r="T51" s="2"/>
      <c r="U51" s="2"/>
      <c r="V51" s="2"/>
      <c r="W51" s="2"/>
      <c r="X51" s="2"/>
      <c r="Y51" s="2"/>
      <c r="Z51" s="2"/>
      <c r="BB51" s="118"/>
      <c r="BD51" s="439"/>
    </row>
    <row r="52" spans="1:58" ht="12.75" customHeight="1" outlineLevel="1">
      <c r="A52" s="477" t="s">
        <v>239</v>
      </c>
      <c r="B52" s="478"/>
      <c r="C52" s="477"/>
      <c r="D52" s="477"/>
      <c r="E52" s="477"/>
      <c r="F52" s="477"/>
      <c r="G52" s="477"/>
      <c r="H52" s="479">
        <f>H46+H49</f>
        <v>-30000</v>
      </c>
      <c r="I52" s="479">
        <f t="shared" ref="I52:O52" si="53">H52+I46+I49</f>
        <v>-63000</v>
      </c>
      <c r="J52" s="479">
        <f t="shared" si="53"/>
        <v>-105525</v>
      </c>
      <c r="K52" s="479">
        <f t="shared" si="53"/>
        <v>-140825</v>
      </c>
      <c r="L52" s="479">
        <f t="shared" si="53"/>
        <v>-168900</v>
      </c>
      <c r="M52" s="479">
        <f t="shared" si="53"/>
        <v>-189750</v>
      </c>
      <c r="N52" s="479">
        <f t="shared" si="53"/>
        <v>-203375</v>
      </c>
      <c r="O52" s="477" t="e">
        <f t="shared" si="53"/>
        <v>#REF!</v>
      </c>
      <c r="P52" s="480"/>
      <c r="Q52" s="480"/>
      <c r="R52" s="3"/>
      <c r="S52" s="3"/>
      <c r="T52" s="3"/>
      <c r="U52" s="3"/>
      <c r="V52" s="3"/>
      <c r="W52" s="3"/>
      <c r="X52" s="3"/>
      <c r="Y52" s="3"/>
      <c r="Z52" s="3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481"/>
      <c r="BE52" s="118"/>
      <c r="BF52" s="118"/>
    </row>
    <row r="53" spans="1:58" ht="12.75" customHeight="1">
      <c r="A53" s="2"/>
      <c r="B53" s="473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39"/>
    </row>
    <row r="54" spans="1:58" ht="12.75" customHeight="1">
      <c r="A54" s="2"/>
      <c r="B54" s="473"/>
      <c r="P54" s="84"/>
      <c r="Q54" s="84"/>
      <c r="R54" s="2"/>
      <c r="S54" s="2"/>
      <c r="T54" s="2"/>
      <c r="U54" s="2"/>
      <c r="V54" s="2"/>
      <c r="W54" s="2"/>
      <c r="X54" s="2"/>
      <c r="Y54" s="2"/>
      <c r="Z54" s="2"/>
      <c r="BB54" s="118"/>
      <c r="BD54" s="439"/>
    </row>
    <row r="55" spans="1:58" ht="12.75" customHeight="1">
      <c r="A55" s="2"/>
      <c r="B55" s="473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39"/>
    </row>
    <row r="56" spans="1:58" ht="12.75" customHeight="1">
      <c r="A56" s="2"/>
      <c r="B56" s="473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39"/>
    </row>
    <row r="57" spans="1:58" ht="12.75" customHeight="1">
      <c r="A57" s="2"/>
      <c r="B57" s="473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39"/>
    </row>
    <row r="58" spans="1:58" ht="12.75" customHeight="1">
      <c r="A58" s="2"/>
      <c r="B58" s="473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39"/>
    </row>
    <row r="59" spans="1:58" ht="12.75" customHeight="1">
      <c r="A59" s="2"/>
      <c r="B59" s="473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39"/>
    </row>
    <row r="60" spans="1:58" ht="12.75" customHeight="1">
      <c r="A60" s="2"/>
      <c r="B60" s="473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39"/>
    </row>
    <row r="61" spans="1:58" ht="12.75" customHeight="1">
      <c r="A61" s="2"/>
      <c r="B61" s="473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39"/>
    </row>
    <row r="62" spans="1:58" ht="12.75" customHeight="1">
      <c r="A62" s="2"/>
      <c r="B62" s="473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39"/>
    </row>
    <row r="63" spans="1:58" ht="12.75" customHeight="1">
      <c r="A63" s="2"/>
      <c r="B63" s="473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39"/>
    </row>
    <row r="64" spans="1:58" ht="12.75" customHeight="1">
      <c r="A64" s="2"/>
      <c r="B64" s="473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39"/>
    </row>
    <row r="65" spans="1:56" ht="12.75" customHeight="1">
      <c r="A65" s="2"/>
      <c r="B65" s="473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39"/>
    </row>
    <row r="66" spans="1:56" ht="12.75" customHeight="1">
      <c r="A66" s="2"/>
      <c r="B66" s="473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39"/>
    </row>
    <row r="67" spans="1:56" ht="12.75" customHeight="1">
      <c r="A67" s="2"/>
      <c r="B67" s="473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39"/>
    </row>
    <row r="68" spans="1:56" ht="12.75" customHeight="1">
      <c r="A68" s="2"/>
      <c r="B68" s="473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39"/>
    </row>
    <row r="69" spans="1:56" ht="12.75" customHeight="1">
      <c r="A69" s="2"/>
      <c r="B69" s="473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39"/>
    </row>
    <row r="70" spans="1:56" ht="12.75" customHeight="1">
      <c r="A70" s="2"/>
      <c r="B70" s="473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39"/>
    </row>
    <row r="71" spans="1:56" ht="12.75" customHeight="1">
      <c r="A71" s="2"/>
      <c r="B71" s="473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39"/>
    </row>
    <row r="72" spans="1:56" ht="12.75" customHeight="1">
      <c r="A72" s="2"/>
      <c r="B72" s="473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39"/>
    </row>
    <row r="73" spans="1:56" ht="12.75" customHeight="1">
      <c r="A73" s="2"/>
      <c r="B73" s="473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39"/>
    </row>
    <row r="74" spans="1:56" ht="12.75" customHeight="1">
      <c r="A74" s="2"/>
      <c r="B74" s="473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39"/>
    </row>
    <row r="75" spans="1:56" ht="12.75" customHeight="1">
      <c r="A75" s="2"/>
      <c r="B75" s="473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39"/>
    </row>
    <row r="76" spans="1:56" ht="12.75" customHeight="1">
      <c r="A76" s="2"/>
      <c r="B76" s="473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39"/>
    </row>
    <row r="77" spans="1:56" ht="12.75" customHeight="1">
      <c r="A77" s="2"/>
      <c r="B77" s="473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39"/>
    </row>
    <row r="78" spans="1:56" ht="12.75" customHeight="1">
      <c r="A78" s="2"/>
      <c r="B78" s="473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39"/>
    </row>
    <row r="79" spans="1:56" ht="12.75" customHeight="1">
      <c r="A79" s="2"/>
      <c r="B79" s="473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39"/>
    </row>
    <row r="80" spans="1:56" ht="12.75" customHeight="1">
      <c r="A80" s="2"/>
      <c r="B80" s="473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39"/>
    </row>
    <row r="81" spans="1:56" ht="12.75" customHeight="1">
      <c r="A81" s="2"/>
      <c r="B81" s="473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39"/>
    </row>
    <row r="82" spans="1:56" ht="12.75" customHeight="1">
      <c r="A82" s="2"/>
      <c r="B82" s="473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39"/>
    </row>
    <row r="83" spans="1:56" ht="12.75" customHeight="1">
      <c r="A83" s="2"/>
      <c r="B83" s="473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39"/>
    </row>
    <row r="84" spans="1:56" ht="12.75" customHeight="1">
      <c r="A84" s="2"/>
      <c r="B84" s="473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39"/>
    </row>
    <row r="85" spans="1:56" ht="12.75" customHeight="1">
      <c r="A85" s="2"/>
      <c r="B85" s="473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39"/>
    </row>
    <row r="86" spans="1:56" ht="12.75" customHeight="1">
      <c r="A86" s="2"/>
      <c r="B86" s="473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39"/>
    </row>
    <row r="87" spans="1:56" ht="12.75" customHeight="1">
      <c r="A87" s="2"/>
      <c r="B87" s="473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39"/>
    </row>
    <row r="88" spans="1:56" ht="12.75" customHeight="1">
      <c r="A88" s="2"/>
      <c r="B88" s="473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39"/>
    </row>
    <row r="89" spans="1:56" ht="12.75" customHeight="1">
      <c r="A89" s="2"/>
      <c r="B89" s="473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39"/>
    </row>
    <row r="90" spans="1:56" ht="12.75" customHeight="1">
      <c r="A90" s="2"/>
      <c r="B90" s="473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39"/>
    </row>
    <row r="91" spans="1:56" ht="12.75" customHeight="1">
      <c r="A91" s="2"/>
      <c r="B91" s="473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39"/>
    </row>
    <row r="92" spans="1:56" ht="12.75" customHeight="1">
      <c r="A92" s="2"/>
      <c r="B92" s="473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39"/>
    </row>
    <row r="93" spans="1:56" ht="12.75" customHeight="1">
      <c r="A93" s="2"/>
      <c r="B93" s="473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39"/>
    </row>
    <row r="94" spans="1:56" ht="12.75" customHeight="1">
      <c r="A94" s="2"/>
      <c r="B94" s="473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39"/>
    </row>
    <row r="95" spans="1:56" ht="12.75" customHeight="1">
      <c r="A95" s="2"/>
      <c r="B95" s="473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39"/>
    </row>
    <row r="96" spans="1:56" ht="12.75" customHeight="1">
      <c r="A96" s="2"/>
      <c r="B96" s="473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39"/>
    </row>
    <row r="97" spans="1:56" ht="12.75" customHeight="1">
      <c r="A97" s="2"/>
      <c r="B97" s="473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39"/>
    </row>
    <row r="98" spans="1:56" ht="12.75" customHeight="1">
      <c r="A98" s="2"/>
      <c r="B98" s="473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39"/>
    </row>
    <row r="99" spans="1:56" ht="12.75" customHeight="1">
      <c r="A99" s="2"/>
      <c r="B99" s="473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39"/>
    </row>
    <row r="100" spans="1:56" ht="12.75" customHeight="1">
      <c r="A100" s="2"/>
      <c r="B100" s="473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39"/>
    </row>
    <row r="101" spans="1:56" ht="12.75" customHeight="1">
      <c r="A101" s="2"/>
      <c r="B101" s="473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39"/>
    </row>
    <row r="102" spans="1:56" ht="12.75" customHeight="1">
      <c r="A102" s="2"/>
      <c r="B102" s="473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39"/>
    </row>
    <row r="103" spans="1:56" ht="12.75" customHeight="1">
      <c r="A103" s="2"/>
      <c r="B103" s="473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39"/>
    </row>
    <row r="104" spans="1:56" ht="12.75" customHeight="1">
      <c r="A104" s="2"/>
      <c r="B104" s="473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39"/>
    </row>
    <row r="105" spans="1:56" ht="12.75" customHeight="1">
      <c r="A105" s="2"/>
      <c r="B105" s="473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39"/>
    </row>
    <row r="106" spans="1:56" ht="12.75" customHeight="1">
      <c r="A106" s="2"/>
      <c r="B106" s="473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39"/>
    </row>
    <row r="107" spans="1:56" ht="12.75" customHeight="1">
      <c r="A107" s="2"/>
      <c r="B107" s="473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39"/>
    </row>
    <row r="108" spans="1:56" ht="12.75" customHeight="1">
      <c r="A108" s="2"/>
      <c r="B108" s="473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39"/>
    </row>
    <row r="109" spans="1:56" ht="12.75" customHeight="1">
      <c r="A109" s="2"/>
      <c r="B109" s="473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39"/>
    </row>
    <row r="110" spans="1:56" ht="12.75" customHeight="1">
      <c r="A110" s="2"/>
      <c r="B110" s="473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39"/>
    </row>
    <row r="111" spans="1:56" ht="12.75" customHeight="1">
      <c r="A111" s="2"/>
      <c r="B111" s="473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39"/>
    </row>
    <row r="112" spans="1:56" ht="12.75" customHeight="1">
      <c r="A112" s="2"/>
      <c r="B112" s="473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39"/>
    </row>
    <row r="113" spans="1:56" ht="12.75" customHeight="1">
      <c r="A113" s="2"/>
      <c r="B113" s="473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39"/>
    </row>
    <row r="114" spans="1:56" ht="12.75" customHeight="1">
      <c r="A114" s="2"/>
      <c r="B114" s="473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39"/>
    </row>
    <row r="115" spans="1:56" ht="12.75" customHeight="1">
      <c r="A115" s="2"/>
      <c r="B115" s="473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39"/>
    </row>
    <row r="116" spans="1:56" ht="12.75" customHeight="1">
      <c r="A116" s="2"/>
      <c r="B116" s="473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39"/>
    </row>
    <row r="117" spans="1:56" ht="12.75" customHeight="1">
      <c r="A117" s="2"/>
      <c r="B117" s="473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39"/>
    </row>
    <row r="118" spans="1:56" ht="12.75" customHeight="1">
      <c r="A118" s="2"/>
      <c r="B118" s="473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39"/>
    </row>
    <row r="119" spans="1:56" ht="12.75" customHeight="1">
      <c r="A119" s="2"/>
      <c r="B119" s="473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39"/>
    </row>
    <row r="120" spans="1:56" ht="12.75" customHeight="1">
      <c r="A120" s="2"/>
      <c r="B120" s="473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39"/>
    </row>
    <row r="121" spans="1:56" ht="12.75" customHeight="1">
      <c r="A121" s="2"/>
      <c r="B121" s="473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39"/>
    </row>
    <row r="122" spans="1:56" ht="12.75" customHeight="1">
      <c r="A122" s="2"/>
      <c r="B122" s="473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39"/>
    </row>
    <row r="123" spans="1:56" ht="12.75" customHeight="1">
      <c r="A123" s="2"/>
      <c r="B123" s="473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39"/>
    </row>
    <row r="124" spans="1:56" ht="12.75" customHeight="1">
      <c r="A124" s="2"/>
      <c r="B124" s="473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39"/>
    </row>
    <row r="125" spans="1:56" ht="12.75" customHeight="1">
      <c r="A125" s="2"/>
      <c r="B125" s="473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39"/>
    </row>
    <row r="126" spans="1:56" ht="12.75" customHeight="1">
      <c r="A126" s="2"/>
      <c r="B126" s="473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39"/>
    </row>
    <row r="127" spans="1:56" ht="12.75" customHeight="1">
      <c r="A127" s="2"/>
      <c r="B127" s="473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39"/>
    </row>
    <row r="128" spans="1:56" ht="12.75" customHeight="1">
      <c r="A128" s="2"/>
      <c r="B128" s="473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39"/>
    </row>
    <row r="129" spans="1:56" ht="12.75" customHeight="1">
      <c r="A129" s="2"/>
      <c r="B129" s="473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39"/>
    </row>
    <row r="130" spans="1:56" ht="12.75" customHeight="1">
      <c r="A130" s="2"/>
      <c r="B130" s="473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39"/>
    </row>
    <row r="131" spans="1:56" ht="12.75" customHeight="1">
      <c r="A131" s="2"/>
      <c r="B131" s="473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39"/>
    </row>
    <row r="132" spans="1:56" ht="12.75" customHeight="1">
      <c r="A132" s="2"/>
      <c r="B132" s="473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39"/>
    </row>
    <row r="133" spans="1:56" ht="12.75" customHeight="1">
      <c r="A133" s="2"/>
      <c r="B133" s="473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39"/>
    </row>
    <row r="134" spans="1:56" ht="12.75" customHeight="1">
      <c r="A134" s="2"/>
      <c r="B134" s="473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39"/>
    </row>
    <row r="135" spans="1:56" ht="12.75" customHeight="1">
      <c r="A135" s="2"/>
      <c r="B135" s="473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39"/>
    </row>
    <row r="136" spans="1:56" ht="12.75" customHeight="1">
      <c r="A136" s="2"/>
      <c r="B136" s="473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39"/>
    </row>
    <row r="137" spans="1:56" ht="12.75" customHeight="1">
      <c r="A137" s="2"/>
      <c r="B137" s="473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39"/>
    </row>
    <row r="138" spans="1:56" ht="12.75" customHeight="1">
      <c r="A138" s="2"/>
      <c r="B138" s="473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39"/>
    </row>
    <row r="139" spans="1:56" ht="12.75" customHeight="1">
      <c r="A139" s="2"/>
      <c r="B139" s="473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39"/>
    </row>
    <row r="140" spans="1:56" ht="12.75" customHeight="1">
      <c r="A140" s="2"/>
      <c r="B140" s="473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39"/>
    </row>
    <row r="141" spans="1:56" ht="12.75" customHeight="1">
      <c r="A141" s="2"/>
      <c r="B141" s="473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39"/>
    </row>
    <row r="142" spans="1:56" ht="12.75" customHeight="1">
      <c r="A142" s="2"/>
      <c r="B142" s="473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39"/>
    </row>
    <row r="143" spans="1:56" ht="12.75" customHeight="1">
      <c r="A143" s="2"/>
      <c r="B143" s="473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39"/>
    </row>
    <row r="144" spans="1:56" ht="12.75" customHeight="1">
      <c r="A144" s="2"/>
      <c r="B144" s="473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39"/>
    </row>
    <row r="145" spans="1:56" ht="12.75" customHeight="1">
      <c r="A145" s="2"/>
      <c r="B145" s="473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39"/>
    </row>
    <row r="146" spans="1:56" ht="12.75" customHeight="1">
      <c r="A146" s="2"/>
      <c r="B146" s="473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39"/>
    </row>
    <row r="147" spans="1:56" ht="12.75" customHeight="1">
      <c r="A147" s="2"/>
      <c r="B147" s="473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39"/>
    </row>
    <row r="148" spans="1:56" ht="12.75" customHeight="1">
      <c r="A148" s="2"/>
      <c r="B148" s="473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39"/>
    </row>
    <row r="149" spans="1:56" ht="12.75" customHeight="1">
      <c r="A149" s="2"/>
      <c r="B149" s="473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39"/>
    </row>
    <row r="150" spans="1:56" ht="12.75" customHeight="1">
      <c r="A150" s="2"/>
      <c r="B150" s="473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39"/>
    </row>
    <row r="151" spans="1:56" ht="12.75" customHeight="1">
      <c r="A151" s="2"/>
      <c r="B151" s="473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39"/>
    </row>
    <row r="152" spans="1:56" ht="12.75" customHeight="1">
      <c r="A152" s="2"/>
      <c r="B152" s="473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39"/>
    </row>
    <row r="153" spans="1:56" ht="12.75" customHeight="1">
      <c r="A153" s="2"/>
      <c r="B153" s="473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39"/>
    </row>
    <row r="154" spans="1:56" ht="12.75" customHeight="1">
      <c r="A154" s="2"/>
      <c r="B154" s="473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39"/>
    </row>
    <row r="155" spans="1:56" ht="12.75" customHeight="1">
      <c r="A155" s="2"/>
      <c r="B155" s="473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39"/>
    </row>
    <row r="156" spans="1:56" ht="12.75" customHeight="1">
      <c r="A156" s="2"/>
      <c r="B156" s="473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39"/>
    </row>
    <row r="157" spans="1:56" ht="12.75" customHeight="1">
      <c r="A157" s="2"/>
      <c r="B157" s="473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39"/>
    </row>
    <row r="158" spans="1:56" ht="12.75" customHeight="1">
      <c r="A158" s="2"/>
      <c r="B158" s="473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39"/>
    </row>
    <row r="159" spans="1:56" ht="12.75" customHeight="1">
      <c r="A159" s="2"/>
      <c r="B159" s="473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39"/>
    </row>
    <row r="160" spans="1:56" ht="12.75" customHeight="1">
      <c r="A160" s="2"/>
      <c r="B160" s="473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39"/>
    </row>
    <row r="161" spans="1:56" ht="12.75" customHeight="1">
      <c r="A161" s="2"/>
      <c r="B161" s="473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39"/>
    </row>
    <row r="162" spans="1:56" ht="12.75" customHeight="1">
      <c r="A162" s="2"/>
      <c r="B162" s="473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39"/>
    </row>
    <row r="163" spans="1:56" ht="12.75" customHeight="1">
      <c r="A163" s="2"/>
      <c r="B163" s="473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39"/>
    </row>
    <row r="164" spans="1:56" ht="12.75" customHeight="1">
      <c r="A164" s="2"/>
      <c r="B164" s="473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39"/>
    </row>
    <row r="165" spans="1:56" ht="12.75" customHeight="1">
      <c r="A165" s="2"/>
      <c r="B165" s="473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39"/>
    </row>
    <row r="166" spans="1:56" ht="12.75" customHeight="1">
      <c r="A166" s="2"/>
      <c r="B166" s="473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39"/>
    </row>
    <row r="167" spans="1:56" ht="12.75" customHeight="1">
      <c r="A167" s="2"/>
      <c r="B167" s="473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39"/>
    </row>
    <row r="168" spans="1:56" ht="12.75" customHeight="1">
      <c r="A168" s="2"/>
      <c r="B168" s="473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39"/>
    </row>
    <row r="169" spans="1:56" ht="12.75" customHeight="1">
      <c r="A169" s="2"/>
      <c r="B169" s="473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39"/>
    </row>
    <row r="170" spans="1:56" ht="12.75" customHeight="1">
      <c r="A170" s="2"/>
      <c r="B170" s="473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39"/>
    </row>
    <row r="171" spans="1:56" ht="12.75" customHeight="1">
      <c r="A171" s="2"/>
      <c r="B171" s="473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39"/>
    </row>
    <row r="172" spans="1:56" ht="12.75" customHeight="1">
      <c r="A172" s="2"/>
      <c r="B172" s="473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39"/>
    </row>
    <row r="173" spans="1:56" ht="12.75" customHeight="1">
      <c r="A173" s="2"/>
      <c r="B173" s="473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39"/>
    </row>
    <row r="174" spans="1:56" ht="12.75" customHeight="1">
      <c r="A174" s="2"/>
      <c r="B174" s="473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39"/>
    </row>
    <row r="175" spans="1:56" ht="12.75" customHeight="1">
      <c r="A175" s="2"/>
      <c r="B175" s="473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39"/>
    </row>
    <row r="176" spans="1:56" ht="12.75" customHeight="1">
      <c r="A176" s="2"/>
      <c r="B176" s="473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39"/>
    </row>
    <row r="177" spans="1:56" ht="12.75" customHeight="1">
      <c r="A177" s="2"/>
      <c r="B177" s="473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39"/>
    </row>
    <row r="178" spans="1:56" ht="12.75" customHeight="1">
      <c r="A178" s="2"/>
      <c r="B178" s="473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39"/>
    </row>
    <row r="179" spans="1:56" ht="12.75" customHeight="1">
      <c r="A179" s="2"/>
      <c r="B179" s="473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39"/>
    </row>
    <row r="180" spans="1:56" ht="12.75" customHeight="1">
      <c r="A180" s="2"/>
      <c r="B180" s="473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39"/>
    </row>
    <row r="181" spans="1:56" ht="12.75" customHeight="1">
      <c r="A181" s="2"/>
      <c r="B181" s="473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39"/>
    </row>
    <row r="182" spans="1:56" ht="12.75" customHeight="1">
      <c r="A182" s="2"/>
      <c r="B182" s="473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39"/>
    </row>
    <row r="183" spans="1:56" ht="12.75" customHeight="1">
      <c r="A183" s="2"/>
      <c r="B183" s="473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39"/>
    </row>
    <row r="184" spans="1:56" ht="12.75" customHeight="1">
      <c r="A184" s="2"/>
      <c r="B184" s="473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39"/>
    </row>
    <row r="185" spans="1:56" ht="12.75" customHeight="1">
      <c r="A185" s="2"/>
      <c r="B185" s="473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39"/>
    </row>
    <row r="186" spans="1:56" ht="12.75" customHeight="1">
      <c r="A186" s="2"/>
      <c r="B186" s="473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39"/>
    </row>
    <row r="187" spans="1:56" ht="12.75" customHeight="1">
      <c r="A187" s="2"/>
      <c r="B187" s="473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39"/>
    </row>
    <row r="188" spans="1:56" ht="12.75" customHeight="1">
      <c r="A188" s="2"/>
      <c r="B188" s="473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39"/>
    </row>
    <row r="189" spans="1:56" ht="12.75" customHeight="1">
      <c r="A189" s="2"/>
      <c r="B189" s="473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39"/>
    </row>
    <row r="190" spans="1:56" ht="12.75" customHeight="1">
      <c r="A190" s="2"/>
      <c r="B190" s="473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39"/>
    </row>
    <row r="191" spans="1:56" ht="12.75" customHeight="1">
      <c r="A191" s="2"/>
      <c r="B191" s="473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39"/>
    </row>
    <row r="192" spans="1:56" ht="12.75" customHeight="1">
      <c r="A192" s="2"/>
      <c r="B192" s="473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39"/>
    </row>
    <row r="193" spans="1:56" ht="12.75" customHeight="1">
      <c r="A193" s="2"/>
      <c r="B193" s="473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39"/>
    </row>
    <row r="194" spans="1:56" ht="12.75" customHeight="1">
      <c r="A194" s="2"/>
      <c r="B194" s="473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39"/>
    </row>
    <row r="195" spans="1:56" ht="12.75" customHeight="1">
      <c r="A195" s="2"/>
      <c r="B195" s="473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39"/>
    </row>
    <row r="196" spans="1:56" ht="12.75" customHeight="1">
      <c r="A196" s="2"/>
      <c r="B196" s="473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39"/>
    </row>
    <row r="197" spans="1:56" ht="12.75" customHeight="1">
      <c r="A197" s="2"/>
      <c r="B197" s="473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39"/>
    </row>
    <row r="198" spans="1:56" ht="12.75" customHeight="1">
      <c r="A198" s="2"/>
      <c r="B198" s="473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39"/>
    </row>
    <row r="199" spans="1:56" ht="12.75" customHeight="1">
      <c r="A199" s="2"/>
      <c r="B199" s="473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39"/>
    </row>
    <row r="200" spans="1:56" ht="12.75" customHeight="1">
      <c r="A200" s="2"/>
      <c r="B200" s="473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39"/>
    </row>
    <row r="201" spans="1:56" ht="12.75" customHeight="1">
      <c r="A201" s="2"/>
      <c r="B201" s="473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39"/>
    </row>
    <row r="202" spans="1:56" ht="12.75" customHeight="1">
      <c r="A202" s="2"/>
      <c r="B202" s="473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39"/>
    </row>
    <row r="203" spans="1:56" ht="12.75" customHeight="1">
      <c r="A203" s="2"/>
      <c r="B203" s="473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39"/>
    </row>
    <row r="204" spans="1:56" ht="12.75" customHeight="1">
      <c r="A204" s="2"/>
      <c r="B204" s="473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39"/>
    </row>
    <row r="205" spans="1:56" ht="12.75" customHeight="1">
      <c r="A205" s="2"/>
      <c r="B205" s="473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39"/>
    </row>
    <row r="206" spans="1:56" ht="12.75" customHeight="1">
      <c r="A206" s="2"/>
      <c r="B206" s="473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39"/>
    </row>
    <row r="207" spans="1:56" ht="12.75" customHeight="1">
      <c r="A207" s="2"/>
      <c r="B207" s="473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39"/>
    </row>
    <row r="208" spans="1:56" ht="12.75" customHeight="1">
      <c r="A208" s="2"/>
      <c r="B208" s="473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39"/>
    </row>
    <row r="209" spans="1:56" ht="12.75" customHeight="1">
      <c r="A209" s="2"/>
      <c r="B209" s="473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39"/>
    </row>
    <row r="210" spans="1:56" ht="12.75" customHeight="1">
      <c r="A210" s="2"/>
      <c r="B210" s="473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39"/>
    </row>
    <row r="211" spans="1:56" ht="12.75" customHeight="1">
      <c r="A211" s="2"/>
      <c r="B211" s="473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39"/>
    </row>
    <row r="212" spans="1:56" ht="12.75" customHeight="1">
      <c r="A212" s="2"/>
      <c r="B212" s="473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39"/>
    </row>
    <row r="213" spans="1:56" ht="12.75" customHeight="1">
      <c r="A213" s="2"/>
      <c r="B213" s="473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39"/>
    </row>
    <row r="214" spans="1:56" ht="12.75" customHeight="1">
      <c r="A214" s="2"/>
      <c r="B214" s="473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39"/>
    </row>
    <row r="215" spans="1:56" ht="12.75" customHeight="1">
      <c r="A215" s="2"/>
      <c r="B215" s="473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39"/>
    </row>
    <row r="216" spans="1:56" ht="12.75" customHeight="1">
      <c r="A216" s="2"/>
      <c r="B216" s="473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39"/>
    </row>
    <row r="217" spans="1:56" ht="12.75" customHeight="1">
      <c r="A217" s="2"/>
      <c r="B217" s="473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39"/>
    </row>
    <row r="218" spans="1:56" ht="12.75" customHeight="1">
      <c r="A218" s="2"/>
      <c r="B218" s="473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39"/>
    </row>
    <row r="219" spans="1:56" ht="12.75" customHeight="1">
      <c r="A219" s="2"/>
      <c r="B219" s="473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39"/>
    </row>
    <row r="220" spans="1:56" ht="12.75" customHeight="1">
      <c r="A220" s="2"/>
      <c r="B220" s="473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39"/>
    </row>
    <row r="221" spans="1:56" ht="12.75" customHeight="1">
      <c r="A221" s="2"/>
      <c r="B221" s="473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39"/>
    </row>
    <row r="222" spans="1:56" ht="12.75" customHeight="1">
      <c r="A222" s="2"/>
      <c r="B222" s="473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39"/>
    </row>
    <row r="223" spans="1:56" ht="12.75" customHeight="1">
      <c r="A223" s="2"/>
      <c r="B223" s="473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39"/>
    </row>
    <row r="224" spans="1:56" ht="12.75" customHeight="1">
      <c r="A224" s="2"/>
      <c r="B224" s="473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39"/>
    </row>
    <row r="225" spans="1:56" ht="12.75" customHeight="1">
      <c r="A225" s="2"/>
      <c r="B225" s="473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39"/>
    </row>
    <row r="226" spans="1:56" ht="12.75" customHeight="1">
      <c r="A226" s="2"/>
      <c r="B226" s="473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39"/>
    </row>
    <row r="227" spans="1:56" ht="12.75" customHeight="1">
      <c r="A227" s="2"/>
      <c r="B227" s="473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39"/>
    </row>
    <row r="228" spans="1:56" ht="12.75" customHeight="1">
      <c r="A228" s="2"/>
      <c r="B228" s="473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39"/>
    </row>
    <row r="229" spans="1:56" ht="12.75" customHeight="1">
      <c r="A229" s="2"/>
      <c r="B229" s="473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39"/>
    </row>
    <row r="230" spans="1:56" ht="12.75" customHeight="1">
      <c r="A230" s="2"/>
      <c r="B230" s="473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39"/>
    </row>
    <row r="231" spans="1:56" ht="12.75" customHeight="1">
      <c r="A231" s="2"/>
      <c r="B231" s="473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39"/>
    </row>
    <row r="232" spans="1:56" ht="12.75" customHeight="1">
      <c r="A232" s="2"/>
      <c r="B232" s="473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39"/>
    </row>
    <row r="233" spans="1:56" ht="12.75" customHeight="1">
      <c r="A233" s="2"/>
      <c r="B233" s="473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39"/>
    </row>
    <row r="234" spans="1:56" ht="12.75" customHeight="1">
      <c r="A234" s="2"/>
      <c r="B234" s="473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39"/>
    </row>
    <row r="235" spans="1:56" ht="12.75" customHeight="1">
      <c r="A235" s="2"/>
      <c r="B235" s="473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39"/>
    </row>
    <row r="236" spans="1:56" ht="12.75" customHeight="1">
      <c r="A236" s="2"/>
      <c r="B236" s="473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39"/>
    </row>
    <row r="237" spans="1:56" ht="12.75" customHeight="1">
      <c r="A237" s="2"/>
      <c r="B237" s="473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39"/>
    </row>
    <row r="238" spans="1:56" ht="12.75" customHeight="1">
      <c r="A238" s="2"/>
      <c r="B238" s="473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39"/>
    </row>
    <row r="239" spans="1:56" ht="12.75" customHeight="1">
      <c r="A239" s="2"/>
      <c r="B239" s="473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39"/>
    </row>
    <row r="240" spans="1:56" ht="12.75" customHeight="1">
      <c r="A240" s="2"/>
      <c r="B240" s="473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39"/>
    </row>
    <row r="241" spans="1:56" ht="12.75" customHeight="1">
      <c r="A241" s="2"/>
      <c r="B241" s="473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39"/>
    </row>
    <row r="242" spans="1:56" ht="12.75" customHeight="1">
      <c r="A242" s="2"/>
      <c r="B242" s="473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39"/>
    </row>
    <row r="243" spans="1:56" ht="12.75" customHeight="1">
      <c r="A243" s="2"/>
      <c r="B243" s="473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39"/>
    </row>
    <row r="244" spans="1:56" ht="12.75" customHeight="1">
      <c r="A244" s="2"/>
      <c r="B244" s="473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39"/>
    </row>
    <row r="245" spans="1:56" ht="12.75" customHeight="1">
      <c r="A245" s="2"/>
      <c r="B245" s="473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39"/>
    </row>
    <row r="246" spans="1:56" ht="12.75" customHeight="1">
      <c r="A246" s="2"/>
      <c r="B246" s="473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39"/>
    </row>
    <row r="247" spans="1:56" ht="12.75" customHeight="1">
      <c r="A247" s="2"/>
      <c r="B247" s="473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39"/>
    </row>
    <row r="248" spans="1:56" ht="12.75" customHeight="1">
      <c r="A248" s="2"/>
      <c r="B248" s="473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39"/>
    </row>
    <row r="249" spans="1:56" ht="12.75" customHeight="1">
      <c r="A249" s="2"/>
      <c r="B249" s="473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39"/>
    </row>
    <row r="250" spans="1:56" ht="12.75" customHeight="1">
      <c r="A250" s="2"/>
      <c r="B250" s="473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39"/>
    </row>
    <row r="251" spans="1:56" ht="12.75" customHeight="1">
      <c r="A251" s="2"/>
      <c r="B251" s="473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39"/>
    </row>
    <row r="252" spans="1:56" ht="12.75" customHeight="1">
      <c r="A252" s="2"/>
      <c r="B252" s="473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39"/>
    </row>
    <row r="253" spans="1:56" ht="12.75" customHeight="1">
      <c r="A253" s="2"/>
      <c r="B253" s="473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39"/>
    </row>
    <row r="254" spans="1:56" ht="12.75" customHeight="1">
      <c r="A254" s="2"/>
      <c r="B254" s="473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39"/>
    </row>
    <row r="255" spans="1:56" ht="12.75" customHeight="1">
      <c r="A255" s="2"/>
      <c r="B255" s="473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39"/>
    </row>
    <row r="256" spans="1:56" ht="12.75" customHeight="1">
      <c r="A256" s="2"/>
      <c r="B256" s="473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39"/>
    </row>
    <row r="257" spans="1:56" ht="12.75" customHeight="1">
      <c r="A257" s="2"/>
      <c r="B257" s="473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39"/>
    </row>
    <row r="258" spans="1:56" ht="12.75" customHeight="1">
      <c r="A258" s="2"/>
      <c r="B258" s="473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39"/>
    </row>
    <row r="259" spans="1:56" ht="12.75" customHeight="1">
      <c r="A259" s="2"/>
      <c r="B259" s="473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39"/>
    </row>
    <row r="260" spans="1:56" ht="12.75" customHeight="1">
      <c r="A260" s="2"/>
      <c r="B260" s="473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39"/>
    </row>
    <row r="261" spans="1:56" ht="12.75" customHeight="1">
      <c r="A261" s="2"/>
      <c r="B261" s="473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39"/>
    </row>
    <row r="262" spans="1:56" ht="12.75" customHeight="1">
      <c r="A262" s="2"/>
      <c r="B262" s="473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39"/>
    </row>
    <row r="263" spans="1:56" ht="12.75" customHeight="1">
      <c r="A263" s="2"/>
      <c r="B263" s="473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39"/>
    </row>
    <row r="264" spans="1:56" ht="12.75" customHeight="1">
      <c r="A264" s="2"/>
      <c r="B264" s="473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39"/>
    </row>
    <row r="265" spans="1:56" ht="12.75" customHeight="1">
      <c r="A265" s="2"/>
      <c r="B265" s="473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39"/>
    </row>
    <row r="266" spans="1:56" ht="12.75" customHeight="1">
      <c r="A266" s="2"/>
      <c r="B266" s="473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39"/>
    </row>
    <row r="267" spans="1:56" ht="12.75" customHeight="1">
      <c r="A267" s="2"/>
      <c r="B267" s="473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39"/>
    </row>
    <row r="268" spans="1:56" ht="12.75" customHeight="1">
      <c r="A268" s="2"/>
      <c r="B268" s="473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39"/>
    </row>
    <row r="269" spans="1:56" ht="12.75" customHeight="1">
      <c r="A269" s="2"/>
      <c r="B269" s="473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39"/>
    </row>
    <row r="270" spans="1:56" ht="12.75" customHeight="1">
      <c r="A270" s="2"/>
      <c r="B270" s="473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39"/>
    </row>
    <row r="271" spans="1:56" ht="12.75" customHeight="1">
      <c r="A271" s="2"/>
      <c r="B271" s="473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39"/>
    </row>
    <row r="272" spans="1:56" ht="12.75" customHeight="1">
      <c r="A272" s="2"/>
      <c r="B272" s="473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39"/>
    </row>
    <row r="273" spans="1:56" ht="12.75" customHeight="1">
      <c r="A273" s="2"/>
      <c r="B273" s="473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39"/>
    </row>
    <row r="274" spans="1:56" ht="12.75" customHeight="1">
      <c r="A274" s="2"/>
      <c r="B274" s="473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39"/>
    </row>
    <row r="275" spans="1:56" ht="12.75" customHeight="1">
      <c r="A275" s="2"/>
      <c r="B275" s="473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39"/>
    </row>
    <row r="276" spans="1:56" ht="12.75" customHeight="1">
      <c r="A276" s="2"/>
      <c r="B276" s="473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39"/>
    </row>
    <row r="277" spans="1:56" ht="12.75" customHeight="1">
      <c r="A277" s="2"/>
      <c r="B277" s="473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39"/>
    </row>
    <row r="278" spans="1:56" ht="12.75" customHeight="1">
      <c r="A278" s="2"/>
      <c r="B278" s="473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39"/>
    </row>
    <row r="279" spans="1:56" ht="12.75" customHeight="1">
      <c r="A279" s="2"/>
      <c r="B279" s="473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39"/>
    </row>
    <row r="280" spans="1:56" ht="12.75" customHeight="1">
      <c r="A280" s="2"/>
      <c r="B280" s="473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39"/>
    </row>
    <row r="281" spans="1:56" ht="12.75" customHeight="1">
      <c r="A281" s="2"/>
      <c r="B281" s="473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39"/>
    </row>
    <row r="282" spans="1:56" ht="12.75" customHeight="1">
      <c r="A282" s="2"/>
      <c r="B282" s="473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39"/>
    </row>
    <row r="283" spans="1:56" ht="12.75" customHeight="1">
      <c r="A283" s="2"/>
      <c r="B283" s="473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39"/>
    </row>
    <row r="284" spans="1:56" ht="12.75" customHeight="1">
      <c r="A284" s="2"/>
      <c r="B284" s="473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39"/>
    </row>
    <row r="285" spans="1:56" ht="12.75" customHeight="1">
      <c r="A285" s="2"/>
      <c r="B285" s="473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39"/>
    </row>
    <row r="286" spans="1:56" ht="12.75" customHeight="1">
      <c r="A286" s="2"/>
      <c r="B286" s="473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39"/>
    </row>
    <row r="287" spans="1:56" ht="12.75" customHeight="1">
      <c r="A287" s="2"/>
      <c r="B287" s="473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39"/>
    </row>
    <row r="288" spans="1:56" ht="12.75" customHeight="1">
      <c r="A288" s="2"/>
      <c r="B288" s="473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39"/>
    </row>
    <row r="289" spans="1:56" ht="12.75" customHeight="1">
      <c r="A289" s="2"/>
      <c r="B289" s="473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39"/>
    </row>
    <row r="290" spans="1:56" ht="12.75" customHeight="1">
      <c r="A290" s="2"/>
      <c r="B290" s="473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39"/>
    </row>
    <row r="291" spans="1:56" ht="12.75" customHeight="1">
      <c r="A291" s="2"/>
      <c r="B291" s="473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39"/>
    </row>
    <row r="292" spans="1:56" ht="12.75" customHeight="1">
      <c r="A292" s="2"/>
      <c r="B292" s="473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39"/>
    </row>
    <row r="293" spans="1:56" ht="12.75" customHeight="1">
      <c r="A293" s="2"/>
      <c r="B293" s="473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39"/>
    </row>
    <row r="294" spans="1:56" ht="12.75" customHeight="1">
      <c r="A294" s="2"/>
      <c r="B294" s="473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39"/>
    </row>
    <row r="295" spans="1:56" ht="12.75" customHeight="1">
      <c r="A295" s="2"/>
      <c r="B295" s="473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39"/>
    </row>
    <row r="296" spans="1:56" ht="12.75" customHeight="1">
      <c r="A296" s="2"/>
      <c r="B296" s="473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39"/>
    </row>
    <row r="297" spans="1:56" ht="12.75" customHeight="1">
      <c r="A297" s="2"/>
      <c r="B297" s="473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39"/>
    </row>
    <row r="298" spans="1:56" ht="12.75" customHeight="1">
      <c r="A298" s="2"/>
      <c r="B298" s="473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39"/>
    </row>
    <row r="299" spans="1:56" ht="12.75" customHeight="1">
      <c r="A299" s="2"/>
      <c r="B299" s="473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39"/>
    </row>
    <row r="300" spans="1:56" ht="12.75" customHeight="1">
      <c r="A300" s="2"/>
      <c r="B300" s="473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39"/>
    </row>
    <row r="301" spans="1:56" ht="12.75" customHeight="1">
      <c r="A301" s="2"/>
      <c r="B301" s="473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39"/>
    </row>
    <row r="302" spans="1:56" ht="12.75" customHeight="1">
      <c r="A302" s="2"/>
      <c r="B302" s="473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39"/>
    </row>
    <row r="303" spans="1:56" ht="12.75" customHeight="1">
      <c r="A303" s="2"/>
      <c r="B303" s="473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39"/>
    </row>
    <row r="304" spans="1:56" ht="12.75" customHeight="1">
      <c r="A304" s="2"/>
      <c r="B304" s="473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39"/>
    </row>
    <row r="305" spans="1:56" ht="12.75" customHeight="1">
      <c r="A305" s="2"/>
      <c r="B305" s="473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39"/>
    </row>
    <row r="306" spans="1:56" ht="12.75" customHeight="1">
      <c r="A306" s="2"/>
      <c r="B306" s="473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39"/>
    </row>
    <row r="307" spans="1:56" ht="12.75" customHeight="1">
      <c r="A307" s="2"/>
      <c r="B307" s="473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39"/>
    </row>
    <row r="308" spans="1:56" ht="12.75" customHeight="1">
      <c r="A308" s="2"/>
      <c r="B308" s="473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39"/>
    </row>
    <row r="309" spans="1:56" ht="12.75" customHeight="1">
      <c r="A309" s="2"/>
      <c r="B309" s="473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39"/>
    </row>
    <row r="310" spans="1:56" ht="12.75" customHeight="1">
      <c r="A310" s="2"/>
      <c r="B310" s="473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39"/>
    </row>
    <row r="311" spans="1:56" ht="12.75" customHeight="1">
      <c r="A311" s="2"/>
      <c r="B311" s="473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39"/>
    </row>
    <row r="312" spans="1:56" ht="12.75" customHeight="1">
      <c r="A312" s="2"/>
      <c r="B312" s="473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39"/>
    </row>
    <row r="313" spans="1:56" ht="12.75" customHeight="1">
      <c r="A313" s="2"/>
      <c r="B313" s="473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39"/>
    </row>
    <row r="314" spans="1:56" ht="12.75" customHeight="1">
      <c r="A314" s="2"/>
      <c r="B314" s="473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39"/>
    </row>
    <row r="315" spans="1:56" ht="12.75" customHeight="1">
      <c r="A315" s="2"/>
      <c r="B315" s="473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39"/>
    </row>
    <row r="316" spans="1:56" ht="12.75" customHeight="1">
      <c r="A316" s="2"/>
      <c r="B316" s="473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39"/>
    </row>
    <row r="317" spans="1:56" ht="12.75" customHeight="1">
      <c r="A317" s="2"/>
      <c r="B317" s="473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39"/>
    </row>
    <row r="318" spans="1:56" ht="12.75" customHeight="1">
      <c r="A318" s="2"/>
      <c r="B318" s="473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39"/>
    </row>
    <row r="319" spans="1:56" ht="12.75" customHeight="1">
      <c r="A319" s="2"/>
      <c r="B319" s="473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39"/>
    </row>
    <row r="320" spans="1:56" ht="12.75" customHeight="1">
      <c r="A320" s="2"/>
      <c r="B320" s="473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39"/>
    </row>
    <row r="321" spans="1:56" ht="12.75" customHeight="1">
      <c r="A321" s="2"/>
      <c r="B321" s="473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39"/>
    </row>
    <row r="322" spans="1:56" ht="12.75" customHeight="1">
      <c r="A322" s="2"/>
      <c r="B322" s="473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39"/>
    </row>
    <row r="323" spans="1:56" ht="12.75" customHeight="1">
      <c r="A323" s="2"/>
      <c r="B323" s="473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39"/>
    </row>
    <row r="324" spans="1:56" ht="12.75" customHeight="1">
      <c r="A324" s="2"/>
      <c r="B324" s="473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39"/>
    </row>
    <row r="325" spans="1:56" ht="12.75" customHeight="1">
      <c r="A325" s="2"/>
      <c r="B325" s="473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39"/>
    </row>
    <row r="326" spans="1:56" ht="12.75" customHeight="1">
      <c r="A326" s="2"/>
      <c r="B326" s="473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39"/>
    </row>
    <row r="327" spans="1:56" ht="12.75" customHeight="1">
      <c r="A327" s="2"/>
      <c r="B327" s="473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39"/>
    </row>
    <row r="328" spans="1:56" ht="12.75" customHeight="1">
      <c r="A328" s="2"/>
      <c r="B328" s="473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39"/>
    </row>
    <row r="329" spans="1:56" ht="12.75" customHeight="1">
      <c r="A329" s="2"/>
      <c r="B329" s="473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39"/>
    </row>
    <row r="330" spans="1:56" ht="12.75" customHeight="1">
      <c r="A330" s="2"/>
      <c r="B330" s="473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39"/>
    </row>
    <row r="331" spans="1:56" ht="12.75" customHeight="1">
      <c r="A331" s="2"/>
      <c r="B331" s="473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39"/>
    </row>
    <row r="332" spans="1:56" ht="12.75" customHeight="1">
      <c r="A332" s="2"/>
      <c r="B332" s="473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39"/>
    </row>
    <row r="333" spans="1:56" ht="12.75" customHeight="1">
      <c r="A333" s="2"/>
      <c r="B333" s="473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39"/>
    </row>
    <row r="334" spans="1:56" ht="12.75" customHeight="1">
      <c r="A334" s="2"/>
      <c r="B334" s="473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39"/>
    </row>
    <row r="335" spans="1:56" ht="12.75" customHeight="1">
      <c r="A335" s="2"/>
      <c r="B335" s="473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39"/>
    </row>
    <row r="336" spans="1:56" ht="12.75" customHeight="1">
      <c r="A336" s="2"/>
      <c r="B336" s="473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39"/>
    </row>
    <row r="337" spans="1:56" ht="12.75" customHeight="1">
      <c r="A337" s="2"/>
      <c r="B337" s="473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39"/>
    </row>
    <row r="338" spans="1:56" ht="12.75" customHeight="1">
      <c r="A338" s="2"/>
      <c r="B338" s="473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39"/>
    </row>
    <row r="339" spans="1:56" ht="12.75" customHeight="1">
      <c r="A339" s="2"/>
      <c r="B339" s="473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39"/>
    </row>
    <row r="340" spans="1:56" ht="12.75" customHeight="1">
      <c r="A340" s="2"/>
      <c r="B340" s="473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39"/>
    </row>
    <row r="341" spans="1:56" ht="12.75" customHeight="1">
      <c r="A341" s="2"/>
      <c r="B341" s="473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39"/>
    </row>
    <row r="342" spans="1:56" ht="12.75" customHeight="1">
      <c r="A342" s="2"/>
      <c r="B342" s="473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39"/>
    </row>
    <row r="343" spans="1:56" ht="12.75" customHeight="1">
      <c r="A343" s="2"/>
      <c r="B343" s="473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39"/>
    </row>
    <row r="344" spans="1:56" ht="12.75" customHeight="1">
      <c r="A344" s="2"/>
      <c r="B344" s="473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39"/>
    </row>
    <row r="345" spans="1:56" ht="12.75" customHeight="1">
      <c r="A345" s="2"/>
      <c r="B345" s="473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39"/>
    </row>
    <row r="346" spans="1:56" ht="12.75" customHeight="1">
      <c r="A346" s="2"/>
      <c r="B346" s="473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39"/>
    </row>
    <row r="347" spans="1:56" ht="12.75" customHeight="1">
      <c r="A347" s="2"/>
      <c r="B347" s="473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39"/>
    </row>
    <row r="348" spans="1:56" ht="12.75" customHeight="1">
      <c r="A348" s="2"/>
      <c r="B348" s="473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39"/>
    </row>
    <row r="349" spans="1:56" ht="12.75" customHeight="1">
      <c r="A349" s="2"/>
      <c r="B349" s="473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39"/>
    </row>
    <row r="350" spans="1:56" ht="12.75" customHeight="1">
      <c r="A350" s="2"/>
      <c r="B350" s="473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39"/>
    </row>
    <row r="351" spans="1:56" ht="12.75" customHeight="1">
      <c r="A351" s="2"/>
      <c r="B351" s="473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39"/>
    </row>
    <row r="352" spans="1:56" ht="12.75" customHeight="1">
      <c r="A352" s="2"/>
      <c r="B352" s="473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39"/>
    </row>
    <row r="353" spans="1:56" ht="12.75" customHeight="1">
      <c r="A353" s="2"/>
      <c r="B353" s="473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39"/>
    </row>
    <row r="354" spans="1:56" ht="12.75" customHeight="1">
      <c r="A354" s="2"/>
      <c r="B354" s="473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39"/>
    </row>
    <row r="355" spans="1:56" ht="12.75" customHeight="1">
      <c r="A355" s="2"/>
      <c r="B355" s="473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39"/>
    </row>
    <row r="356" spans="1:56" ht="12.75" customHeight="1">
      <c r="A356" s="2"/>
      <c r="B356" s="473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39"/>
    </row>
    <row r="357" spans="1:56" ht="12.75" customHeight="1">
      <c r="A357" s="2"/>
      <c r="B357" s="473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39"/>
    </row>
    <row r="358" spans="1:56" ht="12.75" customHeight="1">
      <c r="A358" s="2"/>
      <c r="B358" s="473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39"/>
    </row>
    <row r="359" spans="1:56" ht="12.75" customHeight="1">
      <c r="A359" s="2"/>
      <c r="B359" s="473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39"/>
    </row>
    <row r="360" spans="1:56" ht="12.75" customHeight="1">
      <c r="A360" s="2"/>
      <c r="B360" s="473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39"/>
    </row>
    <row r="361" spans="1:56" ht="12.75" customHeight="1">
      <c r="A361" s="2"/>
      <c r="B361" s="473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39"/>
    </row>
    <row r="362" spans="1:56" ht="12.75" customHeight="1">
      <c r="A362" s="2"/>
      <c r="B362" s="473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39"/>
    </row>
    <row r="363" spans="1:56" ht="12.75" customHeight="1">
      <c r="A363" s="2"/>
      <c r="B363" s="473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39"/>
    </row>
    <row r="364" spans="1:56" ht="12.75" customHeight="1">
      <c r="A364" s="2"/>
      <c r="B364" s="473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39"/>
    </row>
    <row r="365" spans="1:56" ht="12.75" customHeight="1">
      <c r="A365" s="2"/>
      <c r="B365" s="473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39"/>
    </row>
    <row r="366" spans="1:56" ht="12.75" customHeight="1">
      <c r="A366" s="2"/>
      <c r="B366" s="473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39"/>
    </row>
    <row r="367" spans="1:56" ht="12.75" customHeight="1">
      <c r="A367" s="2"/>
      <c r="B367" s="473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39"/>
    </row>
    <row r="368" spans="1:56" ht="12.75" customHeight="1">
      <c r="A368" s="2"/>
      <c r="B368" s="473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39"/>
    </row>
    <row r="369" spans="1:56" ht="12.75" customHeight="1">
      <c r="A369" s="2"/>
      <c r="B369" s="473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39"/>
    </row>
    <row r="370" spans="1:56" ht="12.75" customHeight="1">
      <c r="A370" s="2"/>
      <c r="B370" s="473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39"/>
    </row>
    <row r="371" spans="1:56" ht="12.75" customHeight="1">
      <c r="A371" s="2"/>
      <c r="B371" s="473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39"/>
    </row>
    <row r="372" spans="1:56" ht="12.75" customHeight="1">
      <c r="A372" s="2"/>
      <c r="B372" s="473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39"/>
    </row>
    <row r="373" spans="1:56" ht="12.75" customHeight="1">
      <c r="A373" s="2"/>
      <c r="B373" s="473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39"/>
    </row>
    <row r="374" spans="1:56" ht="12.75" customHeight="1">
      <c r="A374" s="2"/>
      <c r="B374" s="473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39"/>
    </row>
    <row r="375" spans="1:56" ht="12.75" customHeight="1">
      <c r="A375" s="2"/>
      <c r="B375" s="473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39"/>
    </row>
    <row r="376" spans="1:56" ht="12.75" customHeight="1">
      <c r="A376" s="2"/>
      <c r="B376" s="473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39"/>
    </row>
    <row r="377" spans="1:56" ht="12.75" customHeight="1">
      <c r="A377" s="2"/>
      <c r="B377" s="473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39"/>
    </row>
    <row r="378" spans="1:56" ht="12.75" customHeight="1">
      <c r="A378" s="2"/>
      <c r="B378" s="473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39"/>
    </row>
    <row r="379" spans="1:56" ht="12.75" customHeight="1">
      <c r="A379" s="2"/>
      <c r="B379" s="473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39"/>
    </row>
    <row r="380" spans="1:56" ht="12.75" customHeight="1">
      <c r="A380" s="2"/>
      <c r="B380" s="473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39"/>
    </row>
    <row r="381" spans="1:56" ht="12.75" customHeight="1">
      <c r="A381" s="2"/>
      <c r="B381" s="473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39"/>
    </row>
    <row r="382" spans="1:56" ht="12.75" customHeight="1">
      <c r="A382" s="2"/>
      <c r="B382" s="473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39"/>
    </row>
    <row r="383" spans="1:56" ht="12.75" customHeight="1">
      <c r="A383" s="2"/>
      <c r="B383" s="473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39"/>
    </row>
    <row r="384" spans="1:56" ht="12.75" customHeight="1">
      <c r="A384" s="2"/>
      <c r="B384" s="473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39"/>
    </row>
    <row r="385" spans="1:56" ht="12.75" customHeight="1">
      <c r="A385" s="2"/>
      <c r="B385" s="473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39"/>
    </row>
    <row r="386" spans="1:56" ht="12.75" customHeight="1">
      <c r="A386" s="2"/>
      <c r="B386" s="473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39"/>
    </row>
    <row r="387" spans="1:56" ht="12.75" customHeight="1">
      <c r="A387" s="2"/>
      <c r="B387" s="473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39"/>
    </row>
    <row r="388" spans="1:56" ht="12.75" customHeight="1">
      <c r="A388" s="2"/>
      <c r="B388" s="473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39"/>
    </row>
    <row r="389" spans="1:56" ht="12.75" customHeight="1">
      <c r="A389" s="2"/>
      <c r="B389" s="473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39"/>
    </row>
    <row r="390" spans="1:56" ht="12.75" customHeight="1">
      <c r="A390" s="2"/>
      <c r="B390" s="473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39"/>
    </row>
    <row r="391" spans="1:56" ht="12.75" customHeight="1">
      <c r="A391" s="2"/>
      <c r="B391" s="473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39"/>
    </row>
    <row r="392" spans="1:56" ht="12.75" customHeight="1">
      <c r="A392" s="2"/>
      <c r="B392" s="473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39"/>
    </row>
    <row r="393" spans="1:56" ht="12.75" customHeight="1">
      <c r="A393" s="2"/>
      <c r="B393" s="473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39"/>
    </row>
    <row r="394" spans="1:56" ht="12.75" customHeight="1">
      <c r="A394" s="2"/>
      <c r="B394" s="473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39"/>
    </row>
    <row r="395" spans="1:56" ht="12.75" customHeight="1">
      <c r="A395" s="2"/>
      <c r="B395" s="473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39"/>
    </row>
    <row r="396" spans="1:56" ht="12.75" customHeight="1">
      <c r="A396" s="2"/>
      <c r="B396" s="473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39"/>
    </row>
    <row r="397" spans="1:56" ht="12.75" customHeight="1">
      <c r="A397" s="2"/>
      <c r="B397" s="473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39"/>
    </row>
    <row r="398" spans="1:56" ht="12.75" customHeight="1">
      <c r="A398" s="2"/>
      <c r="B398" s="473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39"/>
    </row>
    <row r="399" spans="1:56" ht="12.75" customHeight="1">
      <c r="A399" s="2"/>
      <c r="B399" s="473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39"/>
    </row>
    <row r="400" spans="1:56" ht="12.75" customHeight="1">
      <c r="A400" s="2"/>
      <c r="B400" s="473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39"/>
    </row>
    <row r="401" spans="1:56" ht="12.75" customHeight="1">
      <c r="A401" s="2"/>
      <c r="B401" s="473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39"/>
    </row>
    <row r="402" spans="1:56" ht="12.75" customHeight="1">
      <c r="A402" s="2"/>
      <c r="B402" s="473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39"/>
    </row>
    <row r="403" spans="1:56" ht="12.75" customHeight="1">
      <c r="A403" s="2"/>
      <c r="B403" s="473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39"/>
    </row>
    <row r="404" spans="1:56" ht="12.75" customHeight="1">
      <c r="A404" s="2"/>
      <c r="B404" s="473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39"/>
    </row>
    <row r="405" spans="1:56" ht="12.75" customHeight="1">
      <c r="A405" s="2"/>
      <c r="B405" s="473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39"/>
    </row>
    <row r="406" spans="1:56" ht="12.75" customHeight="1">
      <c r="A406" s="2"/>
      <c r="B406" s="473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39"/>
    </row>
    <row r="407" spans="1:56" ht="12.75" customHeight="1">
      <c r="A407" s="2"/>
      <c r="B407" s="473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39"/>
    </row>
    <row r="408" spans="1:56" ht="12.75" customHeight="1">
      <c r="A408" s="2"/>
      <c r="B408" s="473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39"/>
    </row>
    <row r="409" spans="1:56" ht="12.75" customHeight="1">
      <c r="A409" s="2"/>
      <c r="B409" s="473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39"/>
    </row>
    <row r="410" spans="1:56" ht="12.75" customHeight="1">
      <c r="A410" s="2"/>
      <c r="B410" s="473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39"/>
    </row>
    <row r="411" spans="1:56" ht="12.75" customHeight="1">
      <c r="A411" s="2"/>
      <c r="B411" s="473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39"/>
    </row>
    <row r="412" spans="1:56" ht="12.75" customHeight="1">
      <c r="A412" s="2"/>
      <c r="B412" s="473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39"/>
    </row>
    <row r="413" spans="1:56" ht="12.75" customHeight="1">
      <c r="A413" s="2"/>
      <c r="B413" s="473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39"/>
    </row>
    <row r="414" spans="1:56" ht="12.75" customHeight="1">
      <c r="A414" s="2"/>
      <c r="B414" s="473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39"/>
    </row>
    <row r="415" spans="1:56" ht="12.75" customHeight="1">
      <c r="A415" s="2"/>
      <c r="B415" s="473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39"/>
    </row>
    <row r="416" spans="1:56" ht="12.75" customHeight="1">
      <c r="A416" s="2"/>
      <c r="B416" s="473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39"/>
    </row>
    <row r="417" spans="1:56" ht="12.75" customHeight="1">
      <c r="A417" s="2"/>
      <c r="B417" s="473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39"/>
    </row>
    <row r="418" spans="1:56" ht="12.75" customHeight="1">
      <c r="A418" s="2"/>
      <c r="B418" s="473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39"/>
    </row>
    <row r="419" spans="1:56" ht="12.75" customHeight="1">
      <c r="A419" s="2"/>
      <c r="B419" s="473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39"/>
    </row>
    <row r="420" spans="1:56" ht="12.75" customHeight="1">
      <c r="A420" s="2"/>
      <c r="B420" s="473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39"/>
    </row>
    <row r="421" spans="1:56" ht="12.75" customHeight="1">
      <c r="A421" s="2"/>
      <c r="B421" s="473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39"/>
    </row>
    <row r="422" spans="1:56" ht="12.75" customHeight="1">
      <c r="A422" s="2"/>
      <c r="B422" s="473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39"/>
    </row>
    <row r="423" spans="1:56" ht="12.75" customHeight="1">
      <c r="A423" s="2"/>
      <c r="B423" s="473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39"/>
    </row>
    <row r="424" spans="1:56" ht="12.75" customHeight="1">
      <c r="A424" s="2"/>
      <c r="B424" s="473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39"/>
    </row>
    <row r="425" spans="1:56" ht="12.75" customHeight="1">
      <c r="A425" s="2"/>
      <c r="B425" s="473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39"/>
    </row>
    <row r="426" spans="1:56" ht="12.75" customHeight="1">
      <c r="A426" s="2"/>
      <c r="B426" s="473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39"/>
    </row>
    <row r="427" spans="1:56" ht="12.75" customHeight="1">
      <c r="A427" s="2"/>
      <c r="B427" s="473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39"/>
    </row>
    <row r="428" spans="1:56" ht="12.75" customHeight="1">
      <c r="A428" s="2"/>
      <c r="B428" s="473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39"/>
    </row>
    <row r="429" spans="1:56" ht="12.75" customHeight="1">
      <c r="A429" s="2"/>
      <c r="B429" s="473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39"/>
    </row>
    <row r="430" spans="1:56" ht="12.75" customHeight="1">
      <c r="A430" s="2"/>
      <c r="B430" s="473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39"/>
    </row>
    <row r="431" spans="1:56" ht="12.75" customHeight="1">
      <c r="A431" s="2"/>
      <c r="B431" s="473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39"/>
    </row>
    <row r="432" spans="1:56" ht="12.75" customHeight="1">
      <c r="A432" s="2"/>
      <c r="B432" s="473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39"/>
    </row>
    <row r="433" spans="1:56" ht="12.75" customHeight="1">
      <c r="A433" s="2"/>
      <c r="B433" s="473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39"/>
    </row>
    <row r="434" spans="1:56" ht="12.75" customHeight="1">
      <c r="A434" s="2"/>
      <c r="B434" s="473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39"/>
    </row>
    <row r="435" spans="1:56" ht="12.75" customHeight="1">
      <c r="A435" s="2"/>
      <c r="B435" s="473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39"/>
    </row>
    <row r="436" spans="1:56" ht="12.75" customHeight="1">
      <c r="A436" s="2"/>
      <c r="B436" s="473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39"/>
    </row>
    <row r="437" spans="1:56" ht="12.75" customHeight="1">
      <c r="A437" s="2"/>
      <c r="B437" s="473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39"/>
    </row>
    <row r="438" spans="1:56" ht="12.75" customHeight="1">
      <c r="A438" s="2"/>
      <c r="B438" s="473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39"/>
    </row>
    <row r="439" spans="1:56" ht="12.75" customHeight="1">
      <c r="A439" s="2"/>
      <c r="B439" s="473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39"/>
    </row>
    <row r="440" spans="1:56" ht="12.75" customHeight="1">
      <c r="A440" s="2"/>
      <c r="B440" s="473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39"/>
    </row>
    <row r="441" spans="1:56" ht="12.75" customHeight="1">
      <c r="A441" s="2"/>
      <c r="B441" s="473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39"/>
    </row>
    <row r="442" spans="1:56" ht="12.75" customHeight="1">
      <c r="A442" s="2"/>
      <c r="B442" s="473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39"/>
    </row>
    <row r="443" spans="1:56" ht="12.75" customHeight="1">
      <c r="A443" s="2"/>
      <c r="B443" s="473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39"/>
    </row>
    <row r="444" spans="1:56" ht="12.75" customHeight="1">
      <c r="A444" s="2"/>
      <c r="B444" s="473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39"/>
    </row>
    <row r="445" spans="1:56" ht="12.75" customHeight="1">
      <c r="A445" s="2"/>
      <c r="B445" s="473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39"/>
    </row>
    <row r="446" spans="1:56" ht="12.75" customHeight="1">
      <c r="A446" s="2"/>
      <c r="B446" s="473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39"/>
    </row>
    <row r="447" spans="1:56" ht="12.75" customHeight="1">
      <c r="A447" s="2"/>
      <c r="B447" s="473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39"/>
    </row>
    <row r="448" spans="1:56" ht="12.75" customHeight="1">
      <c r="A448" s="2"/>
      <c r="B448" s="473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39"/>
    </row>
    <row r="449" spans="1:56" ht="12.75" customHeight="1">
      <c r="A449" s="2"/>
      <c r="B449" s="473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39"/>
    </row>
    <row r="450" spans="1:56" ht="12.75" customHeight="1">
      <c r="A450" s="2"/>
      <c r="B450" s="473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39"/>
    </row>
    <row r="451" spans="1:56" ht="12.75" customHeight="1">
      <c r="A451" s="2"/>
      <c r="B451" s="473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39"/>
    </row>
    <row r="452" spans="1:56" ht="12.75" customHeight="1">
      <c r="A452" s="2"/>
      <c r="B452" s="473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39"/>
    </row>
    <row r="453" spans="1:56" ht="12.75" customHeight="1">
      <c r="A453" s="2"/>
      <c r="B453" s="473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39"/>
    </row>
    <row r="454" spans="1:56" ht="12.75" customHeight="1">
      <c r="A454" s="2"/>
      <c r="B454" s="473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39"/>
    </row>
    <row r="455" spans="1:56" ht="12.75" customHeight="1">
      <c r="A455" s="2"/>
      <c r="B455" s="473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39"/>
    </row>
    <row r="456" spans="1:56" ht="12.75" customHeight="1">
      <c r="A456" s="2"/>
      <c r="B456" s="473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39"/>
    </row>
    <row r="457" spans="1:56" ht="12.75" customHeight="1">
      <c r="A457" s="2"/>
      <c r="B457" s="473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39"/>
    </row>
    <row r="458" spans="1:56" ht="12.75" customHeight="1">
      <c r="A458" s="2"/>
      <c r="B458" s="473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39"/>
    </row>
    <row r="459" spans="1:56" ht="12.75" customHeight="1">
      <c r="A459" s="2"/>
      <c r="B459" s="473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39"/>
    </row>
    <row r="460" spans="1:56" ht="12.75" customHeight="1">
      <c r="A460" s="2"/>
      <c r="B460" s="473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39"/>
    </row>
    <row r="461" spans="1:56" ht="12.75" customHeight="1">
      <c r="A461" s="2"/>
      <c r="B461" s="473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39"/>
    </row>
    <row r="462" spans="1:56" ht="12.75" customHeight="1">
      <c r="A462" s="2"/>
      <c r="B462" s="473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39"/>
    </row>
    <row r="463" spans="1:56" ht="12.75" customHeight="1">
      <c r="A463" s="2"/>
      <c r="B463" s="473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39"/>
    </row>
    <row r="464" spans="1:56" ht="12.75" customHeight="1">
      <c r="A464" s="2"/>
      <c r="B464" s="473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39"/>
    </row>
    <row r="465" spans="1:56" ht="12.75" customHeight="1">
      <c r="A465" s="2"/>
      <c r="B465" s="473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39"/>
    </row>
    <row r="466" spans="1:56" ht="12.75" customHeight="1">
      <c r="A466" s="2"/>
      <c r="B466" s="473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39"/>
    </row>
    <row r="467" spans="1:56" ht="12.75" customHeight="1">
      <c r="A467" s="2"/>
      <c r="B467" s="473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39"/>
    </row>
    <row r="468" spans="1:56" ht="12.75" customHeight="1">
      <c r="A468" s="2"/>
      <c r="B468" s="473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39"/>
    </row>
    <row r="469" spans="1:56" ht="12.75" customHeight="1">
      <c r="A469" s="2"/>
      <c r="B469" s="473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39"/>
    </row>
    <row r="470" spans="1:56" ht="12.75" customHeight="1">
      <c r="A470" s="2"/>
      <c r="B470" s="473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39"/>
    </row>
    <row r="471" spans="1:56" ht="12.75" customHeight="1">
      <c r="A471" s="2"/>
      <c r="B471" s="473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39"/>
    </row>
    <row r="472" spans="1:56" ht="12.75" customHeight="1">
      <c r="A472" s="2"/>
      <c r="B472" s="473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39"/>
    </row>
    <row r="473" spans="1:56" ht="12.75" customHeight="1">
      <c r="A473" s="2"/>
      <c r="B473" s="473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39"/>
    </row>
    <row r="474" spans="1:56" ht="12.75" customHeight="1">
      <c r="A474" s="2"/>
      <c r="B474" s="473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39"/>
    </row>
    <row r="475" spans="1:56" ht="12.75" customHeight="1">
      <c r="A475" s="2"/>
      <c r="B475" s="473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39"/>
    </row>
    <row r="476" spans="1:56" ht="12.75" customHeight="1">
      <c r="A476" s="2"/>
      <c r="B476" s="473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39"/>
    </row>
    <row r="477" spans="1:56" ht="12.75" customHeight="1">
      <c r="A477" s="2"/>
      <c r="B477" s="473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39"/>
    </row>
    <row r="478" spans="1:56" ht="12.75" customHeight="1">
      <c r="A478" s="2"/>
      <c r="B478" s="473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39"/>
    </row>
    <row r="479" spans="1:56" ht="12.75" customHeight="1">
      <c r="A479" s="2"/>
      <c r="B479" s="473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39"/>
    </row>
    <row r="480" spans="1:56" ht="12.75" customHeight="1">
      <c r="A480" s="2"/>
      <c r="B480" s="473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39"/>
    </row>
    <row r="481" spans="1:56" ht="12.75" customHeight="1">
      <c r="A481" s="2"/>
      <c r="B481" s="473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39"/>
    </row>
    <row r="482" spans="1:56" ht="12.75" customHeight="1">
      <c r="A482" s="2"/>
      <c r="B482" s="473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39"/>
    </row>
    <row r="483" spans="1:56" ht="12.75" customHeight="1">
      <c r="A483" s="2"/>
      <c r="B483" s="473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39"/>
    </row>
    <row r="484" spans="1:56" ht="12.75" customHeight="1">
      <c r="A484" s="2"/>
      <c r="B484" s="473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39"/>
    </row>
    <row r="485" spans="1:56" ht="12.75" customHeight="1">
      <c r="A485" s="2"/>
      <c r="B485" s="473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39"/>
    </row>
    <row r="486" spans="1:56" ht="12.75" customHeight="1">
      <c r="A486" s="2"/>
      <c r="B486" s="473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39"/>
    </row>
    <row r="487" spans="1:56" ht="12.75" customHeight="1">
      <c r="A487" s="2"/>
      <c r="B487" s="473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39"/>
    </row>
    <row r="488" spans="1:56" ht="12.75" customHeight="1">
      <c r="A488" s="2"/>
      <c r="B488" s="473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39"/>
    </row>
    <row r="489" spans="1:56" ht="12.75" customHeight="1">
      <c r="A489" s="2"/>
      <c r="B489" s="473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39"/>
    </row>
    <row r="490" spans="1:56" ht="12.75" customHeight="1">
      <c r="A490" s="2"/>
      <c r="B490" s="473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39"/>
    </row>
    <row r="491" spans="1:56" ht="12.75" customHeight="1">
      <c r="A491" s="2"/>
      <c r="B491" s="473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39"/>
    </row>
    <row r="492" spans="1:56" ht="12.75" customHeight="1">
      <c r="A492" s="2"/>
      <c r="B492" s="473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39"/>
    </row>
    <row r="493" spans="1:56" ht="12.75" customHeight="1">
      <c r="A493" s="2"/>
      <c r="B493" s="473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39"/>
    </row>
    <row r="494" spans="1:56" ht="12.75" customHeight="1">
      <c r="A494" s="2"/>
      <c r="B494" s="473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39"/>
    </row>
    <row r="495" spans="1:56" ht="12.75" customHeight="1">
      <c r="A495" s="2"/>
      <c r="B495" s="473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39"/>
    </row>
    <row r="496" spans="1:56" ht="12.75" customHeight="1">
      <c r="A496" s="2"/>
      <c r="B496" s="473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39"/>
    </row>
    <row r="497" spans="1:56" ht="12.75" customHeight="1">
      <c r="A497" s="2"/>
      <c r="B497" s="473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39"/>
    </row>
    <row r="498" spans="1:56" ht="12.75" customHeight="1">
      <c r="A498" s="2"/>
      <c r="B498" s="473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39"/>
    </row>
    <row r="499" spans="1:56" ht="12.75" customHeight="1">
      <c r="A499" s="2"/>
      <c r="B499" s="473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39"/>
    </row>
    <row r="500" spans="1:56" ht="12.75" customHeight="1">
      <c r="A500" s="2"/>
      <c r="B500" s="473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39"/>
    </row>
    <row r="501" spans="1:56" ht="12.75" customHeight="1">
      <c r="A501" s="2"/>
      <c r="B501" s="473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39"/>
    </row>
    <row r="502" spans="1:56" ht="12.75" customHeight="1">
      <c r="A502" s="2"/>
      <c r="B502" s="473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39"/>
    </row>
    <row r="503" spans="1:56" ht="12.75" customHeight="1">
      <c r="A503" s="2"/>
      <c r="B503" s="473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39"/>
    </row>
    <row r="504" spans="1:56" ht="12.75" customHeight="1">
      <c r="A504" s="2"/>
      <c r="B504" s="473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39"/>
    </row>
    <row r="505" spans="1:56" ht="12.75" customHeight="1">
      <c r="A505" s="2"/>
      <c r="B505" s="473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39"/>
    </row>
    <row r="506" spans="1:56" ht="12.75" customHeight="1">
      <c r="A506" s="2"/>
      <c r="B506" s="473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39"/>
    </row>
    <row r="507" spans="1:56" ht="12.75" customHeight="1">
      <c r="A507" s="2"/>
      <c r="B507" s="473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39"/>
    </row>
    <row r="508" spans="1:56" ht="12.75" customHeight="1">
      <c r="A508" s="2"/>
      <c r="B508" s="473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39"/>
    </row>
    <row r="509" spans="1:56" ht="12.75" customHeight="1">
      <c r="A509" s="2"/>
      <c r="B509" s="473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39"/>
    </row>
    <row r="510" spans="1:56" ht="12.75" customHeight="1">
      <c r="A510" s="2"/>
      <c r="B510" s="473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39"/>
    </row>
    <row r="511" spans="1:56" ht="12.75" customHeight="1">
      <c r="A511" s="2"/>
      <c r="B511" s="473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39"/>
    </row>
    <row r="512" spans="1:56" ht="12.75" customHeight="1">
      <c r="A512" s="2"/>
      <c r="B512" s="473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39"/>
    </row>
    <row r="513" spans="1:56" ht="12.75" customHeight="1">
      <c r="A513" s="2"/>
      <c r="B513" s="473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39"/>
    </row>
    <row r="514" spans="1:56" ht="12.75" customHeight="1">
      <c r="A514" s="2"/>
      <c r="B514" s="473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39"/>
    </row>
    <row r="515" spans="1:56" ht="12.75" customHeight="1">
      <c r="A515" s="2"/>
      <c r="B515" s="473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39"/>
    </row>
    <row r="516" spans="1:56" ht="12.75" customHeight="1">
      <c r="A516" s="2"/>
      <c r="B516" s="473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39"/>
    </row>
    <row r="517" spans="1:56" ht="12.75" customHeight="1">
      <c r="A517" s="2"/>
      <c r="B517" s="473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39"/>
    </row>
    <row r="518" spans="1:56" ht="12.75" customHeight="1">
      <c r="A518" s="2"/>
      <c r="B518" s="473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39"/>
    </row>
    <row r="519" spans="1:56" ht="12.75" customHeight="1">
      <c r="A519" s="2"/>
      <c r="B519" s="473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39"/>
    </row>
    <row r="520" spans="1:56" ht="12.75" customHeight="1">
      <c r="A520" s="2"/>
      <c r="B520" s="473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39"/>
    </row>
    <row r="521" spans="1:56" ht="12.75" customHeight="1">
      <c r="A521" s="2"/>
      <c r="B521" s="473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39"/>
    </row>
    <row r="522" spans="1:56" ht="12.75" customHeight="1">
      <c r="A522" s="2"/>
      <c r="B522" s="473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39"/>
    </row>
    <row r="523" spans="1:56" ht="12.75" customHeight="1">
      <c r="A523" s="2"/>
      <c r="B523" s="473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39"/>
    </row>
    <row r="524" spans="1:56" ht="12.75" customHeight="1">
      <c r="A524" s="2"/>
      <c r="B524" s="473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39"/>
    </row>
    <row r="525" spans="1:56" ht="12.75" customHeight="1">
      <c r="A525" s="2"/>
      <c r="B525" s="473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39"/>
    </row>
    <row r="526" spans="1:56" ht="12.75" customHeight="1">
      <c r="A526" s="2"/>
      <c r="B526" s="473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39"/>
    </row>
    <row r="527" spans="1:56" ht="12.75" customHeight="1">
      <c r="A527" s="2"/>
      <c r="B527" s="473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39"/>
    </row>
    <row r="528" spans="1:56" ht="12.75" customHeight="1">
      <c r="A528" s="2"/>
      <c r="B528" s="473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39"/>
    </row>
    <row r="529" spans="1:56" ht="12.75" customHeight="1">
      <c r="A529" s="2"/>
      <c r="B529" s="473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39"/>
    </row>
    <row r="530" spans="1:56" ht="12.75" customHeight="1">
      <c r="A530" s="2"/>
      <c r="B530" s="473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39"/>
    </row>
    <row r="531" spans="1:56" ht="12.75" customHeight="1">
      <c r="A531" s="2"/>
      <c r="B531" s="473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39"/>
    </row>
    <row r="532" spans="1:56" ht="12.75" customHeight="1">
      <c r="A532" s="2"/>
      <c r="B532" s="473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39"/>
    </row>
    <row r="533" spans="1:56" ht="12.75" customHeight="1">
      <c r="A533" s="2"/>
      <c r="B533" s="473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39"/>
    </row>
    <row r="534" spans="1:56" ht="12.75" customHeight="1">
      <c r="A534" s="2"/>
      <c r="B534" s="473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39"/>
    </row>
    <row r="535" spans="1:56" ht="12.75" customHeight="1">
      <c r="A535" s="2"/>
      <c r="B535" s="473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39"/>
    </row>
    <row r="536" spans="1:56" ht="12.75" customHeight="1">
      <c r="A536" s="2"/>
      <c r="B536" s="473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39"/>
    </row>
    <row r="537" spans="1:56" ht="12.75" customHeight="1">
      <c r="A537" s="2"/>
      <c r="B537" s="473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39"/>
    </row>
    <row r="538" spans="1:56" ht="12.75" customHeight="1">
      <c r="A538" s="2"/>
      <c r="B538" s="473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39"/>
    </row>
    <row r="539" spans="1:56" ht="12.75" customHeight="1">
      <c r="A539" s="2"/>
      <c r="B539" s="473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39"/>
    </row>
    <row r="540" spans="1:56" ht="12.75" customHeight="1">
      <c r="A540" s="2"/>
      <c r="B540" s="473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39"/>
    </row>
    <row r="541" spans="1:56" ht="12.75" customHeight="1">
      <c r="A541" s="2"/>
      <c r="B541" s="473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39"/>
    </row>
    <row r="542" spans="1:56" ht="12.75" customHeight="1">
      <c r="A542" s="2"/>
      <c r="B542" s="473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39"/>
    </row>
    <row r="543" spans="1:56" ht="12.75" customHeight="1">
      <c r="A543" s="2"/>
      <c r="B543" s="473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39"/>
    </row>
    <row r="544" spans="1:56" ht="12.75" customHeight="1">
      <c r="A544" s="2"/>
      <c r="B544" s="473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39"/>
    </row>
    <row r="545" spans="1:56" ht="12.75" customHeight="1">
      <c r="A545" s="2"/>
      <c r="B545" s="473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39"/>
    </row>
    <row r="546" spans="1:56" ht="12.75" customHeight="1">
      <c r="A546" s="2"/>
      <c r="B546" s="473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39"/>
    </row>
    <row r="547" spans="1:56" ht="12.75" customHeight="1">
      <c r="A547" s="2"/>
      <c r="B547" s="473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39"/>
    </row>
    <row r="548" spans="1:56" ht="12.75" customHeight="1">
      <c r="A548" s="2"/>
      <c r="B548" s="473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39"/>
    </row>
    <row r="549" spans="1:56" ht="12.75" customHeight="1">
      <c r="A549" s="2"/>
      <c r="B549" s="473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39"/>
    </row>
    <row r="550" spans="1:56" ht="12.75" customHeight="1">
      <c r="A550" s="2"/>
      <c r="B550" s="473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39"/>
    </row>
    <row r="551" spans="1:56" ht="12.75" customHeight="1">
      <c r="A551" s="2"/>
      <c r="B551" s="473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39"/>
    </row>
    <row r="552" spans="1:56" ht="12.75" customHeight="1">
      <c r="A552" s="2"/>
      <c r="B552" s="473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39"/>
    </row>
    <row r="553" spans="1:56" ht="12.75" customHeight="1">
      <c r="A553" s="2"/>
      <c r="B553" s="473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39"/>
    </row>
    <row r="554" spans="1:56" ht="12.75" customHeight="1">
      <c r="A554" s="2"/>
      <c r="B554" s="473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39"/>
    </row>
    <row r="555" spans="1:56" ht="12.75" customHeight="1">
      <c r="A555" s="2"/>
      <c r="B555" s="473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39"/>
    </row>
    <row r="556" spans="1:56" ht="12.75" customHeight="1">
      <c r="A556" s="2"/>
      <c r="B556" s="473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39"/>
    </row>
    <row r="557" spans="1:56" ht="12.75" customHeight="1">
      <c r="A557" s="2"/>
      <c r="B557" s="473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39"/>
    </row>
    <row r="558" spans="1:56" ht="12.75" customHeight="1">
      <c r="A558" s="2"/>
      <c r="B558" s="473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39"/>
    </row>
    <row r="559" spans="1:56" ht="12.75" customHeight="1">
      <c r="A559" s="2"/>
      <c r="B559" s="473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39"/>
    </row>
    <row r="560" spans="1:56" ht="12.75" customHeight="1">
      <c r="A560" s="2"/>
      <c r="B560" s="473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39"/>
    </row>
    <row r="561" spans="1:56" ht="12.75" customHeight="1">
      <c r="A561" s="2"/>
      <c r="B561" s="473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39"/>
    </row>
    <row r="562" spans="1:56" ht="12.75" customHeight="1">
      <c r="A562" s="2"/>
      <c r="B562" s="473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39"/>
    </row>
    <row r="563" spans="1:56" ht="12.75" customHeight="1">
      <c r="A563" s="2"/>
      <c r="B563" s="473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39"/>
    </row>
    <row r="564" spans="1:56" ht="12.75" customHeight="1">
      <c r="A564" s="2"/>
      <c r="B564" s="473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39"/>
    </row>
    <row r="565" spans="1:56" ht="12.75" customHeight="1">
      <c r="A565" s="2"/>
      <c r="B565" s="473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39"/>
    </row>
    <row r="566" spans="1:56" ht="12.75" customHeight="1">
      <c r="A566" s="2"/>
      <c r="B566" s="473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39"/>
    </row>
    <row r="567" spans="1:56" ht="12.75" customHeight="1">
      <c r="A567" s="2"/>
      <c r="B567" s="473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39"/>
    </row>
    <row r="568" spans="1:56" ht="12.75" customHeight="1">
      <c r="A568" s="2"/>
      <c r="B568" s="473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39"/>
    </row>
    <row r="569" spans="1:56" ht="12.75" customHeight="1">
      <c r="A569" s="2"/>
      <c r="B569" s="473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39"/>
    </row>
    <row r="570" spans="1:56" ht="12.75" customHeight="1">
      <c r="A570" s="2"/>
      <c r="B570" s="473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39"/>
    </row>
    <row r="571" spans="1:56" ht="12.75" customHeight="1">
      <c r="A571" s="2"/>
      <c r="B571" s="473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39"/>
    </row>
    <row r="572" spans="1:56" ht="12.75" customHeight="1">
      <c r="A572" s="2"/>
      <c r="B572" s="473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39"/>
    </row>
    <row r="573" spans="1:56" ht="12.75" customHeight="1">
      <c r="A573" s="2"/>
      <c r="B573" s="473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39"/>
    </row>
    <row r="574" spans="1:56" ht="12.75" customHeight="1">
      <c r="A574" s="2"/>
      <c r="B574" s="473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39"/>
    </row>
    <row r="575" spans="1:56" ht="12.75" customHeight="1">
      <c r="A575" s="2"/>
      <c r="B575" s="473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39"/>
    </row>
    <row r="576" spans="1:56" ht="12.75" customHeight="1">
      <c r="A576" s="2"/>
      <c r="B576" s="473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39"/>
    </row>
    <row r="577" spans="1:56" ht="12.75" customHeight="1">
      <c r="A577" s="2"/>
      <c r="B577" s="473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39"/>
    </row>
    <row r="578" spans="1:56" ht="12.75" customHeight="1">
      <c r="A578" s="2"/>
      <c r="B578" s="473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39"/>
    </row>
    <row r="579" spans="1:56" ht="12.75" customHeight="1">
      <c r="A579" s="2"/>
      <c r="B579" s="473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39"/>
    </row>
    <row r="580" spans="1:56" ht="12.75" customHeight="1">
      <c r="A580" s="2"/>
      <c r="B580" s="473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39"/>
    </row>
    <row r="581" spans="1:56" ht="12.75" customHeight="1">
      <c r="A581" s="2"/>
      <c r="B581" s="473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39"/>
    </row>
    <row r="582" spans="1:56" ht="12.75" customHeight="1">
      <c r="A582" s="2"/>
      <c r="B582" s="473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39"/>
    </row>
    <row r="583" spans="1:56" ht="12.75" customHeight="1">
      <c r="A583" s="2"/>
      <c r="B583" s="473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39"/>
    </row>
    <row r="584" spans="1:56" ht="12.75" customHeight="1">
      <c r="A584" s="2"/>
      <c r="B584" s="473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39"/>
    </row>
    <row r="585" spans="1:56" ht="12.75" customHeight="1">
      <c r="A585" s="2"/>
      <c r="B585" s="473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39"/>
    </row>
    <row r="586" spans="1:56" ht="12.75" customHeight="1">
      <c r="A586" s="2"/>
      <c r="B586" s="473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39"/>
    </row>
    <row r="587" spans="1:56" ht="12.75" customHeight="1">
      <c r="A587" s="2"/>
      <c r="B587" s="473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39"/>
    </row>
    <row r="588" spans="1:56" ht="12.75" customHeight="1">
      <c r="A588" s="2"/>
      <c r="B588" s="473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39"/>
    </row>
    <row r="589" spans="1:56" ht="12.75" customHeight="1">
      <c r="A589" s="2"/>
      <c r="B589" s="473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39"/>
    </row>
    <row r="590" spans="1:56" ht="12.75" customHeight="1">
      <c r="A590" s="2"/>
      <c r="B590" s="473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39"/>
    </row>
    <row r="591" spans="1:56" ht="12.75" customHeight="1">
      <c r="A591" s="2"/>
      <c r="B591" s="473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39"/>
    </row>
    <row r="592" spans="1:56" ht="12.75" customHeight="1">
      <c r="A592" s="2"/>
      <c r="B592" s="473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39"/>
    </row>
    <row r="593" spans="1:56" ht="12.75" customHeight="1">
      <c r="A593" s="2"/>
      <c r="B593" s="473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39"/>
    </row>
    <row r="594" spans="1:56" ht="12.75" customHeight="1">
      <c r="A594" s="2"/>
      <c r="B594" s="473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39"/>
    </row>
    <row r="595" spans="1:56" ht="12.75" customHeight="1">
      <c r="A595" s="2"/>
      <c r="B595" s="473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39"/>
    </row>
    <row r="596" spans="1:56" ht="12.75" customHeight="1">
      <c r="A596" s="2"/>
      <c r="B596" s="473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39"/>
    </row>
    <row r="597" spans="1:56" ht="12.75" customHeight="1">
      <c r="A597" s="2"/>
      <c r="B597" s="473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39"/>
    </row>
    <row r="598" spans="1:56" ht="12.75" customHeight="1">
      <c r="A598" s="2"/>
      <c r="B598" s="473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39"/>
    </row>
    <row r="599" spans="1:56" ht="12.75" customHeight="1">
      <c r="A599" s="2"/>
      <c r="B599" s="473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39"/>
    </row>
    <row r="600" spans="1:56" ht="12.75" customHeight="1">
      <c r="A600" s="2"/>
      <c r="B600" s="473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39"/>
    </row>
    <row r="601" spans="1:56" ht="12.75" customHeight="1">
      <c r="A601" s="2"/>
      <c r="B601" s="473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39"/>
    </row>
    <row r="602" spans="1:56" ht="12.75" customHeight="1">
      <c r="A602" s="2"/>
      <c r="B602" s="473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39"/>
    </row>
    <row r="603" spans="1:56" ht="12.75" customHeight="1">
      <c r="A603" s="2"/>
      <c r="B603" s="473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39"/>
    </row>
    <row r="604" spans="1:56" ht="12.75" customHeight="1">
      <c r="A604" s="2"/>
      <c r="B604" s="473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39"/>
    </row>
    <row r="605" spans="1:56" ht="12.75" customHeight="1">
      <c r="A605" s="2"/>
      <c r="B605" s="473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39"/>
    </row>
    <row r="606" spans="1:56" ht="12.75" customHeight="1">
      <c r="A606" s="2"/>
      <c r="B606" s="473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39"/>
    </row>
    <row r="607" spans="1:56" ht="12.75" customHeight="1">
      <c r="A607" s="2"/>
      <c r="B607" s="473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39"/>
    </row>
    <row r="608" spans="1:56" ht="12.75" customHeight="1">
      <c r="A608" s="2"/>
      <c r="B608" s="473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39"/>
    </row>
    <row r="609" spans="1:56" ht="12.75" customHeight="1">
      <c r="A609" s="2"/>
      <c r="B609" s="473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39"/>
    </row>
    <row r="610" spans="1:56" ht="12.75" customHeight="1">
      <c r="A610" s="2"/>
      <c r="B610" s="473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39"/>
    </row>
    <row r="611" spans="1:56" ht="12.75" customHeight="1">
      <c r="A611" s="2"/>
      <c r="B611" s="473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39"/>
    </row>
    <row r="612" spans="1:56" ht="12.75" customHeight="1">
      <c r="A612" s="2"/>
      <c r="B612" s="473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39"/>
    </row>
    <row r="613" spans="1:56" ht="12.75" customHeight="1">
      <c r="A613" s="2"/>
      <c r="B613" s="473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39"/>
    </row>
    <row r="614" spans="1:56" ht="12.75" customHeight="1">
      <c r="A614" s="2"/>
      <c r="B614" s="473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39"/>
    </row>
    <row r="615" spans="1:56" ht="12.75" customHeight="1">
      <c r="A615" s="2"/>
      <c r="B615" s="473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39"/>
    </row>
    <row r="616" spans="1:56" ht="12.75" customHeight="1">
      <c r="A616" s="2"/>
      <c r="B616" s="473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39"/>
    </row>
    <row r="617" spans="1:56" ht="12.75" customHeight="1">
      <c r="A617" s="2"/>
      <c r="B617" s="473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39"/>
    </row>
    <row r="618" spans="1:56" ht="12.75" customHeight="1">
      <c r="A618" s="2"/>
      <c r="B618" s="473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39"/>
    </row>
    <row r="619" spans="1:56" ht="12.75" customHeight="1">
      <c r="A619" s="2"/>
      <c r="B619" s="473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39"/>
    </row>
    <row r="620" spans="1:56" ht="12.75" customHeight="1">
      <c r="A620" s="2"/>
      <c r="B620" s="473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39"/>
    </row>
    <row r="621" spans="1:56" ht="12.75" customHeight="1">
      <c r="A621" s="2"/>
      <c r="B621" s="473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39"/>
    </row>
    <row r="622" spans="1:56" ht="12.75" customHeight="1">
      <c r="A622" s="2"/>
      <c r="B622" s="473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39"/>
    </row>
    <row r="623" spans="1:56" ht="12.75" customHeight="1">
      <c r="A623" s="2"/>
      <c r="B623" s="473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39"/>
    </row>
    <row r="624" spans="1:56" ht="12.75" customHeight="1">
      <c r="A624" s="2"/>
      <c r="B624" s="473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39"/>
    </row>
    <row r="625" spans="1:56" ht="12.75" customHeight="1">
      <c r="A625" s="2"/>
      <c r="B625" s="473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39"/>
    </row>
    <row r="626" spans="1:56" ht="12.75" customHeight="1">
      <c r="A626" s="2"/>
      <c r="B626" s="473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39"/>
    </row>
    <row r="627" spans="1:56" ht="12.75" customHeight="1">
      <c r="A627" s="2"/>
      <c r="B627" s="473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39"/>
    </row>
    <row r="628" spans="1:56" ht="12.75" customHeight="1">
      <c r="A628" s="2"/>
      <c r="B628" s="473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39"/>
    </row>
    <row r="629" spans="1:56" ht="12.75" customHeight="1">
      <c r="A629" s="2"/>
      <c r="B629" s="473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39"/>
    </row>
    <row r="630" spans="1:56" ht="12.75" customHeight="1">
      <c r="A630" s="2"/>
      <c r="B630" s="473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39"/>
    </row>
    <row r="631" spans="1:56" ht="12.75" customHeight="1">
      <c r="A631" s="2"/>
      <c r="B631" s="473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39"/>
    </row>
    <row r="632" spans="1:56" ht="12.75" customHeight="1">
      <c r="A632" s="2"/>
      <c r="B632" s="473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39"/>
    </row>
    <row r="633" spans="1:56" ht="12.75" customHeight="1">
      <c r="A633" s="2"/>
      <c r="B633" s="473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39"/>
    </row>
    <row r="634" spans="1:56" ht="12.75" customHeight="1">
      <c r="A634" s="2"/>
      <c r="B634" s="473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39"/>
    </row>
    <row r="635" spans="1:56" ht="12.75" customHeight="1">
      <c r="A635" s="2"/>
      <c r="B635" s="473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39"/>
    </row>
    <row r="636" spans="1:56" ht="12.75" customHeight="1">
      <c r="A636" s="2"/>
      <c r="B636" s="473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39"/>
    </row>
    <row r="637" spans="1:56" ht="12.75" customHeight="1">
      <c r="A637" s="2"/>
      <c r="B637" s="473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39"/>
    </row>
    <row r="638" spans="1:56" ht="12.75" customHeight="1">
      <c r="A638" s="2"/>
      <c r="B638" s="473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39"/>
    </row>
    <row r="639" spans="1:56" ht="12.75" customHeight="1">
      <c r="A639" s="2"/>
      <c r="B639" s="473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39"/>
    </row>
    <row r="640" spans="1:56" ht="12.75" customHeight="1">
      <c r="A640" s="2"/>
      <c r="B640" s="473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39"/>
    </row>
    <row r="641" spans="1:56" ht="12.75" customHeight="1">
      <c r="A641" s="2"/>
      <c r="B641" s="473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39"/>
    </row>
    <row r="642" spans="1:56" ht="12.75" customHeight="1">
      <c r="A642" s="2"/>
      <c r="B642" s="473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39"/>
    </row>
    <row r="643" spans="1:56" ht="12.75" customHeight="1">
      <c r="A643" s="2"/>
      <c r="B643" s="473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39"/>
    </row>
    <row r="644" spans="1:56" ht="12.75" customHeight="1">
      <c r="A644" s="2"/>
      <c r="B644" s="473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39"/>
    </row>
    <row r="645" spans="1:56" ht="12.75" customHeight="1">
      <c r="A645" s="2"/>
      <c r="B645" s="473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39"/>
    </row>
    <row r="646" spans="1:56" ht="12.75" customHeight="1">
      <c r="A646" s="2"/>
      <c r="B646" s="473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39"/>
    </row>
    <row r="647" spans="1:56" ht="12.75" customHeight="1">
      <c r="A647" s="2"/>
      <c r="B647" s="473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39"/>
    </row>
    <row r="648" spans="1:56" ht="12.75" customHeight="1">
      <c r="A648" s="2"/>
      <c r="B648" s="473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39"/>
    </row>
    <row r="649" spans="1:56" ht="12.75" customHeight="1">
      <c r="A649" s="2"/>
      <c r="B649" s="473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39"/>
    </row>
    <row r="650" spans="1:56" ht="12.75" customHeight="1">
      <c r="A650" s="2"/>
      <c r="B650" s="473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39"/>
    </row>
    <row r="651" spans="1:56" ht="12.75" customHeight="1">
      <c r="A651" s="2"/>
      <c r="B651" s="473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39"/>
    </row>
    <row r="652" spans="1:56" ht="12.75" customHeight="1">
      <c r="A652" s="2"/>
      <c r="B652" s="473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39"/>
    </row>
    <row r="653" spans="1:56" ht="12.75" customHeight="1">
      <c r="A653" s="2"/>
      <c r="B653" s="473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39"/>
    </row>
    <row r="654" spans="1:56" ht="12.75" customHeight="1">
      <c r="A654" s="2"/>
      <c r="B654" s="473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39"/>
    </row>
    <row r="655" spans="1:56" ht="12.75" customHeight="1">
      <c r="A655" s="2"/>
      <c r="B655" s="473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39"/>
    </row>
    <row r="656" spans="1:56" ht="12.75" customHeight="1">
      <c r="A656" s="2"/>
      <c r="B656" s="473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39"/>
    </row>
    <row r="657" spans="1:56" ht="12.75" customHeight="1">
      <c r="A657" s="2"/>
      <c r="B657" s="473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39"/>
    </row>
    <row r="658" spans="1:56" ht="12.75" customHeight="1">
      <c r="A658" s="2"/>
      <c r="B658" s="473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39"/>
    </row>
    <row r="659" spans="1:56" ht="12.75" customHeight="1">
      <c r="A659" s="2"/>
      <c r="B659" s="473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39"/>
    </row>
    <row r="660" spans="1:56" ht="12.75" customHeight="1">
      <c r="A660" s="2"/>
      <c r="B660" s="473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39"/>
    </row>
    <row r="661" spans="1:56" ht="12.75" customHeight="1">
      <c r="A661" s="2"/>
      <c r="B661" s="473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39"/>
    </row>
    <row r="662" spans="1:56" ht="12.75" customHeight="1">
      <c r="A662" s="2"/>
      <c r="B662" s="473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39"/>
    </row>
    <row r="663" spans="1:56" ht="12.75" customHeight="1">
      <c r="A663" s="2"/>
      <c r="B663" s="473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39"/>
    </row>
    <row r="664" spans="1:56" ht="12.75" customHeight="1">
      <c r="A664" s="2"/>
      <c r="B664" s="473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39"/>
    </row>
    <row r="665" spans="1:56" ht="12.75" customHeight="1">
      <c r="A665" s="2"/>
      <c r="B665" s="473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39"/>
    </row>
    <row r="666" spans="1:56" ht="12.75" customHeight="1">
      <c r="A666" s="2"/>
      <c r="B666" s="473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39"/>
    </row>
    <row r="667" spans="1:56" ht="12.75" customHeight="1">
      <c r="A667" s="2"/>
      <c r="B667" s="473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39"/>
    </row>
    <row r="668" spans="1:56" ht="12.75" customHeight="1">
      <c r="A668" s="2"/>
      <c r="B668" s="473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39"/>
    </row>
    <row r="669" spans="1:56" ht="12.75" customHeight="1">
      <c r="A669" s="2"/>
      <c r="B669" s="473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39"/>
    </row>
    <row r="670" spans="1:56" ht="12.75" customHeight="1">
      <c r="A670" s="2"/>
      <c r="B670" s="473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39"/>
    </row>
    <row r="671" spans="1:56" ht="12.75" customHeight="1">
      <c r="A671" s="2"/>
      <c r="B671" s="473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39"/>
    </row>
    <row r="672" spans="1:56" ht="12.75" customHeight="1">
      <c r="A672" s="2"/>
      <c r="B672" s="473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39"/>
    </row>
    <row r="673" spans="1:56" ht="12.75" customHeight="1">
      <c r="A673" s="2"/>
      <c r="B673" s="473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39"/>
    </row>
    <row r="674" spans="1:56" ht="12.75" customHeight="1">
      <c r="A674" s="2"/>
      <c r="B674" s="473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39"/>
    </row>
    <row r="675" spans="1:56" ht="12.75" customHeight="1">
      <c r="A675" s="2"/>
      <c r="B675" s="473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39"/>
    </row>
    <row r="676" spans="1:56" ht="12.75" customHeight="1">
      <c r="A676" s="2"/>
      <c r="B676" s="473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39"/>
    </row>
    <row r="677" spans="1:56" ht="12.75" customHeight="1">
      <c r="A677" s="2"/>
      <c r="B677" s="473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39"/>
    </row>
    <row r="678" spans="1:56" ht="12.75" customHeight="1">
      <c r="A678" s="2"/>
      <c r="B678" s="473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39"/>
    </row>
    <row r="679" spans="1:56" ht="12.75" customHeight="1">
      <c r="A679" s="2"/>
      <c r="B679" s="473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39"/>
    </row>
    <row r="680" spans="1:56" ht="12.75" customHeight="1">
      <c r="A680" s="2"/>
      <c r="B680" s="473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39"/>
    </row>
    <row r="681" spans="1:56" ht="12.75" customHeight="1">
      <c r="A681" s="2"/>
      <c r="B681" s="473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39"/>
    </row>
    <row r="682" spans="1:56" ht="12.75" customHeight="1">
      <c r="A682" s="2"/>
      <c r="B682" s="473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39"/>
    </row>
    <row r="683" spans="1:56" ht="12.75" customHeight="1">
      <c r="A683" s="2"/>
      <c r="B683" s="473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39"/>
    </row>
    <row r="684" spans="1:56" ht="12.75" customHeight="1">
      <c r="A684" s="2"/>
      <c r="B684" s="473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39"/>
    </row>
    <row r="685" spans="1:56" ht="12.75" customHeight="1">
      <c r="A685" s="2"/>
      <c r="B685" s="473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39"/>
    </row>
    <row r="686" spans="1:56" ht="12.75" customHeight="1">
      <c r="A686" s="2"/>
      <c r="B686" s="473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39"/>
    </row>
    <row r="687" spans="1:56" ht="12.75" customHeight="1">
      <c r="A687" s="2"/>
      <c r="B687" s="473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39"/>
    </row>
    <row r="688" spans="1:56" ht="12.75" customHeight="1">
      <c r="A688" s="2"/>
      <c r="B688" s="473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39"/>
    </row>
    <row r="689" spans="1:56" ht="12.75" customHeight="1">
      <c r="A689" s="2"/>
      <c r="B689" s="473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39"/>
    </row>
    <row r="690" spans="1:56" ht="12.75" customHeight="1">
      <c r="A690" s="2"/>
      <c r="B690" s="473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39"/>
    </row>
    <row r="691" spans="1:56" ht="12.75" customHeight="1">
      <c r="A691" s="2"/>
      <c r="B691" s="473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39"/>
    </row>
    <row r="692" spans="1:56" ht="12.75" customHeight="1">
      <c r="A692" s="2"/>
      <c r="B692" s="473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39"/>
    </row>
    <row r="693" spans="1:56" ht="12.75" customHeight="1">
      <c r="A693" s="2"/>
      <c r="B693" s="473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39"/>
    </row>
    <row r="694" spans="1:56" ht="12.75" customHeight="1">
      <c r="A694" s="2"/>
      <c r="B694" s="473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39"/>
    </row>
    <row r="695" spans="1:56" ht="12.75" customHeight="1">
      <c r="A695" s="2"/>
      <c r="B695" s="473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39"/>
    </row>
    <row r="696" spans="1:56" ht="12.75" customHeight="1">
      <c r="A696" s="2"/>
      <c r="B696" s="473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39"/>
    </row>
    <row r="697" spans="1:56" ht="12.75" customHeight="1">
      <c r="A697" s="2"/>
      <c r="B697" s="473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39"/>
    </row>
    <row r="698" spans="1:56" ht="12.75" customHeight="1">
      <c r="A698" s="2"/>
      <c r="B698" s="473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39"/>
    </row>
    <row r="699" spans="1:56" ht="12.75" customHeight="1">
      <c r="A699" s="2"/>
      <c r="B699" s="473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39"/>
    </row>
    <row r="700" spans="1:56" ht="12.75" customHeight="1">
      <c r="A700" s="2"/>
      <c r="B700" s="473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39"/>
    </row>
    <row r="701" spans="1:56" ht="12.75" customHeight="1">
      <c r="A701" s="2"/>
      <c r="B701" s="473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39"/>
    </row>
    <row r="702" spans="1:56" ht="12.75" customHeight="1">
      <c r="A702" s="2"/>
      <c r="B702" s="473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39"/>
    </row>
    <row r="703" spans="1:56" ht="12.75" customHeight="1">
      <c r="A703" s="2"/>
      <c r="B703" s="473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39"/>
    </row>
    <row r="704" spans="1:56" ht="12.75" customHeight="1">
      <c r="A704" s="2"/>
      <c r="B704" s="473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39"/>
    </row>
    <row r="705" spans="1:56" ht="12.75" customHeight="1">
      <c r="A705" s="2"/>
      <c r="B705" s="473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39"/>
    </row>
    <row r="706" spans="1:56" ht="12.75" customHeight="1">
      <c r="A706" s="2"/>
      <c r="B706" s="473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39"/>
    </row>
    <row r="707" spans="1:56" ht="12.75" customHeight="1">
      <c r="A707" s="2"/>
      <c r="B707" s="473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39"/>
    </row>
    <row r="708" spans="1:56" ht="12.75" customHeight="1">
      <c r="A708" s="2"/>
      <c r="B708" s="473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39"/>
    </row>
    <row r="709" spans="1:56" ht="12.75" customHeight="1">
      <c r="A709" s="2"/>
      <c r="B709" s="473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39"/>
    </row>
    <row r="710" spans="1:56" ht="12.75" customHeight="1">
      <c r="A710" s="2"/>
      <c r="B710" s="473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39"/>
    </row>
    <row r="711" spans="1:56" ht="12.75" customHeight="1">
      <c r="A711" s="2"/>
      <c r="B711" s="473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39"/>
    </row>
    <row r="712" spans="1:56" ht="12.75" customHeight="1">
      <c r="A712" s="2"/>
      <c r="B712" s="473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39"/>
    </row>
    <row r="713" spans="1:56" ht="12.75" customHeight="1">
      <c r="A713" s="2"/>
      <c r="B713" s="473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39"/>
    </row>
    <row r="714" spans="1:56" ht="12.75" customHeight="1">
      <c r="A714" s="2"/>
      <c r="B714" s="473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39"/>
    </row>
    <row r="715" spans="1:56" ht="12.75" customHeight="1">
      <c r="A715" s="2"/>
      <c r="B715" s="473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39"/>
    </row>
    <row r="716" spans="1:56" ht="12.75" customHeight="1">
      <c r="A716" s="2"/>
      <c r="B716" s="473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39"/>
    </row>
    <row r="717" spans="1:56" ht="12.75" customHeight="1">
      <c r="A717" s="2"/>
      <c r="B717" s="473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39"/>
    </row>
    <row r="718" spans="1:56" ht="12.75" customHeight="1">
      <c r="A718" s="2"/>
      <c r="B718" s="473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39"/>
    </row>
    <row r="719" spans="1:56" ht="12.75" customHeight="1">
      <c r="A719" s="2"/>
      <c r="B719" s="473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39"/>
    </row>
    <row r="720" spans="1:56" ht="12.75" customHeight="1">
      <c r="A720" s="2"/>
      <c r="B720" s="473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39"/>
    </row>
    <row r="721" spans="1:56" ht="12.75" customHeight="1">
      <c r="A721" s="2"/>
      <c r="B721" s="473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39"/>
    </row>
    <row r="722" spans="1:56" ht="12.75" customHeight="1">
      <c r="A722" s="2"/>
      <c r="B722" s="473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39"/>
    </row>
    <row r="723" spans="1:56" ht="12.75" customHeight="1">
      <c r="A723" s="2"/>
      <c r="B723" s="473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39"/>
    </row>
    <row r="724" spans="1:56" ht="12.75" customHeight="1">
      <c r="A724" s="2"/>
      <c r="B724" s="473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39"/>
    </row>
    <row r="725" spans="1:56" ht="12.75" customHeight="1">
      <c r="A725" s="2"/>
      <c r="B725" s="473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39"/>
    </row>
    <row r="726" spans="1:56" ht="12.75" customHeight="1">
      <c r="A726" s="2"/>
      <c r="B726" s="473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39"/>
    </row>
    <row r="727" spans="1:56" ht="12.75" customHeight="1">
      <c r="A727" s="2"/>
      <c r="B727" s="473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39"/>
    </row>
    <row r="728" spans="1:56" ht="12.75" customHeight="1">
      <c r="A728" s="2"/>
      <c r="B728" s="473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39"/>
    </row>
    <row r="729" spans="1:56" ht="12.75" customHeight="1">
      <c r="A729" s="2"/>
      <c r="B729" s="473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39"/>
    </row>
    <row r="730" spans="1:56" ht="12.75" customHeight="1">
      <c r="A730" s="2"/>
      <c r="B730" s="473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39"/>
    </row>
    <row r="731" spans="1:56" ht="12.75" customHeight="1">
      <c r="A731" s="2"/>
      <c r="B731" s="473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39"/>
    </row>
    <row r="732" spans="1:56" ht="12.75" customHeight="1">
      <c r="A732" s="2"/>
      <c r="B732" s="473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39"/>
    </row>
    <row r="733" spans="1:56" ht="12.75" customHeight="1">
      <c r="A733" s="2"/>
      <c r="B733" s="473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39"/>
    </row>
    <row r="734" spans="1:56" ht="12.75" customHeight="1">
      <c r="A734" s="2"/>
      <c r="B734" s="473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39"/>
    </row>
    <row r="735" spans="1:56" ht="12.75" customHeight="1">
      <c r="A735" s="2"/>
      <c r="B735" s="473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39"/>
    </row>
    <row r="736" spans="1:56" ht="12.75" customHeight="1">
      <c r="A736" s="2"/>
      <c r="B736" s="473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39"/>
    </row>
    <row r="737" spans="1:56" ht="12.75" customHeight="1">
      <c r="A737" s="2"/>
      <c r="B737" s="473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39"/>
    </row>
    <row r="738" spans="1:56" ht="12.75" customHeight="1">
      <c r="A738" s="2"/>
      <c r="B738" s="473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39"/>
    </row>
    <row r="739" spans="1:56" ht="12.75" customHeight="1">
      <c r="A739" s="2"/>
      <c r="B739" s="473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39"/>
    </row>
    <row r="740" spans="1:56" ht="12.75" customHeight="1">
      <c r="A740" s="2"/>
      <c r="B740" s="473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39"/>
    </row>
    <row r="741" spans="1:56" ht="12.75" customHeight="1">
      <c r="A741" s="2"/>
      <c r="B741" s="473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39"/>
    </row>
    <row r="742" spans="1:56" ht="12.75" customHeight="1">
      <c r="A742" s="2"/>
      <c r="B742" s="473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39"/>
    </row>
    <row r="743" spans="1:56" ht="12.75" customHeight="1">
      <c r="A743" s="2"/>
      <c r="B743" s="473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39"/>
    </row>
    <row r="744" spans="1:56" ht="12.75" customHeight="1">
      <c r="A744" s="2"/>
      <c r="B744" s="473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39"/>
    </row>
    <row r="745" spans="1:56" ht="12.75" customHeight="1">
      <c r="A745" s="2"/>
      <c r="B745" s="473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39"/>
    </row>
    <row r="746" spans="1:56" ht="12.75" customHeight="1">
      <c r="A746" s="2"/>
      <c r="B746" s="473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39"/>
    </row>
    <row r="747" spans="1:56" ht="12.75" customHeight="1">
      <c r="A747" s="2"/>
      <c r="B747" s="473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39"/>
    </row>
    <row r="748" spans="1:56" ht="12.75" customHeight="1">
      <c r="A748" s="2"/>
      <c r="B748" s="473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39"/>
    </row>
    <row r="749" spans="1:56" ht="12.75" customHeight="1">
      <c r="A749" s="2"/>
      <c r="B749" s="473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39"/>
    </row>
    <row r="750" spans="1:56" ht="12.75" customHeight="1">
      <c r="A750" s="2"/>
      <c r="B750" s="473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39"/>
    </row>
    <row r="751" spans="1:56" ht="12.75" customHeight="1">
      <c r="A751" s="2"/>
      <c r="B751" s="473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39"/>
    </row>
    <row r="752" spans="1:56" ht="12.75" customHeight="1">
      <c r="A752" s="2"/>
      <c r="B752" s="473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39"/>
    </row>
    <row r="753" spans="1:56" ht="12.75" customHeight="1">
      <c r="A753" s="2"/>
      <c r="B753" s="473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39"/>
    </row>
    <row r="754" spans="1:56" ht="12.75" customHeight="1">
      <c r="A754" s="2"/>
      <c r="B754" s="473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39"/>
    </row>
    <row r="755" spans="1:56" ht="12.75" customHeight="1">
      <c r="A755" s="2"/>
      <c r="B755" s="473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39"/>
    </row>
    <row r="756" spans="1:56" ht="12.75" customHeight="1">
      <c r="A756" s="2"/>
      <c r="B756" s="473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39"/>
    </row>
    <row r="757" spans="1:56" ht="12.75" customHeight="1">
      <c r="A757" s="2"/>
      <c r="B757" s="473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39"/>
    </row>
    <row r="758" spans="1:56" ht="12.75" customHeight="1">
      <c r="A758" s="2"/>
      <c r="B758" s="473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39"/>
    </row>
    <row r="759" spans="1:56" ht="12.75" customHeight="1">
      <c r="A759" s="2"/>
      <c r="B759" s="473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39"/>
    </row>
    <row r="760" spans="1:56" ht="12.75" customHeight="1">
      <c r="A760" s="2"/>
      <c r="B760" s="473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39"/>
    </row>
    <row r="761" spans="1:56" ht="12.75" customHeight="1">
      <c r="A761" s="2"/>
      <c r="B761" s="473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39"/>
    </row>
    <row r="762" spans="1:56" ht="12.75" customHeight="1">
      <c r="A762" s="2"/>
      <c r="B762" s="473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39"/>
    </row>
    <row r="763" spans="1:56" ht="12.75" customHeight="1">
      <c r="A763" s="2"/>
      <c r="B763" s="473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39"/>
    </row>
    <row r="764" spans="1:56" ht="12.75" customHeight="1">
      <c r="A764" s="2"/>
      <c r="B764" s="473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39"/>
    </row>
    <row r="765" spans="1:56" ht="12.75" customHeight="1">
      <c r="A765" s="2"/>
      <c r="B765" s="473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39"/>
    </row>
    <row r="766" spans="1:56" ht="12.75" customHeight="1">
      <c r="A766" s="2"/>
      <c r="B766" s="473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39"/>
    </row>
    <row r="767" spans="1:56" ht="12.75" customHeight="1">
      <c r="A767" s="2"/>
      <c r="B767" s="473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39"/>
    </row>
    <row r="768" spans="1:56" ht="12.75" customHeight="1">
      <c r="A768" s="2"/>
      <c r="B768" s="473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39"/>
    </row>
    <row r="769" spans="1:56" ht="12.75" customHeight="1">
      <c r="A769" s="2"/>
      <c r="B769" s="473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39"/>
    </row>
    <row r="770" spans="1:56" ht="12.75" customHeight="1">
      <c r="A770" s="2"/>
      <c r="B770" s="473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39"/>
    </row>
    <row r="771" spans="1:56" ht="12.75" customHeight="1">
      <c r="A771" s="2"/>
      <c r="B771" s="473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39"/>
    </row>
    <row r="772" spans="1:56" ht="12.75" customHeight="1">
      <c r="A772" s="2"/>
      <c r="B772" s="473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39"/>
    </row>
    <row r="773" spans="1:56" ht="12.75" customHeight="1">
      <c r="A773" s="2"/>
      <c r="B773" s="473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39"/>
    </row>
    <row r="774" spans="1:56" ht="12.75" customHeight="1">
      <c r="A774" s="2"/>
      <c r="B774" s="473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39"/>
    </row>
    <row r="775" spans="1:56" ht="12.75" customHeight="1">
      <c r="A775" s="2"/>
      <c r="B775" s="473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39"/>
    </row>
    <row r="776" spans="1:56" ht="12.75" customHeight="1">
      <c r="A776" s="2"/>
      <c r="B776" s="473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39"/>
    </row>
    <row r="777" spans="1:56" ht="12.75" customHeight="1">
      <c r="A777" s="2"/>
      <c r="B777" s="473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39"/>
    </row>
    <row r="778" spans="1:56" ht="12.75" customHeight="1">
      <c r="A778" s="2"/>
      <c r="B778" s="473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39"/>
    </row>
    <row r="779" spans="1:56" ht="12.75" customHeight="1">
      <c r="A779" s="2"/>
      <c r="B779" s="473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39"/>
    </row>
    <row r="780" spans="1:56" ht="12.75" customHeight="1">
      <c r="A780" s="2"/>
      <c r="B780" s="473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39"/>
    </row>
    <row r="781" spans="1:56" ht="12.75" customHeight="1">
      <c r="A781" s="2"/>
      <c r="B781" s="473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39"/>
    </row>
    <row r="782" spans="1:56" ht="12.75" customHeight="1">
      <c r="A782" s="2"/>
      <c r="B782" s="473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39"/>
    </row>
    <row r="783" spans="1:56" ht="12.75" customHeight="1">
      <c r="A783" s="2"/>
      <c r="B783" s="473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39"/>
    </row>
    <row r="784" spans="1:56" ht="12.75" customHeight="1">
      <c r="A784" s="2"/>
      <c r="B784" s="473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39"/>
    </row>
    <row r="785" spans="1:56" ht="12.75" customHeight="1">
      <c r="A785" s="2"/>
      <c r="B785" s="473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39"/>
    </row>
    <row r="786" spans="1:56" ht="12.75" customHeight="1">
      <c r="A786" s="2"/>
      <c r="B786" s="473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39"/>
    </row>
    <row r="787" spans="1:56" ht="12.75" customHeight="1">
      <c r="A787" s="2"/>
      <c r="B787" s="473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39"/>
    </row>
    <row r="788" spans="1:56" ht="12.75" customHeight="1">
      <c r="A788" s="2"/>
      <c r="B788" s="473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39"/>
    </row>
    <row r="789" spans="1:56" ht="12.75" customHeight="1">
      <c r="A789" s="2"/>
      <c r="B789" s="473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39"/>
    </row>
    <row r="790" spans="1:56" ht="12.75" customHeight="1">
      <c r="A790" s="2"/>
      <c r="B790" s="473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39"/>
    </row>
    <row r="791" spans="1:56" ht="12.75" customHeight="1">
      <c r="A791" s="2"/>
      <c r="B791" s="473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39"/>
    </row>
    <row r="792" spans="1:56" ht="12.75" customHeight="1">
      <c r="A792" s="2"/>
      <c r="B792" s="473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39"/>
    </row>
    <row r="793" spans="1:56" ht="12.75" customHeight="1">
      <c r="A793" s="2"/>
      <c r="B793" s="473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39"/>
    </row>
    <row r="794" spans="1:56" ht="12.75" customHeight="1">
      <c r="A794" s="2"/>
      <c r="B794" s="473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39"/>
    </row>
    <row r="795" spans="1:56" ht="12.75" customHeight="1">
      <c r="A795" s="2"/>
      <c r="B795" s="473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39"/>
    </row>
    <row r="796" spans="1:56" ht="12.75" customHeight="1">
      <c r="A796" s="2"/>
      <c r="B796" s="473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39"/>
    </row>
    <row r="797" spans="1:56" ht="12.75" customHeight="1">
      <c r="A797" s="2"/>
      <c r="B797" s="473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39"/>
    </row>
    <row r="798" spans="1:56" ht="12.75" customHeight="1">
      <c r="A798" s="2"/>
      <c r="B798" s="473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39"/>
    </row>
    <row r="799" spans="1:56" ht="12.75" customHeight="1">
      <c r="A799" s="2"/>
      <c r="B799" s="473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39"/>
    </row>
    <row r="800" spans="1:56" ht="12.75" customHeight="1">
      <c r="A800" s="2"/>
      <c r="B800" s="473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39"/>
    </row>
    <row r="801" spans="1:56" ht="12.75" customHeight="1">
      <c r="A801" s="2"/>
      <c r="B801" s="473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39"/>
    </row>
    <row r="802" spans="1:56" ht="12.75" customHeight="1">
      <c r="A802" s="2"/>
      <c r="B802" s="473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39"/>
    </row>
    <row r="803" spans="1:56" ht="12.75" customHeight="1">
      <c r="A803" s="2"/>
      <c r="B803" s="473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39"/>
    </row>
    <row r="804" spans="1:56" ht="12.75" customHeight="1">
      <c r="A804" s="2"/>
      <c r="B804" s="473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39"/>
    </row>
    <row r="805" spans="1:56" ht="12.75" customHeight="1">
      <c r="A805" s="2"/>
      <c r="B805" s="473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39"/>
    </row>
    <row r="806" spans="1:56" ht="12.75" customHeight="1">
      <c r="A806" s="2"/>
      <c r="B806" s="473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39"/>
    </row>
    <row r="807" spans="1:56" ht="12.75" customHeight="1">
      <c r="A807" s="2"/>
      <c r="B807" s="473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39"/>
    </row>
    <row r="808" spans="1:56" ht="12.75" customHeight="1">
      <c r="A808" s="2"/>
      <c r="B808" s="473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39"/>
    </row>
    <row r="809" spans="1:56" ht="12.75" customHeight="1">
      <c r="A809" s="2"/>
      <c r="B809" s="473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39"/>
    </row>
    <row r="810" spans="1:56" ht="12.75" customHeight="1">
      <c r="A810" s="2"/>
      <c r="B810" s="473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39"/>
    </row>
    <row r="811" spans="1:56" ht="12.75" customHeight="1">
      <c r="A811" s="2"/>
      <c r="B811" s="473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39"/>
    </row>
    <row r="812" spans="1:56" ht="12.75" customHeight="1">
      <c r="A812" s="2"/>
      <c r="B812" s="473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39"/>
    </row>
    <row r="813" spans="1:56" ht="12.75" customHeight="1">
      <c r="A813" s="2"/>
      <c r="B813" s="473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39"/>
    </row>
    <row r="814" spans="1:56" ht="12.75" customHeight="1">
      <c r="A814" s="2"/>
      <c r="B814" s="473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39"/>
    </row>
    <row r="815" spans="1:56" ht="12.75" customHeight="1">
      <c r="A815" s="2"/>
      <c r="B815" s="473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39"/>
    </row>
    <row r="816" spans="1:56" ht="12.75" customHeight="1">
      <c r="A816" s="2"/>
      <c r="B816" s="473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39"/>
    </row>
    <row r="817" spans="1:56" ht="12.75" customHeight="1">
      <c r="A817" s="2"/>
      <c r="B817" s="473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39"/>
    </row>
    <row r="818" spans="1:56" ht="12.75" customHeight="1">
      <c r="A818" s="2"/>
      <c r="B818" s="473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39"/>
    </row>
    <row r="819" spans="1:56" ht="12.75" customHeight="1">
      <c r="A819" s="2"/>
      <c r="B819" s="473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39"/>
    </row>
    <row r="820" spans="1:56" ht="12.75" customHeight="1">
      <c r="A820" s="2"/>
      <c r="B820" s="473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39"/>
    </row>
    <row r="821" spans="1:56" ht="12.75" customHeight="1">
      <c r="A821" s="2"/>
      <c r="B821" s="473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39"/>
    </row>
    <row r="822" spans="1:56" ht="12.75" customHeight="1">
      <c r="A822" s="2"/>
      <c r="B822" s="473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39"/>
    </row>
    <row r="823" spans="1:56" ht="12.75" customHeight="1">
      <c r="A823" s="2"/>
      <c r="B823" s="473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39"/>
    </row>
    <row r="824" spans="1:56" ht="12.75" customHeight="1">
      <c r="A824" s="2"/>
      <c r="B824" s="473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39"/>
    </row>
    <row r="825" spans="1:56" ht="12.75" customHeight="1">
      <c r="A825" s="2"/>
      <c r="B825" s="473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39"/>
    </row>
    <row r="826" spans="1:56" ht="12.75" customHeight="1">
      <c r="A826" s="2"/>
      <c r="B826" s="473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39"/>
    </row>
    <row r="827" spans="1:56" ht="12.75" customHeight="1">
      <c r="A827" s="2"/>
      <c r="B827" s="473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39"/>
    </row>
    <row r="828" spans="1:56" ht="12.75" customHeight="1">
      <c r="A828" s="2"/>
      <c r="B828" s="473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39"/>
    </row>
    <row r="829" spans="1:56" ht="12.75" customHeight="1">
      <c r="A829" s="2"/>
      <c r="B829" s="473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39"/>
    </row>
    <row r="830" spans="1:56" ht="12.75" customHeight="1">
      <c r="A830" s="2"/>
      <c r="B830" s="473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39"/>
    </row>
    <row r="831" spans="1:56" ht="12.75" customHeight="1">
      <c r="A831" s="2"/>
      <c r="B831" s="473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39"/>
    </row>
    <row r="832" spans="1:56" ht="12.75" customHeight="1">
      <c r="A832" s="2"/>
      <c r="B832" s="473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39"/>
    </row>
    <row r="833" spans="1:56" ht="12.75" customHeight="1">
      <c r="A833" s="2"/>
      <c r="B833" s="473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39"/>
    </row>
    <row r="834" spans="1:56" ht="12.75" customHeight="1">
      <c r="A834" s="2"/>
      <c r="B834" s="473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39"/>
    </row>
    <row r="835" spans="1:56" ht="12.75" customHeight="1">
      <c r="A835" s="2"/>
      <c r="B835" s="473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39"/>
    </row>
    <row r="836" spans="1:56" ht="12.75" customHeight="1">
      <c r="A836" s="2"/>
      <c r="B836" s="473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39"/>
    </row>
    <row r="837" spans="1:56" ht="12.75" customHeight="1">
      <c r="A837" s="2"/>
      <c r="B837" s="473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39"/>
    </row>
    <row r="838" spans="1:56" ht="12.75" customHeight="1">
      <c r="A838" s="2"/>
      <c r="B838" s="473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39"/>
    </row>
    <row r="839" spans="1:56" ht="12.75" customHeight="1">
      <c r="A839" s="2"/>
      <c r="B839" s="473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39"/>
    </row>
    <row r="840" spans="1:56" ht="12.75" customHeight="1">
      <c r="A840" s="2"/>
      <c r="B840" s="473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39"/>
    </row>
    <row r="841" spans="1:56" ht="12.75" customHeight="1">
      <c r="A841" s="2"/>
      <c r="B841" s="473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39"/>
    </row>
    <row r="842" spans="1:56" ht="12.75" customHeight="1">
      <c r="A842" s="2"/>
      <c r="B842" s="473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39"/>
    </row>
    <row r="843" spans="1:56" ht="12.75" customHeight="1">
      <c r="A843" s="2"/>
      <c r="B843" s="473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39"/>
    </row>
    <row r="844" spans="1:56" ht="12.75" customHeight="1">
      <c r="A844" s="2"/>
      <c r="B844" s="473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39"/>
    </row>
    <row r="845" spans="1:56" ht="12.75" customHeight="1">
      <c r="A845" s="2"/>
      <c r="B845" s="473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39"/>
    </row>
    <row r="846" spans="1:56" ht="12.75" customHeight="1">
      <c r="A846" s="2"/>
      <c r="B846" s="473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39"/>
    </row>
    <row r="847" spans="1:56" ht="12.75" customHeight="1">
      <c r="A847" s="2"/>
      <c r="B847" s="473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39"/>
    </row>
    <row r="848" spans="1:56" ht="12.75" customHeight="1">
      <c r="A848" s="2"/>
      <c r="B848" s="473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39"/>
    </row>
    <row r="849" spans="1:56" ht="12.75" customHeight="1">
      <c r="A849" s="2"/>
      <c r="B849" s="473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39"/>
    </row>
    <row r="850" spans="1:56" ht="12.75" customHeight="1">
      <c r="A850" s="2"/>
      <c r="B850" s="473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39"/>
    </row>
    <row r="851" spans="1:56" ht="12.75" customHeight="1">
      <c r="A851" s="2"/>
      <c r="B851" s="473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39"/>
    </row>
    <row r="852" spans="1:56" ht="12.75" customHeight="1">
      <c r="A852" s="2"/>
      <c r="B852" s="473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39"/>
    </row>
    <row r="853" spans="1:56" ht="12.75" customHeight="1">
      <c r="A853" s="2"/>
      <c r="B853" s="473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39"/>
    </row>
    <row r="854" spans="1:56" ht="12.75" customHeight="1">
      <c r="A854" s="2"/>
      <c r="B854" s="473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39"/>
    </row>
    <row r="855" spans="1:56" ht="12.75" customHeight="1">
      <c r="A855" s="2"/>
      <c r="B855" s="473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39"/>
    </row>
    <row r="856" spans="1:56" ht="12.75" customHeight="1">
      <c r="A856" s="2"/>
      <c r="B856" s="473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39"/>
    </row>
    <row r="857" spans="1:56" ht="12.75" customHeight="1">
      <c r="A857" s="2"/>
      <c r="B857" s="473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39"/>
    </row>
    <row r="858" spans="1:56" ht="12.75" customHeight="1">
      <c r="A858" s="2"/>
      <c r="B858" s="473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39"/>
    </row>
    <row r="859" spans="1:56" ht="12.75" customHeight="1">
      <c r="A859" s="2"/>
      <c r="B859" s="473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39"/>
    </row>
    <row r="860" spans="1:56" ht="12.75" customHeight="1">
      <c r="A860" s="2"/>
      <c r="B860" s="473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39"/>
    </row>
    <row r="861" spans="1:56" ht="12.75" customHeight="1">
      <c r="A861" s="2"/>
      <c r="B861" s="473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39"/>
    </row>
    <row r="862" spans="1:56" ht="12.75" customHeight="1">
      <c r="A862" s="2"/>
      <c r="B862" s="473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39"/>
    </row>
    <row r="863" spans="1:56" ht="12.75" customHeight="1">
      <c r="A863" s="2"/>
      <c r="B863" s="473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39"/>
    </row>
    <row r="864" spans="1:56" ht="12.75" customHeight="1">
      <c r="A864" s="2"/>
      <c r="B864" s="473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39"/>
    </row>
    <row r="865" spans="1:56" ht="12.75" customHeight="1">
      <c r="A865" s="2"/>
      <c r="B865" s="473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39"/>
    </row>
    <row r="866" spans="1:56" ht="12.75" customHeight="1">
      <c r="A866" s="2"/>
      <c r="B866" s="473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39"/>
    </row>
    <row r="867" spans="1:56" ht="12.75" customHeight="1">
      <c r="A867" s="2"/>
      <c r="B867" s="473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39"/>
    </row>
    <row r="868" spans="1:56" ht="12.75" customHeight="1">
      <c r="A868" s="2"/>
      <c r="B868" s="473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39"/>
    </row>
    <row r="869" spans="1:56" ht="12.75" customHeight="1">
      <c r="A869" s="2"/>
      <c r="B869" s="473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39"/>
    </row>
    <row r="870" spans="1:56" ht="12.75" customHeight="1">
      <c r="A870" s="2"/>
      <c r="B870" s="473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39"/>
    </row>
    <row r="871" spans="1:56" ht="12.75" customHeight="1">
      <c r="A871" s="2"/>
      <c r="B871" s="473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39"/>
    </row>
    <row r="872" spans="1:56" ht="12.75" customHeight="1">
      <c r="A872" s="2"/>
      <c r="B872" s="473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39"/>
    </row>
    <row r="873" spans="1:56" ht="12.75" customHeight="1">
      <c r="A873" s="2"/>
      <c r="B873" s="473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39"/>
    </row>
    <row r="874" spans="1:56" ht="12.75" customHeight="1">
      <c r="A874" s="2"/>
      <c r="B874" s="473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39"/>
    </row>
    <row r="875" spans="1:56" ht="12.75" customHeight="1">
      <c r="A875" s="2"/>
      <c r="B875" s="473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39"/>
    </row>
    <row r="876" spans="1:56" ht="12.75" customHeight="1">
      <c r="A876" s="2"/>
      <c r="B876" s="473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39"/>
    </row>
    <row r="877" spans="1:56" ht="12.75" customHeight="1">
      <c r="A877" s="2"/>
      <c r="B877" s="473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39"/>
    </row>
    <row r="878" spans="1:56" ht="12.75" customHeight="1">
      <c r="A878" s="2"/>
      <c r="B878" s="473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39"/>
    </row>
    <row r="879" spans="1:56" ht="12.75" customHeight="1">
      <c r="A879" s="2"/>
      <c r="B879" s="473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39"/>
    </row>
    <row r="880" spans="1:56" ht="12.75" customHeight="1">
      <c r="A880" s="2"/>
      <c r="B880" s="473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39"/>
    </row>
    <row r="881" spans="1:56" ht="12.75" customHeight="1">
      <c r="A881" s="2"/>
      <c r="B881" s="473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39"/>
    </row>
    <row r="882" spans="1:56" ht="12.75" customHeight="1">
      <c r="A882" s="2"/>
      <c r="B882" s="473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39"/>
    </row>
    <row r="883" spans="1:56" ht="12.75" customHeight="1">
      <c r="A883" s="2"/>
      <c r="B883" s="473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39"/>
    </row>
    <row r="884" spans="1:56" ht="12.75" customHeight="1">
      <c r="A884" s="2"/>
      <c r="B884" s="473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39"/>
    </row>
    <row r="885" spans="1:56" ht="12.75" customHeight="1">
      <c r="A885" s="2"/>
      <c r="B885" s="473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39"/>
    </row>
    <row r="886" spans="1:56" ht="12.75" customHeight="1">
      <c r="A886" s="2"/>
      <c r="B886" s="473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39"/>
    </row>
    <row r="887" spans="1:56" ht="12.75" customHeight="1">
      <c r="A887" s="2"/>
      <c r="B887" s="473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39"/>
    </row>
    <row r="888" spans="1:56" ht="12.75" customHeight="1">
      <c r="A888" s="2"/>
      <c r="B888" s="473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39"/>
    </row>
    <row r="889" spans="1:56" ht="12.75" customHeight="1">
      <c r="A889" s="2"/>
      <c r="B889" s="473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39"/>
    </row>
    <row r="890" spans="1:56" ht="12.75" customHeight="1">
      <c r="A890" s="2"/>
      <c r="B890" s="473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39"/>
    </row>
    <row r="891" spans="1:56" ht="12.75" customHeight="1">
      <c r="A891" s="2"/>
      <c r="B891" s="473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39"/>
    </row>
    <row r="892" spans="1:56" ht="12.75" customHeight="1">
      <c r="A892" s="2"/>
      <c r="B892" s="473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39"/>
    </row>
    <row r="893" spans="1:56" ht="12.75" customHeight="1">
      <c r="A893" s="2"/>
      <c r="B893" s="473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39"/>
    </row>
    <row r="894" spans="1:56" ht="12.75" customHeight="1">
      <c r="A894" s="2"/>
      <c r="B894" s="473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39"/>
    </row>
    <row r="895" spans="1:56" ht="12.75" customHeight="1">
      <c r="A895" s="2"/>
      <c r="B895" s="473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39"/>
    </row>
    <row r="896" spans="1:56" ht="12.75" customHeight="1">
      <c r="A896" s="2"/>
      <c r="B896" s="473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39"/>
    </row>
    <row r="897" spans="1:56" ht="12.75" customHeight="1">
      <c r="A897" s="2"/>
      <c r="B897" s="473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39"/>
    </row>
    <row r="898" spans="1:56" ht="12.75" customHeight="1">
      <c r="A898" s="2"/>
      <c r="B898" s="473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39"/>
    </row>
    <row r="899" spans="1:56" ht="12.75" customHeight="1">
      <c r="A899" s="2"/>
      <c r="B899" s="473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39"/>
    </row>
    <row r="900" spans="1:56" ht="12.75" customHeight="1">
      <c r="A900" s="2"/>
      <c r="B900" s="473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39"/>
    </row>
    <row r="901" spans="1:56" ht="12.75" customHeight="1">
      <c r="A901" s="2"/>
      <c r="B901" s="473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39"/>
    </row>
    <row r="902" spans="1:56" ht="12.75" customHeight="1">
      <c r="A902" s="2"/>
      <c r="B902" s="473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39"/>
    </row>
    <row r="903" spans="1:56" ht="12.75" customHeight="1">
      <c r="A903" s="2"/>
      <c r="B903" s="473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39"/>
    </row>
    <row r="904" spans="1:56" ht="12.75" customHeight="1">
      <c r="A904" s="2"/>
      <c r="B904" s="473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39"/>
    </row>
    <row r="905" spans="1:56" ht="12.75" customHeight="1">
      <c r="A905" s="2"/>
      <c r="B905" s="473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39"/>
    </row>
    <row r="906" spans="1:56" ht="12.75" customHeight="1">
      <c r="A906" s="2"/>
      <c r="B906" s="473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39"/>
    </row>
    <row r="907" spans="1:56" ht="12.75" customHeight="1">
      <c r="A907" s="2"/>
      <c r="B907" s="473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39"/>
    </row>
    <row r="908" spans="1:56" ht="12.75" customHeight="1">
      <c r="A908" s="2"/>
      <c r="B908" s="473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39"/>
    </row>
    <row r="909" spans="1:56" ht="12.75" customHeight="1">
      <c r="A909" s="2"/>
      <c r="B909" s="473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39"/>
    </row>
    <row r="910" spans="1:56" ht="12.75" customHeight="1">
      <c r="A910" s="2"/>
      <c r="B910" s="473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39"/>
    </row>
    <row r="911" spans="1:56" ht="12.75" customHeight="1">
      <c r="A911" s="2"/>
      <c r="B911" s="473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39"/>
    </row>
    <row r="912" spans="1:56" ht="12.75" customHeight="1">
      <c r="A912" s="2"/>
      <c r="B912" s="473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39"/>
    </row>
    <row r="913" spans="1:56" ht="12.75" customHeight="1">
      <c r="A913" s="2"/>
      <c r="B913" s="473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39"/>
    </row>
    <row r="914" spans="1:56" ht="12.75" customHeight="1">
      <c r="A914" s="2"/>
      <c r="B914" s="473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39"/>
    </row>
    <row r="915" spans="1:56" ht="12.75" customHeight="1">
      <c r="A915" s="2"/>
      <c r="B915" s="473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39"/>
    </row>
    <row r="916" spans="1:56" ht="12.75" customHeight="1">
      <c r="A916" s="2"/>
      <c r="B916" s="473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39"/>
    </row>
    <row r="917" spans="1:56" ht="12.75" customHeight="1">
      <c r="A917" s="2"/>
      <c r="B917" s="473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39"/>
    </row>
    <row r="918" spans="1:56" ht="12.75" customHeight="1">
      <c r="A918" s="2"/>
      <c r="B918" s="473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39"/>
    </row>
    <row r="919" spans="1:56" ht="12.75" customHeight="1">
      <c r="A919" s="2"/>
      <c r="B919" s="473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39"/>
    </row>
    <row r="920" spans="1:56" ht="12.75" customHeight="1">
      <c r="A920" s="2"/>
      <c r="B920" s="473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39"/>
    </row>
    <row r="921" spans="1:56" ht="12.75" customHeight="1">
      <c r="A921" s="2"/>
      <c r="B921" s="473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39"/>
    </row>
    <row r="922" spans="1:56" ht="12.75" customHeight="1">
      <c r="A922" s="2"/>
      <c r="B922" s="473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39"/>
    </row>
    <row r="923" spans="1:56" ht="12.75" customHeight="1">
      <c r="A923" s="2"/>
      <c r="B923" s="473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39"/>
    </row>
    <row r="924" spans="1:56" ht="12.75" customHeight="1">
      <c r="A924" s="2"/>
      <c r="B924" s="473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39"/>
    </row>
    <row r="925" spans="1:56" ht="12.75" customHeight="1">
      <c r="A925" s="2"/>
      <c r="B925" s="473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39"/>
    </row>
    <row r="926" spans="1:56" ht="12.75" customHeight="1">
      <c r="A926" s="2"/>
      <c r="B926" s="473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39"/>
    </row>
    <row r="927" spans="1:56" ht="12.75" customHeight="1">
      <c r="A927" s="2"/>
      <c r="B927" s="473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39"/>
    </row>
    <row r="928" spans="1:56" ht="12.75" customHeight="1">
      <c r="A928" s="2"/>
      <c r="B928" s="473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39"/>
    </row>
    <row r="929" spans="1:56" ht="12.75" customHeight="1">
      <c r="A929" s="2"/>
      <c r="B929" s="473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39"/>
    </row>
    <row r="930" spans="1:56" ht="12.75" customHeight="1">
      <c r="A930" s="2"/>
      <c r="B930" s="473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39"/>
    </row>
    <row r="931" spans="1:56" ht="12.75" customHeight="1">
      <c r="A931" s="2"/>
      <c r="B931" s="473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39"/>
    </row>
    <row r="932" spans="1:56" ht="12.75" customHeight="1">
      <c r="A932" s="2"/>
      <c r="B932" s="473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39"/>
    </row>
    <row r="933" spans="1:56" ht="12.75" customHeight="1">
      <c r="A933" s="2"/>
      <c r="B933" s="473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39"/>
    </row>
    <row r="934" spans="1:56" ht="12.75" customHeight="1">
      <c r="A934" s="2"/>
      <c r="B934" s="473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39"/>
    </row>
    <row r="935" spans="1:56" ht="12.75" customHeight="1">
      <c r="A935" s="2"/>
      <c r="B935" s="473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39"/>
    </row>
    <row r="936" spans="1:56" ht="12.75" customHeight="1">
      <c r="A936" s="2"/>
      <c r="B936" s="473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39"/>
    </row>
    <row r="937" spans="1:56" ht="12.75" customHeight="1">
      <c r="A937" s="2"/>
      <c r="B937" s="473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39"/>
    </row>
    <row r="938" spans="1:56" ht="12.75" customHeight="1">
      <c r="A938" s="2"/>
      <c r="B938" s="473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39"/>
    </row>
    <row r="939" spans="1:56" ht="12.75" customHeight="1">
      <c r="A939" s="2"/>
      <c r="B939" s="473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39"/>
    </row>
    <row r="940" spans="1:56" ht="12.75" customHeight="1">
      <c r="A940" s="2"/>
      <c r="B940" s="473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39"/>
    </row>
    <row r="941" spans="1:56" ht="12.75" customHeight="1">
      <c r="A941" s="2"/>
      <c r="B941" s="473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39"/>
    </row>
    <row r="942" spans="1:56" ht="12.75" customHeight="1">
      <c r="A942" s="2"/>
      <c r="B942" s="473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39"/>
    </row>
    <row r="943" spans="1:56" ht="12.75" customHeight="1">
      <c r="A943" s="2"/>
      <c r="B943" s="473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39"/>
    </row>
    <row r="944" spans="1:56" ht="12.75" customHeight="1">
      <c r="A944" s="2"/>
      <c r="B944" s="473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39"/>
    </row>
    <row r="945" spans="1:56" ht="12.75" customHeight="1">
      <c r="A945" s="2"/>
      <c r="B945" s="473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39"/>
    </row>
    <row r="946" spans="1:56" ht="12.75" customHeight="1">
      <c r="A946" s="2"/>
      <c r="B946" s="473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39"/>
    </row>
    <row r="947" spans="1:56" ht="12.75" customHeight="1">
      <c r="A947" s="2"/>
      <c r="B947" s="473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39"/>
    </row>
    <row r="948" spans="1:56" ht="12.75" customHeight="1">
      <c r="A948" s="2"/>
      <c r="B948" s="473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39"/>
    </row>
    <row r="949" spans="1:56" ht="12.75" customHeight="1">
      <c r="A949" s="2"/>
      <c r="B949" s="473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39"/>
    </row>
    <row r="950" spans="1:56" ht="12.75" customHeight="1">
      <c r="A950" s="2"/>
      <c r="B950" s="473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39"/>
    </row>
    <row r="951" spans="1:56" ht="12.75" customHeight="1">
      <c r="A951" s="2"/>
      <c r="B951" s="473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39"/>
    </row>
    <row r="952" spans="1:56" ht="12.75" customHeight="1">
      <c r="A952" s="2"/>
      <c r="B952" s="473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39"/>
    </row>
    <row r="953" spans="1:56" ht="12.75" customHeight="1">
      <c r="A953" s="2"/>
      <c r="B953" s="473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39"/>
    </row>
    <row r="954" spans="1:56" ht="12.75" customHeight="1">
      <c r="A954" s="2"/>
      <c r="B954" s="473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39"/>
    </row>
    <row r="955" spans="1:56" ht="12.75" customHeight="1">
      <c r="A955" s="2"/>
      <c r="B955" s="473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39"/>
    </row>
    <row r="956" spans="1:56" ht="12.75" customHeight="1">
      <c r="A956" s="2"/>
      <c r="B956" s="473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39"/>
    </row>
    <row r="957" spans="1:56" ht="12.75" customHeight="1">
      <c r="A957" s="2"/>
      <c r="B957" s="473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39"/>
    </row>
    <row r="958" spans="1:56" ht="12.75" customHeight="1">
      <c r="A958" s="2"/>
      <c r="B958" s="473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39"/>
    </row>
    <row r="959" spans="1:56" ht="12.75" customHeight="1">
      <c r="A959" s="2"/>
      <c r="B959" s="473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39"/>
    </row>
    <row r="960" spans="1:56" ht="12.75" customHeight="1">
      <c r="A960" s="2"/>
      <c r="B960" s="473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39"/>
    </row>
    <row r="961" spans="1:56" ht="12.75" customHeight="1">
      <c r="A961" s="2"/>
      <c r="B961" s="473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39"/>
    </row>
    <row r="962" spans="1:56" ht="12.75" customHeight="1">
      <c r="A962" s="2"/>
      <c r="B962" s="473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39"/>
    </row>
    <row r="963" spans="1:56" ht="12.75" customHeight="1">
      <c r="A963" s="2"/>
      <c r="B963" s="473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39"/>
    </row>
    <row r="964" spans="1:56" ht="12.75" customHeight="1">
      <c r="A964" s="2"/>
      <c r="B964" s="473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39"/>
    </row>
    <row r="965" spans="1:56" ht="12.75" customHeight="1">
      <c r="A965" s="2"/>
      <c r="B965" s="473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39"/>
    </row>
    <row r="966" spans="1:56" ht="12.75" customHeight="1">
      <c r="A966" s="2"/>
      <c r="B966" s="473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39"/>
    </row>
    <row r="967" spans="1:56" ht="12.75" customHeight="1">
      <c r="A967" s="2"/>
      <c r="B967" s="473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39"/>
    </row>
    <row r="968" spans="1:56" ht="12.75" customHeight="1">
      <c r="A968" s="2"/>
      <c r="B968" s="473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39"/>
    </row>
    <row r="969" spans="1:56" ht="12.75" customHeight="1">
      <c r="A969" s="2"/>
      <c r="B969" s="473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39"/>
    </row>
    <row r="970" spans="1:56" ht="12.75" customHeight="1">
      <c r="A970" s="2"/>
      <c r="B970" s="473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39"/>
    </row>
    <row r="971" spans="1:56" ht="12.75" customHeight="1">
      <c r="A971" s="2"/>
      <c r="B971" s="473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39"/>
    </row>
    <row r="972" spans="1:56" ht="12.75" customHeight="1">
      <c r="A972" s="2"/>
      <c r="B972" s="473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39"/>
    </row>
    <row r="973" spans="1:56" ht="12.75" customHeight="1">
      <c r="A973" s="2"/>
      <c r="B973" s="473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39"/>
    </row>
    <row r="974" spans="1:56" ht="12.75" customHeight="1">
      <c r="A974" s="2"/>
      <c r="B974" s="473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39"/>
    </row>
    <row r="975" spans="1:56" ht="12.75" customHeight="1">
      <c r="A975" s="2"/>
      <c r="B975" s="473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39"/>
    </row>
    <row r="976" spans="1:56" ht="12.75" customHeight="1">
      <c r="A976" s="2"/>
      <c r="B976" s="473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39"/>
    </row>
    <row r="977" spans="1:56" ht="12.75" customHeight="1">
      <c r="A977" s="2"/>
      <c r="B977" s="473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39"/>
    </row>
    <row r="978" spans="1:56" ht="12.75" customHeight="1">
      <c r="A978" s="2"/>
      <c r="B978" s="473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39"/>
    </row>
    <row r="979" spans="1:56" ht="12.75" customHeight="1">
      <c r="A979" s="2"/>
      <c r="B979" s="473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39"/>
    </row>
    <row r="980" spans="1:56" ht="12.75" customHeight="1">
      <c r="A980" s="2"/>
      <c r="B980" s="473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39"/>
    </row>
    <row r="981" spans="1:56" ht="12.75" customHeight="1">
      <c r="A981" s="2"/>
      <c r="B981" s="473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39"/>
    </row>
  </sheetData>
  <mergeCells count="1">
    <mergeCell ref="C1:O1"/>
  </mergeCells>
  <dataValidations count="1">
    <dataValidation type="list" allowBlank="1" showErrorMessage="1" sqref="B1" xr:uid="{00000000-0002-0000-0A00-000000000000}">
      <formula1>"Yes,No"</formula1>
    </dataValidation>
  </dataValidation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E0B3"/>
  </sheetPr>
  <dimension ref="A1:BF98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3984375" defaultRowHeight="15" customHeight="1" outlineLevelRow="1"/>
  <cols>
    <col min="1" max="1" width="31.59765625" customWidth="1"/>
    <col min="2" max="2" width="12" customWidth="1"/>
    <col min="3" max="14" width="12.3984375" customWidth="1"/>
    <col min="15" max="15" width="10.59765625" customWidth="1"/>
    <col min="16" max="16" width="7.796875" customWidth="1"/>
    <col min="17" max="17" width="14" customWidth="1"/>
    <col min="18" max="26" width="8.796875" customWidth="1"/>
    <col min="27" max="53" width="8.796875" hidden="1" customWidth="1"/>
    <col min="54" max="54" width="10.3984375" hidden="1" customWidth="1"/>
    <col min="55" max="55" width="8.796875" hidden="1" customWidth="1"/>
    <col min="56" max="56" width="9.19921875" hidden="1" customWidth="1"/>
    <col min="57" max="58" width="8.796875" hidden="1" customWidth="1"/>
  </cols>
  <sheetData>
    <row r="1" spans="1:58" ht="16.5" customHeight="1">
      <c r="A1" s="1"/>
      <c r="B1" s="307"/>
      <c r="C1" s="497" t="s">
        <v>186</v>
      </c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9"/>
      <c r="P1" s="308"/>
      <c r="Q1" s="3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15" customHeight="1">
      <c r="A2" s="310" t="s">
        <v>240</v>
      </c>
      <c r="B2" s="311" t="s">
        <v>188</v>
      </c>
      <c r="C2" s="312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123">
        <v>45352</v>
      </c>
      <c r="P2" s="313"/>
      <c r="Q2" s="314" t="s">
        <v>189</v>
      </c>
      <c r="R2" s="315"/>
      <c r="S2" s="7"/>
      <c r="T2" s="7"/>
      <c r="U2" s="7"/>
      <c r="V2" s="7"/>
      <c r="W2" s="7"/>
      <c r="X2" s="7"/>
      <c r="Y2" s="7"/>
      <c r="Z2" s="7"/>
      <c r="AA2" s="316" t="s">
        <v>107</v>
      </c>
      <c r="AB2" s="316" t="s">
        <v>108</v>
      </c>
      <c r="AC2" s="316" t="s">
        <v>109</v>
      </c>
      <c r="AD2" s="316" t="s">
        <v>110</v>
      </c>
      <c r="AE2" s="316" t="s">
        <v>111</v>
      </c>
      <c r="AF2" s="316" t="s">
        <v>112</v>
      </c>
      <c r="AG2" s="316" t="s">
        <v>113</v>
      </c>
      <c r="AH2" s="316" t="s">
        <v>114</v>
      </c>
      <c r="AI2" s="316" t="s">
        <v>115</v>
      </c>
      <c r="AJ2" s="316" t="s">
        <v>116</v>
      </c>
      <c r="AK2" s="316" t="s">
        <v>117</v>
      </c>
      <c r="AL2" s="316" t="s">
        <v>118</v>
      </c>
      <c r="AM2" s="317" t="s">
        <v>190</v>
      </c>
      <c r="AN2" s="317" t="s">
        <v>191</v>
      </c>
      <c r="AO2" s="317" t="s">
        <v>192</v>
      </c>
      <c r="AP2" s="317" t="s">
        <v>193</v>
      </c>
      <c r="AQ2" s="317" t="s">
        <v>194</v>
      </c>
      <c r="AR2" s="317" t="s">
        <v>195</v>
      </c>
      <c r="AS2" s="317" t="s">
        <v>196</v>
      </c>
      <c r="AT2" s="317" t="s">
        <v>197</v>
      </c>
      <c r="AU2" s="317" t="s">
        <v>198</v>
      </c>
      <c r="AV2" s="317" t="s">
        <v>199</v>
      </c>
      <c r="AW2" s="317" t="s">
        <v>200</v>
      </c>
      <c r="AX2" s="317" t="s">
        <v>201</v>
      </c>
      <c r="AY2" s="318"/>
      <c r="AZ2" s="318"/>
      <c r="BA2" s="318"/>
      <c r="BB2" s="319"/>
      <c r="BC2" s="320" t="e">
        <f>#REF!</f>
        <v>#REF!</v>
      </c>
      <c r="BD2" s="321"/>
      <c r="BE2" s="322"/>
      <c r="BF2" s="323"/>
    </row>
    <row r="3" spans="1:58" ht="12.75" customHeight="1">
      <c r="A3" s="324"/>
      <c r="B3" s="325"/>
      <c r="C3" s="326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27"/>
      <c r="Q3" s="327"/>
      <c r="R3" s="328"/>
      <c r="S3" s="14"/>
      <c r="T3" s="14"/>
      <c r="U3" s="14"/>
      <c r="V3" s="14"/>
      <c r="W3" s="14"/>
      <c r="X3" s="14"/>
      <c r="Y3" s="14"/>
      <c r="Z3" s="14"/>
      <c r="AA3" s="329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30"/>
      <c r="AW3" s="330"/>
      <c r="AX3" s="330"/>
      <c r="AY3" s="330"/>
      <c r="AZ3" s="330"/>
      <c r="BA3" s="330"/>
      <c r="BB3" s="331"/>
      <c r="BC3" s="332" t="e">
        <f>#REF!&amp;BC2</f>
        <v>#REF!</v>
      </c>
      <c r="BD3" s="333"/>
      <c r="BE3" s="334"/>
      <c r="BF3" s="335"/>
    </row>
    <row r="4" spans="1:58" ht="12.75" hidden="1" customHeight="1" outlineLevel="1">
      <c r="A4" s="336" t="s">
        <v>2</v>
      </c>
      <c r="B4" s="311"/>
      <c r="C4" s="33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338"/>
      <c r="Q4" s="338"/>
      <c r="R4" s="337"/>
      <c r="S4" s="17"/>
      <c r="T4" s="17"/>
      <c r="U4" s="17"/>
      <c r="V4" s="17"/>
      <c r="W4" s="17"/>
      <c r="X4" s="17"/>
      <c r="Y4" s="17"/>
      <c r="Z4" s="17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1"/>
      <c r="AZ4" s="341"/>
      <c r="BA4" s="341"/>
      <c r="BB4" s="342"/>
      <c r="BC4" s="343"/>
      <c r="BD4" s="344"/>
      <c r="BE4" s="345"/>
      <c r="BF4" s="346"/>
    </row>
    <row r="5" spans="1:58" ht="15" hidden="1" customHeight="1" outlineLevel="1">
      <c r="A5" s="21"/>
      <c r="B5" s="347"/>
      <c r="C5" s="348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50"/>
      <c r="Q5" s="350"/>
      <c r="R5" s="348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51"/>
      <c r="AZ5" s="351"/>
      <c r="BA5" s="351"/>
      <c r="BB5" s="352"/>
      <c r="BC5" s="348"/>
      <c r="BD5" s="349"/>
      <c r="BE5" s="349"/>
      <c r="BF5" s="351"/>
    </row>
    <row r="6" spans="1:58" ht="15" hidden="1" customHeight="1" outlineLevel="1">
      <c r="A6" s="21"/>
      <c r="B6" s="347"/>
      <c r="C6" s="348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50"/>
      <c r="Q6" s="350"/>
      <c r="R6" s="348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51"/>
      <c r="AZ6" s="351"/>
      <c r="BA6" s="351"/>
      <c r="BB6" s="352"/>
      <c r="BC6" s="348"/>
      <c r="BD6" s="349"/>
      <c r="BE6" s="349"/>
      <c r="BF6" s="351"/>
    </row>
    <row r="7" spans="1:58" ht="15" hidden="1" customHeight="1" outlineLevel="1">
      <c r="A7" s="353"/>
      <c r="B7" s="354"/>
      <c r="C7" s="35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6"/>
      <c r="Q7" s="356"/>
      <c r="R7" s="355"/>
      <c r="S7" s="35"/>
      <c r="T7" s="35"/>
      <c r="U7" s="35"/>
      <c r="V7" s="35"/>
      <c r="W7" s="35"/>
      <c r="X7" s="35"/>
      <c r="Y7" s="35"/>
      <c r="Z7" s="35"/>
      <c r="AA7" s="357"/>
      <c r="AB7" s="357"/>
      <c r="AC7" s="357"/>
      <c r="AD7" s="357"/>
      <c r="AE7" s="357"/>
      <c r="AF7" s="357"/>
      <c r="AG7" s="357"/>
      <c r="AH7" s="357"/>
      <c r="AI7" s="357"/>
      <c r="AJ7" s="357"/>
      <c r="AK7" s="357"/>
      <c r="AL7" s="357"/>
      <c r="AM7" s="358"/>
      <c r="AN7" s="358"/>
      <c r="AO7" s="358"/>
      <c r="AP7" s="358"/>
      <c r="AQ7" s="358"/>
      <c r="AR7" s="358"/>
      <c r="AS7" s="358"/>
      <c r="AT7" s="358"/>
      <c r="AU7" s="358"/>
      <c r="AV7" s="358"/>
      <c r="AW7" s="358"/>
      <c r="AX7" s="358"/>
      <c r="AY7" s="359"/>
      <c r="AZ7" s="359"/>
      <c r="BA7" s="359"/>
      <c r="BB7" s="360"/>
      <c r="BC7" s="361"/>
      <c r="BD7" s="362"/>
      <c r="BE7" s="363"/>
      <c r="BF7" s="364"/>
    </row>
    <row r="8" spans="1:58" ht="15" hidden="1" customHeight="1" outlineLevel="1">
      <c r="A8" s="353"/>
      <c r="B8" s="354"/>
      <c r="C8" s="35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6"/>
      <c r="Q8" s="356"/>
      <c r="R8" s="355"/>
      <c r="S8" s="35"/>
      <c r="T8" s="35"/>
      <c r="U8" s="35"/>
      <c r="V8" s="35"/>
      <c r="W8" s="35"/>
      <c r="X8" s="35"/>
      <c r="Y8" s="35"/>
      <c r="Z8" s="35"/>
      <c r="AA8" s="357"/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8"/>
      <c r="AN8" s="358"/>
      <c r="AO8" s="358"/>
      <c r="AP8" s="358"/>
      <c r="AQ8" s="358"/>
      <c r="AR8" s="358"/>
      <c r="AS8" s="358"/>
      <c r="AT8" s="358"/>
      <c r="AU8" s="358"/>
      <c r="AV8" s="358"/>
      <c r="AW8" s="358"/>
      <c r="AX8" s="358"/>
      <c r="AY8" s="359"/>
      <c r="AZ8" s="359"/>
      <c r="BA8" s="359"/>
      <c r="BB8" s="360"/>
      <c r="BC8" s="361"/>
      <c r="BD8" s="362"/>
      <c r="BE8" s="363"/>
      <c r="BF8" s="364"/>
    </row>
    <row r="9" spans="1:58" ht="21" hidden="1" customHeight="1" outlineLevel="1">
      <c r="A9" s="482" t="s">
        <v>8</v>
      </c>
      <c r="B9" s="483"/>
      <c r="C9" s="484">
        <f t="shared" ref="C9:O9" si="0">SUM(C7:C8)</f>
        <v>0</v>
      </c>
      <c r="D9" s="485">
        <f t="shared" si="0"/>
        <v>0</v>
      </c>
      <c r="E9" s="485">
        <f t="shared" si="0"/>
        <v>0</v>
      </c>
      <c r="F9" s="485">
        <f t="shared" si="0"/>
        <v>0</v>
      </c>
      <c r="G9" s="485">
        <f t="shared" si="0"/>
        <v>0</v>
      </c>
      <c r="H9" s="485">
        <f t="shared" si="0"/>
        <v>0</v>
      </c>
      <c r="I9" s="485">
        <f t="shared" si="0"/>
        <v>0</v>
      </c>
      <c r="J9" s="485">
        <f t="shared" si="0"/>
        <v>0</v>
      </c>
      <c r="K9" s="485">
        <f t="shared" si="0"/>
        <v>0</v>
      </c>
      <c r="L9" s="485">
        <f t="shared" si="0"/>
        <v>0</v>
      </c>
      <c r="M9" s="485">
        <f t="shared" si="0"/>
        <v>0</v>
      </c>
      <c r="N9" s="485">
        <f t="shared" si="0"/>
        <v>0</v>
      </c>
      <c r="O9" s="485">
        <f t="shared" si="0"/>
        <v>0</v>
      </c>
      <c r="P9" s="369"/>
      <c r="Q9" s="486">
        <f>SUM(Q7:Q8)</f>
        <v>0</v>
      </c>
      <c r="R9" s="371"/>
      <c r="S9" s="52"/>
      <c r="T9" s="52"/>
      <c r="U9" s="52"/>
      <c r="V9" s="52"/>
      <c r="W9" s="52"/>
      <c r="X9" s="52"/>
      <c r="Y9" s="52"/>
      <c r="Z9" s="52"/>
      <c r="AA9" s="372">
        <f t="shared" ref="AA9:AX9" si="1">SUM(AA7:AA8)</f>
        <v>0</v>
      </c>
      <c r="AB9" s="372">
        <f t="shared" si="1"/>
        <v>0</v>
      </c>
      <c r="AC9" s="372">
        <f t="shared" si="1"/>
        <v>0</v>
      </c>
      <c r="AD9" s="372">
        <f t="shared" si="1"/>
        <v>0</v>
      </c>
      <c r="AE9" s="372">
        <f t="shared" si="1"/>
        <v>0</v>
      </c>
      <c r="AF9" s="372">
        <f t="shared" si="1"/>
        <v>0</v>
      </c>
      <c r="AG9" s="372">
        <f t="shared" si="1"/>
        <v>0</v>
      </c>
      <c r="AH9" s="372">
        <f t="shared" si="1"/>
        <v>0</v>
      </c>
      <c r="AI9" s="372">
        <f t="shared" si="1"/>
        <v>0</v>
      </c>
      <c r="AJ9" s="372">
        <f t="shared" si="1"/>
        <v>0</v>
      </c>
      <c r="AK9" s="372">
        <f t="shared" si="1"/>
        <v>0</v>
      </c>
      <c r="AL9" s="372">
        <f t="shared" si="1"/>
        <v>0</v>
      </c>
      <c r="AM9" s="373">
        <f t="shared" si="1"/>
        <v>0</v>
      </c>
      <c r="AN9" s="373">
        <f t="shared" si="1"/>
        <v>0</v>
      </c>
      <c r="AO9" s="373">
        <f t="shared" si="1"/>
        <v>0</v>
      </c>
      <c r="AP9" s="373">
        <f t="shared" si="1"/>
        <v>0</v>
      </c>
      <c r="AQ9" s="373">
        <f t="shared" si="1"/>
        <v>0</v>
      </c>
      <c r="AR9" s="373">
        <f t="shared" si="1"/>
        <v>0</v>
      </c>
      <c r="AS9" s="373">
        <f t="shared" si="1"/>
        <v>0</v>
      </c>
      <c r="AT9" s="373">
        <f t="shared" si="1"/>
        <v>0</v>
      </c>
      <c r="AU9" s="373">
        <f t="shared" si="1"/>
        <v>0</v>
      </c>
      <c r="AV9" s="373">
        <f t="shared" si="1"/>
        <v>0</v>
      </c>
      <c r="AW9" s="373">
        <f t="shared" si="1"/>
        <v>0</v>
      </c>
      <c r="AX9" s="373">
        <f t="shared" si="1"/>
        <v>0</v>
      </c>
      <c r="AY9" s="374"/>
      <c r="AZ9" s="374"/>
      <c r="BA9" s="374"/>
      <c r="BB9" s="375">
        <f t="shared" ref="BB9:BC9" si="2">SUM(BB7:BB8)</f>
        <v>0</v>
      </c>
      <c r="BC9" s="376">
        <f t="shared" si="2"/>
        <v>0</v>
      </c>
      <c r="BD9" s="377" t="e">
        <f>SUM(#REF!)</f>
        <v>#REF!</v>
      </c>
      <c r="BE9" s="378">
        <f t="shared" ref="BE9:BE11" si="3">SUM(C9)</f>
        <v>0</v>
      </c>
      <c r="BF9" s="379">
        <f t="shared" ref="BF9:BF11" si="4">SUM(D9:O9)</f>
        <v>0</v>
      </c>
    </row>
    <row r="10" spans="1:58" ht="12.75" customHeight="1" collapsed="1">
      <c r="A10" s="19"/>
      <c r="B10" s="380"/>
      <c r="C10" s="35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6"/>
      <c r="Q10" s="356"/>
      <c r="R10" s="355"/>
      <c r="S10" s="35"/>
      <c r="T10" s="35"/>
      <c r="U10" s="35"/>
      <c r="V10" s="35"/>
      <c r="W10" s="35"/>
      <c r="X10" s="35"/>
      <c r="Y10" s="35"/>
      <c r="Z10" s="35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8"/>
      <c r="AN10" s="358"/>
      <c r="AO10" s="358"/>
      <c r="AP10" s="358"/>
      <c r="AQ10" s="358"/>
      <c r="AR10" s="358"/>
      <c r="AS10" s="358"/>
      <c r="AT10" s="358"/>
      <c r="AU10" s="358"/>
      <c r="AV10" s="358"/>
      <c r="AW10" s="358"/>
      <c r="AX10" s="358"/>
      <c r="AY10" s="359"/>
      <c r="AZ10" s="359"/>
      <c r="BA10" s="359"/>
      <c r="BB10" s="360"/>
      <c r="BC10" s="361"/>
      <c r="BD10" s="362"/>
      <c r="BE10" s="363">
        <f t="shared" si="3"/>
        <v>0</v>
      </c>
      <c r="BF10" s="364">
        <f t="shared" si="4"/>
        <v>0</v>
      </c>
    </row>
    <row r="11" spans="1:58" ht="12.75" hidden="1" customHeight="1" outlineLevel="1">
      <c r="A11" s="336" t="s">
        <v>9</v>
      </c>
      <c r="B11" s="311"/>
      <c r="C11" s="35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6"/>
      <c r="Q11" s="356"/>
      <c r="R11" s="355"/>
      <c r="S11" s="35"/>
      <c r="T11" s="35"/>
      <c r="U11" s="35"/>
      <c r="V11" s="35"/>
      <c r="W11" s="35"/>
      <c r="X11" s="35"/>
      <c r="Y11" s="35"/>
      <c r="Z11" s="35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358"/>
      <c r="AN11" s="358"/>
      <c r="AO11" s="358"/>
      <c r="AP11" s="358"/>
      <c r="AQ11" s="358"/>
      <c r="AR11" s="358"/>
      <c r="AS11" s="358"/>
      <c r="AT11" s="358"/>
      <c r="AU11" s="358"/>
      <c r="AV11" s="358"/>
      <c r="AW11" s="358"/>
      <c r="AX11" s="358"/>
      <c r="AY11" s="359"/>
      <c r="AZ11" s="359"/>
      <c r="BA11" s="359"/>
      <c r="BB11" s="360"/>
      <c r="BC11" s="361"/>
      <c r="BD11" s="362"/>
      <c r="BE11" s="363">
        <f t="shared" si="3"/>
        <v>0</v>
      </c>
      <c r="BF11" s="364">
        <f t="shared" si="4"/>
        <v>0</v>
      </c>
    </row>
    <row r="12" spans="1:58" ht="14" hidden="1" outlineLevel="1">
      <c r="A12" s="353"/>
      <c r="B12" s="354"/>
      <c r="C12" s="35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6"/>
      <c r="Q12" s="356"/>
      <c r="R12" s="355"/>
      <c r="S12" s="35"/>
      <c r="T12" s="35"/>
      <c r="U12" s="35"/>
      <c r="V12" s="35"/>
      <c r="W12" s="35"/>
      <c r="X12" s="35"/>
      <c r="Y12" s="35"/>
      <c r="Z12" s="35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9"/>
      <c r="AZ12" s="359"/>
      <c r="BA12" s="359"/>
      <c r="BB12" s="360"/>
      <c r="BC12" s="361"/>
      <c r="BD12" s="362"/>
      <c r="BE12" s="363"/>
      <c r="BF12" s="364"/>
    </row>
    <row r="13" spans="1:58" ht="14" hidden="1" outlineLevel="1">
      <c r="A13" s="353"/>
      <c r="B13" s="354"/>
      <c r="C13" s="35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6"/>
      <c r="Q13" s="356"/>
      <c r="R13" s="355"/>
      <c r="S13" s="35"/>
      <c r="T13" s="35"/>
      <c r="U13" s="35"/>
      <c r="V13" s="35"/>
      <c r="W13" s="35"/>
      <c r="X13" s="35"/>
      <c r="Y13" s="35"/>
      <c r="Z13" s="35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9"/>
      <c r="AZ13" s="359"/>
      <c r="BA13" s="359"/>
      <c r="BB13" s="360"/>
      <c r="BC13" s="361"/>
      <c r="BD13" s="362"/>
      <c r="BE13" s="363"/>
      <c r="BF13" s="364"/>
    </row>
    <row r="14" spans="1:58" ht="14" hidden="1" outlineLevel="1">
      <c r="A14" s="353"/>
      <c r="B14" s="354"/>
      <c r="C14" s="35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6"/>
      <c r="Q14" s="356"/>
      <c r="R14" s="355"/>
      <c r="S14" s="35"/>
      <c r="T14" s="35"/>
      <c r="U14" s="35"/>
      <c r="V14" s="35"/>
      <c r="W14" s="35"/>
      <c r="X14" s="35"/>
      <c r="Y14" s="35"/>
      <c r="Z14" s="35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9"/>
      <c r="AZ14" s="359"/>
      <c r="BA14" s="359"/>
      <c r="BB14" s="360"/>
      <c r="BC14" s="361"/>
      <c r="BD14" s="362"/>
      <c r="BE14" s="363"/>
      <c r="BF14" s="364"/>
    </row>
    <row r="15" spans="1:58" ht="14" hidden="1" outlineLevel="1">
      <c r="A15" s="353"/>
      <c r="B15" s="354"/>
      <c r="C15" s="35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81"/>
      <c r="O15" s="381"/>
      <c r="P15" s="356"/>
      <c r="Q15" s="356"/>
      <c r="R15" s="355"/>
      <c r="S15" s="35"/>
      <c r="T15" s="35"/>
      <c r="U15" s="35"/>
      <c r="V15" s="35"/>
      <c r="W15" s="35"/>
      <c r="X15" s="35"/>
      <c r="Y15" s="35"/>
      <c r="Z15" s="35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9"/>
      <c r="AZ15" s="359"/>
      <c r="BA15" s="359"/>
      <c r="BB15" s="360"/>
      <c r="BC15" s="361"/>
      <c r="BD15" s="362"/>
      <c r="BE15" s="363"/>
      <c r="BF15" s="364"/>
    </row>
    <row r="16" spans="1:58" ht="14" hidden="1" outlineLevel="1">
      <c r="A16" s="353"/>
      <c r="B16" s="354"/>
      <c r="C16" s="35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6"/>
      <c r="Q16" s="356"/>
      <c r="R16" s="355"/>
      <c r="S16" s="35"/>
      <c r="T16" s="35"/>
      <c r="U16" s="35"/>
      <c r="V16" s="35"/>
      <c r="W16" s="35"/>
      <c r="X16" s="35"/>
      <c r="Y16" s="35"/>
      <c r="Z16" s="35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9"/>
      <c r="AZ16" s="359"/>
      <c r="BA16" s="359"/>
      <c r="BB16" s="360"/>
      <c r="BC16" s="361"/>
      <c r="BD16" s="362"/>
      <c r="BE16" s="363"/>
      <c r="BF16" s="364"/>
    </row>
    <row r="17" spans="1:58" ht="14" hidden="1" outlineLevel="1">
      <c r="A17" s="353"/>
      <c r="B17" s="354"/>
      <c r="C17" s="35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6"/>
      <c r="Q17" s="356"/>
      <c r="R17" s="355"/>
      <c r="S17" s="35"/>
      <c r="T17" s="35"/>
      <c r="U17" s="35"/>
      <c r="V17" s="35"/>
      <c r="W17" s="35"/>
      <c r="X17" s="35"/>
      <c r="Y17" s="35"/>
      <c r="Z17" s="35"/>
      <c r="AA17" s="357"/>
      <c r="AB17" s="357"/>
      <c r="AC17" s="357"/>
      <c r="AD17" s="357"/>
      <c r="AE17" s="357"/>
      <c r="AF17" s="357"/>
      <c r="AG17" s="357"/>
      <c r="AH17" s="357"/>
      <c r="AI17" s="357"/>
      <c r="AJ17" s="357"/>
      <c r="AK17" s="357"/>
      <c r="AL17" s="357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9"/>
      <c r="AZ17" s="359"/>
      <c r="BA17" s="359"/>
      <c r="BB17" s="360"/>
      <c r="BC17" s="361"/>
      <c r="BD17" s="362"/>
      <c r="BE17" s="363"/>
      <c r="BF17" s="364"/>
    </row>
    <row r="18" spans="1:58" ht="14" hidden="1" outlineLevel="1">
      <c r="A18" s="19"/>
      <c r="B18" s="380"/>
      <c r="C18" s="35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6"/>
      <c r="Q18" s="356"/>
      <c r="R18" s="355"/>
      <c r="S18" s="35"/>
      <c r="T18" s="35"/>
      <c r="U18" s="35"/>
      <c r="V18" s="35"/>
      <c r="W18" s="35"/>
      <c r="X18" s="35"/>
      <c r="Y18" s="35"/>
      <c r="Z18" s="35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9"/>
      <c r="AZ18" s="359"/>
      <c r="BA18" s="359"/>
      <c r="BB18" s="360">
        <f t="shared" ref="BB18:BB20" si="5">SUM(D18:O18)</f>
        <v>0</v>
      </c>
      <c r="BC18" s="361" t="e">
        <f t="shared" ref="BC18:BC20" ca="1" si="6">SUM(OFFSET(#REF!,0,0,1,MATCH(#REF!,#REF!,0)))</f>
        <v>#REF!</v>
      </c>
      <c r="BD18" s="362" t="e">
        <f t="shared" ref="BD18:BD20" si="7">SUM(#REF!)</f>
        <v>#REF!</v>
      </c>
      <c r="BE18" s="363">
        <f t="shared" ref="BE18:BE20" si="8">SUM(C18)</f>
        <v>0</v>
      </c>
      <c r="BF18" s="364">
        <f t="shared" ref="BF18:BF20" si="9">SUM(D18:O18)</f>
        <v>0</v>
      </c>
    </row>
    <row r="19" spans="1:58" ht="14" collapsed="1">
      <c r="A19" s="336" t="s">
        <v>12</v>
      </c>
      <c r="B19" s="311"/>
      <c r="C19" s="35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6"/>
      <c r="Q19" s="356"/>
      <c r="R19" s="355"/>
      <c r="S19" s="35"/>
      <c r="T19" s="35"/>
      <c r="U19" s="35"/>
      <c r="V19" s="35"/>
      <c r="W19" s="35"/>
      <c r="X19" s="35"/>
      <c r="Y19" s="35"/>
      <c r="Z19" s="35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59"/>
      <c r="AZ19" s="359"/>
      <c r="BA19" s="359"/>
      <c r="BB19" s="360">
        <f t="shared" si="5"/>
        <v>0</v>
      </c>
      <c r="BC19" s="361" t="e">
        <f t="shared" ca="1" si="6"/>
        <v>#REF!</v>
      </c>
      <c r="BD19" s="362" t="e">
        <f t="shared" si="7"/>
        <v>#REF!</v>
      </c>
      <c r="BE19" s="363">
        <f t="shared" si="8"/>
        <v>0</v>
      </c>
      <c r="BF19" s="364">
        <f t="shared" si="9"/>
        <v>0</v>
      </c>
    </row>
    <row r="20" spans="1:58" ht="14">
      <c r="A20" s="383" t="s">
        <v>241</v>
      </c>
      <c r="B20" s="380"/>
      <c r="C20" s="355">
        <v>0</v>
      </c>
      <c r="D20" s="35">
        <v>0</v>
      </c>
      <c r="E20" s="35">
        <v>5000</v>
      </c>
      <c r="F20" s="35">
        <v>10000</v>
      </c>
      <c r="G20" s="35">
        <v>10000</v>
      </c>
      <c r="H20" s="35">
        <v>10000</v>
      </c>
      <c r="I20" s="35">
        <v>10000</v>
      </c>
      <c r="J20" s="35">
        <v>10000</v>
      </c>
      <c r="K20" s="35">
        <v>10000</v>
      </c>
      <c r="L20" s="35">
        <v>10000</v>
      </c>
      <c r="M20" s="35">
        <v>10000</v>
      </c>
      <c r="N20" s="35">
        <v>10000</v>
      </c>
      <c r="O20" s="35">
        <v>10000</v>
      </c>
      <c r="P20" s="356"/>
      <c r="Q20" s="356">
        <f t="shared" ref="Q20:Q24" si="10">SUM(C20:N20)</f>
        <v>95000</v>
      </c>
      <c r="R20" s="355"/>
      <c r="S20" s="35"/>
      <c r="T20" s="35"/>
      <c r="U20" s="35"/>
      <c r="V20" s="35"/>
      <c r="W20" s="35"/>
      <c r="X20" s="35"/>
      <c r="Y20" s="35"/>
      <c r="Z20" s="35"/>
      <c r="AA20" s="357" t="s">
        <v>267</v>
      </c>
      <c r="AB20" s="357" t="s">
        <v>267</v>
      </c>
      <c r="AC20" s="357" t="s">
        <v>267</v>
      </c>
      <c r="AD20" s="357" t="s">
        <v>267</v>
      </c>
      <c r="AE20" s="357" t="s">
        <v>267</v>
      </c>
      <c r="AF20" s="357" t="s">
        <v>267</v>
      </c>
      <c r="AG20" s="357" t="s">
        <v>267</v>
      </c>
      <c r="AH20" s="357" t="s">
        <v>267</v>
      </c>
      <c r="AI20" s="357" t="s">
        <v>267</v>
      </c>
      <c r="AJ20" s="357" t="s">
        <v>267</v>
      </c>
      <c r="AK20" s="357" t="s">
        <v>267</v>
      </c>
      <c r="AL20" s="357" t="s">
        <v>267</v>
      </c>
      <c r="AM20" s="358" t="s">
        <v>267</v>
      </c>
      <c r="AN20" s="358" t="s">
        <v>267</v>
      </c>
      <c r="AO20" s="358" t="s">
        <v>267</v>
      </c>
      <c r="AP20" s="358" t="s">
        <v>267</v>
      </c>
      <c r="AQ20" s="358" t="s">
        <v>267</v>
      </c>
      <c r="AR20" s="358" t="s">
        <v>267</v>
      </c>
      <c r="AS20" s="358" t="s">
        <v>267</v>
      </c>
      <c r="AT20" s="358" t="s">
        <v>267</v>
      </c>
      <c r="AU20" s="358" t="s">
        <v>267</v>
      </c>
      <c r="AV20" s="358" t="s">
        <v>267</v>
      </c>
      <c r="AW20" s="358" t="s">
        <v>267</v>
      </c>
      <c r="AX20" s="358" t="s">
        <v>267</v>
      </c>
      <c r="AY20" s="359"/>
      <c r="AZ20" s="359"/>
      <c r="BA20" s="359"/>
      <c r="BB20" s="360">
        <f t="shared" si="5"/>
        <v>105000</v>
      </c>
      <c r="BC20" s="361" t="e">
        <f t="shared" ca="1" si="6"/>
        <v>#REF!</v>
      </c>
      <c r="BD20" s="362" t="e">
        <f t="shared" si="7"/>
        <v>#REF!</v>
      </c>
      <c r="BE20" s="363">
        <f t="shared" si="8"/>
        <v>0</v>
      </c>
      <c r="BF20" s="364">
        <f t="shared" si="9"/>
        <v>105000</v>
      </c>
    </row>
    <row r="21" spans="1:58" ht="14">
      <c r="A21" s="383" t="s">
        <v>242</v>
      </c>
      <c r="B21" s="380"/>
      <c r="C21" s="355">
        <v>0</v>
      </c>
      <c r="D21" s="35">
        <v>0</v>
      </c>
      <c r="E21" s="35">
        <v>5000</v>
      </c>
      <c r="F21" s="35">
        <v>10000</v>
      </c>
      <c r="G21" s="35">
        <v>10000</v>
      </c>
      <c r="H21" s="35">
        <v>10000</v>
      </c>
      <c r="I21" s="35">
        <v>10000</v>
      </c>
      <c r="J21" s="35">
        <v>10000</v>
      </c>
      <c r="K21" s="35">
        <v>10000</v>
      </c>
      <c r="L21" s="35">
        <v>10000</v>
      </c>
      <c r="M21" s="35">
        <v>10000</v>
      </c>
      <c r="N21" s="35">
        <v>10000</v>
      </c>
      <c r="O21" s="35">
        <v>10000</v>
      </c>
      <c r="P21" s="356"/>
      <c r="Q21" s="356">
        <f t="shared" si="10"/>
        <v>95000</v>
      </c>
      <c r="R21" s="355"/>
      <c r="S21" s="35"/>
      <c r="T21" s="35"/>
      <c r="U21" s="35"/>
      <c r="V21" s="35"/>
      <c r="W21" s="35"/>
      <c r="X21" s="35"/>
      <c r="Y21" s="35"/>
      <c r="Z21" s="35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9"/>
      <c r="AZ21" s="359"/>
      <c r="BA21" s="359"/>
      <c r="BB21" s="360"/>
      <c r="BC21" s="361"/>
      <c r="BD21" s="362"/>
      <c r="BE21" s="384"/>
      <c r="BF21" s="364"/>
    </row>
    <row r="22" spans="1:58" ht="14">
      <c r="A22" s="383" t="s">
        <v>243</v>
      </c>
      <c r="B22" s="380"/>
      <c r="C22" s="355">
        <v>0</v>
      </c>
      <c r="D22" s="35">
        <v>0</v>
      </c>
      <c r="E22" s="35">
        <v>5000</v>
      </c>
      <c r="F22" s="35">
        <v>10000</v>
      </c>
      <c r="G22" s="35">
        <v>10000</v>
      </c>
      <c r="H22" s="35">
        <v>12500</v>
      </c>
      <c r="I22" s="35">
        <v>15000</v>
      </c>
      <c r="J22" s="35">
        <v>15000</v>
      </c>
      <c r="K22" s="35">
        <v>15000</v>
      </c>
      <c r="L22" s="35">
        <v>15000</v>
      </c>
      <c r="M22" s="35">
        <v>15000</v>
      </c>
      <c r="N22" s="35">
        <v>15000</v>
      </c>
      <c r="O22" s="35">
        <v>15000</v>
      </c>
      <c r="P22" s="356"/>
      <c r="Q22" s="356">
        <f t="shared" si="10"/>
        <v>127500</v>
      </c>
      <c r="R22" s="355"/>
      <c r="S22" s="35"/>
      <c r="T22" s="35"/>
      <c r="U22" s="35"/>
      <c r="V22" s="35"/>
      <c r="W22" s="35"/>
      <c r="X22" s="35"/>
      <c r="Y22" s="35"/>
      <c r="Z22" s="35"/>
      <c r="AA22" s="357"/>
      <c r="AB22" s="357"/>
      <c r="AC22" s="357"/>
      <c r="AD22" s="357"/>
      <c r="AE22" s="357"/>
      <c r="AF22" s="357"/>
      <c r="AG22" s="357"/>
      <c r="AH22" s="357"/>
      <c r="AI22" s="357"/>
      <c r="AJ22" s="357"/>
      <c r="AK22" s="357"/>
      <c r="AL22" s="357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9"/>
      <c r="AZ22" s="359"/>
      <c r="BA22" s="359"/>
      <c r="BB22" s="360"/>
      <c r="BC22" s="361"/>
      <c r="BD22" s="362"/>
      <c r="BE22" s="384"/>
      <c r="BF22" s="364"/>
    </row>
    <row r="23" spans="1:58" ht="14">
      <c r="A23" s="383" t="s">
        <v>244</v>
      </c>
      <c r="B23" s="380"/>
      <c r="C23" s="355">
        <v>0</v>
      </c>
      <c r="D23" s="35">
        <v>0</v>
      </c>
      <c r="E23" s="35">
        <v>0</v>
      </c>
      <c r="F23" s="35">
        <v>2550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6"/>
      <c r="Q23" s="356">
        <f t="shared" si="10"/>
        <v>2550</v>
      </c>
      <c r="R23" s="355"/>
      <c r="S23" s="35"/>
      <c r="T23" s="35"/>
      <c r="U23" s="35"/>
      <c r="V23" s="35"/>
      <c r="W23" s="35"/>
      <c r="X23" s="35"/>
      <c r="Y23" s="35"/>
      <c r="Z23" s="35"/>
      <c r="AA23" s="357"/>
      <c r="AB23" s="357"/>
      <c r="AC23" s="357"/>
      <c r="AD23" s="357"/>
      <c r="AE23" s="357"/>
      <c r="AF23" s="357"/>
      <c r="AG23" s="357"/>
      <c r="AH23" s="357"/>
      <c r="AI23" s="357"/>
      <c r="AJ23" s="357"/>
      <c r="AK23" s="357"/>
      <c r="AL23" s="357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9"/>
      <c r="AZ23" s="359"/>
      <c r="BA23" s="359"/>
      <c r="BB23" s="360"/>
      <c r="BC23" s="361"/>
      <c r="BD23" s="362"/>
      <c r="BE23" s="384"/>
      <c r="BF23" s="364"/>
    </row>
    <row r="24" spans="1:58" ht="14">
      <c r="A24" s="383"/>
      <c r="B24" s="380"/>
      <c r="C24" s="35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6"/>
      <c r="Q24" s="356">
        <f t="shared" si="10"/>
        <v>0</v>
      </c>
      <c r="R24" s="355"/>
      <c r="S24" s="35"/>
      <c r="T24" s="35"/>
      <c r="U24" s="35"/>
      <c r="V24" s="35"/>
      <c r="W24" s="35"/>
      <c r="X24" s="35"/>
      <c r="Y24" s="35"/>
      <c r="Z24" s="35"/>
      <c r="AA24" s="357"/>
      <c r="AB24" s="357"/>
      <c r="AC24" s="357"/>
      <c r="AD24" s="357"/>
      <c r="AE24" s="357"/>
      <c r="AF24" s="357"/>
      <c r="AG24" s="357"/>
      <c r="AH24" s="357"/>
      <c r="AI24" s="357"/>
      <c r="AJ24" s="357"/>
      <c r="AK24" s="357"/>
      <c r="AL24" s="357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9"/>
      <c r="AZ24" s="359"/>
      <c r="BA24" s="359"/>
      <c r="BB24" s="360"/>
      <c r="BC24" s="361"/>
      <c r="BD24" s="362"/>
      <c r="BE24" s="384"/>
      <c r="BF24" s="364"/>
    </row>
    <row r="25" spans="1:58" ht="14">
      <c r="A25" s="385" t="s">
        <v>15</v>
      </c>
      <c r="B25" s="325"/>
      <c r="C25" s="371">
        <f t="shared" ref="C25:O25" si="11">SUM(C20:C24)</f>
        <v>0</v>
      </c>
      <c r="D25" s="52">
        <f t="shared" si="11"/>
        <v>0</v>
      </c>
      <c r="E25" s="52">
        <f t="shared" si="11"/>
        <v>15000</v>
      </c>
      <c r="F25" s="52">
        <f t="shared" si="11"/>
        <v>32550</v>
      </c>
      <c r="G25" s="52">
        <f t="shared" si="11"/>
        <v>30000</v>
      </c>
      <c r="H25" s="52">
        <f t="shared" si="11"/>
        <v>32500</v>
      </c>
      <c r="I25" s="52">
        <f t="shared" si="11"/>
        <v>35000</v>
      </c>
      <c r="J25" s="52">
        <f t="shared" si="11"/>
        <v>35000</v>
      </c>
      <c r="K25" s="52">
        <f t="shared" si="11"/>
        <v>35000</v>
      </c>
      <c r="L25" s="52">
        <f t="shared" si="11"/>
        <v>35000</v>
      </c>
      <c r="M25" s="52">
        <f t="shared" si="11"/>
        <v>35000</v>
      </c>
      <c r="N25" s="52">
        <f t="shared" si="11"/>
        <v>35000</v>
      </c>
      <c r="O25" s="52">
        <f t="shared" si="11"/>
        <v>35000</v>
      </c>
      <c r="P25" s="369"/>
      <c r="Q25" s="369">
        <f>SUM(Q20:Q24)</f>
        <v>320050</v>
      </c>
      <c r="R25" s="371"/>
      <c r="S25" s="52"/>
      <c r="T25" s="52"/>
      <c r="U25" s="52"/>
      <c r="V25" s="52"/>
      <c r="W25" s="52"/>
      <c r="X25" s="52"/>
      <c r="Y25" s="52"/>
      <c r="Z25" s="52"/>
      <c r="AA25" s="372">
        <f t="shared" ref="AA25:AX25" si="12">SUM(AA20:AA24)</f>
        <v>0</v>
      </c>
      <c r="AB25" s="372">
        <f t="shared" si="12"/>
        <v>0</v>
      </c>
      <c r="AC25" s="372">
        <f t="shared" si="12"/>
        <v>0</v>
      </c>
      <c r="AD25" s="372">
        <f t="shared" si="12"/>
        <v>0</v>
      </c>
      <c r="AE25" s="372">
        <f t="shared" si="12"/>
        <v>0</v>
      </c>
      <c r="AF25" s="372">
        <f t="shared" si="12"/>
        <v>0</v>
      </c>
      <c r="AG25" s="372">
        <f t="shared" si="12"/>
        <v>0</v>
      </c>
      <c r="AH25" s="372">
        <f t="shared" si="12"/>
        <v>0</v>
      </c>
      <c r="AI25" s="372">
        <f t="shared" si="12"/>
        <v>0</v>
      </c>
      <c r="AJ25" s="372">
        <f t="shared" si="12"/>
        <v>0</v>
      </c>
      <c r="AK25" s="372">
        <f t="shared" si="12"/>
        <v>0</v>
      </c>
      <c r="AL25" s="372">
        <f t="shared" si="12"/>
        <v>0</v>
      </c>
      <c r="AM25" s="373">
        <f t="shared" si="12"/>
        <v>0</v>
      </c>
      <c r="AN25" s="373">
        <f t="shared" si="12"/>
        <v>0</v>
      </c>
      <c r="AO25" s="373">
        <f t="shared" si="12"/>
        <v>0</v>
      </c>
      <c r="AP25" s="373">
        <f t="shared" si="12"/>
        <v>0</v>
      </c>
      <c r="AQ25" s="373">
        <f t="shared" si="12"/>
        <v>0</v>
      </c>
      <c r="AR25" s="373">
        <f t="shared" si="12"/>
        <v>0</v>
      </c>
      <c r="AS25" s="373">
        <f t="shared" si="12"/>
        <v>0</v>
      </c>
      <c r="AT25" s="373">
        <f t="shared" si="12"/>
        <v>0</v>
      </c>
      <c r="AU25" s="373">
        <f t="shared" si="12"/>
        <v>0</v>
      </c>
      <c r="AV25" s="373">
        <f t="shared" si="12"/>
        <v>0</v>
      </c>
      <c r="AW25" s="373">
        <f t="shared" si="12"/>
        <v>0</v>
      </c>
      <c r="AX25" s="373">
        <f t="shared" si="12"/>
        <v>0</v>
      </c>
      <c r="AY25" s="374"/>
      <c r="AZ25" s="374"/>
      <c r="BA25" s="374"/>
      <c r="BB25" s="375">
        <f t="shared" ref="BB25:BD25" si="13">SUM(BB20:BB24)</f>
        <v>105000</v>
      </c>
      <c r="BC25" s="376" t="e">
        <f t="shared" ca="1" si="13"/>
        <v>#REF!</v>
      </c>
      <c r="BD25" s="377" t="e">
        <f t="shared" si="13"/>
        <v>#REF!</v>
      </c>
      <c r="BE25" s="378">
        <f t="shared" ref="BE25:BE31" si="14">SUM(C25)</f>
        <v>0</v>
      </c>
      <c r="BF25" s="379">
        <f t="shared" ref="BF25:BF37" si="15">SUM(D25:O25)</f>
        <v>355050</v>
      </c>
    </row>
    <row r="26" spans="1:58" ht="12.75" customHeight="1">
      <c r="A26" s="19"/>
      <c r="B26" s="380"/>
      <c r="C26" s="38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6"/>
      <c r="Q26" s="356"/>
      <c r="R26" s="355"/>
      <c r="S26" s="35"/>
      <c r="T26" s="35"/>
      <c r="U26" s="35"/>
      <c r="V26" s="35"/>
      <c r="W26" s="35"/>
      <c r="X26" s="35"/>
      <c r="Y26" s="35"/>
      <c r="Z26" s="35"/>
      <c r="AA26" s="357"/>
      <c r="AB26" s="357"/>
      <c r="AC26" s="357"/>
      <c r="AD26" s="357"/>
      <c r="AE26" s="357"/>
      <c r="AF26" s="357"/>
      <c r="AG26" s="357"/>
      <c r="AH26" s="357"/>
      <c r="AI26" s="357"/>
      <c r="AJ26" s="357"/>
      <c r="AK26" s="357"/>
      <c r="AL26" s="357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87"/>
      <c r="AZ26" s="387"/>
      <c r="BA26" s="387"/>
      <c r="BB26" s="388"/>
      <c r="BC26" s="361"/>
      <c r="BD26" s="362"/>
      <c r="BE26" s="363">
        <f t="shared" si="14"/>
        <v>0</v>
      </c>
      <c r="BF26" s="364">
        <f t="shared" si="15"/>
        <v>0</v>
      </c>
    </row>
    <row r="27" spans="1:58" ht="12.75" customHeight="1">
      <c r="A27" s="389" t="s">
        <v>16</v>
      </c>
      <c r="B27" s="390"/>
      <c r="C27" s="391">
        <f t="shared" ref="C27:O27" si="16">SUM(C12:C17)+C25</f>
        <v>0</v>
      </c>
      <c r="D27" s="59">
        <f t="shared" si="16"/>
        <v>0</v>
      </c>
      <c r="E27" s="59">
        <f t="shared" si="16"/>
        <v>15000</v>
      </c>
      <c r="F27" s="59">
        <f t="shared" si="16"/>
        <v>32550</v>
      </c>
      <c r="G27" s="59">
        <f t="shared" si="16"/>
        <v>30000</v>
      </c>
      <c r="H27" s="59">
        <f t="shared" si="16"/>
        <v>32500</v>
      </c>
      <c r="I27" s="59">
        <f t="shared" si="16"/>
        <v>35000</v>
      </c>
      <c r="J27" s="59">
        <f t="shared" si="16"/>
        <v>35000</v>
      </c>
      <c r="K27" s="59">
        <f t="shared" si="16"/>
        <v>35000</v>
      </c>
      <c r="L27" s="59">
        <f t="shared" si="16"/>
        <v>35000</v>
      </c>
      <c r="M27" s="59">
        <f t="shared" si="16"/>
        <v>35000</v>
      </c>
      <c r="N27" s="392">
        <f t="shared" si="16"/>
        <v>35000</v>
      </c>
      <c r="O27" s="392">
        <f t="shared" si="16"/>
        <v>35000</v>
      </c>
      <c r="P27" s="393"/>
      <c r="Q27" s="393">
        <f>SUM(Q12:Q17)+Q25</f>
        <v>320050</v>
      </c>
      <c r="R27" s="391"/>
      <c r="S27" s="59"/>
      <c r="T27" s="59"/>
      <c r="U27" s="59"/>
      <c r="V27" s="59"/>
      <c r="W27" s="59"/>
      <c r="X27" s="59"/>
      <c r="Y27" s="59"/>
      <c r="Z27" s="59"/>
      <c r="AA27" s="394">
        <f t="shared" ref="AA27:AX27" si="17">(0+((AA12+AA16))+(AA25))-(0)</f>
        <v>0</v>
      </c>
      <c r="AB27" s="394">
        <f t="shared" si="17"/>
        <v>0</v>
      </c>
      <c r="AC27" s="394">
        <f t="shared" si="17"/>
        <v>0</v>
      </c>
      <c r="AD27" s="394">
        <f t="shared" si="17"/>
        <v>0</v>
      </c>
      <c r="AE27" s="394">
        <f t="shared" si="17"/>
        <v>0</v>
      </c>
      <c r="AF27" s="394">
        <f t="shared" si="17"/>
        <v>0</v>
      </c>
      <c r="AG27" s="394">
        <f t="shared" si="17"/>
        <v>0</v>
      </c>
      <c r="AH27" s="394">
        <f t="shared" si="17"/>
        <v>0</v>
      </c>
      <c r="AI27" s="394">
        <f t="shared" si="17"/>
        <v>0</v>
      </c>
      <c r="AJ27" s="394">
        <f t="shared" si="17"/>
        <v>0</v>
      </c>
      <c r="AK27" s="394">
        <f t="shared" si="17"/>
        <v>0</v>
      </c>
      <c r="AL27" s="394">
        <f t="shared" si="17"/>
        <v>0</v>
      </c>
      <c r="AM27" s="395">
        <f t="shared" si="17"/>
        <v>0</v>
      </c>
      <c r="AN27" s="395">
        <f t="shared" si="17"/>
        <v>0</v>
      </c>
      <c r="AO27" s="395">
        <f t="shared" si="17"/>
        <v>0</v>
      </c>
      <c r="AP27" s="395">
        <f t="shared" si="17"/>
        <v>0</v>
      </c>
      <c r="AQ27" s="395">
        <f t="shared" si="17"/>
        <v>0</v>
      </c>
      <c r="AR27" s="395">
        <f t="shared" si="17"/>
        <v>0</v>
      </c>
      <c r="AS27" s="395">
        <f t="shared" si="17"/>
        <v>0</v>
      </c>
      <c r="AT27" s="395">
        <f t="shared" si="17"/>
        <v>0</v>
      </c>
      <c r="AU27" s="395">
        <f t="shared" si="17"/>
        <v>0</v>
      </c>
      <c r="AV27" s="395">
        <f t="shared" si="17"/>
        <v>0</v>
      </c>
      <c r="AW27" s="395">
        <f t="shared" si="17"/>
        <v>0</v>
      </c>
      <c r="AX27" s="395">
        <f t="shared" si="17"/>
        <v>0</v>
      </c>
      <c r="AY27" s="396"/>
      <c r="AZ27" s="396"/>
      <c r="BA27" s="396"/>
      <c r="BB27" s="397">
        <f t="shared" ref="BB27:BD27" si="18">(0+((BB12+BB17))+(BB25))-(0)</f>
        <v>105000</v>
      </c>
      <c r="BC27" s="398" t="e">
        <f t="shared" ca="1" si="18"/>
        <v>#REF!</v>
      </c>
      <c r="BD27" s="399" t="e">
        <f t="shared" si="18"/>
        <v>#REF!</v>
      </c>
      <c r="BE27" s="400">
        <f t="shared" si="14"/>
        <v>0</v>
      </c>
      <c r="BF27" s="401">
        <f t="shared" si="15"/>
        <v>355050</v>
      </c>
    </row>
    <row r="28" spans="1:58" ht="12.75" customHeight="1">
      <c r="A28" s="19"/>
      <c r="B28" s="380"/>
      <c r="C28" s="386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402"/>
      <c r="Q28" s="402"/>
      <c r="R28" s="386"/>
      <c r="S28" s="68"/>
      <c r="T28" s="68"/>
      <c r="U28" s="68"/>
      <c r="V28" s="68"/>
      <c r="W28" s="68"/>
      <c r="X28" s="68"/>
      <c r="Y28" s="68"/>
      <c r="Z28" s="68"/>
      <c r="AA28" s="403"/>
      <c r="AB28" s="403"/>
      <c r="AC28" s="403"/>
      <c r="AD28" s="403"/>
      <c r="AE28" s="403"/>
      <c r="AF28" s="403"/>
      <c r="AG28" s="403"/>
      <c r="AH28" s="403"/>
      <c r="AI28" s="403"/>
      <c r="AJ28" s="403"/>
      <c r="AK28" s="403"/>
      <c r="AL28" s="403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5"/>
      <c r="AZ28" s="405"/>
      <c r="BA28" s="405"/>
      <c r="BB28" s="406"/>
      <c r="BC28" s="407"/>
      <c r="BD28" s="408"/>
      <c r="BE28" s="409">
        <f t="shared" si="14"/>
        <v>0</v>
      </c>
      <c r="BF28" s="364">
        <f t="shared" si="15"/>
        <v>0</v>
      </c>
    </row>
    <row r="29" spans="1:58" ht="19.5" customHeight="1">
      <c r="A29" s="410" t="s">
        <v>17</v>
      </c>
      <c r="B29" s="411"/>
      <c r="C29" s="412">
        <f t="shared" ref="C29:O29" si="19">(C9)-(C27)</f>
        <v>0</v>
      </c>
      <c r="D29" s="413">
        <f t="shared" si="19"/>
        <v>0</v>
      </c>
      <c r="E29" s="413">
        <f t="shared" si="19"/>
        <v>-15000</v>
      </c>
      <c r="F29" s="413">
        <f t="shared" si="19"/>
        <v>-32550</v>
      </c>
      <c r="G29" s="413">
        <f t="shared" si="19"/>
        <v>-30000</v>
      </c>
      <c r="H29" s="413">
        <f t="shared" si="19"/>
        <v>-32500</v>
      </c>
      <c r="I29" s="413">
        <f t="shared" si="19"/>
        <v>-35000</v>
      </c>
      <c r="J29" s="413">
        <f t="shared" si="19"/>
        <v>-35000</v>
      </c>
      <c r="K29" s="413">
        <f t="shared" si="19"/>
        <v>-35000</v>
      </c>
      <c r="L29" s="413">
        <f t="shared" si="19"/>
        <v>-35000</v>
      </c>
      <c r="M29" s="413">
        <f t="shared" si="19"/>
        <v>-35000</v>
      </c>
      <c r="N29" s="413">
        <f t="shared" si="19"/>
        <v>-35000</v>
      </c>
      <c r="O29" s="413">
        <f t="shared" si="19"/>
        <v>-35000</v>
      </c>
      <c r="P29" s="393"/>
      <c r="Q29" s="414">
        <f>(Q9)-(Q27)</f>
        <v>-320050</v>
      </c>
      <c r="R29" s="391"/>
      <c r="S29" s="59"/>
      <c r="T29" s="59"/>
      <c r="U29" s="59"/>
      <c r="V29" s="59"/>
      <c r="W29" s="59"/>
      <c r="X29" s="59"/>
      <c r="Y29" s="59"/>
      <c r="Z29" s="59"/>
      <c r="AA29" s="394">
        <f t="shared" ref="AA29:AX29" si="20">(AA9)-(AA27)</f>
        <v>0</v>
      </c>
      <c r="AB29" s="394">
        <f t="shared" si="20"/>
        <v>0</v>
      </c>
      <c r="AC29" s="394">
        <f t="shared" si="20"/>
        <v>0</v>
      </c>
      <c r="AD29" s="394">
        <f t="shared" si="20"/>
        <v>0</v>
      </c>
      <c r="AE29" s="394">
        <f t="shared" si="20"/>
        <v>0</v>
      </c>
      <c r="AF29" s="394">
        <f t="shared" si="20"/>
        <v>0</v>
      </c>
      <c r="AG29" s="394">
        <f t="shared" si="20"/>
        <v>0</v>
      </c>
      <c r="AH29" s="394">
        <f t="shared" si="20"/>
        <v>0</v>
      </c>
      <c r="AI29" s="394">
        <f t="shared" si="20"/>
        <v>0</v>
      </c>
      <c r="AJ29" s="394">
        <f t="shared" si="20"/>
        <v>0</v>
      </c>
      <c r="AK29" s="394">
        <f t="shared" si="20"/>
        <v>0</v>
      </c>
      <c r="AL29" s="394">
        <f t="shared" si="20"/>
        <v>0</v>
      </c>
      <c r="AM29" s="395">
        <f t="shared" si="20"/>
        <v>0</v>
      </c>
      <c r="AN29" s="395">
        <f t="shared" si="20"/>
        <v>0</v>
      </c>
      <c r="AO29" s="395">
        <f t="shared" si="20"/>
        <v>0</v>
      </c>
      <c r="AP29" s="395">
        <f t="shared" si="20"/>
        <v>0</v>
      </c>
      <c r="AQ29" s="395">
        <f t="shared" si="20"/>
        <v>0</v>
      </c>
      <c r="AR29" s="395">
        <f t="shared" si="20"/>
        <v>0</v>
      </c>
      <c r="AS29" s="395">
        <f t="shared" si="20"/>
        <v>0</v>
      </c>
      <c r="AT29" s="395">
        <f t="shared" si="20"/>
        <v>0</v>
      </c>
      <c r="AU29" s="395">
        <f t="shared" si="20"/>
        <v>0</v>
      </c>
      <c r="AV29" s="395">
        <f t="shared" si="20"/>
        <v>0</v>
      </c>
      <c r="AW29" s="395">
        <f t="shared" si="20"/>
        <v>0</v>
      </c>
      <c r="AX29" s="395">
        <f t="shared" si="20"/>
        <v>0</v>
      </c>
      <c r="AY29" s="396"/>
      <c r="AZ29" s="396"/>
      <c r="BA29" s="396"/>
      <c r="BB29" s="397">
        <f t="shared" ref="BB29:BD29" si="21">(BB9)-(BB27)</f>
        <v>-105000</v>
      </c>
      <c r="BC29" s="398" t="e">
        <f t="shared" ca="1" si="21"/>
        <v>#REF!</v>
      </c>
      <c r="BD29" s="399" t="e">
        <f t="shared" si="21"/>
        <v>#REF!</v>
      </c>
      <c r="BE29" s="400">
        <f t="shared" si="14"/>
        <v>0</v>
      </c>
      <c r="BF29" s="401">
        <f t="shared" si="15"/>
        <v>-355050</v>
      </c>
    </row>
    <row r="30" spans="1:58" ht="12.75" customHeight="1">
      <c r="A30" s="19"/>
      <c r="B30" s="380"/>
      <c r="C30" s="386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6"/>
      <c r="Q30" s="356"/>
      <c r="R30" s="355"/>
      <c r="S30" s="35"/>
      <c r="T30" s="35"/>
      <c r="U30" s="35"/>
      <c r="V30" s="35"/>
      <c r="W30" s="35"/>
      <c r="X30" s="35"/>
      <c r="Y30" s="35"/>
      <c r="Z30" s="35"/>
      <c r="AA30" s="357"/>
      <c r="AB30" s="357"/>
      <c r="AC30" s="357"/>
      <c r="AD30" s="357"/>
      <c r="AE30" s="357"/>
      <c r="AF30" s="357"/>
      <c r="AG30" s="357"/>
      <c r="AH30" s="357"/>
      <c r="AI30" s="357"/>
      <c r="AJ30" s="357"/>
      <c r="AK30" s="357"/>
      <c r="AL30" s="357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9"/>
      <c r="AZ30" s="359"/>
      <c r="BA30" s="359"/>
      <c r="BB30" s="360"/>
      <c r="BC30" s="361"/>
      <c r="BD30" s="362"/>
      <c r="BE30" s="363">
        <f t="shared" si="14"/>
        <v>0</v>
      </c>
      <c r="BF30" s="364">
        <f t="shared" si="15"/>
        <v>0</v>
      </c>
    </row>
    <row r="31" spans="1:58" ht="12.75" customHeight="1">
      <c r="A31" s="336" t="s">
        <v>18</v>
      </c>
      <c r="B31" s="311"/>
      <c r="C31" s="35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6"/>
      <c r="Q31" s="356"/>
      <c r="R31" s="355"/>
      <c r="S31" s="35"/>
      <c r="T31" s="35"/>
      <c r="U31" s="35"/>
      <c r="V31" s="35"/>
      <c r="W31" s="35"/>
      <c r="X31" s="35"/>
      <c r="Y31" s="35"/>
      <c r="Z31" s="35"/>
      <c r="AA31" s="357"/>
      <c r="AB31" s="357"/>
      <c r="AC31" s="357"/>
      <c r="AD31" s="357"/>
      <c r="AE31" s="357"/>
      <c r="AF31" s="357"/>
      <c r="AG31" s="357"/>
      <c r="AH31" s="357"/>
      <c r="AI31" s="357"/>
      <c r="AJ31" s="357"/>
      <c r="AK31" s="357"/>
      <c r="AL31" s="357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8"/>
      <c r="AX31" s="358"/>
      <c r="AY31" s="359"/>
      <c r="AZ31" s="359"/>
      <c r="BA31" s="359"/>
      <c r="BB31" s="360"/>
      <c r="BC31" s="361" t="e">
        <f t="shared" ref="BC31:BC37" ca="1" si="22">SUM(OFFSET(#REF!,0,0,1,MATCH(#REF!,#REF!,0)))</f>
        <v>#REF!</v>
      </c>
      <c r="BD31" s="362"/>
      <c r="BE31" s="363">
        <f t="shared" si="14"/>
        <v>0</v>
      </c>
      <c r="BF31" s="364">
        <f t="shared" si="15"/>
        <v>0</v>
      </c>
    </row>
    <row r="32" spans="1:58" ht="12.75" customHeight="1">
      <c r="A32" s="383"/>
      <c r="B32" s="380"/>
      <c r="C32" s="35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6"/>
      <c r="Q32" s="356"/>
      <c r="R32" s="355"/>
      <c r="S32" s="35"/>
      <c r="T32" s="35"/>
      <c r="U32" s="35"/>
      <c r="V32" s="35"/>
      <c r="W32" s="35"/>
      <c r="X32" s="35"/>
      <c r="Y32" s="35"/>
      <c r="Z32" s="35"/>
      <c r="AA32" s="357"/>
      <c r="AB32" s="357"/>
      <c r="AC32" s="357"/>
      <c r="AD32" s="357"/>
      <c r="AE32" s="357"/>
      <c r="AF32" s="357"/>
      <c r="AG32" s="357"/>
      <c r="AH32" s="357"/>
      <c r="AI32" s="357"/>
      <c r="AJ32" s="357"/>
      <c r="AK32" s="357"/>
      <c r="AL32" s="357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9"/>
      <c r="AZ32" s="359"/>
      <c r="BA32" s="359"/>
      <c r="BB32" s="360"/>
      <c r="BC32" s="361" t="e">
        <f t="shared" ca="1" si="22"/>
        <v>#REF!</v>
      </c>
      <c r="BD32" s="362"/>
      <c r="BE32" s="363"/>
      <c r="BF32" s="364">
        <f t="shared" si="15"/>
        <v>0</v>
      </c>
    </row>
    <row r="33" spans="1:58" ht="12.75" customHeight="1">
      <c r="A33" s="353" t="s">
        <v>21</v>
      </c>
      <c r="B33" s="354"/>
      <c r="C33" s="355"/>
      <c r="D33" s="35"/>
      <c r="E33" s="35"/>
      <c r="F33" s="35"/>
      <c r="G33" s="35">
        <v>0</v>
      </c>
      <c r="H33" s="35">
        <f>'Eris P&amp;L'!H6*40</f>
        <v>0</v>
      </c>
      <c r="I33" s="35">
        <f>'Eris P&amp;L'!I6*80</f>
        <v>0</v>
      </c>
      <c r="J33" s="35">
        <f>'Eris P&amp;L'!J6*80</f>
        <v>4000</v>
      </c>
      <c r="K33" s="35">
        <f>'Eris P&amp;L'!K6*100</f>
        <v>5000</v>
      </c>
      <c r="L33" s="35">
        <f>'Eris P&amp;L'!L6*100</f>
        <v>5000</v>
      </c>
      <c r="M33" s="35">
        <f>'Eris P&amp;L'!M6*100</f>
        <v>5000</v>
      </c>
      <c r="N33" s="35">
        <f>'Eris P&amp;L'!N6*100</f>
        <v>5000</v>
      </c>
      <c r="O33" s="35">
        <f>'Eris P&amp;L'!O6*100</f>
        <v>5000</v>
      </c>
      <c r="P33" s="356"/>
      <c r="Q33" s="356">
        <f t="shared" ref="Q33:Q40" si="23">SUM(C33:N33)</f>
        <v>24000</v>
      </c>
      <c r="R33" s="355"/>
      <c r="S33" s="35"/>
      <c r="T33" s="35"/>
      <c r="U33" s="35"/>
      <c r="V33" s="35"/>
      <c r="W33" s="35"/>
      <c r="X33" s="35"/>
      <c r="Y33" s="35"/>
      <c r="Z33" s="35"/>
      <c r="AA33" s="357" t="s">
        <v>267</v>
      </c>
      <c r="AB33" s="357" t="s">
        <v>267</v>
      </c>
      <c r="AC33" s="357" t="s">
        <v>267</v>
      </c>
      <c r="AD33" s="357" t="s">
        <v>267</v>
      </c>
      <c r="AE33" s="357" t="s">
        <v>267</v>
      </c>
      <c r="AF33" s="357" t="s">
        <v>267</v>
      </c>
      <c r="AG33" s="357" t="s">
        <v>267</v>
      </c>
      <c r="AH33" s="357" t="s">
        <v>267</v>
      </c>
      <c r="AI33" s="357" t="s">
        <v>267</v>
      </c>
      <c r="AJ33" s="357" t="s">
        <v>267</v>
      </c>
      <c r="AK33" s="357" t="s">
        <v>267</v>
      </c>
      <c r="AL33" s="357" t="s">
        <v>267</v>
      </c>
      <c r="AM33" s="358" t="s">
        <v>267</v>
      </c>
      <c r="AN33" s="358" t="s">
        <v>267</v>
      </c>
      <c r="AO33" s="358" t="s">
        <v>267</v>
      </c>
      <c r="AP33" s="358" t="s">
        <v>267</v>
      </c>
      <c r="AQ33" s="358" t="s">
        <v>267</v>
      </c>
      <c r="AR33" s="358" t="s">
        <v>267</v>
      </c>
      <c r="AS33" s="358" t="s">
        <v>267</v>
      </c>
      <c r="AT33" s="358" t="s">
        <v>267</v>
      </c>
      <c r="AU33" s="358" t="s">
        <v>267</v>
      </c>
      <c r="AV33" s="358" t="s">
        <v>267</v>
      </c>
      <c r="AW33" s="358" t="s">
        <v>267</v>
      </c>
      <c r="AX33" s="358" t="s">
        <v>267</v>
      </c>
      <c r="AY33" s="359"/>
      <c r="AZ33" s="359"/>
      <c r="BA33" s="359"/>
      <c r="BB33" s="360">
        <f t="shared" ref="BB33:BB37" si="24">SUM(D33:O33)</f>
        <v>29000</v>
      </c>
      <c r="BC33" s="361" t="e">
        <f t="shared" ca="1" si="22"/>
        <v>#REF!</v>
      </c>
      <c r="BD33" s="362" t="e">
        <f t="shared" ref="BD33:BD37" si="25">SUM(#REF!)</f>
        <v>#REF!</v>
      </c>
      <c r="BE33" s="363">
        <f t="shared" ref="BE33:BE35" si="26">SUM(C33)</f>
        <v>0</v>
      </c>
      <c r="BF33" s="364">
        <f t="shared" si="15"/>
        <v>29000</v>
      </c>
    </row>
    <row r="34" spans="1:58" ht="14">
      <c r="A34" s="353" t="s">
        <v>22</v>
      </c>
      <c r="B34" s="354"/>
      <c r="C34" s="355">
        <v>2500</v>
      </c>
      <c r="D34" s="35">
        <f>1500</f>
        <v>1500</v>
      </c>
      <c r="E34" s="35">
        <v>0</v>
      </c>
      <c r="F34" s="35">
        <v>1909.48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81">
        <v>0</v>
      </c>
      <c r="O34" s="381">
        <v>0</v>
      </c>
      <c r="P34" s="356"/>
      <c r="Q34" s="356">
        <f t="shared" si="23"/>
        <v>5909.48</v>
      </c>
      <c r="R34" s="355"/>
      <c r="S34" s="35"/>
      <c r="T34" s="35"/>
      <c r="U34" s="35"/>
      <c r="V34" s="35"/>
      <c r="W34" s="35"/>
      <c r="X34" s="35"/>
      <c r="Y34" s="35"/>
      <c r="Z34" s="35"/>
      <c r="AA34" s="357" t="s">
        <v>267</v>
      </c>
      <c r="AB34" s="357" t="s">
        <v>267</v>
      </c>
      <c r="AC34" s="357" t="s">
        <v>267</v>
      </c>
      <c r="AD34" s="357" t="s">
        <v>267</v>
      </c>
      <c r="AE34" s="357" t="s">
        <v>267</v>
      </c>
      <c r="AF34" s="357" t="s">
        <v>267</v>
      </c>
      <c r="AG34" s="357" t="s">
        <v>267</v>
      </c>
      <c r="AH34" s="357" t="s">
        <v>267</v>
      </c>
      <c r="AI34" s="357" t="s">
        <v>267</v>
      </c>
      <c r="AJ34" s="357" t="s">
        <v>267</v>
      </c>
      <c r="AK34" s="357" t="s">
        <v>267</v>
      </c>
      <c r="AL34" s="357" t="s">
        <v>267</v>
      </c>
      <c r="AM34" s="358" t="s">
        <v>267</v>
      </c>
      <c r="AN34" s="358" t="s">
        <v>267</v>
      </c>
      <c r="AO34" s="358" t="s">
        <v>267</v>
      </c>
      <c r="AP34" s="358" t="s">
        <v>267</v>
      </c>
      <c r="AQ34" s="358" t="s">
        <v>267</v>
      </c>
      <c r="AR34" s="358" t="s">
        <v>267</v>
      </c>
      <c r="AS34" s="358" t="s">
        <v>267</v>
      </c>
      <c r="AT34" s="358" t="s">
        <v>267</v>
      </c>
      <c r="AU34" s="358" t="s">
        <v>267</v>
      </c>
      <c r="AV34" s="358" t="s">
        <v>267</v>
      </c>
      <c r="AW34" s="358" t="s">
        <v>267</v>
      </c>
      <c r="AX34" s="358" t="s">
        <v>267</v>
      </c>
      <c r="AY34" s="359"/>
      <c r="AZ34" s="359"/>
      <c r="BA34" s="359"/>
      <c r="BB34" s="360">
        <f t="shared" si="24"/>
        <v>3409.48</v>
      </c>
      <c r="BC34" s="361" t="e">
        <f t="shared" ca="1" si="22"/>
        <v>#REF!</v>
      </c>
      <c r="BD34" s="362" t="e">
        <f t="shared" si="25"/>
        <v>#REF!</v>
      </c>
      <c r="BE34" s="363">
        <f t="shared" si="26"/>
        <v>2500</v>
      </c>
      <c r="BF34" s="364">
        <f t="shared" si="15"/>
        <v>3409.48</v>
      </c>
    </row>
    <row r="35" spans="1:58" ht="12.75" customHeight="1">
      <c r="A35" s="353" t="s">
        <v>220</v>
      </c>
      <c r="B35" s="354"/>
      <c r="C35" s="355">
        <v>600</v>
      </c>
      <c r="D35" s="35"/>
      <c r="E35" s="35">
        <v>600</v>
      </c>
      <c r="F35" s="35">
        <v>600</v>
      </c>
      <c r="G35" s="35">
        <v>1000</v>
      </c>
      <c r="H35" s="35">
        <v>1000</v>
      </c>
      <c r="I35" s="35">
        <v>1000</v>
      </c>
      <c r="J35" s="35">
        <v>1000</v>
      </c>
      <c r="K35" s="35">
        <v>1000</v>
      </c>
      <c r="L35" s="35">
        <v>1000</v>
      </c>
      <c r="M35" s="35">
        <v>1000</v>
      </c>
      <c r="N35" s="35">
        <v>1000</v>
      </c>
      <c r="O35" s="35">
        <v>1000</v>
      </c>
      <c r="P35" s="356"/>
      <c r="Q35" s="356">
        <f t="shared" si="23"/>
        <v>9800</v>
      </c>
      <c r="R35" s="355"/>
      <c r="S35" s="35"/>
      <c r="T35" s="35"/>
      <c r="U35" s="35"/>
      <c r="V35" s="35"/>
      <c r="W35" s="35"/>
      <c r="X35" s="35"/>
      <c r="Y35" s="35"/>
      <c r="Z35" s="35"/>
      <c r="AA35" s="357" t="s">
        <v>267</v>
      </c>
      <c r="AB35" s="357" t="s">
        <v>267</v>
      </c>
      <c r="AC35" s="357" t="s">
        <v>267</v>
      </c>
      <c r="AD35" s="357" t="s">
        <v>267</v>
      </c>
      <c r="AE35" s="357" t="s">
        <v>267</v>
      </c>
      <c r="AF35" s="357" t="s">
        <v>267</v>
      </c>
      <c r="AG35" s="357" t="s">
        <v>267</v>
      </c>
      <c r="AH35" s="357" t="s">
        <v>267</v>
      </c>
      <c r="AI35" s="357" t="s">
        <v>267</v>
      </c>
      <c r="AJ35" s="357" t="s">
        <v>267</v>
      </c>
      <c r="AK35" s="357" t="s">
        <v>267</v>
      </c>
      <c r="AL35" s="357" t="s">
        <v>267</v>
      </c>
      <c r="AM35" s="358" t="s">
        <v>267</v>
      </c>
      <c r="AN35" s="358" t="s">
        <v>267</v>
      </c>
      <c r="AO35" s="358" t="s">
        <v>267</v>
      </c>
      <c r="AP35" s="358" t="s">
        <v>267</v>
      </c>
      <c r="AQ35" s="358" t="s">
        <v>267</v>
      </c>
      <c r="AR35" s="358" t="s">
        <v>267</v>
      </c>
      <c r="AS35" s="358" t="s">
        <v>267</v>
      </c>
      <c r="AT35" s="358" t="s">
        <v>267</v>
      </c>
      <c r="AU35" s="358" t="s">
        <v>267</v>
      </c>
      <c r="AV35" s="358" t="s">
        <v>267</v>
      </c>
      <c r="AW35" s="358" t="s">
        <v>267</v>
      </c>
      <c r="AX35" s="358" t="s">
        <v>267</v>
      </c>
      <c r="AY35" s="359"/>
      <c r="AZ35" s="359"/>
      <c r="BA35" s="359"/>
      <c r="BB35" s="360">
        <f t="shared" si="24"/>
        <v>10200</v>
      </c>
      <c r="BC35" s="361" t="e">
        <f t="shared" ca="1" si="22"/>
        <v>#REF!</v>
      </c>
      <c r="BD35" s="362" t="e">
        <f t="shared" si="25"/>
        <v>#REF!</v>
      </c>
      <c r="BE35" s="363">
        <f t="shared" si="26"/>
        <v>600</v>
      </c>
      <c r="BF35" s="364">
        <f t="shared" si="15"/>
        <v>10200</v>
      </c>
    </row>
    <row r="36" spans="1:58" ht="12.75" customHeight="1">
      <c r="A36" s="353" t="s">
        <v>221</v>
      </c>
      <c r="B36" s="354"/>
      <c r="C36" s="355">
        <v>72</v>
      </c>
      <c r="D36" s="355">
        <v>0</v>
      </c>
      <c r="E36" s="355">
        <v>0</v>
      </c>
      <c r="F36" s="355">
        <v>0</v>
      </c>
      <c r="G36" s="355">
        <v>195</v>
      </c>
      <c r="H36" s="355">
        <v>195</v>
      </c>
      <c r="I36" s="355">
        <v>195</v>
      </c>
      <c r="J36" s="355">
        <v>195</v>
      </c>
      <c r="K36" s="355">
        <v>195</v>
      </c>
      <c r="L36" s="355">
        <v>195</v>
      </c>
      <c r="M36" s="355">
        <v>195</v>
      </c>
      <c r="N36" s="355">
        <v>195</v>
      </c>
      <c r="O36" s="355">
        <v>195</v>
      </c>
      <c r="P36" s="356"/>
      <c r="Q36" s="356">
        <f t="shared" si="23"/>
        <v>1632</v>
      </c>
      <c r="R36" s="355"/>
      <c r="S36" s="35"/>
      <c r="T36" s="35"/>
      <c r="U36" s="35"/>
      <c r="V36" s="35"/>
      <c r="W36" s="35"/>
      <c r="X36" s="35"/>
      <c r="Y36" s="35"/>
      <c r="Z36" s="35"/>
      <c r="AA36" s="357" t="s">
        <v>267</v>
      </c>
      <c r="AB36" s="357" t="s">
        <v>267</v>
      </c>
      <c r="AC36" s="357" t="s">
        <v>267</v>
      </c>
      <c r="AD36" s="357" t="s">
        <v>267</v>
      </c>
      <c r="AE36" s="357" t="s">
        <v>267</v>
      </c>
      <c r="AF36" s="357" t="s">
        <v>267</v>
      </c>
      <c r="AG36" s="357" t="s">
        <v>267</v>
      </c>
      <c r="AH36" s="357" t="s">
        <v>267</v>
      </c>
      <c r="AI36" s="357" t="s">
        <v>267</v>
      </c>
      <c r="AJ36" s="357" t="s">
        <v>267</v>
      </c>
      <c r="AK36" s="357" t="s">
        <v>267</v>
      </c>
      <c r="AL36" s="357" t="s">
        <v>267</v>
      </c>
      <c r="AM36" s="358" t="s">
        <v>267</v>
      </c>
      <c r="AN36" s="358" t="s">
        <v>267</v>
      </c>
      <c r="AO36" s="358" t="s">
        <v>267</v>
      </c>
      <c r="AP36" s="358" t="s">
        <v>267</v>
      </c>
      <c r="AQ36" s="358" t="s">
        <v>267</v>
      </c>
      <c r="AR36" s="358" t="s">
        <v>267</v>
      </c>
      <c r="AS36" s="358" t="s">
        <v>267</v>
      </c>
      <c r="AT36" s="358" t="s">
        <v>267</v>
      </c>
      <c r="AU36" s="358" t="s">
        <v>267</v>
      </c>
      <c r="AV36" s="358" t="s">
        <v>267</v>
      </c>
      <c r="AW36" s="358" t="s">
        <v>267</v>
      </c>
      <c r="AX36" s="358" t="s">
        <v>267</v>
      </c>
      <c r="AY36" s="359"/>
      <c r="AZ36" s="359"/>
      <c r="BA36" s="359"/>
      <c r="BB36" s="360">
        <f t="shared" si="24"/>
        <v>1755</v>
      </c>
      <c r="BC36" s="361" t="e">
        <f t="shared" ca="1" si="22"/>
        <v>#REF!</v>
      </c>
      <c r="BD36" s="362" t="e">
        <f t="shared" si="25"/>
        <v>#REF!</v>
      </c>
      <c r="BE36" s="363"/>
      <c r="BF36" s="364">
        <f t="shared" si="15"/>
        <v>1755</v>
      </c>
    </row>
    <row r="37" spans="1:58" ht="12.75" customHeight="1">
      <c r="A37" s="353" t="s">
        <v>25</v>
      </c>
      <c r="B37" s="354"/>
      <c r="C37" s="355">
        <v>5</v>
      </c>
      <c r="D37" s="35">
        <v>19</v>
      </c>
      <c r="E37" s="35">
        <v>19</v>
      </c>
      <c r="F37" s="35">
        <v>19</v>
      </c>
      <c r="G37" s="35">
        <v>33</v>
      </c>
      <c r="H37" s="35">
        <v>21</v>
      </c>
      <c r="I37" s="35">
        <v>21</v>
      </c>
      <c r="J37" s="35">
        <v>21</v>
      </c>
      <c r="K37" s="35">
        <v>21</v>
      </c>
      <c r="L37" s="35">
        <v>21</v>
      </c>
      <c r="M37" s="35">
        <v>21</v>
      </c>
      <c r="N37" s="35">
        <v>21</v>
      </c>
      <c r="O37" s="35">
        <v>21</v>
      </c>
      <c r="P37" s="356"/>
      <c r="Q37" s="356">
        <f t="shared" si="23"/>
        <v>242</v>
      </c>
      <c r="R37" s="355"/>
      <c r="S37" s="35"/>
      <c r="T37" s="35"/>
      <c r="U37" s="35"/>
      <c r="V37" s="35"/>
      <c r="W37" s="35"/>
      <c r="X37" s="35"/>
      <c r="Y37" s="35"/>
      <c r="Z37" s="35"/>
      <c r="AA37" s="357" t="s">
        <v>267</v>
      </c>
      <c r="AB37" s="357" t="s">
        <v>267</v>
      </c>
      <c r="AC37" s="357" t="s">
        <v>267</v>
      </c>
      <c r="AD37" s="357" t="s">
        <v>267</v>
      </c>
      <c r="AE37" s="357" t="s">
        <v>267</v>
      </c>
      <c r="AF37" s="357" t="s">
        <v>267</v>
      </c>
      <c r="AG37" s="357" t="s">
        <v>267</v>
      </c>
      <c r="AH37" s="357" t="s">
        <v>267</v>
      </c>
      <c r="AI37" s="357" t="s">
        <v>267</v>
      </c>
      <c r="AJ37" s="357" t="s">
        <v>267</v>
      </c>
      <c r="AK37" s="357" t="s">
        <v>267</v>
      </c>
      <c r="AL37" s="357" t="s">
        <v>267</v>
      </c>
      <c r="AM37" s="358" t="s">
        <v>267</v>
      </c>
      <c r="AN37" s="358" t="s">
        <v>267</v>
      </c>
      <c r="AO37" s="358" t="s">
        <v>267</v>
      </c>
      <c r="AP37" s="358" t="s">
        <v>267</v>
      </c>
      <c r="AQ37" s="358" t="s">
        <v>267</v>
      </c>
      <c r="AR37" s="358" t="s">
        <v>267</v>
      </c>
      <c r="AS37" s="358" t="s">
        <v>267</v>
      </c>
      <c r="AT37" s="358" t="s">
        <v>267</v>
      </c>
      <c r="AU37" s="358" t="s">
        <v>267</v>
      </c>
      <c r="AV37" s="358" t="s">
        <v>267</v>
      </c>
      <c r="AW37" s="358" t="s">
        <v>267</v>
      </c>
      <c r="AX37" s="358" t="s">
        <v>267</v>
      </c>
      <c r="AY37" s="359"/>
      <c r="AZ37" s="359"/>
      <c r="BA37" s="359"/>
      <c r="BB37" s="360">
        <f t="shared" si="24"/>
        <v>258</v>
      </c>
      <c r="BC37" s="361" t="e">
        <f t="shared" ca="1" si="22"/>
        <v>#REF!</v>
      </c>
      <c r="BD37" s="362" t="e">
        <f t="shared" si="25"/>
        <v>#REF!</v>
      </c>
      <c r="BE37" s="363">
        <f>SUM(C37)</f>
        <v>5</v>
      </c>
      <c r="BF37" s="364">
        <f t="shared" si="15"/>
        <v>258</v>
      </c>
    </row>
    <row r="38" spans="1:58" ht="12.75" customHeight="1">
      <c r="A38" s="353" t="s">
        <v>26</v>
      </c>
      <c r="B38" s="354"/>
      <c r="C38" s="355">
        <v>0</v>
      </c>
      <c r="D38" s="35">
        <v>305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6"/>
      <c r="Q38" s="356">
        <f t="shared" si="23"/>
        <v>305</v>
      </c>
      <c r="R38" s="355"/>
      <c r="S38" s="35"/>
      <c r="T38" s="35"/>
      <c r="U38" s="35"/>
      <c r="V38" s="35"/>
      <c r="W38" s="35"/>
      <c r="X38" s="35"/>
      <c r="Y38" s="35"/>
      <c r="Z38" s="35"/>
      <c r="AA38" s="357"/>
      <c r="AB38" s="357"/>
      <c r="AC38" s="357"/>
      <c r="AD38" s="357"/>
      <c r="AE38" s="357"/>
      <c r="AF38" s="357"/>
      <c r="AG38" s="357"/>
      <c r="AH38" s="357"/>
      <c r="AI38" s="357"/>
      <c r="AJ38" s="357"/>
      <c r="AK38" s="357"/>
      <c r="AL38" s="357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9"/>
      <c r="AZ38" s="359"/>
      <c r="BA38" s="359"/>
      <c r="BB38" s="360"/>
      <c r="BC38" s="361"/>
      <c r="BD38" s="362"/>
      <c r="BE38" s="363"/>
      <c r="BF38" s="364"/>
    </row>
    <row r="39" spans="1:58" ht="12.75" customHeight="1">
      <c r="A39" s="353" t="s">
        <v>27</v>
      </c>
      <c r="B39" s="354"/>
      <c r="C39" s="355">
        <v>0</v>
      </c>
      <c r="D39" s="35">
        <f>20.45+378.98</f>
        <v>399.43</v>
      </c>
      <c r="E39" s="35">
        <v>230</v>
      </c>
      <c r="F39" s="35">
        <f>128.81+26.85</f>
        <v>155.66</v>
      </c>
      <c r="G39" s="35">
        <f>2357.75+35.8-195</f>
        <v>2198.5500000000002</v>
      </c>
      <c r="H39" s="35">
        <v>200</v>
      </c>
      <c r="I39" s="35">
        <v>200</v>
      </c>
      <c r="J39" s="35">
        <v>200</v>
      </c>
      <c r="K39" s="35">
        <v>200</v>
      </c>
      <c r="L39" s="35">
        <v>200</v>
      </c>
      <c r="M39" s="35">
        <v>200</v>
      </c>
      <c r="N39" s="35">
        <v>200</v>
      </c>
      <c r="O39" s="35">
        <v>200</v>
      </c>
      <c r="P39" s="356"/>
      <c r="Q39" s="356">
        <f t="shared" si="23"/>
        <v>4383.6400000000003</v>
      </c>
      <c r="R39" s="355"/>
      <c r="S39" s="35"/>
      <c r="T39" s="35"/>
      <c r="U39" s="35"/>
      <c r="V39" s="35"/>
      <c r="W39" s="35"/>
      <c r="X39" s="35"/>
      <c r="Y39" s="35"/>
      <c r="Z39" s="35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357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9"/>
      <c r="AZ39" s="359"/>
      <c r="BA39" s="359"/>
      <c r="BB39" s="360"/>
      <c r="BC39" s="361"/>
      <c r="BD39" s="362"/>
      <c r="BE39" s="363"/>
      <c r="BF39" s="364"/>
    </row>
    <row r="40" spans="1:58" ht="12.75" customHeight="1">
      <c r="A40" s="353" t="s">
        <v>28</v>
      </c>
      <c r="B40" s="354"/>
      <c r="C40" s="355">
        <v>0</v>
      </c>
      <c r="D40" s="35">
        <v>175</v>
      </c>
      <c r="E40" s="35">
        <v>0</v>
      </c>
      <c r="F40" s="35">
        <v>0</v>
      </c>
      <c r="G40" s="35">
        <v>0</v>
      </c>
      <c r="H40" s="35">
        <v>50</v>
      </c>
      <c r="I40" s="35">
        <v>50</v>
      </c>
      <c r="J40" s="35">
        <v>50</v>
      </c>
      <c r="K40" s="35">
        <v>50</v>
      </c>
      <c r="L40" s="35">
        <v>50</v>
      </c>
      <c r="M40" s="35">
        <v>50</v>
      </c>
      <c r="N40" s="35">
        <v>50</v>
      </c>
      <c r="O40" s="35">
        <v>50</v>
      </c>
      <c r="P40" s="356"/>
      <c r="Q40" s="356">
        <f t="shared" si="23"/>
        <v>525</v>
      </c>
      <c r="R40" s="355"/>
      <c r="S40" s="35"/>
      <c r="T40" s="35"/>
      <c r="U40" s="35"/>
      <c r="V40" s="35"/>
      <c r="W40" s="35"/>
      <c r="X40" s="35"/>
      <c r="Y40" s="35"/>
      <c r="Z40" s="35"/>
      <c r="AA40" s="357" t="s">
        <v>267</v>
      </c>
      <c r="AB40" s="357" t="s">
        <v>267</v>
      </c>
      <c r="AC40" s="357" t="s">
        <v>267</v>
      </c>
      <c r="AD40" s="357" t="s">
        <v>267</v>
      </c>
      <c r="AE40" s="357" t="s">
        <v>267</v>
      </c>
      <c r="AF40" s="357" t="s">
        <v>267</v>
      </c>
      <c r="AG40" s="357" t="s">
        <v>267</v>
      </c>
      <c r="AH40" s="357" t="s">
        <v>267</v>
      </c>
      <c r="AI40" s="357" t="s">
        <v>267</v>
      </c>
      <c r="AJ40" s="357" t="s">
        <v>267</v>
      </c>
      <c r="AK40" s="357" t="s">
        <v>267</v>
      </c>
      <c r="AL40" s="357" t="s">
        <v>267</v>
      </c>
      <c r="AM40" s="358" t="s">
        <v>267</v>
      </c>
      <c r="AN40" s="358" t="s">
        <v>267</v>
      </c>
      <c r="AO40" s="358" t="s">
        <v>267</v>
      </c>
      <c r="AP40" s="358" t="s">
        <v>267</v>
      </c>
      <c r="AQ40" s="358" t="s">
        <v>267</v>
      </c>
      <c r="AR40" s="358" t="s">
        <v>267</v>
      </c>
      <c r="AS40" s="358" t="s">
        <v>267</v>
      </c>
      <c r="AT40" s="358" t="s">
        <v>267</v>
      </c>
      <c r="AU40" s="358" t="s">
        <v>267</v>
      </c>
      <c r="AV40" s="358" t="s">
        <v>267</v>
      </c>
      <c r="AW40" s="358" t="s">
        <v>267</v>
      </c>
      <c r="AX40" s="358" t="s">
        <v>267</v>
      </c>
      <c r="AY40" s="359"/>
      <c r="AZ40" s="359"/>
      <c r="BA40" s="359"/>
      <c r="BB40" s="360">
        <f>SUM(D40:O40)</f>
        <v>575</v>
      </c>
      <c r="BC40" s="361" t="e">
        <f ca="1">SUM(OFFSET(#REF!,0,0,1,MATCH(#REF!,#REF!,0)))</f>
        <v>#REF!</v>
      </c>
      <c r="BD40" s="362" t="e">
        <f>SUM(#REF!)</f>
        <v>#REF!</v>
      </c>
      <c r="BE40" s="363">
        <f t="shared" ref="BE40:BE50" si="27">SUM(C40)</f>
        <v>0</v>
      </c>
      <c r="BF40" s="364">
        <f t="shared" ref="BF40:BF50" si="28">SUM(D40:O40)</f>
        <v>575</v>
      </c>
    </row>
    <row r="41" spans="1:58" ht="12.75" customHeight="1">
      <c r="A41" s="385" t="s">
        <v>29</v>
      </c>
      <c r="B41" s="325"/>
      <c r="C41" s="371">
        <f t="shared" ref="C41:O41" si="29">SUM(C33:C40)</f>
        <v>3177</v>
      </c>
      <c r="D41" s="52">
        <f t="shared" si="29"/>
        <v>2398.4299999999998</v>
      </c>
      <c r="E41" s="52">
        <f t="shared" si="29"/>
        <v>849</v>
      </c>
      <c r="F41" s="52">
        <f t="shared" si="29"/>
        <v>2684.14</v>
      </c>
      <c r="G41" s="52">
        <f t="shared" si="29"/>
        <v>3426.55</v>
      </c>
      <c r="H41" s="52">
        <f t="shared" si="29"/>
        <v>1466</v>
      </c>
      <c r="I41" s="52">
        <f t="shared" si="29"/>
        <v>1466</v>
      </c>
      <c r="J41" s="52">
        <f t="shared" si="29"/>
        <v>5466</v>
      </c>
      <c r="K41" s="52">
        <f t="shared" si="29"/>
        <v>6466</v>
      </c>
      <c r="L41" s="52">
        <f t="shared" si="29"/>
        <v>6466</v>
      </c>
      <c r="M41" s="52">
        <f t="shared" si="29"/>
        <v>6466</v>
      </c>
      <c r="N41" s="52">
        <f t="shared" si="29"/>
        <v>6466</v>
      </c>
      <c r="O41" s="52">
        <f t="shared" si="29"/>
        <v>6466</v>
      </c>
      <c r="P41" s="369"/>
      <c r="Q41" s="369">
        <f>SUM(Q33:Q40)</f>
        <v>46797.119999999995</v>
      </c>
      <c r="R41" s="371"/>
      <c r="S41" s="52"/>
      <c r="T41" s="52"/>
      <c r="U41" s="52"/>
      <c r="V41" s="52"/>
      <c r="W41" s="52"/>
      <c r="X41" s="52"/>
      <c r="Y41" s="52"/>
      <c r="Z41" s="52"/>
      <c r="AA41" s="372">
        <f t="shared" ref="AA41:AX41" si="30">SUM(AA33:AA40)</f>
        <v>0</v>
      </c>
      <c r="AB41" s="372">
        <f t="shared" si="30"/>
        <v>0</v>
      </c>
      <c r="AC41" s="372">
        <f t="shared" si="30"/>
        <v>0</v>
      </c>
      <c r="AD41" s="372">
        <f t="shared" si="30"/>
        <v>0</v>
      </c>
      <c r="AE41" s="372">
        <f t="shared" si="30"/>
        <v>0</v>
      </c>
      <c r="AF41" s="372">
        <f t="shared" si="30"/>
        <v>0</v>
      </c>
      <c r="AG41" s="372">
        <f t="shared" si="30"/>
        <v>0</v>
      </c>
      <c r="AH41" s="372">
        <f t="shared" si="30"/>
        <v>0</v>
      </c>
      <c r="AI41" s="372">
        <f t="shared" si="30"/>
        <v>0</v>
      </c>
      <c r="AJ41" s="372">
        <f t="shared" si="30"/>
        <v>0</v>
      </c>
      <c r="AK41" s="372">
        <f t="shared" si="30"/>
        <v>0</v>
      </c>
      <c r="AL41" s="372">
        <f t="shared" si="30"/>
        <v>0</v>
      </c>
      <c r="AM41" s="373">
        <f t="shared" si="30"/>
        <v>0</v>
      </c>
      <c r="AN41" s="373">
        <f t="shared" si="30"/>
        <v>0</v>
      </c>
      <c r="AO41" s="373">
        <f t="shared" si="30"/>
        <v>0</v>
      </c>
      <c r="AP41" s="373">
        <f t="shared" si="30"/>
        <v>0</v>
      </c>
      <c r="AQ41" s="373">
        <f t="shared" si="30"/>
        <v>0</v>
      </c>
      <c r="AR41" s="373">
        <f t="shared" si="30"/>
        <v>0</v>
      </c>
      <c r="AS41" s="373">
        <f t="shared" si="30"/>
        <v>0</v>
      </c>
      <c r="AT41" s="373">
        <f t="shared" si="30"/>
        <v>0</v>
      </c>
      <c r="AU41" s="373">
        <f t="shared" si="30"/>
        <v>0</v>
      </c>
      <c r="AV41" s="373">
        <f t="shared" si="30"/>
        <v>0</v>
      </c>
      <c r="AW41" s="373">
        <f t="shared" si="30"/>
        <v>0</v>
      </c>
      <c r="AX41" s="373">
        <f t="shared" si="30"/>
        <v>0</v>
      </c>
      <c r="AY41" s="374"/>
      <c r="AZ41" s="374"/>
      <c r="BA41" s="374"/>
      <c r="BB41" s="375">
        <f t="shared" ref="BB41:BD41" si="31">SUM(BB33:BB40)</f>
        <v>45197.479999999996</v>
      </c>
      <c r="BC41" s="376" t="e">
        <f t="shared" ca="1" si="31"/>
        <v>#REF!</v>
      </c>
      <c r="BD41" s="377" t="e">
        <f t="shared" si="31"/>
        <v>#REF!</v>
      </c>
      <c r="BE41" s="378">
        <f t="shared" si="27"/>
        <v>3177</v>
      </c>
      <c r="BF41" s="364">
        <f t="shared" si="28"/>
        <v>50086.119999999995</v>
      </c>
    </row>
    <row r="42" spans="1:58" ht="12.75" customHeight="1">
      <c r="A42" s="19"/>
      <c r="B42" s="380"/>
      <c r="C42" s="386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402"/>
      <c r="Q42" s="402"/>
      <c r="R42" s="386"/>
      <c r="S42" s="68"/>
      <c r="T42" s="68"/>
      <c r="U42" s="68"/>
      <c r="V42" s="68"/>
      <c r="W42" s="68"/>
      <c r="X42" s="68"/>
      <c r="Y42" s="68"/>
      <c r="Z42" s="68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15"/>
      <c r="AZ42" s="415"/>
      <c r="BA42" s="415"/>
      <c r="BB42" s="416"/>
      <c r="BC42" s="407"/>
      <c r="BD42" s="408"/>
      <c r="BE42" s="409">
        <f t="shared" si="27"/>
        <v>0</v>
      </c>
      <c r="BF42" s="364">
        <f t="shared" si="28"/>
        <v>0</v>
      </c>
    </row>
    <row r="43" spans="1:58" ht="18.75" customHeight="1">
      <c r="A43" s="417" t="s">
        <v>30</v>
      </c>
      <c r="B43" s="418"/>
      <c r="C43" s="412">
        <f t="shared" ref="C43:O43" si="32">(C29)+(0)-(C41)+(0)-(0)</f>
        <v>-3177</v>
      </c>
      <c r="D43" s="413">
        <f t="shared" si="32"/>
        <v>-2398.4299999999998</v>
      </c>
      <c r="E43" s="413">
        <f t="shared" si="32"/>
        <v>-15849</v>
      </c>
      <c r="F43" s="413">
        <f t="shared" si="32"/>
        <v>-35234.14</v>
      </c>
      <c r="G43" s="413">
        <f t="shared" si="32"/>
        <v>-33426.550000000003</v>
      </c>
      <c r="H43" s="413">
        <f t="shared" si="32"/>
        <v>-33966</v>
      </c>
      <c r="I43" s="413">
        <f t="shared" si="32"/>
        <v>-36466</v>
      </c>
      <c r="J43" s="413">
        <f t="shared" si="32"/>
        <v>-40466</v>
      </c>
      <c r="K43" s="413">
        <f t="shared" si="32"/>
        <v>-41466</v>
      </c>
      <c r="L43" s="413">
        <f t="shared" si="32"/>
        <v>-41466</v>
      </c>
      <c r="M43" s="413">
        <f t="shared" si="32"/>
        <v>-41466</v>
      </c>
      <c r="N43" s="413">
        <f t="shared" si="32"/>
        <v>-41466</v>
      </c>
      <c r="O43" s="413">
        <f t="shared" si="32"/>
        <v>-41466</v>
      </c>
      <c r="P43" s="393"/>
      <c r="Q43" s="414">
        <f>(Q29)+(0)-(Q41)+(0)-(0)</f>
        <v>-366847.12</v>
      </c>
      <c r="R43" s="391"/>
      <c r="S43" s="59"/>
      <c r="T43" s="59"/>
      <c r="U43" s="59"/>
      <c r="V43" s="59"/>
      <c r="W43" s="59"/>
      <c r="X43" s="59"/>
      <c r="Y43" s="59"/>
      <c r="Z43" s="59"/>
      <c r="AA43" s="394">
        <f t="shared" ref="AA43:AX43" si="33">(AA29)+(0)-(AA41)+(0)-(0)</f>
        <v>0</v>
      </c>
      <c r="AB43" s="394">
        <f t="shared" si="33"/>
        <v>0</v>
      </c>
      <c r="AC43" s="394">
        <f t="shared" si="33"/>
        <v>0</v>
      </c>
      <c r="AD43" s="394">
        <f t="shared" si="33"/>
        <v>0</v>
      </c>
      <c r="AE43" s="394">
        <f t="shared" si="33"/>
        <v>0</v>
      </c>
      <c r="AF43" s="394">
        <f t="shared" si="33"/>
        <v>0</v>
      </c>
      <c r="AG43" s="394">
        <f t="shared" si="33"/>
        <v>0</v>
      </c>
      <c r="AH43" s="394">
        <f t="shared" si="33"/>
        <v>0</v>
      </c>
      <c r="AI43" s="394">
        <f t="shared" si="33"/>
        <v>0</v>
      </c>
      <c r="AJ43" s="394">
        <f t="shared" si="33"/>
        <v>0</v>
      </c>
      <c r="AK43" s="394">
        <f t="shared" si="33"/>
        <v>0</v>
      </c>
      <c r="AL43" s="394">
        <f t="shared" si="33"/>
        <v>0</v>
      </c>
      <c r="AM43" s="395">
        <f t="shared" si="33"/>
        <v>0</v>
      </c>
      <c r="AN43" s="395">
        <f t="shared" si="33"/>
        <v>0</v>
      </c>
      <c r="AO43" s="395">
        <f t="shared" si="33"/>
        <v>0</v>
      </c>
      <c r="AP43" s="395">
        <f t="shared" si="33"/>
        <v>0</v>
      </c>
      <c r="AQ43" s="395">
        <f t="shared" si="33"/>
        <v>0</v>
      </c>
      <c r="AR43" s="395">
        <f t="shared" si="33"/>
        <v>0</v>
      </c>
      <c r="AS43" s="395">
        <f t="shared" si="33"/>
        <v>0</v>
      </c>
      <c r="AT43" s="395">
        <f t="shared" si="33"/>
        <v>0</v>
      </c>
      <c r="AU43" s="395">
        <f t="shared" si="33"/>
        <v>0</v>
      </c>
      <c r="AV43" s="395">
        <f t="shared" si="33"/>
        <v>0</v>
      </c>
      <c r="AW43" s="395">
        <f t="shared" si="33"/>
        <v>0</v>
      </c>
      <c r="AX43" s="395">
        <f t="shared" si="33"/>
        <v>0</v>
      </c>
      <c r="AY43" s="396"/>
      <c r="AZ43" s="396"/>
      <c r="BA43" s="396"/>
      <c r="BB43" s="397">
        <f t="shared" ref="BB43:BD43" si="34">(BB29)+(0)-(BB41)+(0)-(0)</f>
        <v>-150197.47999999998</v>
      </c>
      <c r="BC43" s="398" t="e">
        <f t="shared" ca="1" si="34"/>
        <v>#REF!</v>
      </c>
      <c r="BD43" s="399" t="e">
        <f t="shared" si="34"/>
        <v>#REF!</v>
      </c>
      <c r="BE43" s="400">
        <f t="shared" si="27"/>
        <v>-3177</v>
      </c>
      <c r="BF43" s="364">
        <f t="shared" si="28"/>
        <v>-405136.12</v>
      </c>
    </row>
    <row r="44" spans="1:58" ht="12.75" customHeight="1">
      <c r="A44" s="2"/>
      <c r="B44" s="419"/>
      <c r="C44" s="420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421"/>
      <c r="Q44" s="421"/>
      <c r="R44" s="420"/>
      <c r="S44" s="78"/>
      <c r="T44" s="78"/>
      <c r="U44" s="78"/>
      <c r="V44" s="78"/>
      <c r="W44" s="78"/>
      <c r="X44" s="78"/>
      <c r="Y44" s="78"/>
      <c r="Z44" s="78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3"/>
      <c r="AN44" s="423"/>
      <c r="AO44" s="423"/>
      <c r="AP44" s="423"/>
      <c r="AQ44" s="423"/>
      <c r="AR44" s="423"/>
      <c r="AS44" s="423"/>
      <c r="AT44" s="423"/>
      <c r="AU44" s="423"/>
      <c r="AV44" s="423"/>
      <c r="AW44" s="423"/>
      <c r="AX44" s="423"/>
      <c r="AY44" s="424"/>
      <c r="AZ44" s="424"/>
      <c r="BA44" s="424"/>
      <c r="BB44" s="425"/>
      <c r="BC44" s="426"/>
      <c r="BD44" s="427"/>
      <c r="BE44" s="428">
        <f t="shared" si="27"/>
        <v>0</v>
      </c>
      <c r="BF44" s="364">
        <f t="shared" si="28"/>
        <v>0</v>
      </c>
    </row>
    <row r="45" spans="1:58" ht="12.75" customHeight="1">
      <c r="A45" s="429" t="s">
        <v>31</v>
      </c>
      <c r="B45" s="430"/>
      <c r="C45" s="42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421"/>
      <c r="Q45" s="421"/>
      <c r="R45" s="420"/>
      <c r="S45" s="78"/>
      <c r="T45" s="78"/>
      <c r="U45" s="78"/>
      <c r="V45" s="78"/>
      <c r="W45" s="78"/>
      <c r="X45" s="78"/>
      <c r="Y45" s="78"/>
      <c r="Z45" s="78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3"/>
      <c r="AN45" s="423"/>
      <c r="AO45" s="423"/>
      <c r="AP45" s="423"/>
      <c r="AQ45" s="423"/>
      <c r="AR45" s="423"/>
      <c r="AS45" s="423"/>
      <c r="AT45" s="423"/>
      <c r="AU45" s="423"/>
      <c r="AV45" s="423"/>
      <c r="AW45" s="423"/>
      <c r="AX45" s="423"/>
      <c r="AY45" s="424"/>
      <c r="AZ45" s="424"/>
      <c r="BA45" s="424"/>
      <c r="BB45" s="425"/>
      <c r="BC45" s="426"/>
      <c r="BD45" s="427"/>
      <c r="BE45" s="428">
        <f t="shared" si="27"/>
        <v>0</v>
      </c>
      <c r="BF45" s="364">
        <f t="shared" si="28"/>
        <v>0</v>
      </c>
    </row>
    <row r="46" spans="1:58" ht="12.75" customHeight="1">
      <c r="A46" s="431"/>
      <c r="B46" s="432"/>
      <c r="C46" s="35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6"/>
      <c r="Q46" s="356">
        <f t="shared" ref="Q46:Q47" si="35">SUM(D46:O46)</f>
        <v>0</v>
      </c>
      <c r="R46" s="355"/>
      <c r="S46" s="35"/>
      <c r="T46" s="35"/>
      <c r="U46" s="35"/>
      <c r="V46" s="35"/>
      <c r="W46" s="35"/>
      <c r="X46" s="35"/>
      <c r="Y46" s="35"/>
      <c r="Z46" s="35"/>
      <c r="AA46" s="357" t="s">
        <v>267</v>
      </c>
      <c r="AB46" s="357" t="s">
        <v>267</v>
      </c>
      <c r="AC46" s="357" t="s">
        <v>267</v>
      </c>
      <c r="AD46" s="357" t="s">
        <v>267</v>
      </c>
      <c r="AE46" s="357" t="s">
        <v>267</v>
      </c>
      <c r="AF46" s="357" t="s">
        <v>267</v>
      </c>
      <c r="AG46" s="357" t="s">
        <v>267</v>
      </c>
      <c r="AH46" s="357" t="s">
        <v>267</v>
      </c>
      <c r="AI46" s="357" t="s">
        <v>267</v>
      </c>
      <c r="AJ46" s="357" t="s">
        <v>267</v>
      </c>
      <c r="AK46" s="357" t="s">
        <v>267</v>
      </c>
      <c r="AL46" s="357" t="s">
        <v>267</v>
      </c>
      <c r="AM46" s="358" t="s">
        <v>267</v>
      </c>
      <c r="AN46" s="358" t="s">
        <v>267</v>
      </c>
      <c r="AO46" s="358" t="s">
        <v>267</v>
      </c>
      <c r="AP46" s="358" t="s">
        <v>267</v>
      </c>
      <c r="AQ46" s="358" t="s">
        <v>267</v>
      </c>
      <c r="AR46" s="358" t="s">
        <v>267</v>
      </c>
      <c r="AS46" s="358" t="s">
        <v>267</v>
      </c>
      <c r="AT46" s="358" t="s">
        <v>267</v>
      </c>
      <c r="AU46" s="358" t="s">
        <v>267</v>
      </c>
      <c r="AV46" s="358" t="s">
        <v>267</v>
      </c>
      <c r="AW46" s="358" t="s">
        <v>267</v>
      </c>
      <c r="AX46" s="358" t="s">
        <v>267</v>
      </c>
      <c r="AY46" s="359"/>
      <c r="AZ46" s="359"/>
      <c r="BA46" s="359"/>
      <c r="BB46" s="360">
        <f t="shared" ref="BB46:BB47" si="36">SUM(D46:O46)</f>
        <v>0</v>
      </c>
      <c r="BC46" s="361" t="e">
        <f t="shared" ref="BC46:BC47" ca="1" si="37">SUM(OFFSET(#REF!,0,0,1,MATCH(#REF!,#REF!,0)))</f>
        <v>#REF!</v>
      </c>
      <c r="BD46" s="362" t="e">
        <f t="shared" ref="BD46:BD47" si="38">SUM(#REF!)</f>
        <v>#REF!</v>
      </c>
      <c r="BE46" s="428">
        <f t="shared" si="27"/>
        <v>0</v>
      </c>
      <c r="BF46" s="364">
        <f t="shared" si="28"/>
        <v>0</v>
      </c>
    </row>
    <row r="47" spans="1:58" ht="12.75" customHeight="1">
      <c r="A47" s="383" t="s">
        <v>32</v>
      </c>
      <c r="B47" s="380"/>
      <c r="C47" s="35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6"/>
      <c r="Q47" s="356">
        <f t="shared" si="35"/>
        <v>0</v>
      </c>
      <c r="R47" s="355"/>
      <c r="S47" s="35"/>
      <c r="T47" s="35"/>
      <c r="U47" s="35"/>
      <c r="V47" s="35"/>
      <c r="W47" s="35"/>
      <c r="X47" s="35"/>
      <c r="Y47" s="35"/>
      <c r="Z47" s="35"/>
      <c r="AA47" s="357">
        <v>0</v>
      </c>
      <c r="AB47" s="357">
        <v>0</v>
      </c>
      <c r="AC47" s="357">
        <v>0</v>
      </c>
      <c r="AD47" s="357">
        <v>0</v>
      </c>
      <c r="AE47" s="357">
        <v>0</v>
      </c>
      <c r="AF47" s="357">
        <v>0</v>
      </c>
      <c r="AG47" s="357">
        <v>0</v>
      </c>
      <c r="AH47" s="357">
        <v>0</v>
      </c>
      <c r="AI47" s="357">
        <v>0</v>
      </c>
      <c r="AJ47" s="357">
        <v>0</v>
      </c>
      <c r="AK47" s="357">
        <v>0</v>
      </c>
      <c r="AL47" s="357">
        <v>0</v>
      </c>
      <c r="AM47" s="358">
        <v>0</v>
      </c>
      <c r="AN47" s="358">
        <v>0</v>
      </c>
      <c r="AO47" s="358">
        <v>0</v>
      </c>
      <c r="AP47" s="358">
        <v>0</v>
      </c>
      <c r="AQ47" s="358">
        <v>0</v>
      </c>
      <c r="AR47" s="358">
        <v>0</v>
      </c>
      <c r="AS47" s="358">
        <v>0</v>
      </c>
      <c r="AT47" s="358">
        <v>0</v>
      </c>
      <c r="AU47" s="358">
        <v>0</v>
      </c>
      <c r="AV47" s="358">
        <v>0</v>
      </c>
      <c r="AW47" s="358">
        <v>0</v>
      </c>
      <c r="AX47" s="358">
        <v>0</v>
      </c>
      <c r="AY47" s="359"/>
      <c r="AZ47" s="359"/>
      <c r="BA47" s="359"/>
      <c r="BB47" s="360">
        <f t="shared" si="36"/>
        <v>0</v>
      </c>
      <c r="BC47" s="361" t="e">
        <f t="shared" ca="1" si="37"/>
        <v>#REF!</v>
      </c>
      <c r="BD47" s="362" t="e">
        <f t="shared" si="38"/>
        <v>#REF!</v>
      </c>
      <c r="BE47" s="363">
        <f t="shared" si="27"/>
        <v>0</v>
      </c>
      <c r="BF47" s="364">
        <f t="shared" si="28"/>
        <v>0</v>
      </c>
    </row>
    <row r="48" spans="1:58" ht="12.75" customHeight="1">
      <c r="A48" s="433" t="s">
        <v>33</v>
      </c>
      <c r="B48" s="434"/>
      <c r="C48" s="371">
        <f t="shared" ref="C48:O48" si="39">SUM(C46:C47)</f>
        <v>0</v>
      </c>
      <c r="D48" s="52">
        <f t="shared" si="39"/>
        <v>0</v>
      </c>
      <c r="E48" s="52">
        <f t="shared" si="39"/>
        <v>0</v>
      </c>
      <c r="F48" s="52">
        <f t="shared" si="39"/>
        <v>0</v>
      </c>
      <c r="G48" s="52">
        <f t="shared" si="39"/>
        <v>0</v>
      </c>
      <c r="H48" s="52">
        <f t="shared" si="39"/>
        <v>0</v>
      </c>
      <c r="I48" s="52">
        <f t="shared" si="39"/>
        <v>0</v>
      </c>
      <c r="J48" s="52">
        <f t="shared" si="39"/>
        <v>0</v>
      </c>
      <c r="K48" s="52">
        <f t="shared" si="39"/>
        <v>0</v>
      </c>
      <c r="L48" s="52">
        <f t="shared" si="39"/>
        <v>0</v>
      </c>
      <c r="M48" s="52">
        <f t="shared" si="39"/>
        <v>0</v>
      </c>
      <c r="N48" s="52">
        <f t="shared" si="39"/>
        <v>0</v>
      </c>
      <c r="O48" s="52">
        <f t="shared" si="39"/>
        <v>0</v>
      </c>
      <c r="P48" s="369"/>
      <c r="Q48" s="369">
        <f>SUM(Q46:Q47)</f>
        <v>0</v>
      </c>
      <c r="R48" s="371"/>
      <c r="S48" s="52"/>
      <c r="T48" s="52"/>
      <c r="U48" s="52"/>
      <c r="V48" s="52"/>
      <c r="W48" s="52"/>
      <c r="X48" s="52"/>
      <c r="Y48" s="52"/>
      <c r="Z48" s="52"/>
      <c r="AA48" s="372">
        <f t="shared" ref="AA48:AX48" si="40">SUM(AA46:AA47)</f>
        <v>0</v>
      </c>
      <c r="AB48" s="372">
        <f t="shared" si="40"/>
        <v>0</v>
      </c>
      <c r="AC48" s="372">
        <f t="shared" si="40"/>
        <v>0</v>
      </c>
      <c r="AD48" s="372">
        <f t="shared" si="40"/>
        <v>0</v>
      </c>
      <c r="AE48" s="372">
        <f t="shared" si="40"/>
        <v>0</v>
      </c>
      <c r="AF48" s="372">
        <f t="shared" si="40"/>
        <v>0</v>
      </c>
      <c r="AG48" s="372">
        <f t="shared" si="40"/>
        <v>0</v>
      </c>
      <c r="AH48" s="372">
        <f t="shared" si="40"/>
        <v>0</v>
      </c>
      <c r="AI48" s="372">
        <f t="shared" si="40"/>
        <v>0</v>
      </c>
      <c r="AJ48" s="372">
        <f t="shared" si="40"/>
        <v>0</v>
      </c>
      <c r="AK48" s="372">
        <f t="shared" si="40"/>
        <v>0</v>
      </c>
      <c r="AL48" s="372">
        <f t="shared" si="40"/>
        <v>0</v>
      </c>
      <c r="AM48" s="373">
        <f t="shared" si="40"/>
        <v>0</v>
      </c>
      <c r="AN48" s="373">
        <f t="shared" si="40"/>
        <v>0</v>
      </c>
      <c r="AO48" s="373">
        <f t="shared" si="40"/>
        <v>0</v>
      </c>
      <c r="AP48" s="373">
        <f t="shared" si="40"/>
        <v>0</v>
      </c>
      <c r="AQ48" s="373">
        <f t="shared" si="40"/>
        <v>0</v>
      </c>
      <c r="AR48" s="373">
        <f t="shared" si="40"/>
        <v>0</v>
      </c>
      <c r="AS48" s="373">
        <f t="shared" si="40"/>
        <v>0</v>
      </c>
      <c r="AT48" s="373">
        <f t="shared" si="40"/>
        <v>0</v>
      </c>
      <c r="AU48" s="373">
        <f t="shared" si="40"/>
        <v>0</v>
      </c>
      <c r="AV48" s="373">
        <f t="shared" si="40"/>
        <v>0</v>
      </c>
      <c r="AW48" s="373">
        <f t="shared" si="40"/>
        <v>0</v>
      </c>
      <c r="AX48" s="373">
        <f t="shared" si="40"/>
        <v>0</v>
      </c>
      <c r="AY48" s="374"/>
      <c r="AZ48" s="374"/>
      <c r="BA48" s="374"/>
      <c r="BB48" s="375">
        <f t="shared" ref="BB48:BD48" si="41">SUM(BB46:BB47)</f>
        <v>0</v>
      </c>
      <c r="BC48" s="376" t="e">
        <f t="shared" ca="1" si="41"/>
        <v>#REF!</v>
      </c>
      <c r="BD48" s="377" t="e">
        <f t="shared" si="41"/>
        <v>#REF!</v>
      </c>
      <c r="BE48" s="378">
        <f t="shared" si="27"/>
        <v>0</v>
      </c>
      <c r="BF48" s="364">
        <f t="shared" si="28"/>
        <v>0</v>
      </c>
    </row>
    <row r="49" spans="1:58" ht="12.75" customHeight="1">
      <c r="A49" s="2"/>
      <c r="B49" s="419"/>
      <c r="C49" s="420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421"/>
      <c r="Q49" s="421"/>
      <c r="R49" s="420"/>
      <c r="S49" s="78"/>
      <c r="T49" s="78"/>
      <c r="U49" s="78"/>
      <c r="V49" s="78"/>
      <c r="W49" s="78"/>
      <c r="X49" s="78"/>
      <c r="Y49" s="78"/>
      <c r="Z49" s="78"/>
      <c r="AA49" s="422"/>
      <c r="AB49" s="422"/>
      <c r="AC49" s="422"/>
      <c r="AD49" s="422"/>
      <c r="AE49" s="422"/>
      <c r="AF49" s="422"/>
      <c r="AG49" s="422"/>
      <c r="AH49" s="422"/>
      <c r="AI49" s="422"/>
      <c r="AJ49" s="422"/>
      <c r="AK49" s="422"/>
      <c r="AL49" s="422"/>
      <c r="AM49" s="423"/>
      <c r="AN49" s="423"/>
      <c r="AO49" s="423"/>
      <c r="AP49" s="423"/>
      <c r="AQ49" s="423"/>
      <c r="AR49" s="423"/>
      <c r="AS49" s="423"/>
      <c r="AT49" s="423"/>
      <c r="AU49" s="423"/>
      <c r="AV49" s="423"/>
      <c r="AW49" s="423"/>
      <c r="AX49" s="423"/>
      <c r="AY49" s="424"/>
      <c r="AZ49" s="424"/>
      <c r="BA49" s="424"/>
      <c r="BB49" s="425"/>
      <c r="BC49" s="426"/>
      <c r="BD49" s="427"/>
      <c r="BE49" s="428">
        <f t="shared" si="27"/>
        <v>0</v>
      </c>
      <c r="BF49" s="364">
        <f t="shared" si="28"/>
        <v>0</v>
      </c>
    </row>
    <row r="50" spans="1:58" ht="16.5" customHeight="1">
      <c r="A50" s="417" t="s">
        <v>34</v>
      </c>
      <c r="B50" s="418"/>
      <c r="C50" s="412">
        <f t="shared" ref="C50:O50" si="42">C43-C48</f>
        <v>-3177</v>
      </c>
      <c r="D50" s="413">
        <f t="shared" si="42"/>
        <v>-2398.4299999999998</v>
      </c>
      <c r="E50" s="413">
        <f t="shared" si="42"/>
        <v>-15849</v>
      </c>
      <c r="F50" s="413">
        <f t="shared" si="42"/>
        <v>-35234.14</v>
      </c>
      <c r="G50" s="413">
        <f t="shared" si="42"/>
        <v>-33426.550000000003</v>
      </c>
      <c r="H50" s="413">
        <f t="shared" si="42"/>
        <v>-33966</v>
      </c>
      <c r="I50" s="413">
        <f t="shared" si="42"/>
        <v>-36466</v>
      </c>
      <c r="J50" s="413">
        <f t="shared" si="42"/>
        <v>-40466</v>
      </c>
      <c r="K50" s="413">
        <f t="shared" si="42"/>
        <v>-41466</v>
      </c>
      <c r="L50" s="413">
        <f t="shared" si="42"/>
        <v>-41466</v>
      </c>
      <c r="M50" s="413">
        <f t="shared" si="42"/>
        <v>-41466</v>
      </c>
      <c r="N50" s="413">
        <f t="shared" si="42"/>
        <v>-41466</v>
      </c>
      <c r="O50" s="413">
        <f t="shared" si="42"/>
        <v>-41466</v>
      </c>
      <c r="P50" s="393"/>
      <c r="Q50" s="414">
        <f>Q43-Q48</f>
        <v>-366847.12</v>
      </c>
      <c r="R50" s="391"/>
      <c r="S50" s="59"/>
      <c r="T50" s="59"/>
      <c r="U50" s="59"/>
      <c r="V50" s="59"/>
      <c r="W50" s="59"/>
      <c r="X50" s="59"/>
      <c r="Y50" s="59"/>
      <c r="Z50" s="59"/>
      <c r="AA50" s="394">
        <f t="shared" ref="AA50:AX50" si="43">AA43-AA48</f>
        <v>0</v>
      </c>
      <c r="AB50" s="394">
        <f t="shared" si="43"/>
        <v>0</v>
      </c>
      <c r="AC50" s="394">
        <f t="shared" si="43"/>
        <v>0</v>
      </c>
      <c r="AD50" s="394">
        <f t="shared" si="43"/>
        <v>0</v>
      </c>
      <c r="AE50" s="394">
        <f t="shared" si="43"/>
        <v>0</v>
      </c>
      <c r="AF50" s="394">
        <f t="shared" si="43"/>
        <v>0</v>
      </c>
      <c r="AG50" s="394">
        <f t="shared" si="43"/>
        <v>0</v>
      </c>
      <c r="AH50" s="394">
        <f t="shared" si="43"/>
        <v>0</v>
      </c>
      <c r="AI50" s="394">
        <f t="shared" si="43"/>
        <v>0</v>
      </c>
      <c r="AJ50" s="394">
        <f t="shared" si="43"/>
        <v>0</v>
      </c>
      <c r="AK50" s="394">
        <f t="shared" si="43"/>
        <v>0</v>
      </c>
      <c r="AL50" s="394">
        <f t="shared" si="43"/>
        <v>0</v>
      </c>
      <c r="AM50" s="395">
        <f t="shared" si="43"/>
        <v>0</v>
      </c>
      <c r="AN50" s="395">
        <f t="shared" si="43"/>
        <v>0</v>
      </c>
      <c r="AO50" s="395">
        <f t="shared" si="43"/>
        <v>0</v>
      </c>
      <c r="AP50" s="395">
        <f t="shared" si="43"/>
        <v>0</v>
      </c>
      <c r="AQ50" s="395">
        <f t="shared" si="43"/>
        <v>0</v>
      </c>
      <c r="AR50" s="395">
        <f t="shared" si="43"/>
        <v>0</v>
      </c>
      <c r="AS50" s="395">
        <f t="shared" si="43"/>
        <v>0</v>
      </c>
      <c r="AT50" s="395">
        <f t="shared" si="43"/>
        <v>0</v>
      </c>
      <c r="AU50" s="395">
        <f t="shared" si="43"/>
        <v>0</v>
      </c>
      <c r="AV50" s="395">
        <f t="shared" si="43"/>
        <v>0</v>
      </c>
      <c r="AW50" s="395">
        <f t="shared" si="43"/>
        <v>0</v>
      </c>
      <c r="AX50" s="395">
        <f t="shared" si="43"/>
        <v>0</v>
      </c>
      <c r="AY50" s="396"/>
      <c r="AZ50" s="396"/>
      <c r="BA50" s="396"/>
      <c r="BB50" s="397">
        <f t="shared" ref="BB50:BD50" si="44">BB43-BB48</f>
        <v>-150197.47999999998</v>
      </c>
      <c r="BC50" s="398" t="e">
        <f t="shared" ca="1" si="44"/>
        <v>#REF!</v>
      </c>
      <c r="BD50" s="399" t="e">
        <f t="shared" si="44"/>
        <v>#REF!</v>
      </c>
      <c r="BE50" s="400">
        <f t="shared" si="27"/>
        <v>-3177</v>
      </c>
      <c r="BF50" s="364">
        <f t="shared" si="28"/>
        <v>-405136.12</v>
      </c>
    </row>
    <row r="51" spans="1:58" ht="12.75" customHeight="1">
      <c r="A51" s="2"/>
      <c r="B51" s="435"/>
      <c r="P51" s="84"/>
      <c r="Q51" s="84"/>
      <c r="R51" s="2"/>
      <c r="S51" s="2"/>
      <c r="T51" s="2"/>
      <c r="U51" s="2"/>
      <c r="V51" s="2"/>
      <c r="W51" s="2"/>
      <c r="X51" s="2"/>
      <c r="Y51" s="2"/>
      <c r="Z51" s="2"/>
      <c r="BB51" s="118"/>
      <c r="BD51" s="436"/>
    </row>
    <row r="52" spans="1:58" ht="12.75" customHeight="1">
      <c r="A52" s="2"/>
      <c r="B52" s="435"/>
      <c r="C52" s="436"/>
      <c r="D52" s="436"/>
      <c r="E52" s="436"/>
      <c r="F52" s="436"/>
      <c r="G52" s="436"/>
      <c r="H52" s="436"/>
      <c r="I52" s="436"/>
      <c r="J52" s="436"/>
      <c r="K52" s="436"/>
      <c r="L52" s="436"/>
      <c r="M52" s="436"/>
      <c r="N52" s="436"/>
      <c r="O52" s="436"/>
      <c r="P52" s="86"/>
      <c r="Q52" s="86"/>
      <c r="R52" s="26"/>
      <c r="S52" s="26"/>
      <c r="T52" s="26"/>
      <c r="U52" s="26"/>
      <c r="V52" s="26"/>
      <c r="W52" s="26"/>
      <c r="X52" s="26"/>
      <c r="Y52" s="26"/>
      <c r="Z52" s="26"/>
      <c r="AA52" s="436"/>
      <c r="AB52" s="436"/>
      <c r="AC52" s="436"/>
      <c r="AD52" s="436"/>
      <c r="AE52" s="436"/>
      <c r="AF52" s="436"/>
      <c r="AG52" s="436"/>
      <c r="AH52" s="436"/>
      <c r="AI52" s="436"/>
      <c r="AJ52" s="436"/>
      <c r="AK52" s="436"/>
      <c r="AL52" s="436"/>
      <c r="AM52" s="436"/>
      <c r="AN52" s="436"/>
      <c r="AO52" s="436"/>
      <c r="AP52" s="436"/>
      <c r="AQ52" s="436"/>
      <c r="AR52" s="436"/>
      <c r="AS52" s="436"/>
      <c r="AT52" s="436"/>
      <c r="AU52" s="436"/>
      <c r="AV52" s="436"/>
      <c r="AW52" s="436"/>
      <c r="AX52" s="436"/>
      <c r="AY52" s="436"/>
      <c r="AZ52" s="436"/>
      <c r="BA52" s="436"/>
      <c r="BB52" s="437"/>
      <c r="BC52" s="436"/>
      <c r="BD52" s="436"/>
      <c r="BE52" s="436"/>
      <c r="BF52" s="436"/>
    </row>
    <row r="53" spans="1:58" ht="12.75" customHeight="1">
      <c r="A53" s="2"/>
      <c r="B53" s="435"/>
      <c r="F53" s="438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39"/>
    </row>
    <row r="54" spans="1:58" ht="12.75" customHeight="1">
      <c r="A54" s="2"/>
      <c r="B54" s="435"/>
      <c r="P54" s="84"/>
      <c r="Q54" s="84"/>
      <c r="R54" s="2"/>
      <c r="S54" s="2"/>
      <c r="T54" s="2"/>
      <c r="U54" s="2"/>
      <c r="V54" s="2"/>
      <c r="W54" s="2"/>
      <c r="X54" s="2"/>
      <c r="Y54" s="2"/>
      <c r="Z54" s="2"/>
      <c r="BB54" s="118"/>
      <c r="BD54" s="439"/>
    </row>
    <row r="55" spans="1:58" ht="12.75" customHeight="1">
      <c r="A55" s="2"/>
      <c r="B55" s="435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39"/>
    </row>
    <row r="56" spans="1:58" ht="12.75" customHeight="1">
      <c r="A56" s="2"/>
      <c r="B56" s="435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39"/>
    </row>
    <row r="57" spans="1:58" ht="12.75" customHeight="1">
      <c r="A57" s="2"/>
      <c r="B57" s="435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39"/>
    </row>
    <row r="58" spans="1:58" ht="12.75" customHeight="1">
      <c r="A58" s="2"/>
      <c r="B58" s="435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39"/>
    </row>
    <row r="59" spans="1:58" ht="12.75" customHeight="1">
      <c r="A59" s="2"/>
      <c r="B59" s="435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39"/>
    </row>
    <row r="60" spans="1:58" ht="12.75" customHeight="1">
      <c r="A60" s="2"/>
      <c r="B60" s="435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39"/>
    </row>
    <row r="61" spans="1:58" ht="12.75" customHeight="1">
      <c r="A61" s="2"/>
      <c r="B61" s="435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39"/>
    </row>
    <row r="62" spans="1:58" ht="12.75" customHeight="1">
      <c r="A62" s="2"/>
      <c r="B62" s="435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39"/>
    </row>
    <row r="63" spans="1:58" ht="12.75" customHeight="1">
      <c r="A63" s="2"/>
      <c r="B63" s="435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39"/>
    </row>
    <row r="64" spans="1:58" ht="12.75" customHeight="1">
      <c r="A64" s="2"/>
      <c r="B64" s="435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39"/>
    </row>
    <row r="65" spans="1:56" ht="12.75" customHeight="1">
      <c r="A65" s="2"/>
      <c r="B65" s="435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39"/>
    </row>
    <row r="66" spans="1:56" ht="12.75" customHeight="1">
      <c r="A66" s="2"/>
      <c r="B66" s="435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39"/>
    </row>
    <row r="67" spans="1:56" ht="12.75" customHeight="1">
      <c r="A67" s="2"/>
      <c r="B67" s="435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39"/>
    </row>
    <row r="68" spans="1:56" ht="12.75" customHeight="1">
      <c r="A68" s="2"/>
      <c r="B68" s="435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39"/>
    </row>
    <row r="69" spans="1:56" ht="12.75" customHeight="1">
      <c r="A69" s="2"/>
      <c r="B69" s="435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39"/>
    </row>
    <row r="70" spans="1:56" ht="12.75" customHeight="1">
      <c r="A70" s="2"/>
      <c r="B70" s="435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39"/>
    </row>
    <row r="71" spans="1:56" ht="12.75" customHeight="1">
      <c r="A71" s="2"/>
      <c r="B71" s="435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39"/>
    </row>
    <row r="72" spans="1:56" ht="12.75" customHeight="1">
      <c r="A72" s="2"/>
      <c r="B72" s="435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39"/>
    </row>
    <row r="73" spans="1:56" ht="12.75" customHeight="1">
      <c r="A73" s="2"/>
      <c r="B73" s="435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39"/>
    </row>
    <row r="74" spans="1:56" ht="12.75" customHeight="1">
      <c r="A74" s="2"/>
      <c r="B74" s="435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39"/>
    </row>
    <row r="75" spans="1:56" ht="12.75" customHeight="1">
      <c r="A75" s="2"/>
      <c r="B75" s="435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39"/>
    </row>
    <row r="76" spans="1:56" ht="12.75" customHeight="1">
      <c r="A76" s="2"/>
      <c r="B76" s="435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39"/>
    </row>
    <row r="77" spans="1:56" ht="12.75" customHeight="1">
      <c r="A77" s="2"/>
      <c r="B77" s="435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39"/>
    </row>
    <row r="78" spans="1:56" ht="12.75" customHeight="1">
      <c r="A78" s="2"/>
      <c r="B78" s="435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39"/>
    </row>
    <row r="79" spans="1:56" ht="12.75" customHeight="1">
      <c r="A79" s="2"/>
      <c r="B79" s="435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39"/>
    </row>
    <row r="80" spans="1:56" ht="12.75" customHeight="1">
      <c r="A80" s="2"/>
      <c r="B80" s="435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39"/>
    </row>
    <row r="81" spans="1:56" ht="12.75" customHeight="1">
      <c r="A81" s="2"/>
      <c r="B81" s="435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39"/>
    </row>
    <row r="82" spans="1:56" ht="12.75" customHeight="1">
      <c r="A82" s="2"/>
      <c r="B82" s="435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39"/>
    </row>
    <row r="83" spans="1:56" ht="12.75" customHeight="1">
      <c r="A83" s="2"/>
      <c r="B83" s="435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39"/>
    </row>
    <row r="84" spans="1:56" ht="12.75" customHeight="1">
      <c r="A84" s="2"/>
      <c r="B84" s="435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39"/>
    </row>
    <row r="85" spans="1:56" ht="12.75" customHeight="1">
      <c r="A85" s="2"/>
      <c r="B85" s="435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39"/>
    </row>
    <row r="86" spans="1:56" ht="12.75" customHeight="1">
      <c r="A86" s="2"/>
      <c r="B86" s="435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39"/>
    </row>
    <row r="87" spans="1:56" ht="12.75" customHeight="1">
      <c r="A87" s="2"/>
      <c r="B87" s="435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39"/>
    </row>
    <row r="88" spans="1:56" ht="12.75" customHeight="1">
      <c r="A88" s="2"/>
      <c r="B88" s="435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39"/>
    </row>
    <row r="89" spans="1:56" ht="12.75" customHeight="1">
      <c r="A89" s="2"/>
      <c r="B89" s="435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39"/>
    </row>
    <row r="90" spans="1:56" ht="12.75" customHeight="1">
      <c r="A90" s="2"/>
      <c r="B90" s="435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39"/>
    </row>
    <row r="91" spans="1:56" ht="12.75" customHeight="1">
      <c r="A91" s="2"/>
      <c r="B91" s="435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39"/>
    </row>
    <row r="92" spans="1:56" ht="12.75" customHeight="1">
      <c r="A92" s="2"/>
      <c r="B92" s="435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39"/>
    </row>
    <row r="93" spans="1:56" ht="12.75" customHeight="1">
      <c r="A93" s="2"/>
      <c r="B93" s="435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39"/>
    </row>
    <row r="94" spans="1:56" ht="12.75" customHeight="1">
      <c r="A94" s="2"/>
      <c r="B94" s="435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39"/>
    </row>
    <row r="95" spans="1:56" ht="12.75" customHeight="1">
      <c r="A95" s="2"/>
      <c r="B95" s="435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39"/>
    </row>
    <row r="96" spans="1:56" ht="12.75" customHeight="1">
      <c r="A96" s="2"/>
      <c r="B96" s="435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39"/>
    </row>
    <row r="97" spans="1:56" ht="12.75" customHeight="1">
      <c r="A97" s="2"/>
      <c r="B97" s="435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39"/>
    </row>
    <row r="98" spans="1:56" ht="12.75" customHeight="1">
      <c r="A98" s="2"/>
      <c r="B98" s="435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39"/>
    </row>
    <row r="99" spans="1:56" ht="12.75" customHeight="1">
      <c r="A99" s="2"/>
      <c r="B99" s="435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39"/>
    </row>
    <row r="100" spans="1:56" ht="12.75" customHeight="1">
      <c r="A100" s="2"/>
      <c r="B100" s="435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39"/>
    </row>
    <row r="101" spans="1:56" ht="12.75" customHeight="1">
      <c r="A101" s="2"/>
      <c r="B101" s="435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39"/>
    </row>
    <row r="102" spans="1:56" ht="12.75" customHeight="1">
      <c r="A102" s="2"/>
      <c r="B102" s="435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39"/>
    </row>
    <row r="103" spans="1:56" ht="12.75" customHeight="1">
      <c r="A103" s="2"/>
      <c r="B103" s="435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39"/>
    </row>
    <row r="104" spans="1:56" ht="12.75" customHeight="1">
      <c r="A104" s="2"/>
      <c r="B104" s="435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39"/>
    </row>
    <row r="105" spans="1:56" ht="12.75" customHeight="1">
      <c r="A105" s="2"/>
      <c r="B105" s="435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39"/>
    </row>
    <row r="106" spans="1:56" ht="12.75" customHeight="1">
      <c r="A106" s="2"/>
      <c r="B106" s="435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39"/>
    </row>
    <row r="107" spans="1:56" ht="12.75" customHeight="1">
      <c r="A107" s="2"/>
      <c r="B107" s="435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39"/>
    </row>
    <row r="108" spans="1:56" ht="12.75" customHeight="1">
      <c r="A108" s="2"/>
      <c r="B108" s="435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39"/>
    </row>
    <row r="109" spans="1:56" ht="12.75" customHeight="1">
      <c r="A109" s="2"/>
      <c r="B109" s="435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39"/>
    </row>
    <row r="110" spans="1:56" ht="12.75" customHeight="1">
      <c r="A110" s="2"/>
      <c r="B110" s="435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39"/>
    </row>
    <row r="111" spans="1:56" ht="12.75" customHeight="1">
      <c r="A111" s="2"/>
      <c r="B111" s="435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39"/>
    </row>
    <row r="112" spans="1:56" ht="12.75" customHeight="1">
      <c r="A112" s="2"/>
      <c r="B112" s="435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39"/>
    </row>
    <row r="113" spans="1:56" ht="12.75" customHeight="1">
      <c r="A113" s="2"/>
      <c r="B113" s="435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39"/>
    </row>
    <row r="114" spans="1:56" ht="12.75" customHeight="1">
      <c r="A114" s="2"/>
      <c r="B114" s="435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39"/>
    </row>
    <row r="115" spans="1:56" ht="12.75" customHeight="1">
      <c r="A115" s="2"/>
      <c r="B115" s="435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39"/>
    </row>
    <row r="116" spans="1:56" ht="12.75" customHeight="1">
      <c r="A116" s="2"/>
      <c r="B116" s="435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39"/>
    </row>
    <row r="117" spans="1:56" ht="12.75" customHeight="1">
      <c r="A117" s="2"/>
      <c r="B117" s="435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39"/>
    </row>
    <row r="118" spans="1:56" ht="12.75" customHeight="1">
      <c r="A118" s="2"/>
      <c r="B118" s="435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39"/>
    </row>
    <row r="119" spans="1:56" ht="12.75" customHeight="1">
      <c r="A119" s="2"/>
      <c r="B119" s="435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39"/>
    </row>
    <row r="120" spans="1:56" ht="12.75" customHeight="1">
      <c r="A120" s="2"/>
      <c r="B120" s="435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39"/>
    </row>
    <row r="121" spans="1:56" ht="12.75" customHeight="1">
      <c r="A121" s="2"/>
      <c r="B121" s="435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39"/>
    </row>
    <row r="122" spans="1:56" ht="12.75" customHeight="1">
      <c r="A122" s="2"/>
      <c r="B122" s="435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39"/>
    </row>
    <row r="123" spans="1:56" ht="12.75" customHeight="1">
      <c r="A123" s="2"/>
      <c r="B123" s="435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39"/>
    </row>
    <row r="124" spans="1:56" ht="12.75" customHeight="1">
      <c r="A124" s="2"/>
      <c r="B124" s="435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39"/>
    </row>
    <row r="125" spans="1:56" ht="12.75" customHeight="1">
      <c r="A125" s="2"/>
      <c r="B125" s="435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39"/>
    </row>
    <row r="126" spans="1:56" ht="12.75" customHeight="1">
      <c r="A126" s="2"/>
      <c r="B126" s="435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39"/>
    </row>
    <row r="127" spans="1:56" ht="12.75" customHeight="1">
      <c r="A127" s="2"/>
      <c r="B127" s="435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39"/>
    </row>
    <row r="128" spans="1:56" ht="12.75" customHeight="1">
      <c r="A128" s="2"/>
      <c r="B128" s="435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39"/>
    </row>
    <row r="129" spans="1:56" ht="12.75" customHeight="1">
      <c r="A129" s="2"/>
      <c r="B129" s="435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39"/>
    </row>
    <row r="130" spans="1:56" ht="12.75" customHeight="1">
      <c r="A130" s="2"/>
      <c r="B130" s="435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39"/>
    </row>
    <row r="131" spans="1:56" ht="12.75" customHeight="1">
      <c r="A131" s="2"/>
      <c r="B131" s="435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39"/>
    </row>
    <row r="132" spans="1:56" ht="12.75" customHeight="1">
      <c r="A132" s="2"/>
      <c r="B132" s="435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39"/>
    </row>
    <row r="133" spans="1:56" ht="12.75" customHeight="1">
      <c r="A133" s="2"/>
      <c r="B133" s="435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39"/>
    </row>
    <row r="134" spans="1:56" ht="12.75" customHeight="1">
      <c r="A134" s="2"/>
      <c r="B134" s="435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39"/>
    </row>
    <row r="135" spans="1:56" ht="12.75" customHeight="1">
      <c r="A135" s="2"/>
      <c r="B135" s="435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39"/>
    </row>
    <row r="136" spans="1:56" ht="12.75" customHeight="1">
      <c r="A136" s="2"/>
      <c r="B136" s="435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39"/>
    </row>
    <row r="137" spans="1:56" ht="12.75" customHeight="1">
      <c r="A137" s="2"/>
      <c r="B137" s="435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39"/>
    </row>
    <row r="138" spans="1:56" ht="12.75" customHeight="1">
      <c r="A138" s="2"/>
      <c r="B138" s="435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39"/>
    </row>
    <row r="139" spans="1:56" ht="12.75" customHeight="1">
      <c r="A139" s="2"/>
      <c r="B139" s="435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39"/>
    </row>
    <row r="140" spans="1:56" ht="12.75" customHeight="1">
      <c r="A140" s="2"/>
      <c r="B140" s="435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39"/>
    </row>
    <row r="141" spans="1:56" ht="12.75" customHeight="1">
      <c r="A141" s="2"/>
      <c r="B141" s="435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39"/>
    </row>
    <row r="142" spans="1:56" ht="12.75" customHeight="1">
      <c r="A142" s="2"/>
      <c r="B142" s="435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39"/>
    </row>
    <row r="143" spans="1:56" ht="12.75" customHeight="1">
      <c r="A143" s="2"/>
      <c r="B143" s="435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39"/>
    </row>
    <row r="144" spans="1:56" ht="12.75" customHeight="1">
      <c r="A144" s="2"/>
      <c r="B144" s="435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39"/>
    </row>
    <row r="145" spans="1:56" ht="12.75" customHeight="1">
      <c r="A145" s="2"/>
      <c r="B145" s="435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39"/>
    </row>
    <row r="146" spans="1:56" ht="12.75" customHeight="1">
      <c r="A146" s="2"/>
      <c r="B146" s="435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39"/>
    </row>
    <row r="147" spans="1:56" ht="12.75" customHeight="1">
      <c r="A147" s="2"/>
      <c r="B147" s="435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39"/>
    </row>
    <row r="148" spans="1:56" ht="12.75" customHeight="1">
      <c r="A148" s="2"/>
      <c r="B148" s="435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39"/>
    </row>
    <row r="149" spans="1:56" ht="12.75" customHeight="1">
      <c r="A149" s="2"/>
      <c r="B149" s="435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39"/>
    </row>
    <row r="150" spans="1:56" ht="12.75" customHeight="1">
      <c r="A150" s="2"/>
      <c r="B150" s="435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39"/>
    </row>
    <row r="151" spans="1:56" ht="12.75" customHeight="1">
      <c r="A151" s="2"/>
      <c r="B151" s="435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39"/>
    </row>
    <row r="152" spans="1:56" ht="12.75" customHeight="1">
      <c r="A152" s="2"/>
      <c r="B152" s="435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39"/>
    </row>
    <row r="153" spans="1:56" ht="12.75" customHeight="1">
      <c r="A153" s="2"/>
      <c r="B153" s="435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39"/>
    </row>
    <row r="154" spans="1:56" ht="12.75" customHeight="1">
      <c r="A154" s="2"/>
      <c r="B154" s="435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39"/>
    </row>
    <row r="155" spans="1:56" ht="12.75" customHeight="1">
      <c r="A155" s="2"/>
      <c r="B155" s="435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39"/>
    </row>
    <row r="156" spans="1:56" ht="12.75" customHeight="1">
      <c r="A156" s="2"/>
      <c r="B156" s="435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39"/>
    </row>
    <row r="157" spans="1:56" ht="12.75" customHeight="1">
      <c r="A157" s="2"/>
      <c r="B157" s="435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39"/>
    </row>
    <row r="158" spans="1:56" ht="12.75" customHeight="1">
      <c r="A158" s="2"/>
      <c r="B158" s="435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39"/>
    </row>
    <row r="159" spans="1:56" ht="12.75" customHeight="1">
      <c r="A159" s="2"/>
      <c r="B159" s="435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39"/>
    </row>
    <row r="160" spans="1:56" ht="12.75" customHeight="1">
      <c r="A160" s="2"/>
      <c r="B160" s="435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39"/>
    </row>
    <row r="161" spans="1:56" ht="12.75" customHeight="1">
      <c r="A161" s="2"/>
      <c r="B161" s="435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39"/>
    </row>
    <row r="162" spans="1:56" ht="12.75" customHeight="1">
      <c r="A162" s="2"/>
      <c r="B162" s="435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39"/>
    </row>
    <row r="163" spans="1:56" ht="12.75" customHeight="1">
      <c r="A163" s="2"/>
      <c r="B163" s="435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39"/>
    </row>
    <row r="164" spans="1:56" ht="12.75" customHeight="1">
      <c r="A164" s="2"/>
      <c r="B164" s="435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39"/>
    </row>
    <row r="165" spans="1:56" ht="12.75" customHeight="1">
      <c r="A165" s="2"/>
      <c r="B165" s="435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39"/>
    </row>
    <row r="166" spans="1:56" ht="12.75" customHeight="1">
      <c r="A166" s="2"/>
      <c r="B166" s="435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39"/>
    </row>
    <row r="167" spans="1:56" ht="12.75" customHeight="1">
      <c r="A167" s="2"/>
      <c r="B167" s="435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39"/>
    </row>
    <row r="168" spans="1:56" ht="12.75" customHeight="1">
      <c r="A168" s="2"/>
      <c r="B168" s="435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39"/>
    </row>
    <row r="169" spans="1:56" ht="12.75" customHeight="1">
      <c r="A169" s="2"/>
      <c r="B169" s="435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39"/>
    </row>
    <row r="170" spans="1:56" ht="12.75" customHeight="1">
      <c r="A170" s="2"/>
      <c r="B170" s="435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39"/>
    </row>
    <row r="171" spans="1:56" ht="12.75" customHeight="1">
      <c r="A171" s="2"/>
      <c r="B171" s="435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39"/>
    </row>
    <row r="172" spans="1:56" ht="12.75" customHeight="1">
      <c r="A172" s="2"/>
      <c r="B172" s="435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39"/>
    </row>
    <row r="173" spans="1:56" ht="12.75" customHeight="1">
      <c r="A173" s="2"/>
      <c r="B173" s="435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39"/>
    </row>
    <row r="174" spans="1:56" ht="12.75" customHeight="1">
      <c r="A174" s="2"/>
      <c r="B174" s="435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39"/>
    </row>
    <row r="175" spans="1:56" ht="12.75" customHeight="1">
      <c r="A175" s="2"/>
      <c r="B175" s="435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39"/>
    </row>
    <row r="176" spans="1:56" ht="12.75" customHeight="1">
      <c r="A176" s="2"/>
      <c r="B176" s="435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39"/>
    </row>
    <row r="177" spans="1:56" ht="12.75" customHeight="1">
      <c r="A177" s="2"/>
      <c r="B177" s="435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39"/>
    </row>
    <row r="178" spans="1:56" ht="12.75" customHeight="1">
      <c r="A178" s="2"/>
      <c r="B178" s="435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39"/>
    </row>
    <row r="179" spans="1:56" ht="12.75" customHeight="1">
      <c r="A179" s="2"/>
      <c r="B179" s="435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39"/>
    </row>
    <row r="180" spans="1:56" ht="12.75" customHeight="1">
      <c r="A180" s="2"/>
      <c r="B180" s="435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39"/>
    </row>
    <row r="181" spans="1:56" ht="12.75" customHeight="1">
      <c r="A181" s="2"/>
      <c r="B181" s="435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39"/>
    </row>
    <row r="182" spans="1:56" ht="12.75" customHeight="1">
      <c r="A182" s="2"/>
      <c r="B182" s="435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39"/>
    </row>
    <row r="183" spans="1:56" ht="12.75" customHeight="1">
      <c r="A183" s="2"/>
      <c r="B183" s="435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39"/>
    </row>
    <row r="184" spans="1:56" ht="12.75" customHeight="1">
      <c r="A184" s="2"/>
      <c r="B184" s="435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39"/>
    </row>
    <row r="185" spans="1:56" ht="12.75" customHeight="1">
      <c r="A185" s="2"/>
      <c r="B185" s="435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39"/>
    </row>
    <row r="186" spans="1:56" ht="12.75" customHeight="1">
      <c r="A186" s="2"/>
      <c r="B186" s="435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39"/>
    </row>
    <row r="187" spans="1:56" ht="12.75" customHeight="1">
      <c r="A187" s="2"/>
      <c r="B187" s="435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39"/>
    </row>
    <row r="188" spans="1:56" ht="12.75" customHeight="1">
      <c r="A188" s="2"/>
      <c r="B188" s="435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39"/>
    </row>
    <row r="189" spans="1:56" ht="12.75" customHeight="1">
      <c r="A189" s="2"/>
      <c r="B189" s="435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39"/>
    </row>
    <row r="190" spans="1:56" ht="12.75" customHeight="1">
      <c r="A190" s="2"/>
      <c r="B190" s="435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39"/>
    </row>
    <row r="191" spans="1:56" ht="12.75" customHeight="1">
      <c r="A191" s="2"/>
      <c r="B191" s="435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39"/>
    </row>
    <row r="192" spans="1:56" ht="12.75" customHeight="1">
      <c r="A192" s="2"/>
      <c r="B192" s="435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39"/>
    </row>
    <row r="193" spans="1:56" ht="12.75" customHeight="1">
      <c r="A193" s="2"/>
      <c r="B193" s="435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39"/>
    </row>
    <row r="194" spans="1:56" ht="12.75" customHeight="1">
      <c r="A194" s="2"/>
      <c r="B194" s="435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39"/>
    </row>
    <row r="195" spans="1:56" ht="12.75" customHeight="1">
      <c r="A195" s="2"/>
      <c r="B195" s="435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39"/>
    </row>
    <row r="196" spans="1:56" ht="12.75" customHeight="1">
      <c r="A196" s="2"/>
      <c r="B196" s="435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39"/>
    </row>
    <row r="197" spans="1:56" ht="12.75" customHeight="1">
      <c r="A197" s="2"/>
      <c r="B197" s="435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39"/>
    </row>
    <row r="198" spans="1:56" ht="12.75" customHeight="1">
      <c r="A198" s="2"/>
      <c r="B198" s="435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39"/>
    </row>
    <row r="199" spans="1:56" ht="12.75" customHeight="1">
      <c r="A199" s="2"/>
      <c r="B199" s="435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39"/>
    </row>
    <row r="200" spans="1:56" ht="12.75" customHeight="1">
      <c r="A200" s="2"/>
      <c r="B200" s="435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39"/>
    </row>
    <row r="201" spans="1:56" ht="12.75" customHeight="1">
      <c r="A201" s="2"/>
      <c r="B201" s="435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39"/>
    </row>
    <row r="202" spans="1:56" ht="12.75" customHeight="1">
      <c r="A202" s="2"/>
      <c r="B202" s="435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39"/>
    </row>
    <row r="203" spans="1:56" ht="12.75" customHeight="1">
      <c r="A203" s="2"/>
      <c r="B203" s="435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39"/>
    </row>
    <row r="204" spans="1:56" ht="12.75" customHeight="1">
      <c r="A204" s="2"/>
      <c r="B204" s="435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39"/>
    </row>
    <row r="205" spans="1:56" ht="12.75" customHeight="1">
      <c r="A205" s="2"/>
      <c r="B205" s="435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39"/>
    </row>
    <row r="206" spans="1:56" ht="12.75" customHeight="1">
      <c r="A206" s="2"/>
      <c r="B206" s="435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39"/>
    </row>
    <row r="207" spans="1:56" ht="12.75" customHeight="1">
      <c r="A207" s="2"/>
      <c r="B207" s="435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39"/>
    </row>
    <row r="208" spans="1:56" ht="12.75" customHeight="1">
      <c r="A208" s="2"/>
      <c r="B208" s="435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39"/>
    </row>
    <row r="209" spans="1:56" ht="12.75" customHeight="1">
      <c r="A209" s="2"/>
      <c r="B209" s="435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39"/>
    </row>
    <row r="210" spans="1:56" ht="12.75" customHeight="1">
      <c r="A210" s="2"/>
      <c r="B210" s="435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39"/>
    </row>
    <row r="211" spans="1:56" ht="12.75" customHeight="1">
      <c r="A211" s="2"/>
      <c r="B211" s="435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39"/>
    </row>
    <row r="212" spans="1:56" ht="12.75" customHeight="1">
      <c r="A212" s="2"/>
      <c r="B212" s="435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39"/>
    </row>
    <row r="213" spans="1:56" ht="12.75" customHeight="1">
      <c r="A213" s="2"/>
      <c r="B213" s="435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39"/>
    </row>
    <row r="214" spans="1:56" ht="12.75" customHeight="1">
      <c r="A214" s="2"/>
      <c r="B214" s="435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39"/>
    </row>
    <row r="215" spans="1:56" ht="12.75" customHeight="1">
      <c r="A215" s="2"/>
      <c r="B215" s="435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39"/>
    </row>
    <row r="216" spans="1:56" ht="12.75" customHeight="1">
      <c r="A216" s="2"/>
      <c r="B216" s="435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39"/>
    </row>
    <row r="217" spans="1:56" ht="12.75" customHeight="1">
      <c r="A217" s="2"/>
      <c r="B217" s="435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39"/>
    </row>
    <row r="218" spans="1:56" ht="12.75" customHeight="1">
      <c r="A218" s="2"/>
      <c r="B218" s="435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39"/>
    </row>
    <row r="219" spans="1:56" ht="12.75" customHeight="1">
      <c r="A219" s="2"/>
      <c r="B219" s="435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39"/>
    </row>
    <row r="220" spans="1:56" ht="12.75" customHeight="1">
      <c r="A220" s="2"/>
      <c r="B220" s="435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39"/>
    </row>
    <row r="221" spans="1:56" ht="12.75" customHeight="1">
      <c r="A221" s="2"/>
      <c r="B221" s="435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39"/>
    </row>
    <row r="222" spans="1:56" ht="12.75" customHeight="1">
      <c r="A222" s="2"/>
      <c r="B222" s="435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39"/>
    </row>
    <row r="223" spans="1:56" ht="12.75" customHeight="1">
      <c r="A223" s="2"/>
      <c r="B223" s="435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39"/>
    </row>
    <row r="224" spans="1:56" ht="12.75" customHeight="1">
      <c r="A224" s="2"/>
      <c r="B224" s="435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39"/>
    </row>
    <row r="225" spans="1:56" ht="12.75" customHeight="1">
      <c r="A225" s="2"/>
      <c r="B225" s="435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39"/>
    </row>
    <row r="226" spans="1:56" ht="12.75" customHeight="1">
      <c r="A226" s="2"/>
      <c r="B226" s="435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39"/>
    </row>
    <row r="227" spans="1:56" ht="12.75" customHeight="1">
      <c r="A227" s="2"/>
      <c r="B227" s="435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39"/>
    </row>
    <row r="228" spans="1:56" ht="12.75" customHeight="1">
      <c r="A228" s="2"/>
      <c r="B228" s="435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39"/>
    </row>
    <row r="229" spans="1:56" ht="12.75" customHeight="1">
      <c r="A229" s="2"/>
      <c r="B229" s="435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39"/>
    </row>
    <row r="230" spans="1:56" ht="12.75" customHeight="1">
      <c r="A230" s="2"/>
      <c r="B230" s="435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39"/>
    </row>
    <row r="231" spans="1:56" ht="12.75" customHeight="1">
      <c r="A231" s="2"/>
      <c r="B231" s="435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39"/>
    </row>
    <row r="232" spans="1:56" ht="12.75" customHeight="1">
      <c r="A232" s="2"/>
      <c r="B232" s="435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39"/>
    </row>
    <row r="233" spans="1:56" ht="12.75" customHeight="1">
      <c r="A233" s="2"/>
      <c r="B233" s="435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39"/>
    </row>
    <row r="234" spans="1:56" ht="12.75" customHeight="1">
      <c r="A234" s="2"/>
      <c r="B234" s="435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39"/>
    </row>
    <row r="235" spans="1:56" ht="12.75" customHeight="1">
      <c r="A235" s="2"/>
      <c r="B235" s="435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39"/>
    </row>
    <row r="236" spans="1:56" ht="12.75" customHeight="1">
      <c r="A236" s="2"/>
      <c r="B236" s="435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39"/>
    </row>
    <row r="237" spans="1:56" ht="12.75" customHeight="1">
      <c r="A237" s="2"/>
      <c r="B237" s="435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39"/>
    </row>
    <row r="238" spans="1:56" ht="12.75" customHeight="1">
      <c r="A238" s="2"/>
      <c r="B238" s="435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39"/>
    </row>
    <row r="239" spans="1:56" ht="12.75" customHeight="1">
      <c r="A239" s="2"/>
      <c r="B239" s="435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39"/>
    </row>
    <row r="240" spans="1:56" ht="12.75" customHeight="1">
      <c r="A240" s="2"/>
      <c r="B240" s="435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39"/>
    </row>
    <row r="241" spans="1:56" ht="12.75" customHeight="1">
      <c r="A241" s="2"/>
      <c r="B241" s="435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39"/>
    </row>
    <row r="242" spans="1:56" ht="12.75" customHeight="1">
      <c r="A242" s="2"/>
      <c r="B242" s="435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39"/>
    </row>
    <row r="243" spans="1:56" ht="12.75" customHeight="1">
      <c r="A243" s="2"/>
      <c r="B243" s="435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39"/>
    </row>
    <row r="244" spans="1:56" ht="12.75" customHeight="1">
      <c r="A244" s="2"/>
      <c r="B244" s="435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39"/>
    </row>
    <row r="245" spans="1:56" ht="12.75" customHeight="1">
      <c r="A245" s="2"/>
      <c r="B245" s="435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39"/>
    </row>
    <row r="246" spans="1:56" ht="12.75" customHeight="1">
      <c r="A246" s="2"/>
      <c r="B246" s="435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39"/>
    </row>
    <row r="247" spans="1:56" ht="12.75" customHeight="1">
      <c r="A247" s="2"/>
      <c r="B247" s="435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39"/>
    </row>
    <row r="248" spans="1:56" ht="12.75" customHeight="1">
      <c r="A248" s="2"/>
      <c r="B248" s="435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39"/>
    </row>
    <row r="249" spans="1:56" ht="12.75" customHeight="1">
      <c r="A249" s="2"/>
      <c r="B249" s="435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39"/>
    </row>
    <row r="250" spans="1:56" ht="12.75" customHeight="1">
      <c r="A250" s="2"/>
      <c r="B250" s="435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39"/>
    </row>
    <row r="251" spans="1:56" ht="12.75" customHeight="1">
      <c r="A251" s="2"/>
      <c r="B251" s="435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39"/>
    </row>
    <row r="252" spans="1:56" ht="12.75" customHeight="1">
      <c r="A252" s="2"/>
      <c r="B252" s="435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39"/>
    </row>
    <row r="253" spans="1:56" ht="12.75" customHeight="1">
      <c r="A253" s="2"/>
      <c r="B253" s="435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39"/>
    </row>
    <row r="254" spans="1:56" ht="12.75" customHeight="1">
      <c r="A254" s="2"/>
      <c r="B254" s="435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39"/>
    </row>
    <row r="255" spans="1:56" ht="12.75" customHeight="1">
      <c r="A255" s="2"/>
      <c r="B255" s="435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39"/>
    </row>
    <row r="256" spans="1:56" ht="12.75" customHeight="1">
      <c r="A256" s="2"/>
      <c r="B256" s="435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39"/>
    </row>
    <row r="257" spans="1:56" ht="12.75" customHeight="1">
      <c r="A257" s="2"/>
      <c r="B257" s="435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39"/>
    </row>
    <row r="258" spans="1:56" ht="12.75" customHeight="1">
      <c r="A258" s="2"/>
      <c r="B258" s="435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39"/>
    </row>
    <row r="259" spans="1:56" ht="12.75" customHeight="1">
      <c r="A259" s="2"/>
      <c r="B259" s="435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39"/>
    </row>
    <row r="260" spans="1:56" ht="12.75" customHeight="1">
      <c r="A260" s="2"/>
      <c r="B260" s="435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39"/>
    </row>
    <row r="261" spans="1:56" ht="12.75" customHeight="1">
      <c r="A261" s="2"/>
      <c r="B261" s="435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39"/>
    </row>
    <row r="262" spans="1:56" ht="12.75" customHeight="1">
      <c r="A262" s="2"/>
      <c r="B262" s="435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39"/>
    </row>
    <row r="263" spans="1:56" ht="12.75" customHeight="1">
      <c r="A263" s="2"/>
      <c r="B263" s="435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39"/>
    </row>
    <row r="264" spans="1:56" ht="12.75" customHeight="1">
      <c r="A264" s="2"/>
      <c r="B264" s="435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39"/>
    </row>
    <row r="265" spans="1:56" ht="12.75" customHeight="1">
      <c r="A265" s="2"/>
      <c r="B265" s="435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39"/>
    </row>
    <row r="266" spans="1:56" ht="12.75" customHeight="1">
      <c r="A266" s="2"/>
      <c r="B266" s="435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39"/>
    </row>
    <row r="267" spans="1:56" ht="12.75" customHeight="1">
      <c r="A267" s="2"/>
      <c r="B267" s="435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39"/>
    </row>
    <row r="268" spans="1:56" ht="12.75" customHeight="1">
      <c r="A268" s="2"/>
      <c r="B268" s="435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39"/>
    </row>
    <row r="269" spans="1:56" ht="12.75" customHeight="1">
      <c r="A269" s="2"/>
      <c r="B269" s="435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39"/>
    </row>
    <row r="270" spans="1:56" ht="12.75" customHeight="1">
      <c r="A270" s="2"/>
      <c r="B270" s="435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39"/>
    </row>
    <row r="271" spans="1:56" ht="12.75" customHeight="1">
      <c r="A271" s="2"/>
      <c r="B271" s="435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39"/>
    </row>
    <row r="272" spans="1:56" ht="12.75" customHeight="1">
      <c r="A272" s="2"/>
      <c r="B272" s="435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39"/>
    </row>
    <row r="273" spans="1:56" ht="12.75" customHeight="1">
      <c r="A273" s="2"/>
      <c r="B273" s="435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39"/>
    </row>
    <row r="274" spans="1:56" ht="12.75" customHeight="1">
      <c r="A274" s="2"/>
      <c r="B274" s="435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39"/>
    </row>
    <row r="275" spans="1:56" ht="12.75" customHeight="1">
      <c r="A275" s="2"/>
      <c r="B275" s="435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39"/>
    </row>
    <row r="276" spans="1:56" ht="12.75" customHeight="1">
      <c r="A276" s="2"/>
      <c r="B276" s="435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39"/>
    </row>
    <row r="277" spans="1:56" ht="12.75" customHeight="1">
      <c r="A277" s="2"/>
      <c r="B277" s="435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39"/>
    </row>
    <row r="278" spans="1:56" ht="12.75" customHeight="1">
      <c r="A278" s="2"/>
      <c r="B278" s="435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39"/>
    </row>
    <row r="279" spans="1:56" ht="12.75" customHeight="1">
      <c r="A279" s="2"/>
      <c r="B279" s="435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39"/>
    </row>
    <row r="280" spans="1:56" ht="12.75" customHeight="1">
      <c r="A280" s="2"/>
      <c r="B280" s="435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39"/>
    </row>
    <row r="281" spans="1:56" ht="12.75" customHeight="1">
      <c r="A281" s="2"/>
      <c r="B281" s="435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39"/>
    </row>
    <row r="282" spans="1:56" ht="12.75" customHeight="1">
      <c r="A282" s="2"/>
      <c r="B282" s="435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39"/>
    </row>
    <row r="283" spans="1:56" ht="12.75" customHeight="1">
      <c r="A283" s="2"/>
      <c r="B283" s="435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39"/>
    </row>
    <row r="284" spans="1:56" ht="12.75" customHeight="1">
      <c r="A284" s="2"/>
      <c r="B284" s="435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39"/>
    </row>
    <row r="285" spans="1:56" ht="12.75" customHeight="1">
      <c r="A285" s="2"/>
      <c r="B285" s="435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39"/>
    </row>
    <row r="286" spans="1:56" ht="12.75" customHeight="1">
      <c r="A286" s="2"/>
      <c r="B286" s="435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39"/>
    </row>
    <row r="287" spans="1:56" ht="12.75" customHeight="1">
      <c r="A287" s="2"/>
      <c r="B287" s="435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39"/>
    </row>
    <row r="288" spans="1:56" ht="12.75" customHeight="1">
      <c r="A288" s="2"/>
      <c r="B288" s="435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39"/>
    </row>
    <row r="289" spans="1:56" ht="12.75" customHeight="1">
      <c r="A289" s="2"/>
      <c r="B289" s="435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39"/>
    </row>
    <row r="290" spans="1:56" ht="12.75" customHeight="1">
      <c r="A290" s="2"/>
      <c r="B290" s="435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39"/>
    </row>
    <row r="291" spans="1:56" ht="12.75" customHeight="1">
      <c r="A291" s="2"/>
      <c r="B291" s="435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39"/>
    </row>
    <row r="292" spans="1:56" ht="12.75" customHeight="1">
      <c r="A292" s="2"/>
      <c r="B292" s="435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39"/>
    </row>
    <row r="293" spans="1:56" ht="12.75" customHeight="1">
      <c r="A293" s="2"/>
      <c r="B293" s="435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39"/>
    </row>
    <row r="294" spans="1:56" ht="12.75" customHeight="1">
      <c r="A294" s="2"/>
      <c r="B294" s="435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39"/>
    </row>
    <row r="295" spans="1:56" ht="12.75" customHeight="1">
      <c r="A295" s="2"/>
      <c r="B295" s="435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39"/>
    </row>
    <row r="296" spans="1:56" ht="12.75" customHeight="1">
      <c r="A296" s="2"/>
      <c r="B296" s="435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39"/>
    </row>
    <row r="297" spans="1:56" ht="12.75" customHeight="1">
      <c r="A297" s="2"/>
      <c r="B297" s="435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39"/>
    </row>
    <row r="298" spans="1:56" ht="12.75" customHeight="1">
      <c r="A298" s="2"/>
      <c r="B298" s="435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39"/>
    </row>
    <row r="299" spans="1:56" ht="12.75" customHeight="1">
      <c r="A299" s="2"/>
      <c r="B299" s="435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39"/>
    </row>
    <row r="300" spans="1:56" ht="12.75" customHeight="1">
      <c r="A300" s="2"/>
      <c r="B300" s="435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39"/>
    </row>
    <row r="301" spans="1:56" ht="12.75" customHeight="1">
      <c r="A301" s="2"/>
      <c r="B301" s="435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39"/>
    </row>
    <row r="302" spans="1:56" ht="12.75" customHeight="1">
      <c r="A302" s="2"/>
      <c r="B302" s="435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39"/>
    </row>
    <row r="303" spans="1:56" ht="12.75" customHeight="1">
      <c r="A303" s="2"/>
      <c r="B303" s="435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39"/>
    </row>
    <row r="304" spans="1:56" ht="12.75" customHeight="1">
      <c r="A304" s="2"/>
      <c r="B304" s="435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39"/>
    </row>
    <row r="305" spans="1:56" ht="12.75" customHeight="1">
      <c r="A305" s="2"/>
      <c r="B305" s="435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39"/>
    </row>
    <row r="306" spans="1:56" ht="12.75" customHeight="1">
      <c r="A306" s="2"/>
      <c r="B306" s="435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39"/>
    </row>
    <row r="307" spans="1:56" ht="12.75" customHeight="1">
      <c r="A307" s="2"/>
      <c r="B307" s="435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39"/>
    </row>
    <row r="308" spans="1:56" ht="12.75" customHeight="1">
      <c r="A308" s="2"/>
      <c r="B308" s="435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39"/>
    </row>
    <row r="309" spans="1:56" ht="12.75" customHeight="1">
      <c r="A309" s="2"/>
      <c r="B309" s="435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39"/>
    </row>
    <row r="310" spans="1:56" ht="12.75" customHeight="1">
      <c r="A310" s="2"/>
      <c r="B310" s="435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39"/>
    </row>
    <row r="311" spans="1:56" ht="12.75" customHeight="1">
      <c r="A311" s="2"/>
      <c r="B311" s="435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39"/>
    </row>
    <row r="312" spans="1:56" ht="12.75" customHeight="1">
      <c r="A312" s="2"/>
      <c r="B312" s="435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39"/>
    </row>
    <row r="313" spans="1:56" ht="12.75" customHeight="1">
      <c r="A313" s="2"/>
      <c r="B313" s="435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39"/>
    </row>
    <row r="314" spans="1:56" ht="12.75" customHeight="1">
      <c r="A314" s="2"/>
      <c r="B314" s="435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39"/>
    </row>
    <row r="315" spans="1:56" ht="12.75" customHeight="1">
      <c r="A315" s="2"/>
      <c r="B315" s="435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39"/>
    </row>
    <row r="316" spans="1:56" ht="12.75" customHeight="1">
      <c r="A316" s="2"/>
      <c r="B316" s="435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39"/>
    </row>
    <row r="317" spans="1:56" ht="12.75" customHeight="1">
      <c r="A317" s="2"/>
      <c r="B317" s="435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39"/>
    </row>
    <row r="318" spans="1:56" ht="12.75" customHeight="1">
      <c r="A318" s="2"/>
      <c r="B318" s="435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39"/>
    </row>
    <row r="319" spans="1:56" ht="12.75" customHeight="1">
      <c r="A319" s="2"/>
      <c r="B319" s="435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39"/>
    </row>
    <row r="320" spans="1:56" ht="12.75" customHeight="1">
      <c r="A320" s="2"/>
      <c r="B320" s="435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39"/>
    </row>
    <row r="321" spans="1:56" ht="12.75" customHeight="1">
      <c r="A321" s="2"/>
      <c r="B321" s="435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39"/>
    </row>
    <row r="322" spans="1:56" ht="12.75" customHeight="1">
      <c r="A322" s="2"/>
      <c r="B322" s="435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39"/>
    </row>
    <row r="323" spans="1:56" ht="12.75" customHeight="1">
      <c r="A323" s="2"/>
      <c r="B323" s="435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39"/>
    </row>
    <row r="324" spans="1:56" ht="12.75" customHeight="1">
      <c r="A324" s="2"/>
      <c r="B324" s="435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39"/>
    </row>
    <row r="325" spans="1:56" ht="12.75" customHeight="1">
      <c r="A325" s="2"/>
      <c r="B325" s="435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39"/>
    </row>
    <row r="326" spans="1:56" ht="12.75" customHeight="1">
      <c r="A326" s="2"/>
      <c r="B326" s="435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39"/>
    </row>
    <row r="327" spans="1:56" ht="12.75" customHeight="1">
      <c r="A327" s="2"/>
      <c r="B327" s="435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39"/>
    </row>
    <row r="328" spans="1:56" ht="12.75" customHeight="1">
      <c r="A328" s="2"/>
      <c r="B328" s="435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39"/>
    </row>
    <row r="329" spans="1:56" ht="12.75" customHeight="1">
      <c r="A329" s="2"/>
      <c r="B329" s="435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39"/>
    </row>
    <row r="330" spans="1:56" ht="12.75" customHeight="1">
      <c r="A330" s="2"/>
      <c r="B330" s="435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39"/>
    </row>
    <row r="331" spans="1:56" ht="12.75" customHeight="1">
      <c r="A331" s="2"/>
      <c r="B331" s="435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39"/>
    </row>
    <row r="332" spans="1:56" ht="12.75" customHeight="1">
      <c r="A332" s="2"/>
      <c r="B332" s="435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39"/>
    </row>
    <row r="333" spans="1:56" ht="12.75" customHeight="1">
      <c r="A333" s="2"/>
      <c r="B333" s="435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39"/>
    </row>
    <row r="334" spans="1:56" ht="12.75" customHeight="1">
      <c r="A334" s="2"/>
      <c r="B334" s="435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39"/>
    </row>
    <row r="335" spans="1:56" ht="12.75" customHeight="1">
      <c r="A335" s="2"/>
      <c r="B335" s="435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39"/>
    </row>
    <row r="336" spans="1:56" ht="12.75" customHeight="1">
      <c r="A336" s="2"/>
      <c r="B336" s="435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39"/>
    </row>
    <row r="337" spans="1:56" ht="12.75" customHeight="1">
      <c r="A337" s="2"/>
      <c r="B337" s="435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39"/>
    </row>
    <row r="338" spans="1:56" ht="12.75" customHeight="1">
      <c r="A338" s="2"/>
      <c r="B338" s="435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39"/>
    </row>
    <row r="339" spans="1:56" ht="12.75" customHeight="1">
      <c r="A339" s="2"/>
      <c r="B339" s="435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39"/>
    </row>
    <row r="340" spans="1:56" ht="12.75" customHeight="1">
      <c r="A340" s="2"/>
      <c r="B340" s="435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39"/>
    </row>
    <row r="341" spans="1:56" ht="12.75" customHeight="1">
      <c r="A341" s="2"/>
      <c r="B341" s="435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39"/>
    </row>
    <row r="342" spans="1:56" ht="12.75" customHeight="1">
      <c r="A342" s="2"/>
      <c r="B342" s="435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39"/>
    </row>
    <row r="343" spans="1:56" ht="12.75" customHeight="1">
      <c r="A343" s="2"/>
      <c r="B343" s="435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39"/>
    </row>
    <row r="344" spans="1:56" ht="12.75" customHeight="1">
      <c r="A344" s="2"/>
      <c r="B344" s="435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39"/>
    </row>
    <row r="345" spans="1:56" ht="12.75" customHeight="1">
      <c r="A345" s="2"/>
      <c r="B345" s="435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39"/>
    </row>
    <row r="346" spans="1:56" ht="12.75" customHeight="1">
      <c r="A346" s="2"/>
      <c r="B346" s="435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39"/>
    </row>
    <row r="347" spans="1:56" ht="12.75" customHeight="1">
      <c r="A347" s="2"/>
      <c r="B347" s="435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39"/>
    </row>
    <row r="348" spans="1:56" ht="12.75" customHeight="1">
      <c r="A348" s="2"/>
      <c r="B348" s="435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39"/>
    </row>
    <row r="349" spans="1:56" ht="12.75" customHeight="1">
      <c r="A349" s="2"/>
      <c r="B349" s="435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39"/>
    </row>
    <row r="350" spans="1:56" ht="12.75" customHeight="1">
      <c r="A350" s="2"/>
      <c r="B350" s="435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39"/>
    </row>
    <row r="351" spans="1:56" ht="12.75" customHeight="1">
      <c r="A351" s="2"/>
      <c r="B351" s="435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39"/>
    </row>
    <row r="352" spans="1:56" ht="12.75" customHeight="1">
      <c r="A352" s="2"/>
      <c r="B352" s="435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39"/>
    </row>
    <row r="353" spans="1:56" ht="12.75" customHeight="1">
      <c r="A353" s="2"/>
      <c r="B353" s="435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39"/>
    </row>
    <row r="354" spans="1:56" ht="12.75" customHeight="1">
      <c r="A354" s="2"/>
      <c r="B354" s="435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39"/>
    </row>
    <row r="355" spans="1:56" ht="12.75" customHeight="1">
      <c r="A355" s="2"/>
      <c r="B355" s="435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39"/>
    </row>
    <row r="356" spans="1:56" ht="12.75" customHeight="1">
      <c r="A356" s="2"/>
      <c r="B356" s="435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39"/>
    </row>
    <row r="357" spans="1:56" ht="12.75" customHeight="1">
      <c r="A357" s="2"/>
      <c r="B357" s="435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39"/>
    </row>
    <row r="358" spans="1:56" ht="12.75" customHeight="1">
      <c r="A358" s="2"/>
      <c r="B358" s="435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39"/>
    </row>
    <row r="359" spans="1:56" ht="12.75" customHeight="1">
      <c r="A359" s="2"/>
      <c r="B359" s="435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39"/>
    </row>
    <row r="360" spans="1:56" ht="12.75" customHeight="1">
      <c r="A360" s="2"/>
      <c r="B360" s="435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39"/>
    </row>
    <row r="361" spans="1:56" ht="12.75" customHeight="1">
      <c r="A361" s="2"/>
      <c r="B361" s="435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39"/>
    </row>
    <row r="362" spans="1:56" ht="12.75" customHeight="1">
      <c r="A362" s="2"/>
      <c r="B362" s="435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39"/>
    </row>
    <row r="363" spans="1:56" ht="12.75" customHeight="1">
      <c r="A363" s="2"/>
      <c r="B363" s="435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39"/>
    </row>
    <row r="364" spans="1:56" ht="12.75" customHeight="1">
      <c r="A364" s="2"/>
      <c r="B364" s="435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39"/>
    </row>
    <row r="365" spans="1:56" ht="12.75" customHeight="1">
      <c r="A365" s="2"/>
      <c r="B365" s="435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39"/>
    </row>
    <row r="366" spans="1:56" ht="12.75" customHeight="1">
      <c r="A366" s="2"/>
      <c r="B366" s="435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39"/>
    </row>
    <row r="367" spans="1:56" ht="12.75" customHeight="1">
      <c r="A367" s="2"/>
      <c r="B367" s="435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39"/>
    </row>
    <row r="368" spans="1:56" ht="12.75" customHeight="1">
      <c r="A368" s="2"/>
      <c r="B368" s="435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39"/>
    </row>
    <row r="369" spans="1:56" ht="12.75" customHeight="1">
      <c r="A369" s="2"/>
      <c r="B369" s="435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39"/>
    </row>
    <row r="370" spans="1:56" ht="12.75" customHeight="1">
      <c r="A370" s="2"/>
      <c r="B370" s="435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39"/>
    </row>
    <row r="371" spans="1:56" ht="12.75" customHeight="1">
      <c r="A371" s="2"/>
      <c r="B371" s="435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39"/>
    </row>
    <row r="372" spans="1:56" ht="12.75" customHeight="1">
      <c r="A372" s="2"/>
      <c r="B372" s="435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39"/>
    </row>
    <row r="373" spans="1:56" ht="12.75" customHeight="1">
      <c r="A373" s="2"/>
      <c r="B373" s="435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39"/>
    </row>
    <row r="374" spans="1:56" ht="12.75" customHeight="1">
      <c r="A374" s="2"/>
      <c r="B374" s="435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39"/>
    </row>
    <row r="375" spans="1:56" ht="12.75" customHeight="1">
      <c r="A375" s="2"/>
      <c r="B375" s="435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39"/>
    </row>
    <row r="376" spans="1:56" ht="12.75" customHeight="1">
      <c r="A376" s="2"/>
      <c r="B376" s="435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39"/>
    </row>
    <row r="377" spans="1:56" ht="12.75" customHeight="1">
      <c r="A377" s="2"/>
      <c r="B377" s="435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39"/>
    </row>
    <row r="378" spans="1:56" ht="12.75" customHeight="1">
      <c r="A378" s="2"/>
      <c r="B378" s="435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39"/>
    </row>
    <row r="379" spans="1:56" ht="12.75" customHeight="1">
      <c r="A379" s="2"/>
      <c r="B379" s="435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39"/>
    </row>
    <row r="380" spans="1:56" ht="12.75" customHeight="1">
      <c r="A380" s="2"/>
      <c r="B380" s="435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39"/>
    </row>
    <row r="381" spans="1:56" ht="12.75" customHeight="1">
      <c r="A381" s="2"/>
      <c r="B381" s="435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39"/>
    </row>
    <row r="382" spans="1:56" ht="12.75" customHeight="1">
      <c r="A382" s="2"/>
      <c r="B382" s="435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39"/>
    </row>
    <row r="383" spans="1:56" ht="12.75" customHeight="1">
      <c r="A383" s="2"/>
      <c r="B383" s="435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39"/>
    </row>
    <row r="384" spans="1:56" ht="12.75" customHeight="1">
      <c r="A384" s="2"/>
      <c r="B384" s="435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39"/>
    </row>
    <row r="385" spans="1:56" ht="12.75" customHeight="1">
      <c r="A385" s="2"/>
      <c r="B385" s="435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39"/>
    </row>
    <row r="386" spans="1:56" ht="12.75" customHeight="1">
      <c r="A386" s="2"/>
      <c r="B386" s="435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39"/>
    </row>
    <row r="387" spans="1:56" ht="12.75" customHeight="1">
      <c r="A387" s="2"/>
      <c r="B387" s="435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39"/>
    </row>
    <row r="388" spans="1:56" ht="12.75" customHeight="1">
      <c r="A388" s="2"/>
      <c r="B388" s="435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39"/>
    </row>
    <row r="389" spans="1:56" ht="12.75" customHeight="1">
      <c r="A389" s="2"/>
      <c r="B389" s="435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39"/>
    </row>
    <row r="390" spans="1:56" ht="12.75" customHeight="1">
      <c r="A390" s="2"/>
      <c r="B390" s="435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39"/>
    </row>
    <row r="391" spans="1:56" ht="12.75" customHeight="1">
      <c r="A391" s="2"/>
      <c r="B391" s="435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39"/>
    </row>
    <row r="392" spans="1:56" ht="12.75" customHeight="1">
      <c r="A392" s="2"/>
      <c r="B392" s="435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39"/>
    </row>
    <row r="393" spans="1:56" ht="12.75" customHeight="1">
      <c r="A393" s="2"/>
      <c r="B393" s="435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39"/>
    </row>
    <row r="394" spans="1:56" ht="12.75" customHeight="1">
      <c r="A394" s="2"/>
      <c r="B394" s="435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39"/>
    </row>
    <row r="395" spans="1:56" ht="12.75" customHeight="1">
      <c r="A395" s="2"/>
      <c r="B395" s="435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39"/>
    </row>
    <row r="396" spans="1:56" ht="12.75" customHeight="1">
      <c r="A396" s="2"/>
      <c r="B396" s="435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39"/>
    </row>
    <row r="397" spans="1:56" ht="12.75" customHeight="1">
      <c r="A397" s="2"/>
      <c r="B397" s="435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39"/>
    </row>
    <row r="398" spans="1:56" ht="12.75" customHeight="1">
      <c r="A398" s="2"/>
      <c r="B398" s="435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39"/>
    </row>
    <row r="399" spans="1:56" ht="12.75" customHeight="1">
      <c r="A399" s="2"/>
      <c r="B399" s="435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39"/>
    </row>
    <row r="400" spans="1:56" ht="12.75" customHeight="1">
      <c r="A400" s="2"/>
      <c r="B400" s="435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39"/>
    </row>
    <row r="401" spans="1:56" ht="12.75" customHeight="1">
      <c r="A401" s="2"/>
      <c r="B401" s="435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39"/>
    </row>
    <row r="402" spans="1:56" ht="12.75" customHeight="1">
      <c r="A402" s="2"/>
      <c r="B402" s="435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39"/>
    </row>
    <row r="403" spans="1:56" ht="12.75" customHeight="1">
      <c r="A403" s="2"/>
      <c r="B403" s="435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39"/>
    </row>
    <row r="404" spans="1:56" ht="12.75" customHeight="1">
      <c r="A404" s="2"/>
      <c r="B404" s="435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39"/>
    </row>
    <row r="405" spans="1:56" ht="12.75" customHeight="1">
      <c r="A405" s="2"/>
      <c r="B405" s="435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39"/>
    </row>
    <row r="406" spans="1:56" ht="12.75" customHeight="1">
      <c r="A406" s="2"/>
      <c r="B406" s="435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39"/>
    </row>
    <row r="407" spans="1:56" ht="12.75" customHeight="1">
      <c r="A407" s="2"/>
      <c r="B407" s="435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39"/>
    </row>
    <row r="408" spans="1:56" ht="12.75" customHeight="1">
      <c r="A408" s="2"/>
      <c r="B408" s="435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39"/>
    </row>
    <row r="409" spans="1:56" ht="12.75" customHeight="1">
      <c r="A409" s="2"/>
      <c r="B409" s="435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39"/>
    </row>
    <row r="410" spans="1:56" ht="12.75" customHeight="1">
      <c r="A410" s="2"/>
      <c r="B410" s="435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39"/>
    </row>
    <row r="411" spans="1:56" ht="12.75" customHeight="1">
      <c r="A411" s="2"/>
      <c r="B411" s="435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39"/>
    </row>
    <row r="412" spans="1:56" ht="12.75" customHeight="1">
      <c r="A412" s="2"/>
      <c r="B412" s="435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39"/>
    </row>
    <row r="413" spans="1:56" ht="12.75" customHeight="1">
      <c r="A413" s="2"/>
      <c r="B413" s="435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39"/>
    </row>
    <row r="414" spans="1:56" ht="12.75" customHeight="1">
      <c r="A414" s="2"/>
      <c r="B414" s="435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39"/>
    </row>
    <row r="415" spans="1:56" ht="12.75" customHeight="1">
      <c r="A415" s="2"/>
      <c r="B415" s="435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39"/>
    </row>
    <row r="416" spans="1:56" ht="12.75" customHeight="1">
      <c r="A416" s="2"/>
      <c r="B416" s="435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39"/>
    </row>
    <row r="417" spans="1:56" ht="12.75" customHeight="1">
      <c r="A417" s="2"/>
      <c r="B417" s="435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39"/>
    </row>
    <row r="418" spans="1:56" ht="12.75" customHeight="1">
      <c r="A418" s="2"/>
      <c r="B418" s="435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39"/>
    </row>
    <row r="419" spans="1:56" ht="12.75" customHeight="1">
      <c r="A419" s="2"/>
      <c r="B419" s="435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39"/>
    </row>
    <row r="420" spans="1:56" ht="12.75" customHeight="1">
      <c r="A420" s="2"/>
      <c r="B420" s="435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39"/>
    </row>
    <row r="421" spans="1:56" ht="12.75" customHeight="1">
      <c r="A421" s="2"/>
      <c r="B421" s="435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39"/>
    </row>
    <row r="422" spans="1:56" ht="12.75" customHeight="1">
      <c r="A422" s="2"/>
      <c r="B422" s="435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39"/>
    </row>
    <row r="423" spans="1:56" ht="12.75" customHeight="1">
      <c r="A423" s="2"/>
      <c r="B423" s="435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39"/>
    </row>
    <row r="424" spans="1:56" ht="12.75" customHeight="1">
      <c r="A424" s="2"/>
      <c r="B424" s="435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39"/>
    </row>
    <row r="425" spans="1:56" ht="12.75" customHeight="1">
      <c r="A425" s="2"/>
      <c r="B425" s="435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39"/>
    </row>
    <row r="426" spans="1:56" ht="12.75" customHeight="1">
      <c r="A426" s="2"/>
      <c r="B426" s="435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39"/>
    </row>
    <row r="427" spans="1:56" ht="12.75" customHeight="1">
      <c r="A427" s="2"/>
      <c r="B427" s="435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39"/>
    </row>
    <row r="428" spans="1:56" ht="12.75" customHeight="1">
      <c r="A428" s="2"/>
      <c r="B428" s="435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39"/>
    </row>
    <row r="429" spans="1:56" ht="12.75" customHeight="1">
      <c r="A429" s="2"/>
      <c r="B429" s="435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39"/>
    </row>
    <row r="430" spans="1:56" ht="12.75" customHeight="1">
      <c r="A430" s="2"/>
      <c r="B430" s="435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39"/>
    </row>
    <row r="431" spans="1:56" ht="12.75" customHeight="1">
      <c r="A431" s="2"/>
      <c r="B431" s="435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39"/>
    </row>
    <row r="432" spans="1:56" ht="12.75" customHeight="1">
      <c r="A432" s="2"/>
      <c r="B432" s="435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39"/>
    </row>
    <row r="433" spans="1:56" ht="12.75" customHeight="1">
      <c r="A433" s="2"/>
      <c r="B433" s="435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39"/>
    </row>
    <row r="434" spans="1:56" ht="12.75" customHeight="1">
      <c r="A434" s="2"/>
      <c r="B434" s="435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39"/>
    </row>
    <row r="435" spans="1:56" ht="12.75" customHeight="1">
      <c r="A435" s="2"/>
      <c r="B435" s="435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39"/>
    </row>
    <row r="436" spans="1:56" ht="12.75" customHeight="1">
      <c r="A436" s="2"/>
      <c r="B436" s="435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39"/>
    </row>
    <row r="437" spans="1:56" ht="12.75" customHeight="1">
      <c r="A437" s="2"/>
      <c r="B437" s="435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39"/>
    </row>
    <row r="438" spans="1:56" ht="12.75" customHeight="1">
      <c r="A438" s="2"/>
      <c r="B438" s="435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39"/>
    </row>
    <row r="439" spans="1:56" ht="12.75" customHeight="1">
      <c r="A439" s="2"/>
      <c r="B439" s="435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39"/>
    </row>
    <row r="440" spans="1:56" ht="12.75" customHeight="1">
      <c r="A440" s="2"/>
      <c r="B440" s="435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39"/>
    </row>
    <row r="441" spans="1:56" ht="12.75" customHeight="1">
      <c r="A441" s="2"/>
      <c r="B441" s="435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39"/>
    </row>
    <row r="442" spans="1:56" ht="12.75" customHeight="1">
      <c r="A442" s="2"/>
      <c r="B442" s="435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39"/>
    </row>
    <row r="443" spans="1:56" ht="12.75" customHeight="1">
      <c r="A443" s="2"/>
      <c r="B443" s="435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39"/>
    </row>
    <row r="444" spans="1:56" ht="12.75" customHeight="1">
      <c r="A444" s="2"/>
      <c r="B444" s="435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39"/>
    </row>
    <row r="445" spans="1:56" ht="12.75" customHeight="1">
      <c r="A445" s="2"/>
      <c r="B445" s="435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39"/>
    </row>
    <row r="446" spans="1:56" ht="12.75" customHeight="1">
      <c r="A446" s="2"/>
      <c r="B446" s="435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39"/>
    </row>
    <row r="447" spans="1:56" ht="12.75" customHeight="1">
      <c r="A447" s="2"/>
      <c r="B447" s="435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39"/>
    </row>
    <row r="448" spans="1:56" ht="12.75" customHeight="1">
      <c r="A448" s="2"/>
      <c r="B448" s="435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39"/>
    </row>
    <row r="449" spans="1:56" ht="12.75" customHeight="1">
      <c r="A449" s="2"/>
      <c r="B449" s="435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39"/>
    </row>
    <row r="450" spans="1:56" ht="12.75" customHeight="1">
      <c r="A450" s="2"/>
      <c r="B450" s="435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39"/>
    </row>
    <row r="451" spans="1:56" ht="12.75" customHeight="1">
      <c r="A451" s="2"/>
      <c r="B451" s="435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39"/>
    </row>
    <row r="452" spans="1:56" ht="12.75" customHeight="1">
      <c r="A452" s="2"/>
      <c r="B452" s="435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39"/>
    </row>
    <row r="453" spans="1:56" ht="12.75" customHeight="1">
      <c r="A453" s="2"/>
      <c r="B453" s="435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39"/>
    </row>
    <row r="454" spans="1:56" ht="12.75" customHeight="1">
      <c r="A454" s="2"/>
      <c r="B454" s="435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39"/>
    </row>
    <row r="455" spans="1:56" ht="12.75" customHeight="1">
      <c r="A455" s="2"/>
      <c r="B455" s="435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39"/>
    </row>
    <row r="456" spans="1:56" ht="12.75" customHeight="1">
      <c r="A456" s="2"/>
      <c r="B456" s="435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39"/>
    </row>
    <row r="457" spans="1:56" ht="12.75" customHeight="1">
      <c r="A457" s="2"/>
      <c r="B457" s="435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39"/>
    </row>
    <row r="458" spans="1:56" ht="12.75" customHeight="1">
      <c r="A458" s="2"/>
      <c r="B458" s="435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39"/>
    </row>
    <row r="459" spans="1:56" ht="12.75" customHeight="1">
      <c r="A459" s="2"/>
      <c r="B459" s="435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39"/>
    </row>
    <row r="460" spans="1:56" ht="12.75" customHeight="1">
      <c r="A460" s="2"/>
      <c r="B460" s="435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39"/>
    </row>
    <row r="461" spans="1:56" ht="12.75" customHeight="1">
      <c r="A461" s="2"/>
      <c r="B461" s="435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39"/>
    </row>
    <row r="462" spans="1:56" ht="12.75" customHeight="1">
      <c r="A462" s="2"/>
      <c r="B462" s="435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39"/>
    </row>
    <row r="463" spans="1:56" ht="12.75" customHeight="1">
      <c r="A463" s="2"/>
      <c r="B463" s="435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39"/>
    </row>
    <row r="464" spans="1:56" ht="12.75" customHeight="1">
      <c r="A464" s="2"/>
      <c r="B464" s="435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39"/>
    </row>
    <row r="465" spans="1:56" ht="12.75" customHeight="1">
      <c r="A465" s="2"/>
      <c r="B465" s="435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39"/>
    </row>
    <row r="466" spans="1:56" ht="12.75" customHeight="1">
      <c r="A466" s="2"/>
      <c r="B466" s="435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39"/>
    </row>
    <row r="467" spans="1:56" ht="12.75" customHeight="1">
      <c r="A467" s="2"/>
      <c r="B467" s="435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39"/>
    </row>
    <row r="468" spans="1:56" ht="12.75" customHeight="1">
      <c r="A468" s="2"/>
      <c r="B468" s="435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39"/>
    </row>
    <row r="469" spans="1:56" ht="12.75" customHeight="1">
      <c r="A469" s="2"/>
      <c r="B469" s="435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39"/>
    </row>
    <row r="470" spans="1:56" ht="12.75" customHeight="1">
      <c r="A470" s="2"/>
      <c r="B470" s="435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39"/>
    </row>
    <row r="471" spans="1:56" ht="12.75" customHeight="1">
      <c r="A471" s="2"/>
      <c r="B471" s="435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39"/>
    </row>
    <row r="472" spans="1:56" ht="12.75" customHeight="1">
      <c r="A472" s="2"/>
      <c r="B472" s="435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39"/>
    </row>
    <row r="473" spans="1:56" ht="12.75" customHeight="1">
      <c r="A473" s="2"/>
      <c r="B473" s="435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39"/>
    </row>
    <row r="474" spans="1:56" ht="12.75" customHeight="1">
      <c r="A474" s="2"/>
      <c r="B474" s="435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39"/>
    </row>
    <row r="475" spans="1:56" ht="12.75" customHeight="1">
      <c r="A475" s="2"/>
      <c r="B475" s="435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39"/>
    </row>
    <row r="476" spans="1:56" ht="12.75" customHeight="1">
      <c r="A476" s="2"/>
      <c r="B476" s="435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39"/>
    </row>
    <row r="477" spans="1:56" ht="12.75" customHeight="1">
      <c r="A477" s="2"/>
      <c r="B477" s="435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39"/>
    </row>
    <row r="478" spans="1:56" ht="12.75" customHeight="1">
      <c r="A478" s="2"/>
      <c r="B478" s="435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39"/>
    </row>
    <row r="479" spans="1:56" ht="12.75" customHeight="1">
      <c r="A479" s="2"/>
      <c r="B479" s="435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39"/>
    </row>
    <row r="480" spans="1:56" ht="12.75" customHeight="1">
      <c r="A480" s="2"/>
      <c r="B480" s="435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39"/>
    </row>
    <row r="481" spans="1:56" ht="12.75" customHeight="1">
      <c r="A481" s="2"/>
      <c r="B481" s="435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39"/>
    </row>
    <row r="482" spans="1:56" ht="12.75" customHeight="1">
      <c r="A482" s="2"/>
      <c r="B482" s="435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39"/>
    </row>
    <row r="483" spans="1:56" ht="12.75" customHeight="1">
      <c r="A483" s="2"/>
      <c r="B483" s="435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39"/>
    </row>
    <row r="484" spans="1:56" ht="12.75" customHeight="1">
      <c r="A484" s="2"/>
      <c r="B484" s="435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39"/>
    </row>
    <row r="485" spans="1:56" ht="12.75" customHeight="1">
      <c r="A485" s="2"/>
      <c r="B485" s="435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39"/>
    </row>
    <row r="486" spans="1:56" ht="12.75" customHeight="1">
      <c r="A486" s="2"/>
      <c r="B486" s="435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39"/>
    </row>
    <row r="487" spans="1:56" ht="12.75" customHeight="1">
      <c r="A487" s="2"/>
      <c r="B487" s="435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39"/>
    </row>
    <row r="488" spans="1:56" ht="12.75" customHeight="1">
      <c r="A488" s="2"/>
      <c r="B488" s="435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39"/>
    </row>
    <row r="489" spans="1:56" ht="12.75" customHeight="1">
      <c r="A489" s="2"/>
      <c r="B489" s="435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39"/>
    </row>
    <row r="490" spans="1:56" ht="12.75" customHeight="1">
      <c r="A490" s="2"/>
      <c r="B490" s="435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39"/>
    </row>
    <row r="491" spans="1:56" ht="12.75" customHeight="1">
      <c r="A491" s="2"/>
      <c r="B491" s="435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39"/>
    </row>
    <row r="492" spans="1:56" ht="12.75" customHeight="1">
      <c r="A492" s="2"/>
      <c r="B492" s="435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39"/>
    </row>
    <row r="493" spans="1:56" ht="12.75" customHeight="1">
      <c r="A493" s="2"/>
      <c r="B493" s="435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39"/>
    </row>
    <row r="494" spans="1:56" ht="12.75" customHeight="1">
      <c r="A494" s="2"/>
      <c r="B494" s="435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39"/>
    </row>
    <row r="495" spans="1:56" ht="12.75" customHeight="1">
      <c r="A495" s="2"/>
      <c r="B495" s="435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39"/>
    </row>
    <row r="496" spans="1:56" ht="12.75" customHeight="1">
      <c r="A496" s="2"/>
      <c r="B496" s="435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39"/>
    </row>
    <row r="497" spans="1:56" ht="12.75" customHeight="1">
      <c r="A497" s="2"/>
      <c r="B497" s="435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39"/>
    </row>
    <row r="498" spans="1:56" ht="12.75" customHeight="1">
      <c r="A498" s="2"/>
      <c r="B498" s="435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39"/>
    </row>
    <row r="499" spans="1:56" ht="12.75" customHeight="1">
      <c r="A499" s="2"/>
      <c r="B499" s="435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39"/>
    </row>
    <row r="500" spans="1:56" ht="12.75" customHeight="1">
      <c r="A500" s="2"/>
      <c r="B500" s="435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39"/>
    </row>
    <row r="501" spans="1:56" ht="12.75" customHeight="1">
      <c r="A501" s="2"/>
      <c r="B501" s="435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39"/>
    </row>
    <row r="502" spans="1:56" ht="12.75" customHeight="1">
      <c r="A502" s="2"/>
      <c r="B502" s="435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39"/>
    </row>
    <row r="503" spans="1:56" ht="12.75" customHeight="1">
      <c r="A503" s="2"/>
      <c r="B503" s="435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39"/>
    </row>
    <row r="504" spans="1:56" ht="12.75" customHeight="1">
      <c r="A504" s="2"/>
      <c r="B504" s="435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39"/>
    </row>
    <row r="505" spans="1:56" ht="12.75" customHeight="1">
      <c r="A505" s="2"/>
      <c r="B505" s="435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39"/>
    </row>
    <row r="506" spans="1:56" ht="12.75" customHeight="1">
      <c r="A506" s="2"/>
      <c r="B506" s="435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39"/>
    </row>
    <row r="507" spans="1:56" ht="12.75" customHeight="1">
      <c r="A507" s="2"/>
      <c r="B507" s="435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39"/>
    </row>
    <row r="508" spans="1:56" ht="12.75" customHeight="1">
      <c r="A508" s="2"/>
      <c r="B508" s="435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39"/>
    </row>
    <row r="509" spans="1:56" ht="12.75" customHeight="1">
      <c r="A509" s="2"/>
      <c r="B509" s="435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39"/>
    </row>
    <row r="510" spans="1:56" ht="12.75" customHeight="1">
      <c r="A510" s="2"/>
      <c r="B510" s="435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39"/>
    </row>
    <row r="511" spans="1:56" ht="12.75" customHeight="1">
      <c r="A511" s="2"/>
      <c r="B511" s="435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39"/>
    </row>
    <row r="512" spans="1:56" ht="12.75" customHeight="1">
      <c r="A512" s="2"/>
      <c r="B512" s="435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39"/>
    </row>
    <row r="513" spans="1:56" ht="12.75" customHeight="1">
      <c r="A513" s="2"/>
      <c r="B513" s="435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39"/>
    </row>
    <row r="514" spans="1:56" ht="12.75" customHeight="1">
      <c r="A514" s="2"/>
      <c r="B514" s="435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39"/>
    </row>
    <row r="515" spans="1:56" ht="12.75" customHeight="1">
      <c r="A515" s="2"/>
      <c r="B515" s="435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39"/>
    </row>
    <row r="516" spans="1:56" ht="12.75" customHeight="1">
      <c r="A516" s="2"/>
      <c r="B516" s="435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39"/>
    </row>
    <row r="517" spans="1:56" ht="12.75" customHeight="1">
      <c r="A517" s="2"/>
      <c r="B517" s="435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39"/>
    </row>
    <row r="518" spans="1:56" ht="12.75" customHeight="1">
      <c r="A518" s="2"/>
      <c r="B518" s="435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39"/>
    </row>
    <row r="519" spans="1:56" ht="12.75" customHeight="1">
      <c r="A519" s="2"/>
      <c r="B519" s="435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39"/>
    </row>
    <row r="520" spans="1:56" ht="12.75" customHeight="1">
      <c r="A520" s="2"/>
      <c r="B520" s="435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39"/>
    </row>
    <row r="521" spans="1:56" ht="12.75" customHeight="1">
      <c r="A521" s="2"/>
      <c r="B521" s="435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39"/>
    </row>
    <row r="522" spans="1:56" ht="12.75" customHeight="1">
      <c r="A522" s="2"/>
      <c r="B522" s="435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39"/>
    </row>
    <row r="523" spans="1:56" ht="12.75" customHeight="1">
      <c r="A523" s="2"/>
      <c r="B523" s="435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39"/>
    </row>
    <row r="524" spans="1:56" ht="12.75" customHeight="1">
      <c r="A524" s="2"/>
      <c r="B524" s="435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39"/>
    </row>
    <row r="525" spans="1:56" ht="12.75" customHeight="1">
      <c r="A525" s="2"/>
      <c r="B525" s="435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39"/>
    </row>
    <row r="526" spans="1:56" ht="12.75" customHeight="1">
      <c r="A526" s="2"/>
      <c r="B526" s="435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39"/>
    </row>
    <row r="527" spans="1:56" ht="12.75" customHeight="1">
      <c r="A527" s="2"/>
      <c r="B527" s="435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39"/>
    </row>
    <row r="528" spans="1:56" ht="12.75" customHeight="1">
      <c r="A528" s="2"/>
      <c r="B528" s="435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39"/>
    </row>
    <row r="529" spans="1:56" ht="12.75" customHeight="1">
      <c r="A529" s="2"/>
      <c r="B529" s="435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39"/>
    </row>
    <row r="530" spans="1:56" ht="12.75" customHeight="1">
      <c r="A530" s="2"/>
      <c r="B530" s="435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39"/>
    </row>
    <row r="531" spans="1:56" ht="12.75" customHeight="1">
      <c r="A531" s="2"/>
      <c r="B531" s="435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39"/>
    </row>
    <row r="532" spans="1:56" ht="12.75" customHeight="1">
      <c r="A532" s="2"/>
      <c r="B532" s="435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39"/>
    </row>
    <row r="533" spans="1:56" ht="12.75" customHeight="1">
      <c r="A533" s="2"/>
      <c r="B533" s="435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39"/>
    </row>
    <row r="534" spans="1:56" ht="12.75" customHeight="1">
      <c r="A534" s="2"/>
      <c r="B534" s="435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39"/>
    </row>
    <row r="535" spans="1:56" ht="12.75" customHeight="1">
      <c r="A535" s="2"/>
      <c r="B535" s="435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39"/>
    </row>
    <row r="536" spans="1:56" ht="12.75" customHeight="1">
      <c r="A536" s="2"/>
      <c r="B536" s="435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39"/>
    </row>
    <row r="537" spans="1:56" ht="12.75" customHeight="1">
      <c r="A537" s="2"/>
      <c r="B537" s="435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39"/>
    </row>
    <row r="538" spans="1:56" ht="12.75" customHeight="1">
      <c r="A538" s="2"/>
      <c r="B538" s="435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39"/>
    </row>
    <row r="539" spans="1:56" ht="12.75" customHeight="1">
      <c r="A539" s="2"/>
      <c r="B539" s="435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39"/>
    </row>
    <row r="540" spans="1:56" ht="12.75" customHeight="1">
      <c r="A540" s="2"/>
      <c r="B540" s="435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39"/>
    </row>
    <row r="541" spans="1:56" ht="12.75" customHeight="1">
      <c r="A541" s="2"/>
      <c r="B541" s="435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39"/>
    </row>
    <row r="542" spans="1:56" ht="12.75" customHeight="1">
      <c r="A542" s="2"/>
      <c r="B542" s="435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39"/>
    </row>
    <row r="543" spans="1:56" ht="12.75" customHeight="1">
      <c r="A543" s="2"/>
      <c r="B543" s="435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39"/>
    </row>
    <row r="544" spans="1:56" ht="12.75" customHeight="1">
      <c r="A544" s="2"/>
      <c r="B544" s="435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39"/>
    </row>
    <row r="545" spans="1:56" ht="12.75" customHeight="1">
      <c r="A545" s="2"/>
      <c r="B545" s="435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39"/>
    </row>
    <row r="546" spans="1:56" ht="12.75" customHeight="1">
      <c r="A546" s="2"/>
      <c r="B546" s="435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39"/>
    </row>
    <row r="547" spans="1:56" ht="12.75" customHeight="1">
      <c r="A547" s="2"/>
      <c r="B547" s="435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39"/>
    </row>
    <row r="548" spans="1:56" ht="12.75" customHeight="1">
      <c r="A548" s="2"/>
      <c r="B548" s="435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39"/>
    </row>
    <row r="549" spans="1:56" ht="12.75" customHeight="1">
      <c r="A549" s="2"/>
      <c r="B549" s="435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39"/>
    </row>
    <row r="550" spans="1:56" ht="12.75" customHeight="1">
      <c r="A550" s="2"/>
      <c r="B550" s="435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39"/>
    </row>
    <row r="551" spans="1:56" ht="12.75" customHeight="1">
      <c r="A551" s="2"/>
      <c r="B551" s="435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39"/>
    </row>
    <row r="552" spans="1:56" ht="12.75" customHeight="1">
      <c r="A552" s="2"/>
      <c r="B552" s="435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39"/>
    </row>
    <row r="553" spans="1:56" ht="12.75" customHeight="1">
      <c r="A553" s="2"/>
      <c r="B553" s="435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39"/>
    </row>
    <row r="554" spans="1:56" ht="12.75" customHeight="1">
      <c r="A554" s="2"/>
      <c r="B554" s="435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39"/>
    </row>
    <row r="555" spans="1:56" ht="12.75" customHeight="1">
      <c r="A555" s="2"/>
      <c r="B555" s="435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39"/>
    </row>
    <row r="556" spans="1:56" ht="12.75" customHeight="1">
      <c r="A556" s="2"/>
      <c r="B556" s="435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39"/>
    </row>
    <row r="557" spans="1:56" ht="12.75" customHeight="1">
      <c r="A557" s="2"/>
      <c r="B557" s="435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39"/>
    </row>
    <row r="558" spans="1:56" ht="12.75" customHeight="1">
      <c r="A558" s="2"/>
      <c r="B558" s="435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39"/>
    </row>
    <row r="559" spans="1:56" ht="12.75" customHeight="1">
      <c r="A559" s="2"/>
      <c r="B559" s="435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39"/>
    </row>
    <row r="560" spans="1:56" ht="12.75" customHeight="1">
      <c r="A560" s="2"/>
      <c r="B560" s="435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39"/>
    </row>
    <row r="561" spans="1:56" ht="12.75" customHeight="1">
      <c r="A561" s="2"/>
      <c r="B561" s="435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39"/>
    </row>
    <row r="562" spans="1:56" ht="12.75" customHeight="1">
      <c r="A562" s="2"/>
      <c r="B562" s="435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39"/>
    </row>
    <row r="563" spans="1:56" ht="12.75" customHeight="1">
      <c r="A563" s="2"/>
      <c r="B563" s="435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39"/>
    </row>
    <row r="564" spans="1:56" ht="12.75" customHeight="1">
      <c r="A564" s="2"/>
      <c r="B564" s="435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39"/>
    </row>
    <row r="565" spans="1:56" ht="12.75" customHeight="1">
      <c r="A565" s="2"/>
      <c r="B565" s="435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39"/>
    </row>
    <row r="566" spans="1:56" ht="12.75" customHeight="1">
      <c r="A566" s="2"/>
      <c r="B566" s="435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39"/>
    </row>
    <row r="567" spans="1:56" ht="12.75" customHeight="1">
      <c r="A567" s="2"/>
      <c r="B567" s="435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39"/>
    </row>
    <row r="568" spans="1:56" ht="12.75" customHeight="1">
      <c r="A568" s="2"/>
      <c r="B568" s="435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39"/>
    </row>
    <row r="569" spans="1:56" ht="12.75" customHeight="1">
      <c r="A569" s="2"/>
      <c r="B569" s="435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39"/>
    </row>
    <row r="570" spans="1:56" ht="12.75" customHeight="1">
      <c r="A570" s="2"/>
      <c r="B570" s="435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39"/>
    </row>
    <row r="571" spans="1:56" ht="12.75" customHeight="1">
      <c r="A571" s="2"/>
      <c r="B571" s="435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39"/>
    </row>
    <row r="572" spans="1:56" ht="12.75" customHeight="1">
      <c r="A572" s="2"/>
      <c r="B572" s="435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39"/>
    </row>
    <row r="573" spans="1:56" ht="12.75" customHeight="1">
      <c r="A573" s="2"/>
      <c r="B573" s="435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39"/>
    </row>
    <row r="574" spans="1:56" ht="12.75" customHeight="1">
      <c r="A574" s="2"/>
      <c r="B574" s="435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39"/>
    </row>
    <row r="575" spans="1:56" ht="12.75" customHeight="1">
      <c r="A575" s="2"/>
      <c r="B575" s="435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39"/>
    </row>
    <row r="576" spans="1:56" ht="12.75" customHeight="1">
      <c r="A576" s="2"/>
      <c r="B576" s="435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39"/>
    </row>
    <row r="577" spans="1:56" ht="12.75" customHeight="1">
      <c r="A577" s="2"/>
      <c r="B577" s="435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39"/>
    </row>
    <row r="578" spans="1:56" ht="12.75" customHeight="1">
      <c r="A578" s="2"/>
      <c r="B578" s="435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39"/>
    </row>
    <row r="579" spans="1:56" ht="12.75" customHeight="1">
      <c r="A579" s="2"/>
      <c r="B579" s="435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39"/>
    </row>
    <row r="580" spans="1:56" ht="12.75" customHeight="1">
      <c r="A580" s="2"/>
      <c r="B580" s="435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39"/>
    </row>
    <row r="581" spans="1:56" ht="12.75" customHeight="1">
      <c r="A581" s="2"/>
      <c r="B581" s="435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39"/>
    </row>
    <row r="582" spans="1:56" ht="12.75" customHeight="1">
      <c r="A582" s="2"/>
      <c r="B582" s="435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39"/>
    </row>
    <row r="583" spans="1:56" ht="12.75" customHeight="1">
      <c r="A583" s="2"/>
      <c r="B583" s="435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39"/>
    </row>
    <row r="584" spans="1:56" ht="12.75" customHeight="1">
      <c r="A584" s="2"/>
      <c r="B584" s="435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39"/>
    </row>
    <row r="585" spans="1:56" ht="12.75" customHeight="1">
      <c r="A585" s="2"/>
      <c r="B585" s="435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39"/>
    </row>
    <row r="586" spans="1:56" ht="12.75" customHeight="1">
      <c r="A586" s="2"/>
      <c r="B586" s="435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39"/>
    </row>
    <row r="587" spans="1:56" ht="12.75" customHeight="1">
      <c r="A587" s="2"/>
      <c r="B587" s="435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39"/>
    </row>
    <row r="588" spans="1:56" ht="12.75" customHeight="1">
      <c r="A588" s="2"/>
      <c r="B588" s="435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39"/>
    </row>
    <row r="589" spans="1:56" ht="12.75" customHeight="1">
      <c r="A589" s="2"/>
      <c r="B589" s="435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39"/>
    </row>
    <row r="590" spans="1:56" ht="12.75" customHeight="1">
      <c r="A590" s="2"/>
      <c r="B590" s="435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39"/>
    </row>
    <row r="591" spans="1:56" ht="12.75" customHeight="1">
      <c r="A591" s="2"/>
      <c r="B591" s="435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39"/>
    </row>
    <row r="592" spans="1:56" ht="12.75" customHeight="1">
      <c r="A592" s="2"/>
      <c r="B592" s="435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39"/>
    </row>
    <row r="593" spans="1:56" ht="12.75" customHeight="1">
      <c r="A593" s="2"/>
      <c r="B593" s="435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39"/>
    </row>
    <row r="594" spans="1:56" ht="12.75" customHeight="1">
      <c r="A594" s="2"/>
      <c r="B594" s="435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39"/>
    </row>
    <row r="595" spans="1:56" ht="12.75" customHeight="1">
      <c r="A595" s="2"/>
      <c r="B595" s="435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39"/>
    </row>
    <row r="596" spans="1:56" ht="12.75" customHeight="1">
      <c r="A596" s="2"/>
      <c r="B596" s="435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39"/>
    </row>
    <row r="597" spans="1:56" ht="12.75" customHeight="1">
      <c r="A597" s="2"/>
      <c r="B597" s="435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39"/>
    </row>
    <row r="598" spans="1:56" ht="12.75" customHeight="1">
      <c r="A598" s="2"/>
      <c r="B598" s="435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39"/>
    </row>
    <row r="599" spans="1:56" ht="12.75" customHeight="1">
      <c r="A599" s="2"/>
      <c r="B599" s="435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39"/>
    </row>
    <row r="600" spans="1:56" ht="12.75" customHeight="1">
      <c r="A600" s="2"/>
      <c r="B600" s="435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39"/>
    </row>
    <row r="601" spans="1:56" ht="12.75" customHeight="1">
      <c r="A601" s="2"/>
      <c r="B601" s="435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39"/>
    </row>
    <row r="602" spans="1:56" ht="12.75" customHeight="1">
      <c r="A602" s="2"/>
      <c r="B602" s="435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39"/>
    </row>
    <row r="603" spans="1:56" ht="12.75" customHeight="1">
      <c r="A603" s="2"/>
      <c r="B603" s="435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39"/>
    </row>
    <row r="604" spans="1:56" ht="12.75" customHeight="1">
      <c r="A604" s="2"/>
      <c r="B604" s="435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39"/>
    </row>
    <row r="605" spans="1:56" ht="12.75" customHeight="1">
      <c r="A605" s="2"/>
      <c r="B605" s="435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39"/>
    </row>
    <row r="606" spans="1:56" ht="12.75" customHeight="1">
      <c r="A606" s="2"/>
      <c r="B606" s="435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39"/>
    </row>
    <row r="607" spans="1:56" ht="12.75" customHeight="1">
      <c r="A607" s="2"/>
      <c r="B607" s="435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39"/>
    </row>
    <row r="608" spans="1:56" ht="12.75" customHeight="1">
      <c r="A608" s="2"/>
      <c r="B608" s="435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39"/>
    </row>
    <row r="609" spans="1:56" ht="12.75" customHeight="1">
      <c r="A609" s="2"/>
      <c r="B609" s="435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39"/>
    </row>
    <row r="610" spans="1:56" ht="12.75" customHeight="1">
      <c r="A610" s="2"/>
      <c r="B610" s="435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39"/>
    </row>
    <row r="611" spans="1:56" ht="12.75" customHeight="1">
      <c r="A611" s="2"/>
      <c r="B611" s="435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39"/>
    </row>
    <row r="612" spans="1:56" ht="12.75" customHeight="1">
      <c r="A612" s="2"/>
      <c r="B612" s="435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39"/>
    </row>
    <row r="613" spans="1:56" ht="12.75" customHeight="1">
      <c r="A613" s="2"/>
      <c r="B613" s="435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39"/>
    </row>
    <row r="614" spans="1:56" ht="12.75" customHeight="1">
      <c r="A614" s="2"/>
      <c r="B614" s="435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39"/>
    </row>
    <row r="615" spans="1:56" ht="12.75" customHeight="1">
      <c r="A615" s="2"/>
      <c r="B615" s="435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39"/>
    </row>
    <row r="616" spans="1:56" ht="12.75" customHeight="1">
      <c r="A616" s="2"/>
      <c r="B616" s="435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39"/>
    </row>
    <row r="617" spans="1:56" ht="12.75" customHeight="1">
      <c r="A617" s="2"/>
      <c r="B617" s="435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39"/>
    </row>
    <row r="618" spans="1:56" ht="12.75" customHeight="1">
      <c r="A618" s="2"/>
      <c r="B618" s="435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39"/>
    </row>
    <row r="619" spans="1:56" ht="12.75" customHeight="1">
      <c r="A619" s="2"/>
      <c r="B619" s="435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39"/>
    </row>
    <row r="620" spans="1:56" ht="12.75" customHeight="1">
      <c r="A620" s="2"/>
      <c r="B620" s="435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39"/>
    </row>
    <row r="621" spans="1:56" ht="12.75" customHeight="1">
      <c r="A621" s="2"/>
      <c r="B621" s="435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39"/>
    </row>
    <row r="622" spans="1:56" ht="12.75" customHeight="1">
      <c r="A622" s="2"/>
      <c r="B622" s="435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39"/>
    </row>
    <row r="623" spans="1:56" ht="12.75" customHeight="1">
      <c r="A623" s="2"/>
      <c r="B623" s="435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39"/>
    </row>
    <row r="624" spans="1:56" ht="12.75" customHeight="1">
      <c r="A624" s="2"/>
      <c r="B624" s="435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39"/>
    </row>
    <row r="625" spans="1:56" ht="12.75" customHeight="1">
      <c r="A625" s="2"/>
      <c r="B625" s="435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39"/>
    </row>
    <row r="626" spans="1:56" ht="12.75" customHeight="1">
      <c r="A626" s="2"/>
      <c r="B626" s="435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39"/>
    </row>
    <row r="627" spans="1:56" ht="12.75" customHeight="1">
      <c r="A627" s="2"/>
      <c r="B627" s="435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39"/>
    </row>
    <row r="628" spans="1:56" ht="12.75" customHeight="1">
      <c r="A628" s="2"/>
      <c r="B628" s="435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39"/>
    </row>
    <row r="629" spans="1:56" ht="12.75" customHeight="1">
      <c r="A629" s="2"/>
      <c r="B629" s="435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39"/>
    </row>
    <row r="630" spans="1:56" ht="12.75" customHeight="1">
      <c r="A630" s="2"/>
      <c r="B630" s="435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39"/>
    </row>
    <row r="631" spans="1:56" ht="12.75" customHeight="1">
      <c r="A631" s="2"/>
      <c r="B631" s="435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39"/>
    </row>
    <row r="632" spans="1:56" ht="12.75" customHeight="1">
      <c r="A632" s="2"/>
      <c r="B632" s="435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39"/>
    </row>
    <row r="633" spans="1:56" ht="12.75" customHeight="1">
      <c r="A633" s="2"/>
      <c r="B633" s="435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39"/>
    </row>
    <row r="634" spans="1:56" ht="12.75" customHeight="1">
      <c r="A634" s="2"/>
      <c r="B634" s="435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39"/>
    </row>
    <row r="635" spans="1:56" ht="12.75" customHeight="1">
      <c r="A635" s="2"/>
      <c r="B635" s="435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39"/>
    </row>
    <row r="636" spans="1:56" ht="12.75" customHeight="1">
      <c r="A636" s="2"/>
      <c r="B636" s="435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39"/>
    </row>
    <row r="637" spans="1:56" ht="12.75" customHeight="1">
      <c r="A637" s="2"/>
      <c r="B637" s="435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39"/>
    </row>
    <row r="638" spans="1:56" ht="12.75" customHeight="1">
      <c r="A638" s="2"/>
      <c r="B638" s="435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39"/>
    </row>
    <row r="639" spans="1:56" ht="12.75" customHeight="1">
      <c r="A639" s="2"/>
      <c r="B639" s="435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39"/>
    </row>
    <row r="640" spans="1:56" ht="12.75" customHeight="1">
      <c r="A640" s="2"/>
      <c r="B640" s="435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39"/>
    </row>
    <row r="641" spans="1:56" ht="12.75" customHeight="1">
      <c r="A641" s="2"/>
      <c r="B641" s="435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39"/>
    </row>
    <row r="642" spans="1:56" ht="12.75" customHeight="1">
      <c r="A642" s="2"/>
      <c r="B642" s="435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39"/>
    </row>
    <row r="643" spans="1:56" ht="12.75" customHeight="1">
      <c r="A643" s="2"/>
      <c r="B643" s="435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39"/>
    </row>
    <row r="644" spans="1:56" ht="12.75" customHeight="1">
      <c r="A644" s="2"/>
      <c r="B644" s="435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39"/>
    </row>
    <row r="645" spans="1:56" ht="12.75" customHeight="1">
      <c r="A645" s="2"/>
      <c r="B645" s="435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39"/>
    </row>
    <row r="646" spans="1:56" ht="12.75" customHeight="1">
      <c r="A646" s="2"/>
      <c r="B646" s="435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39"/>
    </row>
    <row r="647" spans="1:56" ht="12.75" customHeight="1">
      <c r="A647" s="2"/>
      <c r="B647" s="435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39"/>
    </row>
    <row r="648" spans="1:56" ht="12.75" customHeight="1">
      <c r="A648" s="2"/>
      <c r="B648" s="435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39"/>
    </row>
    <row r="649" spans="1:56" ht="12.75" customHeight="1">
      <c r="A649" s="2"/>
      <c r="B649" s="435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39"/>
    </row>
    <row r="650" spans="1:56" ht="12.75" customHeight="1">
      <c r="A650" s="2"/>
      <c r="B650" s="435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39"/>
    </row>
    <row r="651" spans="1:56" ht="12.75" customHeight="1">
      <c r="A651" s="2"/>
      <c r="B651" s="435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39"/>
    </row>
    <row r="652" spans="1:56" ht="12.75" customHeight="1">
      <c r="A652" s="2"/>
      <c r="B652" s="435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39"/>
    </row>
    <row r="653" spans="1:56" ht="12.75" customHeight="1">
      <c r="A653" s="2"/>
      <c r="B653" s="435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39"/>
    </row>
    <row r="654" spans="1:56" ht="12.75" customHeight="1">
      <c r="A654" s="2"/>
      <c r="B654" s="435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39"/>
    </row>
    <row r="655" spans="1:56" ht="12.75" customHeight="1">
      <c r="A655" s="2"/>
      <c r="B655" s="435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39"/>
    </row>
    <row r="656" spans="1:56" ht="12.75" customHeight="1">
      <c r="A656" s="2"/>
      <c r="B656" s="435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39"/>
    </row>
    <row r="657" spans="1:56" ht="12.75" customHeight="1">
      <c r="A657" s="2"/>
      <c r="B657" s="435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39"/>
    </row>
    <row r="658" spans="1:56" ht="12.75" customHeight="1">
      <c r="A658" s="2"/>
      <c r="B658" s="435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39"/>
    </row>
    <row r="659" spans="1:56" ht="12.75" customHeight="1">
      <c r="A659" s="2"/>
      <c r="B659" s="435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39"/>
    </row>
    <row r="660" spans="1:56" ht="12.75" customHeight="1">
      <c r="A660" s="2"/>
      <c r="B660" s="435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39"/>
    </row>
    <row r="661" spans="1:56" ht="12.75" customHeight="1">
      <c r="A661" s="2"/>
      <c r="B661" s="435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39"/>
    </row>
    <row r="662" spans="1:56" ht="12.75" customHeight="1">
      <c r="A662" s="2"/>
      <c r="B662" s="435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39"/>
    </row>
    <row r="663" spans="1:56" ht="12.75" customHeight="1">
      <c r="A663" s="2"/>
      <c r="B663" s="435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39"/>
    </row>
    <row r="664" spans="1:56" ht="12.75" customHeight="1">
      <c r="A664" s="2"/>
      <c r="B664" s="435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39"/>
    </row>
    <row r="665" spans="1:56" ht="12.75" customHeight="1">
      <c r="A665" s="2"/>
      <c r="B665" s="435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39"/>
    </row>
    <row r="666" spans="1:56" ht="12.75" customHeight="1">
      <c r="A666" s="2"/>
      <c r="B666" s="435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39"/>
    </row>
    <row r="667" spans="1:56" ht="12.75" customHeight="1">
      <c r="A667" s="2"/>
      <c r="B667" s="435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39"/>
    </row>
    <row r="668" spans="1:56" ht="12.75" customHeight="1">
      <c r="A668" s="2"/>
      <c r="B668" s="435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39"/>
    </row>
    <row r="669" spans="1:56" ht="12.75" customHeight="1">
      <c r="A669" s="2"/>
      <c r="B669" s="435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39"/>
    </row>
    <row r="670" spans="1:56" ht="12.75" customHeight="1">
      <c r="A670" s="2"/>
      <c r="B670" s="435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39"/>
    </row>
    <row r="671" spans="1:56" ht="12.75" customHeight="1">
      <c r="A671" s="2"/>
      <c r="B671" s="435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39"/>
    </row>
    <row r="672" spans="1:56" ht="12.75" customHeight="1">
      <c r="A672" s="2"/>
      <c r="B672" s="435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39"/>
    </row>
    <row r="673" spans="1:56" ht="12.75" customHeight="1">
      <c r="A673" s="2"/>
      <c r="B673" s="435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39"/>
    </row>
    <row r="674" spans="1:56" ht="12.75" customHeight="1">
      <c r="A674" s="2"/>
      <c r="B674" s="435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39"/>
    </row>
    <row r="675" spans="1:56" ht="12.75" customHeight="1">
      <c r="A675" s="2"/>
      <c r="B675" s="435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39"/>
    </row>
    <row r="676" spans="1:56" ht="12.75" customHeight="1">
      <c r="A676" s="2"/>
      <c r="B676" s="435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39"/>
    </row>
    <row r="677" spans="1:56" ht="12.75" customHeight="1">
      <c r="A677" s="2"/>
      <c r="B677" s="435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39"/>
    </row>
    <row r="678" spans="1:56" ht="12.75" customHeight="1">
      <c r="A678" s="2"/>
      <c r="B678" s="435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39"/>
    </row>
    <row r="679" spans="1:56" ht="12.75" customHeight="1">
      <c r="A679" s="2"/>
      <c r="B679" s="435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39"/>
    </row>
    <row r="680" spans="1:56" ht="12.75" customHeight="1">
      <c r="A680" s="2"/>
      <c r="B680" s="435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39"/>
    </row>
    <row r="681" spans="1:56" ht="12.75" customHeight="1">
      <c r="A681" s="2"/>
      <c r="B681" s="435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39"/>
    </row>
    <row r="682" spans="1:56" ht="12.75" customHeight="1">
      <c r="A682" s="2"/>
      <c r="B682" s="435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39"/>
    </row>
    <row r="683" spans="1:56" ht="12.75" customHeight="1">
      <c r="A683" s="2"/>
      <c r="B683" s="435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39"/>
    </row>
    <row r="684" spans="1:56" ht="12.75" customHeight="1">
      <c r="A684" s="2"/>
      <c r="B684" s="435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39"/>
    </row>
    <row r="685" spans="1:56" ht="12.75" customHeight="1">
      <c r="A685" s="2"/>
      <c r="B685" s="435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39"/>
    </row>
    <row r="686" spans="1:56" ht="12.75" customHeight="1">
      <c r="A686" s="2"/>
      <c r="B686" s="435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39"/>
    </row>
    <row r="687" spans="1:56" ht="12.75" customHeight="1">
      <c r="A687" s="2"/>
      <c r="B687" s="435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39"/>
    </row>
    <row r="688" spans="1:56" ht="12.75" customHeight="1">
      <c r="A688" s="2"/>
      <c r="B688" s="435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39"/>
    </row>
    <row r="689" spans="1:56" ht="12.75" customHeight="1">
      <c r="A689" s="2"/>
      <c r="B689" s="435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39"/>
    </row>
    <row r="690" spans="1:56" ht="12.75" customHeight="1">
      <c r="A690" s="2"/>
      <c r="B690" s="435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39"/>
    </row>
    <row r="691" spans="1:56" ht="12.75" customHeight="1">
      <c r="A691" s="2"/>
      <c r="B691" s="435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39"/>
    </row>
    <row r="692" spans="1:56" ht="12.75" customHeight="1">
      <c r="A692" s="2"/>
      <c r="B692" s="435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39"/>
    </row>
    <row r="693" spans="1:56" ht="12.75" customHeight="1">
      <c r="A693" s="2"/>
      <c r="B693" s="435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39"/>
    </row>
    <row r="694" spans="1:56" ht="12.75" customHeight="1">
      <c r="A694" s="2"/>
      <c r="B694" s="435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39"/>
    </row>
    <row r="695" spans="1:56" ht="12.75" customHeight="1">
      <c r="A695" s="2"/>
      <c r="B695" s="435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39"/>
    </row>
    <row r="696" spans="1:56" ht="12.75" customHeight="1">
      <c r="A696" s="2"/>
      <c r="B696" s="435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39"/>
    </row>
    <row r="697" spans="1:56" ht="12.75" customHeight="1">
      <c r="A697" s="2"/>
      <c r="B697" s="435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39"/>
    </row>
    <row r="698" spans="1:56" ht="12.75" customHeight="1">
      <c r="A698" s="2"/>
      <c r="B698" s="435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39"/>
    </row>
    <row r="699" spans="1:56" ht="12.75" customHeight="1">
      <c r="A699" s="2"/>
      <c r="B699" s="435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39"/>
    </row>
    <row r="700" spans="1:56" ht="12.75" customHeight="1">
      <c r="A700" s="2"/>
      <c r="B700" s="435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39"/>
    </row>
    <row r="701" spans="1:56" ht="12.75" customHeight="1">
      <c r="A701" s="2"/>
      <c r="B701" s="435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39"/>
    </row>
    <row r="702" spans="1:56" ht="12.75" customHeight="1">
      <c r="A702" s="2"/>
      <c r="B702" s="435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39"/>
    </row>
    <row r="703" spans="1:56" ht="12.75" customHeight="1">
      <c r="A703" s="2"/>
      <c r="B703" s="435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39"/>
    </row>
    <row r="704" spans="1:56" ht="12.75" customHeight="1">
      <c r="A704" s="2"/>
      <c r="B704" s="435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39"/>
    </row>
    <row r="705" spans="1:56" ht="12.75" customHeight="1">
      <c r="A705" s="2"/>
      <c r="B705" s="435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39"/>
    </row>
    <row r="706" spans="1:56" ht="12.75" customHeight="1">
      <c r="A706" s="2"/>
      <c r="B706" s="435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39"/>
    </row>
    <row r="707" spans="1:56" ht="12.75" customHeight="1">
      <c r="A707" s="2"/>
      <c r="B707" s="435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39"/>
    </row>
    <row r="708" spans="1:56" ht="12.75" customHeight="1">
      <c r="A708" s="2"/>
      <c r="B708" s="435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39"/>
    </row>
    <row r="709" spans="1:56" ht="12.75" customHeight="1">
      <c r="A709" s="2"/>
      <c r="B709" s="435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39"/>
    </row>
    <row r="710" spans="1:56" ht="12.75" customHeight="1">
      <c r="A710" s="2"/>
      <c r="B710" s="435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39"/>
    </row>
    <row r="711" spans="1:56" ht="12.75" customHeight="1">
      <c r="A711" s="2"/>
      <c r="B711" s="435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39"/>
    </row>
    <row r="712" spans="1:56" ht="12.75" customHeight="1">
      <c r="A712" s="2"/>
      <c r="B712" s="435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39"/>
    </row>
    <row r="713" spans="1:56" ht="12.75" customHeight="1">
      <c r="A713" s="2"/>
      <c r="B713" s="435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39"/>
    </row>
    <row r="714" spans="1:56" ht="12.75" customHeight="1">
      <c r="A714" s="2"/>
      <c r="B714" s="435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39"/>
    </row>
    <row r="715" spans="1:56" ht="12.75" customHeight="1">
      <c r="A715" s="2"/>
      <c r="B715" s="435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39"/>
    </row>
    <row r="716" spans="1:56" ht="12.75" customHeight="1">
      <c r="A716" s="2"/>
      <c r="B716" s="435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39"/>
    </row>
    <row r="717" spans="1:56" ht="12.75" customHeight="1">
      <c r="A717" s="2"/>
      <c r="B717" s="435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39"/>
    </row>
    <row r="718" spans="1:56" ht="12.75" customHeight="1">
      <c r="A718" s="2"/>
      <c r="B718" s="435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39"/>
    </row>
    <row r="719" spans="1:56" ht="12.75" customHeight="1">
      <c r="A719" s="2"/>
      <c r="B719" s="435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39"/>
    </row>
    <row r="720" spans="1:56" ht="12.75" customHeight="1">
      <c r="A720" s="2"/>
      <c r="B720" s="435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39"/>
    </row>
    <row r="721" spans="1:56" ht="12.75" customHeight="1">
      <c r="A721" s="2"/>
      <c r="B721" s="435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39"/>
    </row>
    <row r="722" spans="1:56" ht="12.75" customHeight="1">
      <c r="A722" s="2"/>
      <c r="B722" s="435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39"/>
    </row>
    <row r="723" spans="1:56" ht="12.75" customHeight="1">
      <c r="A723" s="2"/>
      <c r="B723" s="435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39"/>
    </row>
    <row r="724" spans="1:56" ht="12.75" customHeight="1">
      <c r="A724" s="2"/>
      <c r="B724" s="435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39"/>
    </row>
    <row r="725" spans="1:56" ht="12.75" customHeight="1">
      <c r="A725" s="2"/>
      <c r="B725" s="435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39"/>
    </row>
    <row r="726" spans="1:56" ht="12.75" customHeight="1">
      <c r="A726" s="2"/>
      <c r="B726" s="435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39"/>
    </row>
    <row r="727" spans="1:56" ht="12.75" customHeight="1">
      <c r="A727" s="2"/>
      <c r="B727" s="435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39"/>
    </row>
    <row r="728" spans="1:56" ht="12.75" customHeight="1">
      <c r="A728" s="2"/>
      <c r="B728" s="435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39"/>
    </row>
    <row r="729" spans="1:56" ht="12.75" customHeight="1">
      <c r="A729" s="2"/>
      <c r="B729" s="435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39"/>
    </row>
    <row r="730" spans="1:56" ht="12.75" customHeight="1">
      <c r="A730" s="2"/>
      <c r="B730" s="435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39"/>
    </row>
    <row r="731" spans="1:56" ht="12.75" customHeight="1">
      <c r="A731" s="2"/>
      <c r="B731" s="435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39"/>
    </row>
    <row r="732" spans="1:56" ht="12.75" customHeight="1">
      <c r="A732" s="2"/>
      <c r="B732" s="435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39"/>
    </row>
    <row r="733" spans="1:56" ht="12.75" customHeight="1">
      <c r="A733" s="2"/>
      <c r="B733" s="435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39"/>
    </row>
    <row r="734" spans="1:56" ht="12.75" customHeight="1">
      <c r="A734" s="2"/>
      <c r="B734" s="435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39"/>
    </row>
    <row r="735" spans="1:56" ht="12.75" customHeight="1">
      <c r="A735" s="2"/>
      <c r="B735" s="435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39"/>
    </row>
    <row r="736" spans="1:56" ht="12.75" customHeight="1">
      <c r="A736" s="2"/>
      <c r="B736" s="435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39"/>
    </row>
    <row r="737" spans="1:56" ht="12.75" customHeight="1">
      <c r="A737" s="2"/>
      <c r="B737" s="435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39"/>
    </row>
    <row r="738" spans="1:56" ht="12.75" customHeight="1">
      <c r="A738" s="2"/>
      <c r="B738" s="435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39"/>
    </row>
    <row r="739" spans="1:56" ht="12.75" customHeight="1">
      <c r="A739" s="2"/>
      <c r="B739" s="435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39"/>
    </row>
    <row r="740" spans="1:56" ht="12.75" customHeight="1">
      <c r="A740" s="2"/>
      <c r="B740" s="435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39"/>
    </row>
    <row r="741" spans="1:56" ht="12.75" customHeight="1">
      <c r="A741" s="2"/>
      <c r="B741" s="435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39"/>
    </row>
    <row r="742" spans="1:56" ht="12.75" customHeight="1">
      <c r="A742" s="2"/>
      <c r="B742" s="435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39"/>
    </row>
    <row r="743" spans="1:56" ht="12.75" customHeight="1">
      <c r="A743" s="2"/>
      <c r="B743" s="435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39"/>
    </row>
    <row r="744" spans="1:56" ht="12.75" customHeight="1">
      <c r="A744" s="2"/>
      <c r="B744" s="435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39"/>
    </row>
    <row r="745" spans="1:56" ht="12.75" customHeight="1">
      <c r="A745" s="2"/>
      <c r="B745" s="435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39"/>
    </row>
    <row r="746" spans="1:56" ht="12.75" customHeight="1">
      <c r="A746" s="2"/>
      <c r="B746" s="435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39"/>
    </row>
    <row r="747" spans="1:56" ht="12.75" customHeight="1">
      <c r="A747" s="2"/>
      <c r="B747" s="435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39"/>
    </row>
    <row r="748" spans="1:56" ht="12.75" customHeight="1">
      <c r="A748" s="2"/>
      <c r="B748" s="435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39"/>
    </row>
    <row r="749" spans="1:56" ht="12.75" customHeight="1">
      <c r="A749" s="2"/>
      <c r="B749" s="435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39"/>
    </row>
    <row r="750" spans="1:56" ht="12.75" customHeight="1">
      <c r="A750" s="2"/>
      <c r="B750" s="435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39"/>
    </row>
    <row r="751" spans="1:56" ht="12.75" customHeight="1">
      <c r="A751" s="2"/>
      <c r="B751" s="435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39"/>
    </row>
    <row r="752" spans="1:56" ht="12.75" customHeight="1">
      <c r="A752" s="2"/>
      <c r="B752" s="435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39"/>
    </row>
    <row r="753" spans="1:56" ht="12.75" customHeight="1">
      <c r="A753" s="2"/>
      <c r="B753" s="435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39"/>
    </row>
    <row r="754" spans="1:56" ht="12.75" customHeight="1">
      <c r="A754" s="2"/>
      <c r="B754" s="435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39"/>
    </row>
    <row r="755" spans="1:56" ht="12.75" customHeight="1">
      <c r="A755" s="2"/>
      <c r="B755" s="435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39"/>
    </row>
    <row r="756" spans="1:56" ht="12.75" customHeight="1">
      <c r="A756" s="2"/>
      <c r="B756" s="435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39"/>
    </row>
    <row r="757" spans="1:56" ht="12.75" customHeight="1">
      <c r="A757" s="2"/>
      <c r="B757" s="435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39"/>
    </row>
    <row r="758" spans="1:56" ht="12.75" customHeight="1">
      <c r="A758" s="2"/>
      <c r="B758" s="435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39"/>
    </row>
    <row r="759" spans="1:56" ht="12.75" customHeight="1">
      <c r="A759" s="2"/>
      <c r="B759" s="435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39"/>
    </row>
    <row r="760" spans="1:56" ht="12.75" customHeight="1">
      <c r="A760" s="2"/>
      <c r="B760" s="435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39"/>
    </row>
    <row r="761" spans="1:56" ht="12.75" customHeight="1">
      <c r="A761" s="2"/>
      <c r="B761" s="435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39"/>
    </row>
    <row r="762" spans="1:56" ht="12.75" customHeight="1">
      <c r="A762" s="2"/>
      <c r="B762" s="435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39"/>
    </row>
    <row r="763" spans="1:56" ht="12.75" customHeight="1">
      <c r="A763" s="2"/>
      <c r="B763" s="435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39"/>
    </row>
    <row r="764" spans="1:56" ht="12.75" customHeight="1">
      <c r="A764" s="2"/>
      <c r="B764" s="435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39"/>
    </row>
    <row r="765" spans="1:56" ht="12.75" customHeight="1">
      <c r="A765" s="2"/>
      <c r="B765" s="435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39"/>
    </row>
    <row r="766" spans="1:56" ht="12.75" customHeight="1">
      <c r="A766" s="2"/>
      <c r="B766" s="435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39"/>
    </row>
    <row r="767" spans="1:56" ht="12.75" customHeight="1">
      <c r="A767" s="2"/>
      <c r="B767" s="435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39"/>
    </row>
    <row r="768" spans="1:56" ht="12.75" customHeight="1">
      <c r="A768" s="2"/>
      <c r="B768" s="435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39"/>
    </row>
    <row r="769" spans="1:56" ht="12.75" customHeight="1">
      <c r="A769" s="2"/>
      <c r="B769" s="435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39"/>
    </row>
    <row r="770" spans="1:56" ht="12.75" customHeight="1">
      <c r="A770" s="2"/>
      <c r="B770" s="435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39"/>
    </row>
    <row r="771" spans="1:56" ht="12.75" customHeight="1">
      <c r="A771" s="2"/>
      <c r="B771" s="435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39"/>
    </row>
    <row r="772" spans="1:56" ht="12.75" customHeight="1">
      <c r="A772" s="2"/>
      <c r="B772" s="435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39"/>
    </row>
    <row r="773" spans="1:56" ht="12.75" customHeight="1">
      <c r="A773" s="2"/>
      <c r="B773" s="435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39"/>
    </row>
    <row r="774" spans="1:56" ht="12.75" customHeight="1">
      <c r="A774" s="2"/>
      <c r="B774" s="435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39"/>
    </row>
    <row r="775" spans="1:56" ht="12.75" customHeight="1">
      <c r="A775" s="2"/>
      <c r="B775" s="435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39"/>
    </row>
    <row r="776" spans="1:56" ht="12.75" customHeight="1">
      <c r="A776" s="2"/>
      <c r="B776" s="435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39"/>
    </row>
    <row r="777" spans="1:56" ht="12.75" customHeight="1">
      <c r="A777" s="2"/>
      <c r="B777" s="435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39"/>
    </row>
    <row r="778" spans="1:56" ht="12.75" customHeight="1">
      <c r="A778" s="2"/>
      <c r="B778" s="435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39"/>
    </row>
    <row r="779" spans="1:56" ht="12.75" customHeight="1">
      <c r="A779" s="2"/>
      <c r="B779" s="435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39"/>
    </row>
    <row r="780" spans="1:56" ht="12.75" customHeight="1">
      <c r="A780" s="2"/>
      <c r="B780" s="435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39"/>
    </row>
    <row r="781" spans="1:56" ht="12.75" customHeight="1">
      <c r="A781" s="2"/>
      <c r="B781" s="435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39"/>
    </row>
    <row r="782" spans="1:56" ht="12.75" customHeight="1">
      <c r="A782" s="2"/>
      <c r="B782" s="435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39"/>
    </row>
    <row r="783" spans="1:56" ht="12.75" customHeight="1">
      <c r="A783" s="2"/>
      <c r="B783" s="435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39"/>
    </row>
    <row r="784" spans="1:56" ht="12.75" customHeight="1">
      <c r="A784" s="2"/>
      <c r="B784" s="435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39"/>
    </row>
    <row r="785" spans="1:56" ht="12.75" customHeight="1">
      <c r="A785" s="2"/>
      <c r="B785" s="435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39"/>
    </row>
    <row r="786" spans="1:56" ht="12.75" customHeight="1">
      <c r="A786" s="2"/>
      <c r="B786" s="435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39"/>
    </row>
    <row r="787" spans="1:56" ht="12.75" customHeight="1">
      <c r="A787" s="2"/>
      <c r="B787" s="435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39"/>
    </row>
    <row r="788" spans="1:56" ht="12.75" customHeight="1">
      <c r="A788" s="2"/>
      <c r="B788" s="435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39"/>
    </row>
    <row r="789" spans="1:56" ht="12.75" customHeight="1">
      <c r="A789" s="2"/>
      <c r="B789" s="435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39"/>
    </row>
    <row r="790" spans="1:56" ht="12.75" customHeight="1">
      <c r="A790" s="2"/>
      <c r="B790" s="435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39"/>
    </row>
    <row r="791" spans="1:56" ht="12.75" customHeight="1">
      <c r="A791" s="2"/>
      <c r="B791" s="435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39"/>
    </row>
    <row r="792" spans="1:56" ht="12.75" customHeight="1">
      <c r="A792" s="2"/>
      <c r="B792" s="435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39"/>
    </row>
    <row r="793" spans="1:56" ht="12.75" customHeight="1">
      <c r="A793" s="2"/>
      <c r="B793" s="435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39"/>
    </row>
    <row r="794" spans="1:56" ht="12.75" customHeight="1">
      <c r="A794" s="2"/>
      <c r="B794" s="435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39"/>
    </row>
    <row r="795" spans="1:56" ht="12.75" customHeight="1">
      <c r="A795" s="2"/>
      <c r="B795" s="435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39"/>
    </row>
    <row r="796" spans="1:56" ht="12.75" customHeight="1">
      <c r="A796" s="2"/>
      <c r="B796" s="435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39"/>
    </row>
    <row r="797" spans="1:56" ht="12.75" customHeight="1">
      <c r="A797" s="2"/>
      <c r="B797" s="435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39"/>
    </row>
    <row r="798" spans="1:56" ht="12.75" customHeight="1">
      <c r="A798" s="2"/>
      <c r="B798" s="435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39"/>
    </row>
    <row r="799" spans="1:56" ht="12.75" customHeight="1">
      <c r="A799" s="2"/>
      <c r="B799" s="435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39"/>
    </row>
    <row r="800" spans="1:56" ht="12.75" customHeight="1">
      <c r="A800" s="2"/>
      <c r="B800" s="435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39"/>
    </row>
    <row r="801" spans="1:56" ht="12.75" customHeight="1">
      <c r="A801" s="2"/>
      <c r="B801" s="435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39"/>
    </row>
    <row r="802" spans="1:56" ht="12.75" customHeight="1">
      <c r="A802" s="2"/>
      <c r="B802" s="435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39"/>
    </row>
    <row r="803" spans="1:56" ht="12.75" customHeight="1">
      <c r="A803" s="2"/>
      <c r="B803" s="435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39"/>
    </row>
    <row r="804" spans="1:56" ht="12.75" customHeight="1">
      <c r="A804" s="2"/>
      <c r="B804" s="435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39"/>
    </row>
    <row r="805" spans="1:56" ht="12.75" customHeight="1">
      <c r="A805" s="2"/>
      <c r="B805" s="435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39"/>
    </row>
    <row r="806" spans="1:56" ht="12.75" customHeight="1">
      <c r="A806" s="2"/>
      <c r="B806" s="435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39"/>
    </row>
    <row r="807" spans="1:56" ht="12.75" customHeight="1">
      <c r="A807" s="2"/>
      <c r="B807" s="435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39"/>
    </row>
    <row r="808" spans="1:56" ht="12.75" customHeight="1">
      <c r="A808" s="2"/>
      <c r="B808" s="435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39"/>
    </row>
    <row r="809" spans="1:56" ht="12.75" customHeight="1">
      <c r="A809" s="2"/>
      <c r="B809" s="435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39"/>
    </row>
    <row r="810" spans="1:56" ht="12.75" customHeight="1">
      <c r="A810" s="2"/>
      <c r="B810" s="435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39"/>
    </row>
    <row r="811" spans="1:56" ht="12.75" customHeight="1">
      <c r="A811" s="2"/>
      <c r="B811" s="435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39"/>
    </row>
    <row r="812" spans="1:56" ht="12.75" customHeight="1">
      <c r="A812" s="2"/>
      <c r="B812" s="435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39"/>
    </row>
    <row r="813" spans="1:56" ht="12.75" customHeight="1">
      <c r="A813" s="2"/>
      <c r="B813" s="435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39"/>
    </row>
    <row r="814" spans="1:56" ht="12.75" customHeight="1">
      <c r="A814" s="2"/>
      <c r="B814" s="435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39"/>
    </row>
    <row r="815" spans="1:56" ht="12.75" customHeight="1">
      <c r="A815" s="2"/>
      <c r="B815" s="435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39"/>
    </row>
    <row r="816" spans="1:56" ht="12.75" customHeight="1">
      <c r="A816" s="2"/>
      <c r="B816" s="435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39"/>
    </row>
    <row r="817" spans="1:56" ht="12.75" customHeight="1">
      <c r="A817" s="2"/>
      <c r="B817" s="435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39"/>
    </row>
    <row r="818" spans="1:56" ht="12.75" customHeight="1">
      <c r="A818" s="2"/>
      <c r="B818" s="435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39"/>
    </row>
    <row r="819" spans="1:56" ht="12.75" customHeight="1">
      <c r="A819" s="2"/>
      <c r="B819" s="435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39"/>
    </row>
    <row r="820" spans="1:56" ht="12.75" customHeight="1">
      <c r="A820" s="2"/>
      <c r="B820" s="435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39"/>
    </row>
    <row r="821" spans="1:56" ht="12.75" customHeight="1">
      <c r="A821" s="2"/>
      <c r="B821" s="435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39"/>
    </row>
    <row r="822" spans="1:56" ht="12.75" customHeight="1">
      <c r="A822" s="2"/>
      <c r="B822" s="435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39"/>
    </row>
    <row r="823" spans="1:56" ht="12.75" customHeight="1">
      <c r="A823" s="2"/>
      <c r="B823" s="435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39"/>
    </row>
    <row r="824" spans="1:56" ht="12.75" customHeight="1">
      <c r="A824" s="2"/>
      <c r="B824" s="435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39"/>
    </row>
    <row r="825" spans="1:56" ht="12.75" customHeight="1">
      <c r="A825" s="2"/>
      <c r="B825" s="435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39"/>
    </row>
    <row r="826" spans="1:56" ht="12.75" customHeight="1">
      <c r="A826" s="2"/>
      <c r="B826" s="435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39"/>
    </row>
    <row r="827" spans="1:56" ht="12.75" customHeight="1">
      <c r="A827" s="2"/>
      <c r="B827" s="435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39"/>
    </row>
    <row r="828" spans="1:56" ht="12.75" customHeight="1">
      <c r="A828" s="2"/>
      <c r="B828" s="435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39"/>
    </row>
    <row r="829" spans="1:56" ht="12.75" customHeight="1">
      <c r="A829" s="2"/>
      <c r="B829" s="435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39"/>
    </row>
    <row r="830" spans="1:56" ht="12.75" customHeight="1">
      <c r="A830" s="2"/>
      <c r="B830" s="435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39"/>
    </row>
    <row r="831" spans="1:56" ht="12.75" customHeight="1">
      <c r="A831" s="2"/>
      <c r="B831" s="435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39"/>
    </row>
    <row r="832" spans="1:56" ht="12.75" customHeight="1">
      <c r="A832" s="2"/>
      <c r="B832" s="435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39"/>
    </row>
    <row r="833" spans="1:56" ht="12.75" customHeight="1">
      <c r="A833" s="2"/>
      <c r="B833" s="435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39"/>
    </row>
    <row r="834" spans="1:56" ht="12.75" customHeight="1">
      <c r="A834" s="2"/>
      <c r="B834" s="435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39"/>
    </row>
    <row r="835" spans="1:56" ht="12.75" customHeight="1">
      <c r="A835" s="2"/>
      <c r="B835" s="435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39"/>
    </row>
    <row r="836" spans="1:56" ht="12.75" customHeight="1">
      <c r="A836" s="2"/>
      <c r="B836" s="435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39"/>
    </row>
    <row r="837" spans="1:56" ht="12.75" customHeight="1">
      <c r="A837" s="2"/>
      <c r="B837" s="435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39"/>
    </row>
    <row r="838" spans="1:56" ht="12.75" customHeight="1">
      <c r="A838" s="2"/>
      <c r="B838" s="435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39"/>
    </row>
    <row r="839" spans="1:56" ht="12.75" customHeight="1">
      <c r="A839" s="2"/>
      <c r="B839" s="435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39"/>
    </row>
    <row r="840" spans="1:56" ht="12.75" customHeight="1">
      <c r="A840" s="2"/>
      <c r="B840" s="435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39"/>
    </row>
    <row r="841" spans="1:56" ht="12.75" customHeight="1">
      <c r="A841" s="2"/>
      <c r="B841" s="435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39"/>
    </row>
    <row r="842" spans="1:56" ht="12.75" customHeight="1">
      <c r="A842" s="2"/>
      <c r="B842" s="435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39"/>
    </row>
    <row r="843" spans="1:56" ht="12.75" customHeight="1">
      <c r="A843" s="2"/>
      <c r="B843" s="435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39"/>
    </row>
    <row r="844" spans="1:56" ht="12.75" customHeight="1">
      <c r="A844" s="2"/>
      <c r="B844" s="435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39"/>
    </row>
    <row r="845" spans="1:56" ht="12.75" customHeight="1">
      <c r="A845" s="2"/>
      <c r="B845" s="435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39"/>
    </row>
    <row r="846" spans="1:56" ht="12.75" customHeight="1">
      <c r="A846" s="2"/>
      <c r="B846" s="435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39"/>
    </row>
    <row r="847" spans="1:56" ht="12.75" customHeight="1">
      <c r="A847" s="2"/>
      <c r="B847" s="435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39"/>
    </row>
    <row r="848" spans="1:56" ht="12.75" customHeight="1">
      <c r="A848" s="2"/>
      <c r="B848" s="435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39"/>
    </row>
    <row r="849" spans="1:56" ht="12.75" customHeight="1">
      <c r="A849" s="2"/>
      <c r="B849" s="435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39"/>
    </row>
    <row r="850" spans="1:56" ht="12.75" customHeight="1">
      <c r="A850" s="2"/>
      <c r="B850" s="435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39"/>
    </row>
    <row r="851" spans="1:56" ht="12.75" customHeight="1">
      <c r="A851" s="2"/>
      <c r="B851" s="435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39"/>
    </row>
    <row r="852" spans="1:56" ht="12.75" customHeight="1">
      <c r="A852" s="2"/>
      <c r="B852" s="435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39"/>
    </row>
    <row r="853" spans="1:56" ht="12.75" customHeight="1">
      <c r="A853" s="2"/>
      <c r="B853" s="435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39"/>
    </row>
    <row r="854" spans="1:56" ht="12.75" customHeight="1">
      <c r="A854" s="2"/>
      <c r="B854" s="435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39"/>
    </row>
    <row r="855" spans="1:56" ht="12.75" customHeight="1">
      <c r="A855" s="2"/>
      <c r="B855" s="435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39"/>
    </row>
    <row r="856" spans="1:56" ht="12.75" customHeight="1">
      <c r="A856" s="2"/>
      <c r="B856" s="435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39"/>
    </row>
    <row r="857" spans="1:56" ht="12.75" customHeight="1">
      <c r="A857" s="2"/>
      <c r="B857" s="435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39"/>
    </row>
    <row r="858" spans="1:56" ht="12.75" customHeight="1">
      <c r="A858" s="2"/>
      <c r="B858" s="435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39"/>
    </row>
    <row r="859" spans="1:56" ht="12.75" customHeight="1">
      <c r="A859" s="2"/>
      <c r="B859" s="435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39"/>
    </row>
    <row r="860" spans="1:56" ht="12.75" customHeight="1">
      <c r="A860" s="2"/>
      <c r="B860" s="435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39"/>
    </row>
    <row r="861" spans="1:56" ht="12.75" customHeight="1">
      <c r="A861" s="2"/>
      <c r="B861" s="435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39"/>
    </row>
    <row r="862" spans="1:56" ht="12.75" customHeight="1">
      <c r="A862" s="2"/>
      <c r="B862" s="435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39"/>
    </row>
    <row r="863" spans="1:56" ht="12.75" customHeight="1">
      <c r="A863" s="2"/>
      <c r="B863" s="435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39"/>
    </row>
    <row r="864" spans="1:56" ht="12.75" customHeight="1">
      <c r="A864" s="2"/>
      <c r="B864" s="435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39"/>
    </row>
    <row r="865" spans="1:56" ht="12.75" customHeight="1">
      <c r="A865" s="2"/>
      <c r="B865" s="435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39"/>
    </row>
    <row r="866" spans="1:56" ht="12.75" customHeight="1">
      <c r="A866" s="2"/>
      <c r="B866" s="435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39"/>
    </row>
    <row r="867" spans="1:56" ht="12.75" customHeight="1">
      <c r="A867" s="2"/>
      <c r="B867" s="435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39"/>
    </row>
    <row r="868" spans="1:56" ht="12.75" customHeight="1">
      <c r="A868" s="2"/>
      <c r="B868" s="435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39"/>
    </row>
    <row r="869" spans="1:56" ht="12.75" customHeight="1">
      <c r="A869" s="2"/>
      <c r="B869" s="435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39"/>
    </row>
    <row r="870" spans="1:56" ht="12.75" customHeight="1">
      <c r="A870" s="2"/>
      <c r="B870" s="435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39"/>
    </row>
    <row r="871" spans="1:56" ht="12.75" customHeight="1">
      <c r="A871" s="2"/>
      <c r="B871" s="435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39"/>
    </row>
    <row r="872" spans="1:56" ht="12.75" customHeight="1">
      <c r="A872" s="2"/>
      <c r="B872" s="435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39"/>
    </row>
    <row r="873" spans="1:56" ht="12.75" customHeight="1">
      <c r="A873" s="2"/>
      <c r="B873" s="435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39"/>
    </row>
    <row r="874" spans="1:56" ht="12.75" customHeight="1">
      <c r="A874" s="2"/>
      <c r="B874" s="435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39"/>
    </row>
    <row r="875" spans="1:56" ht="12.75" customHeight="1">
      <c r="A875" s="2"/>
      <c r="B875" s="435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39"/>
    </row>
    <row r="876" spans="1:56" ht="12.75" customHeight="1">
      <c r="A876" s="2"/>
      <c r="B876" s="435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39"/>
    </row>
    <row r="877" spans="1:56" ht="12.75" customHeight="1">
      <c r="A877" s="2"/>
      <c r="B877" s="435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39"/>
    </row>
    <row r="878" spans="1:56" ht="12.75" customHeight="1">
      <c r="A878" s="2"/>
      <c r="B878" s="435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39"/>
    </row>
    <row r="879" spans="1:56" ht="12.75" customHeight="1">
      <c r="A879" s="2"/>
      <c r="B879" s="435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39"/>
    </row>
    <row r="880" spans="1:56" ht="12.75" customHeight="1">
      <c r="A880" s="2"/>
      <c r="B880" s="435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39"/>
    </row>
    <row r="881" spans="1:56" ht="12.75" customHeight="1">
      <c r="A881" s="2"/>
      <c r="B881" s="435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39"/>
    </row>
    <row r="882" spans="1:56" ht="12.75" customHeight="1">
      <c r="A882" s="2"/>
      <c r="B882" s="435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39"/>
    </row>
    <row r="883" spans="1:56" ht="12.75" customHeight="1">
      <c r="A883" s="2"/>
      <c r="B883" s="435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39"/>
    </row>
    <row r="884" spans="1:56" ht="12.75" customHeight="1">
      <c r="A884" s="2"/>
      <c r="B884" s="435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39"/>
    </row>
    <row r="885" spans="1:56" ht="12.75" customHeight="1">
      <c r="A885" s="2"/>
      <c r="B885" s="435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39"/>
    </row>
    <row r="886" spans="1:56" ht="12.75" customHeight="1">
      <c r="A886" s="2"/>
      <c r="B886" s="435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39"/>
    </row>
    <row r="887" spans="1:56" ht="12.75" customHeight="1">
      <c r="A887" s="2"/>
      <c r="B887" s="435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39"/>
    </row>
    <row r="888" spans="1:56" ht="12.75" customHeight="1">
      <c r="A888" s="2"/>
      <c r="B888" s="435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39"/>
    </row>
    <row r="889" spans="1:56" ht="12.75" customHeight="1">
      <c r="A889" s="2"/>
      <c r="B889" s="435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39"/>
    </row>
    <row r="890" spans="1:56" ht="12.75" customHeight="1">
      <c r="A890" s="2"/>
      <c r="B890" s="435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39"/>
    </row>
    <row r="891" spans="1:56" ht="12.75" customHeight="1">
      <c r="A891" s="2"/>
      <c r="B891" s="435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39"/>
    </row>
    <row r="892" spans="1:56" ht="12.75" customHeight="1">
      <c r="A892" s="2"/>
      <c r="B892" s="435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39"/>
    </row>
    <row r="893" spans="1:56" ht="12.75" customHeight="1">
      <c r="A893" s="2"/>
      <c r="B893" s="435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39"/>
    </row>
    <row r="894" spans="1:56" ht="12.75" customHeight="1">
      <c r="A894" s="2"/>
      <c r="B894" s="435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39"/>
    </row>
    <row r="895" spans="1:56" ht="12.75" customHeight="1">
      <c r="A895" s="2"/>
      <c r="B895" s="435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39"/>
    </row>
    <row r="896" spans="1:56" ht="12.75" customHeight="1">
      <c r="A896" s="2"/>
      <c r="B896" s="435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39"/>
    </row>
    <row r="897" spans="1:56" ht="12.75" customHeight="1">
      <c r="A897" s="2"/>
      <c r="B897" s="435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39"/>
    </row>
    <row r="898" spans="1:56" ht="12.75" customHeight="1">
      <c r="A898" s="2"/>
      <c r="B898" s="435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39"/>
    </row>
    <row r="899" spans="1:56" ht="12.75" customHeight="1">
      <c r="A899" s="2"/>
      <c r="B899" s="435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39"/>
    </row>
    <row r="900" spans="1:56" ht="12.75" customHeight="1">
      <c r="A900" s="2"/>
      <c r="B900" s="435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39"/>
    </row>
    <row r="901" spans="1:56" ht="12.75" customHeight="1">
      <c r="A901" s="2"/>
      <c r="B901" s="435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39"/>
    </row>
    <row r="902" spans="1:56" ht="12.75" customHeight="1">
      <c r="A902" s="2"/>
      <c r="B902" s="435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39"/>
    </row>
    <row r="903" spans="1:56" ht="12.75" customHeight="1">
      <c r="A903" s="2"/>
      <c r="B903" s="435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39"/>
    </row>
    <row r="904" spans="1:56" ht="12.75" customHeight="1">
      <c r="A904" s="2"/>
      <c r="B904" s="435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39"/>
    </row>
    <row r="905" spans="1:56" ht="12.75" customHeight="1">
      <c r="A905" s="2"/>
      <c r="B905" s="435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39"/>
    </row>
    <row r="906" spans="1:56" ht="12.75" customHeight="1">
      <c r="A906" s="2"/>
      <c r="B906" s="435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39"/>
    </row>
    <row r="907" spans="1:56" ht="12.75" customHeight="1">
      <c r="A907" s="2"/>
      <c r="B907" s="435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39"/>
    </row>
    <row r="908" spans="1:56" ht="12.75" customHeight="1">
      <c r="A908" s="2"/>
      <c r="B908" s="435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39"/>
    </row>
    <row r="909" spans="1:56" ht="12.75" customHeight="1">
      <c r="A909" s="2"/>
      <c r="B909" s="435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39"/>
    </row>
    <row r="910" spans="1:56" ht="12.75" customHeight="1">
      <c r="A910" s="2"/>
      <c r="B910" s="435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39"/>
    </row>
    <row r="911" spans="1:56" ht="12.75" customHeight="1">
      <c r="A911" s="2"/>
      <c r="B911" s="435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39"/>
    </row>
    <row r="912" spans="1:56" ht="12.75" customHeight="1">
      <c r="A912" s="2"/>
      <c r="B912" s="435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39"/>
    </row>
    <row r="913" spans="1:56" ht="12.75" customHeight="1">
      <c r="A913" s="2"/>
      <c r="B913" s="435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39"/>
    </row>
    <row r="914" spans="1:56" ht="12.75" customHeight="1">
      <c r="A914" s="2"/>
      <c r="B914" s="435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39"/>
    </row>
    <row r="915" spans="1:56" ht="12.75" customHeight="1">
      <c r="A915" s="2"/>
      <c r="B915" s="435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39"/>
    </row>
    <row r="916" spans="1:56" ht="12.75" customHeight="1">
      <c r="A916" s="2"/>
      <c r="B916" s="435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39"/>
    </row>
    <row r="917" spans="1:56" ht="12.75" customHeight="1">
      <c r="A917" s="2"/>
      <c r="B917" s="435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39"/>
    </row>
    <row r="918" spans="1:56" ht="12.75" customHeight="1">
      <c r="A918" s="2"/>
      <c r="B918" s="435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39"/>
    </row>
    <row r="919" spans="1:56" ht="12.75" customHeight="1">
      <c r="A919" s="2"/>
      <c r="B919" s="435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39"/>
    </row>
    <row r="920" spans="1:56" ht="12.75" customHeight="1">
      <c r="A920" s="2"/>
      <c r="B920" s="435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39"/>
    </row>
    <row r="921" spans="1:56" ht="12.75" customHeight="1">
      <c r="A921" s="2"/>
      <c r="B921" s="435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39"/>
    </row>
    <row r="922" spans="1:56" ht="12.75" customHeight="1">
      <c r="A922" s="2"/>
      <c r="B922" s="435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39"/>
    </row>
    <row r="923" spans="1:56" ht="12.75" customHeight="1">
      <c r="A923" s="2"/>
      <c r="B923" s="435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39"/>
    </row>
    <row r="924" spans="1:56" ht="12.75" customHeight="1">
      <c r="A924" s="2"/>
      <c r="B924" s="435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39"/>
    </row>
    <row r="925" spans="1:56" ht="12.75" customHeight="1">
      <c r="A925" s="2"/>
      <c r="B925" s="435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39"/>
    </row>
    <row r="926" spans="1:56" ht="12.75" customHeight="1">
      <c r="A926" s="2"/>
      <c r="B926" s="435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39"/>
    </row>
    <row r="927" spans="1:56" ht="12.75" customHeight="1">
      <c r="A927" s="2"/>
      <c r="B927" s="435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39"/>
    </row>
    <row r="928" spans="1:56" ht="12.75" customHeight="1">
      <c r="A928" s="2"/>
      <c r="B928" s="435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39"/>
    </row>
    <row r="929" spans="1:56" ht="12.75" customHeight="1">
      <c r="A929" s="2"/>
      <c r="B929" s="435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39"/>
    </row>
    <row r="930" spans="1:56" ht="12.75" customHeight="1">
      <c r="A930" s="2"/>
      <c r="B930" s="435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39"/>
    </row>
    <row r="931" spans="1:56" ht="12.75" customHeight="1">
      <c r="A931" s="2"/>
      <c r="B931" s="435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39"/>
    </row>
    <row r="932" spans="1:56" ht="12.75" customHeight="1">
      <c r="A932" s="2"/>
      <c r="B932" s="435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39"/>
    </row>
    <row r="933" spans="1:56" ht="12.75" customHeight="1">
      <c r="A933" s="2"/>
      <c r="B933" s="435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39"/>
    </row>
    <row r="934" spans="1:56" ht="12.75" customHeight="1">
      <c r="A934" s="2"/>
      <c r="B934" s="435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39"/>
    </row>
    <row r="935" spans="1:56" ht="12.75" customHeight="1">
      <c r="A935" s="2"/>
      <c r="B935" s="435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39"/>
    </row>
    <row r="936" spans="1:56" ht="12.75" customHeight="1">
      <c r="A936" s="2"/>
      <c r="B936" s="435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39"/>
    </row>
    <row r="937" spans="1:56" ht="12.75" customHeight="1">
      <c r="A937" s="2"/>
      <c r="B937" s="435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39"/>
    </row>
    <row r="938" spans="1:56" ht="12.75" customHeight="1">
      <c r="A938" s="2"/>
      <c r="B938" s="435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39"/>
    </row>
    <row r="939" spans="1:56" ht="12.75" customHeight="1">
      <c r="A939" s="2"/>
      <c r="B939" s="435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39"/>
    </row>
    <row r="940" spans="1:56" ht="12.75" customHeight="1">
      <c r="A940" s="2"/>
      <c r="B940" s="435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39"/>
    </row>
    <row r="941" spans="1:56" ht="12.75" customHeight="1">
      <c r="A941" s="2"/>
      <c r="B941" s="435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39"/>
    </row>
    <row r="942" spans="1:56" ht="12.75" customHeight="1">
      <c r="A942" s="2"/>
      <c r="B942" s="435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39"/>
    </row>
    <row r="943" spans="1:56" ht="12.75" customHeight="1">
      <c r="A943" s="2"/>
      <c r="B943" s="435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39"/>
    </row>
    <row r="944" spans="1:56" ht="12.75" customHeight="1">
      <c r="A944" s="2"/>
      <c r="B944" s="435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39"/>
    </row>
    <row r="945" spans="1:56" ht="12.75" customHeight="1">
      <c r="A945" s="2"/>
      <c r="B945" s="435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39"/>
    </row>
    <row r="946" spans="1:56" ht="12.75" customHeight="1">
      <c r="A946" s="2"/>
      <c r="B946" s="435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39"/>
    </row>
    <row r="947" spans="1:56" ht="12.75" customHeight="1">
      <c r="A947" s="2"/>
      <c r="B947" s="435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39"/>
    </row>
    <row r="948" spans="1:56" ht="12.75" customHeight="1">
      <c r="A948" s="2"/>
      <c r="B948" s="435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39"/>
    </row>
    <row r="949" spans="1:56" ht="12.75" customHeight="1">
      <c r="A949" s="2"/>
      <c r="B949" s="435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39"/>
    </row>
    <row r="950" spans="1:56" ht="12.75" customHeight="1">
      <c r="A950" s="2"/>
      <c r="B950" s="435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39"/>
    </row>
    <row r="951" spans="1:56" ht="12.75" customHeight="1">
      <c r="A951" s="2"/>
      <c r="B951" s="435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39"/>
    </row>
    <row r="952" spans="1:56" ht="12.75" customHeight="1">
      <c r="A952" s="2"/>
      <c r="B952" s="435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39"/>
    </row>
    <row r="953" spans="1:56" ht="12.75" customHeight="1">
      <c r="A953" s="2"/>
      <c r="B953" s="435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39"/>
    </row>
    <row r="954" spans="1:56" ht="12.75" customHeight="1">
      <c r="A954" s="2"/>
      <c r="B954" s="435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39"/>
    </row>
    <row r="955" spans="1:56" ht="12.75" customHeight="1">
      <c r="A955" s="2"/>
      <c r="B955" s="435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39"/>
    </row>
    <row r="956" spans="1:56" ht="12.75" customHeight="1">
      <c r="A956" s="2"/>
      <c r="B956" s="435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39"/>
    </row>
    <row r="957" spans="1:56" ht="12.75" customHeight="1">
      <c r="A957" s="2"/>
      <c r="B957" s="435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39"/>
    </row>
    <row r="958" spans="1:56" ht="12.75" customHeight="1">
      <c r="A958" s="2"/>
      <c r="B958" s="435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39"/>
    </row>
    <row r="959" spans="1:56" ht="12.75" customHeight="1">
      <c r="A959" s="2"/>
      <c r="B959" s="435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39"/>
    </row>
    <row r="960" spans="1:56" ht="12.75" customHeight="1">
      <c r="A960" s="2"/>
      <c r="B960" s="435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39"/>
    </row>
    <row r="961" spans="1:56" ht="12.75" customHeight="1">
      <c r="A961" s="2"/>
      <c r="B961" s="435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39"/>
    </row>
    <row r="962" spans="1:56" ht="12.75" customHeight="1">
      <c r="A962" s="2"/>
      <c r="B962" s="435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39"/>
    </row>
    <row r="963" spans="1:56" ht="12.75" customHeight="1">
      <c r="A963" s="2"/>
      <c r="B963" s="435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39"/>
    </row>
    <row r="964" spans="1:56" ht="12.75" customHeight="1">
      <c r="A964" s="2"/>
      <c r="B964" s="435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39"/>
    </row>
    <row r="965" spans="1:56" ht="12.75" customHeight="1">
      <c r="A965" s="2"/>
      <c r="B965" s="435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39"/>
    </row>
    <row r="966" spans="1:56" ht="12.75" customHeight="1">
      <c r="A966" s="2"/>
      <c r="B966" s="435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39"/>
    </row>
    <row r="967" spans="1:56" ht="12.75" customHeight="1">
      <c r="A967" s="2"/>
      <c r="B967" s="435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39"/>
    </row>
    <row r="968" spans="1:56" ht="12.75" customHeight="1">
      <c r="A968" s="2"/>
      <c r="B968" s="435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39"/>
    </row>
    <row r="969" spans="1:56" ht="12.75" customHeight="1">
      <c r="A969" s="2"/>
      <c r="B969" s="435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39"/>
    </row>
    <row r="970" spans="1:56" ht="12.75" customHeight="1">
      <c r="A970" s="2"/>
      <c r="B970" s="435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39"/>
    </row>
    <row r="971" spans="1:56" ht="12.75" customHeight="1">
      <c r="A971" s="2"/>
      <c r="B971" s="435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39"/>
    </row>
    <row r="972" spans="1:56" ht="12.75" customHeight="1">
      <c r="A972" s="2"/>
      <c r="B972" s="435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39"/>
    </row>
    <row r="973" spans="1:56" ht="12.75" customHeight="1">
      <c r="A973" s="2"/>
      <c r="B973" s="435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39"/>
    </row>
    <row r="974" spans="1:56" ht="12.75" customHeight="1">
      <c r="A974" s="2"/>
      <c r="B974" s="435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39"/>
    </row>
    <row r="975" spans="1:56" ht="12.75" customHeight="1">
      <c r="A975" s="2"/>
      <c r="B975" s="435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39"/>
    </row>
    <row r="976" spans="1:56" ht="12.75" customHeight="1">
      <c r="A976" s="2"/>
      <c r="B976" s="435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39"/>
    </row>
    <row r="977" spans="1:56" ht="12.75" customHeight="1">
      <c r="A977" s="2"/>
      <c r="B977" s="435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39"/>
    </row>
    <row r="978" spans="1:56" ht="12.75" customHeight="1">
      <c r="A978" s="2"/>
      <c r="B978" s="435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39"/>
    </row>
    <row r="979" spans="1:56" ht="12.75" customHeight="1">
      <c r="A979" s="2"/>
      <c r="B979" s="435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39"/>
    </row>
    <row r="980" spans="1:56" ht="12.75" customHeight="1">
      <c r="A980" s="2"/>
      <c r="B980" s="435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39"/>
    </row>
    <row r="981" spans="1:56" ht="12.75" customHeight="1">
      <c r="A981" s="2"/>
      <c r="B981" s="435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39"/>
    </row>
    <row r="982" spans="1:56" ht="12.75" customHeight="1">
      <c r="A982" s="2"/>
      <c r="B982" s="435"/>
      <c r="P982" s="84"/>
      <c r="Q982" s="84"/>
      <c r="R982" s="2"/>
      <c r="S982" s="2"/>
      <c r="T982" s="2"/>
      <c r="U982" s="2"/>
      <c r="V982" s="2"/>
      <c r="W982" s="2"/>
      <c r="X982" s="2"/>
      <c r="Y982" s="2"/>
      <c r="Z982" s="2"/>
      <c r="BB982" s="118"/>
      <c r="BD982" s="439"/>
    </row>
    <row r="983" spans="1:56" ht="12.75" customHeight="1">
      <c r="A983" s="2"/>
      <c r="B983" s="435"/>
      <c r="P983" s="84"/>
      <c r="Q983" s="84"/>
      <c r="R983" s="2"/>
      <c r="S983" s="2"/>
      <c r="T983" s="2"/>
      <c r="U983" s="2"/>
      <c r="V983" s="2"/>
      <c r="W983" s="2"/>
      <c r="X983" s="2"/>
      <c r="Y983" s="2"/>
      <c r="Z983" s="2"/>
      <c r="BB983" s="118"/>
      <c r="BD983" s="439"/>
    </row>
    <row r="984" spans="1:56" ht="12.75" customHeight="1">
      <c r="A984" s="2"/>
      <c r="B984" s="435"/>
      <c r="P984" s="84"/>
      <c r="Q984" s="84"/>
      <c r="R984" s="2"/>
      <c r="S984" s="2"/>
      <c r="T984" s="2"/>
      <c r="U984" s="2"/>
      <c r="V984" s="2"/>
      <c r="W984" s="2"/>
      <c r="X984" s="2"/>
      <c r="Y984" s="2"/>
      <c r="Z984" s="2"/>
      <c r="BB984" s="118"/>
      <c r="BD984" s="439"/>
    </row>
    <row r="985" spans="1:56" ht="12.75" customHeight="1">
      <c r="A985" s="2"/>
      <c r="B985" s="435"/>
      <c r="P985" s="84"/>
      <c r="Q985" s="84"/>
      <c r="R985" s="2"/>
      <c r="S985" s="2"/>
      <c r="T985" s="2"/>
      <c r="U985" s="2"/>
      <c r="V985" s="2"/>
      <c r="W985" s="2"/>
      <c r="X985" s="2"/>
      <c r="Y985" s="2"/>
      <c r="Z985" s="2"/>
      <c r="BB985" s="118"/>
      <c r="BD985" s="439"/>
    </row>
  </sheetData>
  <mergeCells count="1">
    <mergeCell ref="C1:O1"/>
  </mergeCell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3984375" defaultRowHeight="15" customHeight="1"/>
  <cols>
    <col min="1" max="1" width="32.59765625" customWidth="1"/>
    <col min="2" max="2" width="17.3984375" customWidth="1"/>
  </cols>
  <sheetData>
    <row r="1" spans="1:26" ht="20.25" customHeight="1">
      <c r="A1" s="487"/>
      <c r="B1" s="488" t="s">
        <v>245</v>
      </c>
      <c r="C1" s="489">
        <v>45008</v>
      </c>
      <c r="D1" s="489">
        <v>45039</v>
      </c>
      <c r="E1" s="489">
        <v>45069</v>
      </c>
      <c r="F1" s="489">
        <v>45100</v>
      </c>
      <c r="G1" s="489">
        <v>45130</v>
      </c>
      <c r="H1" s="489">
        <v>45161</v>
      </c>
      <c r="I1" s="489">
        <v>45192</v>
      </c>
      <c r="J1" s="489">
        <v>45222</v>
      </c>
      <c r="K1" s="489">
        <v>45253</v>
      </c>
      <c r="L1" s="489">
        <v>45283</v>
      </c>
      <c r="M1" s="489">
        <v>44950</v>
      </c>
      <c r="N1" s="489">
        <v>44981</v>
      </c>
      <c r="O1" s="489">
        <v>45009</v>
      </c>
      <c r="P1" s="489">
        <v>45040</v>
      </c>
      <c r="Q1" s="489">
        <v>45070</v>
      </c>
      <c r="R1" s="489">
        <v>45101</v>
      </c>
      <c r="S1" s="489">
        <v>45131</v>
      </c>
      <c r="T1" s="489">
        <v>45162</v>
      </c>
      <c r="U1" s="489">
        <v>45193</v>
      </c>
      <c r="V1" s="489">
        <v>45223</v>
      </c>
      <c r="W1" s="487"/>
      <c r="X1" s="487"/>
      <c r="Y1" s="487"/>
      <c r="Z1" s="487"/>
    </row>
    <row r="2" spans="1:26" ht="19.5" customHeight="1">
      <c r="A2" s="490" t="s">
        <v>246</v>
      </c>
      <c r="B2" s="126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</row>
    <row r="3" spans="1:26" ht="14">
      <c r="A3" s="491" t="s">
        <v>54</v>
      </c>
      <c r="B3" s="128"/>
      <c r="C3" s="130">
        <v>30</v>
      </c>
      <c r="D3" s="130">
        <v>30</v>
      </c>
      <c r="E3" s="130">
        <v>0</v>
      </c>
      <c r="F3" s="130">
        <v>30</v>
      </c>
      <c r="G3" s="130">
        <v>30</v>
      </c>
      <c r="H3" s="130">
        <v>30</v>
      </c>
      <c r="I3" s="130">
        <v>30</v>
      </c>
      <c r="J3" s="130">
        <v>30</v>
      </c>
      <c r="K3" s="130">
        <v>30</v>
      </c>
      <c r="L3" s="130">
        <v>30</v>
      </c>
      <c r="M3" s="130">
        <v>30</v>
      </c>
      <c r="N3" s="130">
        <v>30</v>
      </c>
      <c r="O3" s="130">
        <v>30</v>
      </c>
      <c r="P3" s="130">
        <v>45</v>
      </c>
      <c r="Q3" s="130">
        <v>45</v>
      </c>
      <c r="R3" s="131" t="s">
        <v>247</v>
      </c>
      <c r="S3" s="131" t="s">
        <v>247</v>
      </c>
      <c r="T3" s="131" t="s">
        <v>247</v>
      </c>
      <c r="U3" s="131" t="s">
        <v>247</v>
      </c>
      <c r="V3" s="131" t="s">
        <v>247</v>
      </c>
      <c r="W3" s="131"/>
      <c r="X3" s="131"/>
      <c r="Y3" s="131"/>
      <c r="Z3" s="131"/>
    </row>
    <row r="4" spans="1:26" ht="14">
      <c r="A4" s="132" t="s">
        <v>55</v>
      </c>
      <c r="B4" s="133"/>
      <c r="C4" s="135">
        <v>91</v>
      </c>
      <c r="D4" s="135">
        <f t="shared" ref="D4:V4" si="0">C4+D3</f>
        <v>121</v>
      </c>
      <c r="E4" s="135">
        <f t="shared" si="0"/>
        <v>121</v>
      </c>
      <c r="F4" s="135">
        <f t="shared" si="0"/>
        <v>151</v>
      </c>
      <c r="G4" s="135">
        <f t="shared" si="0"/>
        <v>181</v>
      </c>
      <c r="H4" s="135">
        <f t="shared" si="0"/>
        <v>211</v>
      </c>
      <c r="I4" s="135">
        <f t="shared" si="0"/>
        <v>241</v>
      </c>
      <c r="J4" s="135">
        <f t="shared" si="0"/>
        <v>271</v>
      </c>
      <c r="K4" s="135">
        <f t="shared" si="0"/>
        <v>301</v>
      </c>
      <c r="L4" s="135">
        <f t="shared" si="0"/>
        <v>331</v>
      </c>
      <c r="M4" s="135">
        <f t="shared" si="0"/>
        <v>361</v>
      </c>
      <c r="N4" s="135">
        <f t="shared" si="0"/>
        <v>391</v>
      </c>
      <c r="O4" s="135">
        <f t="shared" si="0"/>
        <v>421</v>
      </c>
      <c r="P4" s="135">
        <f t="shared" si="0"/>
        <v>466</v>
      </c>
      <c r="Q4" s="135">
        <f t="shared" si="0"/>
        <v>511</v>
      </c>
      <c r="R4" s="135">
        <f t="shared" si="0"/>
        <v>556</v>
      </c>
      <c r="S4" s="135">
        <f t="shared" si="0"/>
        <v>601</v>
      </c>
      <c r="T4" s="135">
        <f t="shared" si="0"/>
        <v>646</v>
      </c>
      <c r="U4" s="135">
        <f t="shared" si="0"/>
        <v>691</v>
      </c>
      <c r="V4" s="135">
        <f t="shared" si="0"/>
        <v>736</v>
      </c>
      <c r="W4" s="136"/>
      <c r="X4" s="136"/>
      <c r="Y4" s="136"/>
      <c r="Z4" s="136"/>
    </row>
    <row r="5" spans="1:26" ht="14">
      <c r="A5" s="491"/>
      <c r="B5" s="128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4">
      <c r="A6" s="491" t="s">
        <v>248</v>
      </c>
      <c r="B6" s="144">
        <v>1000</v>
      </c>
      <c r="C6" s="139">
        <f t="shared" ref="C6:V6" si="1">C3*$B$6</f>
        <v>30000</v>
      </c>
      <c r="D6" s="139">
        <f t="shared" si="1"/>
        <v>30000</v>
      </c>
      <c r="E6" s="139">
        <f t="shared" si="1"/>
        <v>0</v>
      </c>
      <c r="F6" s="139">
        <f t="shared" si="1"/>
        <v>30000</v>
      </c>
      <c r="G6" s="139">
        <f t="shared" si="1"/>
        <v>30000</v>
      </c>
      <c r="H6" s="139">
        <f t="shared" si="1"/>
        <v>30000</v>
      </c>
      <c r="I6" s="139">
        <f t="shared" si="1"/>
        <v>30000</v>
      </c>
      <c r="J6" s="139">
        <f t="shared" si="1"/>
        <v>30000</v>
      </c>
      <c r="K6" s="139">
        <f t="shared" si="1"/>
        <v>30000</v>
      </c>
      <c r="L6" s="139">
        <f t="shared" si="1"/>
        <v>30000</v>
      </c>
      <c r="M6" s="139">
        <f t="shared" si="1"/>
        <v>30000</v>
      </c>
      <c r="N6" s="139">
        <f t="shared" si="1"/>
        <v>30000</v>
      </c>
      <c r="O6" s="139">
        <f t="shared" si="1"/>
        <v>30000</v>
      </c>
      <c r="P6" s="139">
        <f t="shared" si="1"/>
        <v>45000</v>
      </c>
      <c r="Q6" s="139">
        <f t="shared" si="1"/>
        <v>45000</v>
      </c>
      <c r="R6" s="139">
        <f t="shared" si="1"/>
        <v>45000</v>
      </c>
      <c r="S6" s="139">
        <f t="shared" si="1"/>
        <v>45000</v>
      </c>
      <c r="T6" s="139">
        <f t="shared" si="1"/>
        <v>45000</v>
      </c>
      <c r="U6" s="139">
        <f t="shared" si="1"/>
        <v>45000</v>
      </c>
      <c r="V6" s="139">
        <f t="shared" si="1"/>
        <v>45000</v>
      </c>
      <c r="W6" s="139"/>
      <c r="X6" s="139"/>
      <c r="Y6" s="139"/>
      <c r="Z6" s="139"/>
    </row>
    <row r="7" spans="1:26" ht="14">
      <c r="A7" s="491" t="s">
        <v>203</v>
      </c>
      <c r="B7" s="144">
        <v>550</v>
      </c>
      <c r="C7" s="140"/>
      <c r="D7" s="140">
        <v>7800</v>
      </c>
      <c r="E7" s="140">
        <f t="shared" ref="E7:V7" si="2">E3*$B$7</f>
        <v>0</v>
      </c>
      <c r="F7" s="140">
        <f t="shared" si="2"/>
        <v>16500</v>
      </c>
      <c r="G7" s="140">
        <f t="shared" si="2"/>
        <v>16500</v>
      </c>
      <c r="H7" s="140">
        <f t="shared" si="2"/>
        <v>16500</v>
      </c>
      <c r="I7" s="140">
        <f t="shared" si="2"/>
        <v>16500</v>
      </c>
      <c r="J7" s="140">
        <f t="shared" si="2"/>
        <v>16500</v>
      </c>
      <c r="K7" s="140">
        <f t="shared" si="2"/>
        <v>16500</v>
      </c>
      <c r="L7" s="140">
        <f t="shared" si="2"/>
        <v>16500</v>
      </c>
      <c r="M7" s="140">
        <f t="shared" si="2"/>
        <v>16500</v>
      </c>
      <c r="N7" s="140">
        <f t="shared" si="2"/>
        <v>16500</v>
      </c>
      <c r="O7" s="140">
        <f t="shared" si="2"/>
        <v>16500</v>
      </c>
      <c r="P7" s="140">
        <f t="shared" si="2"/>
        <v>24750</v>
      </c>
      <c r="Q7" s="140">
        <f t="shared" si="2"/>
        <v>24750</v>
      </c>
      <c r="R7" s="140">
        <f t="shared" si="2"/>
        <v>24750</v>
      </c>
      <c r="S7" s="140">
        <f t="shared" si="2"/>
        <v>24750</v>
      </c>
      <c r="T7" s="140">
        <f t="shared" si="2"/>
        <v>24750</v>
      </c>
      <c r="U7" s="140">
        <f t="shared" si="2"/>
        <v>24750</v>
      </c>
      <c r="V7" s="140">
        <f t="shared" si="2"/>
        <v>24750</v>
      </c>
    </row>
    <row r="8" spans="1:26" ht="14">
      <c r="A8" s="492" t="s">
        <v>205</v>
      </c>
      <c r="B8" s="144">
        <v>75</v>
      </c>
      <c r="C8" s="139">
        <f t="shared" ref="C8:V8" si="3">$B$8*C3</f>
        <v>2250</v>
      </c>
      <c r="D8" s="139">
        <f t="shared" si="3"/>
        <v>2250</v>
      </c>
      <c r="E8" s="139">
        <f t="shared" si="3"/>
        <v>0</v>
      </c>
      <c r="F8" s="139">
        <f t="shared" si="3"/>
        <v>2250</v>
      </c>
      <c r="G8" s="139">
        <f t="shared" si="3"/>
        <v>2250</v>
      </c>
      <c r="H8" s="139">
        <f t="shared" si="3"/>
        <v>2250</v>
      </c>
      <c r="I8" s="139">
        <f t="shared" si="3"/>
        <v>2250</v>
      </c>
      <c r="J8" s="139">
        <f t="shared" si="3"/>
        <v>2250</v>
      </c>
      <c r="K8" s="139">
        <f t="shared" si="3"/>
        <v>2250</v>
      </c>
      <c r="L8" s="139">
        <f t="shared" si="3"/>
        <v>2250</v>
      </c>
      <c r="M8" s="139">
        <f t="shared" si="3"/>
        <v>2250</v>
      </c>
      <c r="N8" s="139">
        <f t="shared" si="3"/>
        <v>2250</v>
      </c>
      <c r="O8" s="139">
        <f t="shared" si="3"/>
        <v>2250</v>
      </c>
      <c r="P8" s="139">
        <f t="shared" si="3"/>
        <v>3375</v>
      </c>
      <c r="Q8" s="139">
        <f t="shared" si="3"/>
        <v>3375</v>
      </c>
      <c r="R8" s="139">
        <f t="shared" si="3"/>
        <v>3375</v>
      </c>
      <c r="S8" s="139">
        <f t="shared" si="3"/>
        <v>3375</v>
      </c>
      <c r="T8" s="139">
        <f t="shared" si="3"/>
        <v>3375</v>
      </c>
      <c r="U8" s="139">
        <f t="shared" si="3"/>
        <v>3375</v>
      </c>
      <c r="V8" s="139">
        <f t="shared" si="3"/>
        <v>3375</v>
      </c>
      <c r="W8" s="142"/>
      <c r="X8" s="142"/>
      <c r="Y8" s="142"/>
      <c r="Z8" s="142"/>
    </row>
    <row r="9" spans="1:26" ht="14">
      <c r="A9" s="492" t="s">
        <v>249</v>
      </c>
      <c r="B9" s="144">
        <v>50</v>
      </c>
      <c r="C9" s="139">
        <f>$B$9*C4</f>
        <v>4550</v>
      </c>
      <c r="D9" s="139">
        <f t="shared" ref="D9:V9" si="4">$B$9*D3</f>
        <v>1500</v>
      </c>
      <c r="E9" s="139">
        <f t="shared" si="4"/>
        <v>0</v>
      </c>
      <c r="F9" s="139">
        <f t="shared" si="4"/>
        <v>1500</v>
      </c>
      <c r="G9" s="139">
        <f t="shared" si="4"/>
        <v>1500</v>
      </c>
      <c r="H9" s="139">
        <f t="shared" si="4"/>
        <v>1500</v>
      </c>
      <c r="I9" s="139">
        <f t="shared" si="4"/>
        <v>1500</v>
      </c>
      <c r="J9" s="139">
        <f t="shared" si="4"/>
        <v>1500</v>
      </c>
      <c r="K9" s="139">
        <f t="shared" si="4"/>
        <v>1500</v>
      </c>
      <c r="L9" s="139">
        <f t="shared" si="4"/>
        <v>1500</v>
      </c>
      <c r="M9" s="139">
        <f t="shared" si="4"/>
        <v>1500</v>
      </c>
      <c r="N9" s="139">
        <f t="shared" si="4"/>
        <v>1500</v>
      </c>
      <c r="O9" s="139">
        <f t="shared" si="4"/>
        <v>1500</v>
      </c>
      <c r="P9" s="139">
        <f t="shared" si="4"/>
        <v>2250</v>
      </c>
      <c r="Q9" s="139">
        <f t="shared" si="4"/>
        <v>2250</v>
      </c>
      <c r="R9" s="139">
        <f t="shared" si="4"/>
        <v>2250</v>
      </c>
      <c r="S9" s="139">
        <f t="shared" si="4"/>
        <v>2250</v>
      </c>
      <c r="T9" s="139">
        <f t="shared" si="4"/>
        <v>2250</v>
      </c>
      <c r="U9" s="139">
        <f t="shared" si="4"/>
        <v>2250</v>
      </c>
      <c r="V9" s="139">
        <f t="shared" si="4"/>
        <v>2250</v>
      </c>
      <c r="W9" s="139"/>
      <c r="X9" s="139"/>
      <c r="Y9" s="142"/>
      <c r="Z9" s="142"/>
    </row>
    <row r="10" spans="1:26" ht="14">
      <c r="A10" s="492" t="s">
        <v>207</v>
      </c>
      <c r="B10" s="144">
        <v>75</v>
      </c>
      <c r="C10" s="139"/>
      <c r="D10" s="139">
        <f>75*90</f>
        <v>6750</v>
      </c>
      <c r="E10" s="139">
        <f t="shared" ref="E10:V10" si="5">$B$10*E4</f>
        <v>9075</v>
      </c>
      <c r="F10" s="139">
        <f t="shared" si="5"/>
        <v>11325</v>
      </c>
      <c r="G10" s="139">
        <f t="shared" si="5"/>
        <v>13575</v>
      </c>
      <c r="H10" s="139">
        <f t="shared" si="5"/>
        <v>15825</v>
      </c>
      <c r="I10" s="139">
        <f t="shared" si="5"/>
        <v>18075</v>
      </c>
      <c r="J10" s="139">
        <f t="shared" si="5"/>
        <v>20325</v>
      </c>
      <c r="K10" s="139">
        <f t="shared" si="5"/>
        <v>22575</v>
      </c>
      <c r="L10" s="139">
        <f t="shared" si="5"/>
        <v>24825</v>
      </c>
      <c r="M10" s="139">
        <f t="shared" si="5"/>
        <v>27075</v>
      </c>
      <c r="N10" s="139">
        <f t="shared" si="5"/>
        <v>29325</v>
      </c>
      <c r="O10" s="139">
        <f t="shared" si="5"/>
        <v>31575</v>
      </c>
      <c r="P10" s="139">
        <f t="shared" si="5"/>
        <v>34950</v>
      </c>
      <c r="Q10" s="139">
        <f t="shared" si="5"/>
        <v>38325</v>
      </c>
      <c r="R10" s="139">
        <f t="shared" si="5"/>
        <v>41700</v>
      </c>
      <c r="S10" s="139">
        <f t="shared" si="5"/>
        <v>45075</v>
      </c>
      <c r="T10" s="139">
        <f t="shared" si="5"/>
        <v>48450</v>
      </c>
      <c r="U10" s="139">
        <f t="shared" si="5"/>
        <v>51825</v>
      </c>
      <c r="V10" s="139">
        <f t="shared" si="5"/>
        <v>55200</v>
      </c>
      <c r="W10" s="139"/>
      <c r="X10" s="139"/>
      <c r="Y10" s="142"/>
      <c r="Z10" s="142"/>
    </row>
    <row r="11" spans="1:26" ht="14">
      <c r="A11" s="492" t="s">
        <v>250</v>
      </c>
      <c r="B11" s="144">
        <v>25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42"/>
      <c r="Z11" s="142"/>
    </row>
    <row r="12" spans="1:26" ht="14">
      <c r="A12" s="492" t="s">
        <v>209</v>
      </c>
      <c r="B12" s="144">
        <v>50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2"/>
      <c r="Z12" s="142"/>
    </row>
    <row r="13" spans="1:26" ht="14">
      <c r="A13" s="492" t="s">
        <v>251</v>
      </c>
      <c r="B13" s="144">
        <v>40</v>
      </c>
      <c r="C13" s="139"/>
      <c r="D13" s="139"/>
      <c r="E13" s="139"/>
      <c r="F13" s="139"/>
      <c r="G13" s="139"/>
      <c r="H13" s="139"/>
      <c r="I13" s="139"/>
      <c r="J13" s="139">
        <f t="shared" ref="J13:V13" si="6">H4*$B$13</f>
        <v>8440</v>
      </c>
      <c r="K13" s="139">
        <f t="shared" si="6"/>
        <v>9640</v>
      </c>
      <c r="L13" s="139">
        <f t="shared" si="6"/>
        <v>10840</v>
      </c>
      <c r="M13" s="139">
        <f t="shared" si="6"/>
        <v>12040</v>
      </c>
      <c r="N13" s="139">
        <f t="shared" si="6"/>
        <v>13240</v>
      </c>
      <c r="O13" s="139">
        <f t="shared" si="6"/>
        <v>14440</v>
      </c>
      <c r="P13" s="139">
        <f t="shared" si="6"/>
        <v>15640</v>
      </c>
      <c r="Q13" s="139">
        <f t="shared" si="6"/>
        <v>16840</v>
      </c>
      <c r="R13" s="139">
        <f t="shared" si="6"/>
        <v>18640</v>
      </c>
      <c r="S13" s="139">
        <f t="shared" si="6"/>
        <v>20440</v>
      </c>
      <c r="T13" s="139">
        <f t="shared" si="6"/>
        <v>22240</v>
      </c>
      <c r="U13" s="139">
        <f t="shared" si="6"/>
        <v>24040</v>
      </c>
      <c r="V13" s="139">
        <f t="shared" si="6"/>
        <v>25840</v>
      </c>
      <c r="W13" s="139"/>
      <c r="X13" s="139"/>
      <c r="Y13" s="142"/>
      <c r="Z13" s="142"/>
    </row>
    <row r="14" spans="1:26" ht="14">
      <c r="A14" s="142"/>
      <c r="B14" s="144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42"/>
      <c r="Z14" s="142"/>
    </row>
    <row r="15" spans="1:26" ht="18" customHeight="1">
      <c r="A15" s="493" t="s">
        <v>252</v>
      </c>
      <c r="B15" s="494"/>
      <c r="C15" s="493">
        <f t="shared" ref="C15:V15" si="7">SUM(C6:C13)</f>
        <v>36800</v>
      </c>
      <c r="D15" s="493">
        <f t="shared" si="7"/>
        <v>48300</v>
      </c>
      <c r="E15" s="493">
        <f t="shared" si="7"/>
        <v>9075</v>
      </c>
      <c r="F15" s="493">
        <f t="shared" si="7"/>
        <v>61575</v>
      </c>
      <c r="G15" s="493">
        <f t="shared" si="7"/>
        <v>63825</v>
      </c>
      <c r="H15" s="493">
        <f t="shared" si="7"/>
        <v>66075</v>
      </c>
      <c r="I15" s="493">
        <f t="shared" si="7"/>
        <v>68325</v>
      </c>
      <c r="J15" s="493">
        <f t="shared" si="7"/>
        <v>79015</v>
      </c>
      <c r="K15" s="493">
        <f t="shared" si="7"/>
        <v>82465</v>
      </c>
      <c r="L15" s="493">
        <f t="shared" si="7"/>
        <v>85915</v>
      </c>
      <c r="M15" s="493">
        <f t="shared" si="7"/>
        <v>89365</v>
      </c>
      <c r="N15" s="493">
        <f t="shared" si="7"/>
        <v>92815</v>
      </c>
      <c r="O15" s="493">
        <f t="shared" si="7"/>
        <v>96265</v>
      </c>
      <c r="P15" s="493">
        <f t="shared" si="7"/>
        <v>125965</v>
      </c>
      <c r="Q15" s="493">
        <f t="shared" si="7"/>
        <v>130540</v>
      </c>
      <c r="R15" s="493">
        <f t="shared" si="7"/>
        <v>135715</v>
      </c>
      <c r="S15" s="493">
        <f t="shared" si="7"/>
        <v>140890</v>
      </c>
      <c r="T15" s="493">
        <f t="shared" si="7"/>
        <v>146065</v>
      </c>
      <c r="U15" s="493">
        <f t="shared" si="7"/>
        <v>151240</v>
      </c>
      <c r="V15" s="493">
        <f t="shared" si="7"/>
        <v>156415</v>
      </c>
      <c r="W15" s="493"/>
      <c r="X15" s="493"/>
      <c r="Y15" s="493"/>
      <c r="Z15" s="493"/>
    </row>
    <row r="16" spans="1:26" ht="14">
      <c r="B16" s="152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 spans="1:26" ht="19.5" customHeight="1">
      <c r="A17" s="490" t="s">
        <v>253</v>
      </c>
      <c r="B17" s="126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</row>
    <row r="18" spans="1:26" ht="14">
      <c r="A18" s="491" t="s">
        <v>54</v>
      </c>
      <c r="B18" s="128"/>
      <c r="C18" s="130">
        <v>0</v>
      </c>
      <c r="D18" s="130">
        <v>0</v>
      </c>
      <c r="E18" s="130">
        <v>0</v>
      </c>
      <c r="F18" s="130">
        <v>0</v>
      </c>
      <c r="G18" s="130">
        <v>0</v>
      </c>
      <c r="H18" s="130">
        <v>50</v>
      </c>
      <c r="I18" s="130">
        <v>50</v>
      </c>
      <c r="J18" s="130">
        <v>50</v>
      </c>
      <c r="K18" s="130">
        <v>50</v>
      </c>
      <c r="L18" s="130">
        <v>50</v>
      </c>
      <c r="M18" s="130">
        <v>50</v>
      </c>
      <c r="N18" s="130">
        <v>50</v>
      </c>
      <c r="O18" s="130">
        <v>50</v>
      </c>
      <c r="P18" s="130">
        <v>50</v>
      </c>
      <c r="Q18" s="130">
        <v>50</v>
      </c>
      <c r="R18" s="130">
        <v>50</v>
      </c>
      <c r="S18" s="130">
        <v>50</v>
      </c>
      <c r="T18" s="130">
        <v>50</v>
      </c>
      <c r="U18" s="130">
        <v>50</v>
      </c>
      <c r="V18" s="130">
        <v>50</v>
      </c>
      <c r="W18" s="131"/>
      <c r="X18" s="131"/>
      <c r="Y18" s="131"/>
      <c r="Z18" s="131"/>
    </row>
    <row r="19" spans="1:26" ht="14">
      <c r="A19" s="132" t="s">
        <v>55</v>
      </c>
      <c r="B19" s="133"/>
      <c r="C19" s="135">
        <v>0</v>
      </c>
      <c r="D19" s="135">
        <f t="shared" ref="D19:V19" si="8">C19+D18</f>
        <v>0</v>
      </c>
      <c r="E19" s="135">
        <f t="shared" si="8"/>
        <v>0</v>
      </c>
      <c r="F19" s="135">
        <f t="shared" si="8"/>
        <v>0</v>
      </c>
      <c r="G19" s="135">
        <f t="shared" si="8"/>
        <v>0</v>
      </c>
      <c r="H19" s="135">
        <f t="shared" si="8"/>
        <v>50</v>
      </c>
      <c r="I19" s="135">
        <f t="shared" si="8"/>
        <v>100</v>
      </c>
      <c r="J19" s="135">
        <f t="shared" si="8"/>
        <v>150</v>
      </c>
      <c r="K19" s="135">
        <f t="shared" si="8"/>
        <v>200</v>
      </c>
      <c r="L19" s="135">
        <f t="shared" si="8"/>
        <v>250</v>
      </c>
      <c r="M19" s="135">
        <f t="shared" si="8"/>
        <v>300</v>
      </c>
      <c r="N19" s="135">
        <f t="shared" si="8"/>
        <v>350</v>
      </c>
      <c r="O19" s="135">
        <f t="shared" si="8"/>
        <v>400</v>
      </c>
      <c r="P19" s="135">
        <f t="shared" si="8"/>
        <v>450</v>
      </c>
      <c r="Q19" s="135">
        <f t="shared" si="8"/>
        <v>500</v>
      </c>
      <c r="R19" s="135">
        <f t="shared" si="8"/>
        <v>550</v>
      </c>
      <c r="S19" s="135">
        <f t="shared" si="8"/>
        <v>600</v>
      </c>
      <c r="T19" s="135">
        <f t="shared" si="8"/>
        <v>650</v>
      </c>
      <c r="U19" s="135">
        <f t="shared" si="8"/>
        <v>700</v>
      </c>
      <c r="V19" s="135">
        <f t="shared" si="8"/>
        <v>750</v>
      </c>
      <c r="W19" s="136"/>
      <c r="X19" s="136"/>
      <c r="Y19" s="136"/>
      <c r="Z19" s="136"/>
    </row>
    <row r="20" spans="1:26" ht="14">
      <c r="A20" s="491"/>
      <c r="B20" s="128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4">
      <c r="A21" s="491" t="s">
        <v>254</v>
      </c>
      <c r="B21" s="144">
        <v>200</v>
      </c>
      <c r="C21" s="139">
        <f t="shared" ref="C21:G21" si="9">C18*$B$6</f>
        <v>0</v>
      </c>
      <c r="D21" s="139">
        <f t="shared" si="9"/>
        <v>0</v>
      </c>
      <c r="E21" s="139">
        <f t="shared" si="9"/>
        <v>0</v>
      </c>
      <c r="F21" s="139">
        <f t="shared" si="9"/>
        <v>0</v>
      </c>
      <c r="G21" s="139">
        <f t="shared" si="9"/>
        <v>0</v>
      </c>
      <c r="H21" s="139">
        <f t="shared" ref="H21:V21" si="10">H19*$B$21</f>
        <v>10000</v>
      </c>
      <c r="I21" s="139">
        <f t="shared" si="10"/>
        <v>20000</v>
      </c>
      <c r="J21" s="139">
        <f t="shared" si="10"/>
        <v>30000</v>
      </c>
      <c r="K21" s="139">
        <f t="shared" si="10"/>
        <v>40000</v>
      </c>
      <c r="L21" s="139">
        <f t="shared" si="10"/>
        <v>50000</v>
      </c>
      <c r="M21" s="139">
        <f t="shared" si="10"/>
        <v>60000</v>
      </c>
      <c r="N21" s="139">
        <f t="shared" si="10"/>
        <v>70000</v>
      </c>
      <c r="O21" s="139">
        <f t="shared" si="10"/>
        <v>80000</v>
      </c>
      <c r="P21" s="139">
        <f t="shared" si="10"/>
        <v>90000</v>
      </c>
      <c r="Q21" s="139">
        <f t="shared" si="10"/>
        <v>100000</v>
      </c>
      <c r="R21" s="139">
        <f t="shared" si="10"/>
        <v>110000</v>
      </c>
      <c r="S21" s="139">
        <f t="shared" si="10"/>
        <v>120000</v>
      </c>
      <c r="T21" s="139">
        <f t="shared" si="10"/>
        <v>130000</v>
      </c>
      <c r="U21" s="139">
        <f t="shared" si="10"/>
        <v>140000</v>
      </c>
      <c r="V21" s="139">
        <f t="shared" si="10"/>
        <v>150000</v>
      </c>
      <c r="W21" s="139"/>
      <c r="X21" s="139"/>
      <c r="Y21" s="139"/>
      <c r="Z21" s="139"/>
    </row>
    <row r="22" spans="1:26" ht="14">
      <c r="B22" s="152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</row>
    <row r="23" spans="1:26" ht="18" customHeight="1">
      <c r="A23" s="493" t="s">
        <v>252</v>
      </c>
      <c r="B23" s="494"/>
      <c r="C23" s="493">
        <f t="shared" ref="C23:V23" si="11">SUM(C14:C21)</f>
        <v>36800</v>
      </c>
      <c r="D23" s="493">
        <f t="shared" si="11"/>
        <v>48300</v>
      </c>
      <c r="E23" s="493">
        <f t="shared" si="11"/>
        <v>9075</v>
      </c>
      <c r="F23" s="493">
        <f t="shared" si="11"/>
        <v>61575</v>
      </c>
      <c r="G23" s="493">
        <f t="shared" si="11"/>
        <v>63825</v>
      </c>
      <c r="H23" s="493">
        <f t="shared" si="11"/>
        <v>76175</v>
      </c>
      <c r="I23" s="493">
        <f t="shared" si="11"/>
        <v>88475</v>
      </c>
      <c r="J23" s="493">
        <f t="shared" si="11"/>
        <v>109215</v>
      </c>
      <c r="K23" s="493">
        <f t="shared" si="11"/>
        <v>122715</v>
      </c>
      <c r="L23" s="493">
        <f t="shared" si="11"/>
        <v>136215</v>
      </c>
      <c r="M23" s="493">
        <f t="shared" si="11"/>
        <v>149715</v>
      </c>
      <c r="N23" s="493">
        <f t="shared" si="11"/>
        <v>163215</v>
      </c>
      <c r="O23" s="493">
        <f t="shared" si="11"/>
        <v>176715</v>
      </c>
      <c r="P23" s="493">
        <f t="shared" si="11"/>
        <v>216465</v>
      </c>
      <c r="Q23" s="493">
        <f t="shared" si="11"/>
        <v>231090</v>
      </c>
      <c r="R23" s="493">
        <f t="shared" si="11"/>
        <v>246315</v>
      </c>
      <c r="S23" s="493">
        <f t="shared" si="11"/>
        <v>261540</v>
      </c>
      <c r="T23" s="493">
        <f t="shared" si="11"/>
        <v>276765</v>
      </c>
      <c r="U23" s="493">
        <f t="shared" si="11"/>
        <v>291990</v>
      </c>
      <c r="V23" s="493">
        <f t="shared" si="11"/>
        <v>307215</v>
      </c>
      <c r="W23" s="493"/>
      <c r="X23" s="493"/>
      <c r="Y23" s="493"/>
      <c r="Z23" s="493"/>
    </row>
    <row r="24" spans="1:26" ht="14">
      <c r="B24" s="152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</row>
    <row r="25" spans="1:26" ht="14">
      <c r="B25" s="152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 spans="1:26" ht="14">
      <c r="B26" s="152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 spans="1:26" ht="14">
      <c r="B27" s="152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</row>
    <row r="28" spans="1:26" ht="14">
      <c r="B28" s="152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</row>
    <row r="29" spans="1:26" ht="14">
      <c r="B29" s="152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 spans="1:26" ht="14">
      <c r="B30" s="152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 spans="1:26" ht="14">
      <c r="B31" s="152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 spans="1:26" ht="14">
      <c r="B32" s="152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 spans="2:21" ht="14">
      <c r="B33" s="152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</row>
    <row r="34" spans="2:21" ht="14">
      <c r="B34" s="152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</row>
    <row r="35" spans="2:21" ht="14">
      <c r="B35" s="152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</row>
    <row r="36" spans="2:21" ht="14">
      <c r="B36" s="152"/>
    </row>
    <row r="37" spans="2:21" ht="14">
      <c r="B37" s="152"/>
    </row>
    <row r="38" spans="2:21" ht="14">
      <c r="B38" s="152"/>
    </row>
    <row r="39" spans="2:21" ht="14">
      <c r="B39" s="152"/>
    </row>
    <row r="40" spans="2:21" ht="14">
      <c r="B40" s="152"/>
    </row>
    <row r="41" spans="2:21" ht="14">
      <c r="B41" s="152"/>
    </row>
    <row r="42" spans="2:21" ht="14">
      <c r="B42" s="152"/>
    </row>
    <row r="43" spans="2:21" ht="14">
      <c r="B43" s="152"/>
    </row>
    <row r="44" spans="2:21" ht="14">
      <c r="B44" s="152"/>
    </row>
    <row r="45" spans="2:21" ht="14">
      <c r="B45" s="152"/>
    </row>
    <row r="46" spans="2:21" ht="14">
      <c r="B46" s="152"/>
    </row>
    <row r="47" spans="2:21" ht="14">
      <c r="B47" s="152"/>
    </row>
    <row r="48" spans="2:21" ht="14">
      <c r="B48" s="152"/>
    </row>
    <row r="49" spans="2:2" ht="14">
      <c r="B49" s="152"/>
    </row>
    <row r="50" spans="2:2" ht="14">
      <c r="B50" s="152"/>
    </row>
    <row r="51" spans="2:2" ht="14">
      <c r="B51" s="152"/>
    </row>
    <row r="52" spans="2:2" ht="14">
      <c r="B52" s="152"/>
    </row>
    <row r="53" spans="2:2" ht="14">
      <c r="B53" s="152"/>
    </row>
    <row r="54" spans="2:2" ht="14">
      <c r="B54" s="152"/>
    </row>
    <row r="55" spans="2:2" ht="14">
      <c r="B55" s="152"/>
    </row>
    <row r="56" spans="2:2" ht="14">
      <c r="B56" s="152"/>
    </row>
    <row r="57" spans="2:2" ht="14">
      <c r="B57" s="152"/>
    </row>
    <row r="58" spans="2:2" ht="14">
      <c r="B58" s="152"/>
    </row>
    <row r="59" spans="2:2" ht="14">
      <c r="B59" s="152"/>
    </row>
    <row r="60" spans="2:2" ht="14">
      <c r="B60" s="152"/>
    </row>
    <row r="61" spans="2:2" ht="14">
      <c r="B61" s="152"/>
    </row>
    <row r="62" spans="2:2" ht="14">
      <c r="B62" s="152"/>
    </row>
    <row r="63" spans="2:2" ht="14">
      <c r="B63" s="152"/>
    </row>
    <row r="64" spans="2:2" ht="14">
      <c r="B64" s="152"/>
    </row>
    <row r="65" spans="2:2" ht="14">
      <c r="B65" s="152"/>
    </row>
    <row r="66" spans="2:2" ht="14">
      <c r="B66" s="152"/>
    </row>
    <row r="67" spans="2:2" ht="14">
      <c r="B67" s="152"/>
    </row>
    <row r="68" spans="2:2" ht="14">
      <c r="B68" s="152"/>
    </row>
    <row r="69" spans="2:2" ht="14">
      <c r="B69" s="152"/>
    </row>
    <row r="70" spans="2:2" ht="14">
      <c r="B70" s="152"/>
    </row>
    <row r="71" spans="2:2" ht="14">
      <c r="B71" s="152"/>
    </row>
    <row r="72" spans="2:2" ht="14">
      <c r="B72" s="152"/>
    </row>
    <row r="73" spans="2:2" ht="14">
      <c r="B73" s="152"/>
    </row>
    <row r="74" spans="2:2" ht="14">
      <c r="B74" s="152"/>
    </row>
    <row r="75" spans="2:2" ht="14">
      <c r="B75" s="152"/>
    </row>
    <row r="76" spans="2:2" ht="14">
      <c r="B76" s="152"/>
    </row>
    <row r="77" spans="2:2" ht="14">
      <c r="B77" s="152"/>
    </row>
    <row r="78" spans="2:2" ht="14">
      <c r="B78" s="152"/>
    </row>
    <row r="79" spans="2:2" ht="14">
      <c r="B79" s="152"/>
    </row>
    <row r="80" spans="2:2" ht="14">
      <c r="B80" s="152"/>
    </row>
    <row r="81" spans="2:2" ht="14">
      <c r="B81" s="152"/>
    </row>
    <row r="82" spans="2:2" ht="14">
      <c r="B82" s="152"/>
    </row>
    <row r="83" spans="2:2" ht="14">
      <c r="B83" s="152"/>
    </row>
    <row r="84" spans="2:2" ht="14">
      <c r="B84" s="152"/>
    </row>
    <row r="85" spans="2:2" ht="14">
      <c r="B85" s="152"/>
    </row>
    <row r="86" spans="2:2" ht="14">
      <c r="B86" s="152"/>
    </row>
    <row r="87" spans="2:2" ht="14">
      <c r="B87" s="152"/>
    </row>
    <row r="88" spans="2:2" ht="14">
      <c r="B88" s="152"/>
    </row>
    <row r="89" spans="2:2" ht="14">
      <c r="B89" s="152"/>
    </row>
    <row r="90" spans="2:2" ht="14">
      <c r="B90" s="152"/>
    </row>
    <row r="91" spans="2:2" ht="14">
      <c r="B91" s="152"/>
    </row>
    <row r="92" spans="2:2" ht="14">
      <c r="B92" s="152"/>
    </row>
    <row r="93" spans="2:2" ht="14">
      <c r="B93" s="152"/>
    </row>
    <row r="94" spans="2:2" ht="14">
      <c r="B94" s="152"/>
    </row>
    <row r="95" spans="2:2" ht="14">
      <c r="B95" s="152"/>
    </row>
    <row r="96" spans="2:2" ht="14">
      <c r="B96" s="152"/>
    </row>
    <row r="97" spans="2:2" ht="14">
      <c r="B97" s="152"/>
    </row>
    <row r="98" spans="2:2" ht="14">
      <c r="B98" s="152"/>
    </row>
    <row r="99" spans="2:2" ht="14">
      <c r="B99" s="152"/>
    </row>
    <row r="100" spans="2:2" ht="14">
      <c r="B100" s="152"/>
    </row>
    <row r="101" spans="2:2" ht="14">
      <c r="B101" s="152"/>
    </row>
    <row r="102" spans="2:2" ht="14">
      <c r="B102" s="152"/>
    </row>
    <row r="103" spans="2:2" ht="14">
      <c r="B103" s="152"/>
    </row>
    <row r="104" spans="2:2" ht="14">
      <c r="B104" s="152"/>
    </row>
    <row r="105" spans="2:2" ht="14">
      <c r="B105" s="152"/>
    </row>
    <row r="106" spans="2:2" ht="14">
      <c r="B106" s="152"/>
    </row>
    <row r="107" spans="2:2" ht="14">
      <c r="B107" s="152"/>
    </row>
    <row r="108" spans="2:2" ht="14">
      <c r="B108" s="152"/>
    </row>
    <row r="109" spans="2:2" ht="14">
      <c r="B109" s="152"/>
    </row>
    <row r="110" spans="2:2" ht="14">
      <c r="B110" s="152"/>
    </row>
    <row r="111" spans="2:2" ht="14">
      <c r="B111" s="152"/>
    </row>
    <row r="112" spans="2:2" ht="14">
      <c r="B112" s="152"/>
    </row>
    <row r="113" spans="2:2" ht="14">
      <c r="B113" s="152"/>
    </row>
    <row r="114" spans="2:2" ht="14">
      <c r="B114" s="152"/>
    </row>
    <row r="115" spans="2:2" ht="14">
      <c r="B115" s="152"/>
    </row>
    <row r="116" spans="2:2" ht="14">
      <c r="B116" s="152"/>
    </row>
    <row r="117" spans="2:2" ht="14">
      <c r="B117" s="152"/>
    </row>
    <row r="118" spans="2:2" ht="14">
      <c r="B118" s="152"/>
    </row>
    <row r="119" spans="2:2" ht="14">
      <c r="B119" s="152"/>
    </row>
    <row r="120" spans="2:2" ht="14">
      <c r="B120" s="152"/>
    </row>
    <row r="121" spans="2:2" ht="14">
      <c r="B121" s="152"/>
    </row>
    <row r="122" spans="2:2" ht="14">
      <c r="B122" s="152"/>
    </row>
    <row r="123" spans="2:2" ht="14">
      <c r="B123" s="152"/>
    </row>
    <row r="124" spans="2:2" ht="14">
      <c r="B124" s="152"/>
    </row>
    <row r="125" spans="2:2" ht="14">
      <c r="B125" s="152"/>
    </row>
    <row r="126" spans="2:2" ht="14">
      <c r="B126" s="152"/>
    </row>
    <row r="127" spans="2:2" ht="14">
      <c r="B127" s="152"/>
    </row>
    <row r="128" spans="2:2" ht="14">
      <c r="B128" s="152"/>
    </row>
    <row r="129" spans="2:2" ht="14">
      <c r="B129" s="152"/>
    </row>
    <row r="130" spans="2:2" ht="14">
      <c r="B130" s="152"/>
    </row>
    <row r="131" spans="2:2" ht="14">
      <c r="B131" s="152"/>
    </row>
    <row r="132" spans="2:2" ht="14">
      <c r="B132" s="152"/>
    </row>
    <row r="133" spans="2:2" ht="14">
      <c r="B133" s="152"/>
    </row>
    <row r="134" spans="2:2" ht="14">
      <c r="B134" s="152"/>
    </row>
    <row r="135" spans="2:2" ht="14">
      <c r="B135" s="152"/>
    </row>
    <row r="136" spans="2:2" ht="14">
      <c r="B136" s="152"/>
    </row>
    <row r="137" spans="2:2" ht="14">
      <c r="B137" s="152"/>
    </row>
    <row r="138" spans="2:2" ht="14">
      <c r="B138" s="152"/>
    </row>
    <row r="139" spans="2:2" ht="14">
      <c r="B139" s="152"/>
    </row>
    <row r="140" spans="2:2" ht="14">
      <c r="B140" s="152"/>
    </row>
    <row r="141" spans="2:2" ht="14">
      <c r="B141" s="152"/>
    </row>
    <row r="142" spans="2:2" ht="14">
      <c r="B142" s="152"/>
    </row>
    <row r="143" spans="2:2" ht="14">
      <c r="B143" s="152"/>
    </row>
    <row r="144" spans="2:2" ht="14">
      <c r="B144" s="152"/>
    </row>
    <row r="145" spans="2:2" ht="14">
      <c r="B145" s="152"/>
    </row>
    <row r="146" spans="2:2" ht="14">
      <c r="B146" s="152"/>
    </row>
    <row r="147" spans="2:2" ht="14">
      <c r="B147" s="152"/>
    </row>
    <row r="148" spans="2:2" ht="14">
      <c r="B148" s="152"/>
    </row>
    <row r="149" spans="2:2" ht="14">
      <c r="B149" s="152"/>
    </row>
    <row r="150" spans="2:2" ht="14">
      <c r="B150" s="152"/>
    </row>
    <row r="151" spans="2:2" ht="14">
      <c r="B151" s="152"/>
    </row>
    <row r="152" spans="2:2" ht="14">
      <c r="B152" s="152"/>
    </row>
    <row r="153" spans="2:2" ht="14">
      <c r="B153" s="152"/>
    </row>
    <row r="154" spans="2:2" ht="14">
      <c r="B154" s="152"/>
    </row>
    <row r="155" spans="2:2" ht="14">
      <c r="B155" s="152"/>
    </row>
    <row r="156" spans="2:2" ht="14">
      <c r="B156" s="152"/>
    </row>
    <row r="157" spans="2:2" ht="14">
      <c r="B157" s="152"/>
    </row>
    <row r="158" spans="2:2" ht="14">
      <c r="B158" s="152"/>
    </row>
    <row r="159" spans="2:2" ht="14">
      <c r="B159" s="152"/>
    </row>
    <row r="160" spans="2:2" ht="14">
      <c r="B160" s="152"/>
    </row>
    <row r="161" spans="2:2" ht="14">
      <c r="B161" s="152"/>
    </row>
    <row r="162" spans="2:2" ht="14">
      <c r="B162" s="152"/>
    </row>
    <row r="163" spans="2:2" ht="14">
      <c r="B163" s="152"/>
    </row>
    <row r="164" spans="2:2" ht="14">
      <c r="B164" s="152"/>
    </row>
    <row r="165" spans="2:2" ht="14">
      <c r="B165" s="152"/>
    </row>
    <row r="166" spans="2:2" ht="14">
      <c r="B166" s="152"/>
    </row>
    <row r="167" spans="2:2" ht="14">
      <c r="B167" s="152"/>
    </row>
    <row r="168" spans="2:2" ht="14">
      <c r="B168" s="152"/>
    </row>
    <row r="169" spans="2:2" ht="14">
      <c r="B169" s="152"/>
    </row>
    <row r="170" spans="2:2" ht="14">
      <c r="B170" s="152"/>
    </row>
    <row r="171" spans="2:2" ht="14">
      <c r="B171" s="152"/>
    </row>
    <row r="172" spans="2:2" ht="14">
      <c r="B172" s="152"/>
    </row>
    <row r="173" spans="2:2" ht="14">
      <c r="B173" s="152"/>
    </row>
    <row r="174" spans="2:2" ht="14">
      <c r="B174" s="152"/>
    </row>
    <row r="175" spans="2:2" ht="14">
      <c r="B175" s="152"/>
    </row>
    <row r="176" spans="2:2" ht="14">
      <c r="B176" s="152"/>
    </row>
    <row r="177" spans="2:2" ht="14">
      <c r="B177" s="152"/>
    </row>
    <row r="178" spans="2:2" ht="14">
      <c r="B178" s="152"/>
    </row>
    <row r="179" spans="2:2" ht="14">
      <c r="B179" s="152"/>
    </row>
    <row r="180" spans="2:2" ht="14">
      <c r="B180" s="152"/>
    </row>
    <row r="181" spans="2:2" ht="14">
      <c r="B181" s="152"/>
    </row>
    <row r="182" spans="2:2" ht="14">
      <c r="B182" s="152"/>
    </row>
    <row r="183" spans="2:2" ht="14">
      <c r="B183" s="152"/>
    </row>
    <row r="184" spans="2:2" ht="14">
      <c r="B184" s="152"/>
    </row>
    <row r="185" spans="2:2" ht="14">
      <c r="B185" s="152"/>
    </row>
    <row r="186" spans="2:2" ht="14">
      <c r="B186" s="152"/>
    </row>
    <row r="187" spans="2:2" ht="14">
      <c r="B187" s="152"/>
    </row>
    <row r="188" spans="2:2" ht="14">
      <c r="B188" s="152"/>
    </row>
    <row r="189" spans="2:2" ht="14">
      <c r="B189" s="152"/>
    </row>
    <row r="190" spans="2:2" ht="14">
      <c r="B190" s="152"/>
    </row>
    <row r="191" spans="2:2" ht="14">
      <c r="B191" s="152"/>
    </row>
    <row r="192" spans="2:2" ht="14">
      <c r="B192" s="152"/>
    </row>
    <row r="193" spans="2:2" ht="14">
      <c r="B193" s="152"/>
    </row>
    <row r="194" spans="2:2" ht="14">
      <c r="B194" s="152"/>
    </row>
    <row r="195" spans="2:2" ht="14">
      <c r="B195" s="152"/>
    </row>
    <row r="196" spans="2:2" ht="14">
      <c r="B196" s="152"/>
    </row>
    <row r="197" spans="2:2" ht="14">
      <c r="B197" s="152"/>
    </row>
    <row r="198" spans="2:2" ht="14">
      <c r="B198" s="152"/>
    </row>
    <row r="199" spans="2:2" ht="14">
      <c r="B199" s="152"/>
    </row>
    <row r="200" spans="2:2" ht="14">
      <c r="B200" s="152"/>
    </row>
    <row r="201" spans="2:2" ht="14">
      <c r="B201" s="152"/>
    </row>
    <row r="202" spans="2:2" ht="14">
      <c r="B202" s="152"/>
    </row>
    <row r="203" spans="2:2" ht="14">
      <c r="B203" s="152"/>
    </row>
    <row r="204" spans="2:2" ht="14">
      <c r="B204" s="152"/>
    </row>
    <row r="205" spans="2:2" ht="14">
      <c r="B205" s="152"/>
    </row>
    <row r="206" spans="2:2" ht="14">
      <c r="B206" s="152"/>
    </row>
    <row r="207" spans="2:2" ht="14">
      <c r="B207" s="152"/>
    </row>
    <row r="208" spans="2:2" ht="14">
      <c r="B208" s="152"/>
    </row>
    <row r="209" spans="2:2" ht="14">
      <c r="B209" s="152"/>
    </row>
    <row r="210" spans="2:2" ht="14">
      <c r="B210" s="152"/>
    </row>
    <row r="211" spans="2:2" ht="14">
      <c r="B211" s="152"/>
    </row>
    <row r="212" spans="2:2" ht="14">
      <c r="B212" s="152"/>
    </row>
    <row r="213" spans="2:2" ht="14">
      <c r="B213" s="152"/>
    </row>
    <row r="214" spans="2:2" ht="14">
      <c r="B214" s="152"/>
    </row>
    <row r="215" spans="2:2" ht="14">
      <c r="B215" s="152"/>
    </row>
    <row r="216" spans="2:2" ht="14">
      <c r="B216" s="152"/>
    </row>
    <row r="217" spans="2:2" ht="14">
      <c r="B217" s="152"/>
    </row>
    <row r="218" spans="2:2" ht="14">
      <c r="B218" s="152"/>
    </row>
    <row r="219" spans="2:2" ht="14">
      <c r="B219" s="152"/>
    </row>
    <row r="220" spans="2:2" ht="14">
      <c r="B220" s="152"/>
    </row>
    <row r="221" spans="2:2" ht="14">
      <c r="B221" s="152"/>
    </row>
    <row r="222" spans="2:2" ht="14">
      <c r="B222" s="152"/>
    </row>
    <row r="223" spans="2:2" ht="14">
      <c r="B223" s="152"/>
    </row>
    <row r="224" spans="2:2" ht="14">
      <c r="B224" s="152"/>
    </row>
    <row r="225" spans="2:2" ht="14">
      <c r="B225" s="152"/>
    </row>
    <row r="226" spans="2:2" ht="14">
      <c r="B226" s="152"/>
    </row>
    <row r="227" spans="2:2" ht="14">
      <c r="B227" s="152"/>
    </row>
    <row r="228" spans="2:2" ht="14">
      <c r="B228" s="152"/>
    </row>
    <row r="229" spans="2:2" ht="14">
      <c r="B229" s="152"/>
    </row>
    <row r="230" spans="2:2" ht="14">
      <c r="B230" s="152"/>
    </row>
    <row r="231" spans="2:2" ht="14">
      <c r="B231" s="152"/>
    </row>
    <row r="232" spans="2:2" ht="14">
      <c r="B232" s="152"/>
    </row>
    <row r="233" spans="2:2" ht="14">
      <c r="B233" s="152"/>
    </row>
    <row r="234" spans="2:2" ht="14">
      <c r="B234" s="152"/>
    </row>
    <row r="235" spans="2:2" ht="14">
      <c r="B235" s="152"/>
    </row>
    <row r="236" spans="2:2" ht="14">
      <c r="B236" s="152"/>
    </row>
    <row r="237" spans="2:2" ht="14">
      <c r="B237" s="152"/>
    </row>
    <row r="238" spans="2:2" ht="14">
      <c r="B238" s="152"/>
    </row>
    <row r="239" spans="2:2" ht="14">
      <c r="B239" s="152"/>
    </row>
    <row r="240" spans="2:2" ht="14">
      <c r="B240" s="152"/>
    </row>
    <row r="241" spans="2:2" ht="14">
      <c r="B241" s="152"/>
    </row>
    <row r="242" spans="2:2" ht="14">
      <c r="B242" s="152"/>
    </row>
    <row r="243" spans="2:2" ht="14">
      <c r="B243" s="152"/>
    </row>
    <row r="244" spans="2:2" ht="14">
      <c r="B244" s="152"/>
    </row>
    <row r="245" spans="2:2" ht="14">
      <c r="B245" s="152"/>
    </row>
    <row r="246" spans="2:2" ht="14">
      <c r="B246" s="152"/>
    </row>
    <row r="247" spans="2:2" ht="14">
      <c r="B247" s="152"/>
    </row>
    <row r="248" spans="2:2" ht="14">
      <c r="B248" s="152"/>
    </row>
    <row r="249" spans="2:2" ht="14">
      <c r="B249" s="152"/>
    </row>
    <row r="250" spans="2:2" ht="14">
      <c r="B250" s="152"/>
    </row>
    <row r="251" spans="2:2" ht="14">
      <c r="B251" s="152"/>
    </row>
    <row r="252" spans="2:2" ht="14">
      <c r="B252" s="152"/>
    </row>
    <row r="253" spans="2:2" ht="14">
      <c r="B253" s="152"/>
    </row>
    <row r="254" spans="2:2" ht="14">
      <c r="B254" s="152"/>
    </row>
    <row r="255" spans="2:2" ht="14">
      <c r="B255" s="152"/>
    </row>
    <row r="256" spans="2:2" ht="14">
      <c r="B256" s="152"/>
    </row>
    <row r="257" spans="2:2" ht="14">
      <c r="B257" s="152"/>
    </row>
    <row r="258" spans="2:2" ht="14">
      <c r="B258" s="152"/>
    </row>
    <row r="259" spans="2:2" ht="14">
      <c r="B259" s="152"/>
    </row>
    <row r="260" spans="2:2" ht="14">
      <c r="B260" s="152"/>
    </row>
    <row r="261" spans="2:2" ht="14">
      <c r="B261" s="152"/>
    </row>
    <row r="262" spans="2:2" ht="14">
      <c r="B262" s="152"/>
    </row>
    <row r="263" spans="2:2" ht="14">
      <c r="B263" s="152"/>
    </row>
    <row r="264" spans="2:2" ht="14">
      <c r="B264" s="152"/>
    </row>
    <row r="265" spans="2:2" ht="14">
      <c r="B265" s="152"/>
    </row>
    <row r="266" spans="2:2" ht="14">
      <c r="B266" s="152"/>
    </row>
    <row r="267" spans="2:2" ht="14">
      <c r="B267" s="152"/>
    </row>
    <row r="268" spans="2:2" ht="14">
      <c r="B268" s="152"/>
    </row>
    <row r="269" spans="2:2" ht="14">
      <c r="B269" s="152"/>
    </row>
    <row r="270" spans="2:2" ht="14">
      <c r="B270" s="152"/>
    </row>
    <row r="271" spans="2:2" ht="14">
      <c r="B271" s="152"/>
    </row>
    <row r="272" spans="2:2" ht="14">
      <c r="B272" s="152"/>
    </row>
    <row r="273" spans="2:2" ht="14">
      <c r="B273" s="152"/>
    </row>
    <row r="274" spans="2:2" ht="14">
      <c r="B274" s="152"/>
    </row>
    <row r="275" spans="2:2" ht="14">
      <c r="B275" s="152"/>
    </row>
    <row r="276" spans="2:2" ht="14">
      <c r="B276" s="152"/>
    </row>
    <row r="277" spans="2:2" ht="14">
      <c r="B277" s="152"/>
    </row>
    <row r="278" spans="2:2" ht="14">
      <c r="B278" s="152"/>
    </row>
    <row r="279" spans="2:2" ht="14">
      <c r="B279" s="152"/>
    </row>
    <row r="280" spans="2:2" ht="14">
      <c r="B280" s="152"/>
    </row>
    <row r="281" spans="2:2" ht="14">
      <c r="B281" s="152"/>
    </row>
    <row r="282" spans="2:2" ht="14">
      <c r="B282" s="152"/>
    </row>
    <row r="283" spans="2:2" ht="14">
      <c r="B283" s="152"/>
    </row>
    <row r="284" spans="2:2" ht="14">
      <c r="B284" s="152"/>
    </row>
    <row r="285" spans="2:2" ht="14">
      <c r="B285" s="152"/>
    </row>
    <row r="286" spans="2:2" ht="14">
      <c r="B286" s="152"/>
    </row>
    <row r="287" spans="2:2" ht="14">
      <c r="B287" s="152"/>
    </row>
    <row r="288" spans="2:2" ht="14">
      <c r="B288" s="152"/>
    </row>
    <row r="289" spans="2:2" ht="14">
      <c r="B289" s="152"/>
    </row>
    <row r="290" spans="2:2" ht="14">
      <c r="B290" s="152"/>
    </row>
    <row r="291" spans="2:2" ht="14">
      <c r="B291" s="152"/>
    </row>
    <row r="292" spans="2:2" ht="14">
      <c r="B292" s="152"/>
    </row>
    <row r="293" spans="2:2" ht="14">
      <c r="B293" s="152"/>
    </row>
    <row r="294" spans="2:2" ht="14">
      <c r="B294" s="152"/>
    </row>
    <row r="295" spans="2:2" ht="14">
      <c r="B295" s="152"/>
    </row>
    <row r="296" spans="2:2" ht="14">
      <c r="B296" s="152"/>
    </row>
    <row r="297" spans="2:2" ht="14">
      <c r="B297" s="152"/>
    </row>
    <row r="298" spans="2:2" ht="14">
      <c r="B298" s="152"/>
    </row>
    <row r="299" spans="2:2" ht="14">
      <c r="B299" s="152"/>
    </row>
    <row r="300" spans="2:2" ht="14">
      <c r="B300" s="152"/>
    </row>
    <row r="301" spans="2:2" ht="14">
      <c r="B301" s="152"/>
    </row>
    <row r="302" spans="2:2" ht="14">
      <c r="B302" s="152"/>
    </row>
    <row r="303" spans="2:2" ht="14">
      <c r="B303" s="152"/>
    </row>
    <row r="304" spans="2:2" ht="14">
      <c r="B304" s="152"/>
    </row>
    <row r="305" spans="2:2" ht="14">
      <c r="B305" s="152"/>
    </row>
    <row r="306" spans="2:2" ht="14">
      <c r="B306" s="152"/>
    </row>
    <row r="307" spans="2:2" ht="14">
      <c r="B307" s="152"/>
    </row>
    <row r="308" spans="2:2" ht="14">
      <c r="B308" s="152"/>
    </row>
    <row r="309" spans="2:2" ht="14">
      <c r="B309" s="152"/>
    </row>
    <row r="310" spans="2:2" ht="14">
      <c r="B310" s="152"/>
    </row>
    <row r="311" spans="2:2" ht="14">
      <c r="B311" s="152"/>
    </row>
    <row r="312" spans="2:2" ht="14">
      <c r="B312" s="152"/>
    </row>
    <row r="313" spans="2:2" ht="14">
      <c r="B313" s="152"/>
    </row>
    <row r="314" spans="2:2" ht="14">
      <c r="B314" s="152"/>
    </row>
    <row r="315" spans="2:2" ht="14">
      <c r="B315" s="152"/>
    </row>
    <row r="316" spans="2:2" ht="14">
      <c r="B316" s="152"/>
    </row>
    <row r="317" spans="2:2" ht="14">
      <c r="B317" s="152"/>
    </row>
    <row r="318" spans="2:2" ht="14">
      <c r="B318" s="152"/>
    </row>
    <row r="319" spans="2:2" ht="14">
      <c r="B319" s="152"/>
    </row>
    <row r="320" spans="2:2" ht="14">
      <c r="B320" s="152"/>
    </row>
    <row r="321" spans="2:2" ht="14">
      <c r="B321" s="152"/>
    </row>
    <row r="322" spans="2:2" ht="14">
      <c r="B322" s="152"/>
    </row>
    <row r="323" spans="2:2" ht="14">
      <c r="B323" s="152"/>
    </row>
    <row r="324" spans="2:2" ht="14">
      <c r="B324" s="152"/>
    </row>
    <row r="325" spans="2:2" ht="14">
      <c r="B325" s="152"/>
    </row>
    <row r="326" spans="2:2" ht="14">
      <c r="B326" s="152"/>
    </row>
    <row r="327" spans="2:2" ht="14">
      <c r="B327" s="152"/>
    </row>
    <row r="328" spans="2:2" ht="14">
      <c r="B328" s="152"/>
    </row>
    <row r="329" spans="2:2" ht="14">
      <c r="B329" s="152"/>
    </row>
    <row r="330" spans="2:2" ht="14">
      <c r="B330" s="152"/>
    </row>
    <row r="331" spans="2:2" ht="14">
      <c r="B331" s="152"/>
    </row>
    <row r="332" spans="2:2" ht="14">
      <c r="B332" s="152"/>
    </row>
    <row r="333" spans="2:2" ht="14">
      <c r="B333" s="152"/>
    </row>
    <row r="334" spans="2:2" ht="14">
      <c r="B334" s="152"/>
    </row>
    <row r="335" spans="2:2" ht="14">
      <c r="B335" s="152"/>
    </row>
    <row r="336" spans="2:2" ht="14">
      <c r="B336" s="152"/>
    </row>
    <row r="337" spans="2:2" ht="14">
      <c r="B337" s="152"/>
    </row>
    <row r="338" spans="2:2" ht="14">
      <c r="B338" s="152"/>
    </row>
    <row r="339" spans="2:2" ht="14">
      <c r="B339" s="152"/>
    </row>
    <row r="340" spans="2:2" ht="14">
      <c r="B340" s="152"/>
    </row>
    <row r="341" spans="2:2" ht="14">
      <c r="B341" s="152"/>
    </row>
    <row r="342" spans="2:2" ht="14">
      <c r="B342" s="152"/>
    </row>
    <row r="343" spans="2:2" ht="14">
      <c r="B343" s="152"/>
    </row>
    <row r="344" spans="2:2" ht="14">
      <c r="B344" s="152"/>
    </row>
    <row r="345" spans="2:2" ht="14">
      <c r="B345" s="152"/>
    </row>
    <row r="346" spans="2:2" ht="14">
      <c r="B346" s="152"/>
    </row>
    <row r="347" spans="2:2" ht="14">
      <c r="B347" s="152"/>
    </row>
    <row r="348" spans="2:2" ht="14">
      <c r="B348" s="152"/>
    </row>
    <row r="349" spans="2:2" ht="14">
      <c r="B349" s="152"/>
    </row>
    <row r="350" spans="2:2" ht="14">
      <c r="B350" s="152"/>
    </row>
    <row r="351" spans="2:2" ht="14">
      <c r="B351" s="152"/>
    </row>
    <row r="352" spans="2:2" ht="14">
      <c r="B352" s="152"/>
    </row>
    <row r="353" spans="2:2" ht="14">
      <c r="B353" s="152"/>
    </row>
    <row r="354" spans="2:2" ht="14">
      <c r="B354" s="152"/>
    </row>
    <row r="355" spans="2:2" ht="14">
      <c r="B355" s="152"/>
    </row>
    <row r="356" spans="2:2" ht="14">
      <c r="B356" s="152"/>
    </row>
    <row r="357" spans="2:2" ht="14">
      <c r="B357" s="152"/>
    </row>
    <row r="358" spans="2:2" ht="14">
      <c r="B358" s="152"/>
    </row>
    <row r="359" spans="2:2" ht="14">
      <c r="B359" s="152"/>
    </row>
    <row r="360" spans="2:2" ht="14">
      <c r="B360" s="152"/>
    </row>
    <row r="361" spans="2:2" ht="14">
      <c r="B361" s="152"/>
    </row>
    <row r="362" spans="2:2" ht="14">
      <c r="B362" s="152"/>
    </row>
    <row r="363" spans="2:2" ht="14">
      <c r="B363" s="152"/>
    </row>
    <row r="364" spans="2:2" ht="14">
      <c r="B364" s="152"/>
    </row>
    <row r="365" spans="2:2" ht="14">
      <c r="B365" s="152"/>
    </row>
    <row r="366" spans="2:2" ht="14">
      <c r="B366" s="152"/>
    </row>
    <row r="367" spans="2:2" ht="14">
      <c r="B367" s="152"/>
    </row>
    <row r="368" spans="2:2" ht="14">
      <c r="B368" s="152"/>
    </row>
    <row r="369" spans="2:2" ht="14">
      <c r="B369" s="152"/>
    </row>
    <row r="370" spans="2:2" ht="14">
      <c r="B370" s="152"/>
    </row>
    <row r="371" spans="2:2" ht="14">
      <c r="B371" s="152"/>
    </row>
    <row r="372" spans="2:2" ht="14">
      <c r="B372" s="152"/>
    </row>
    <row r="373" spans="2:2" ht="14">
      <c r="B373" s="152"/>
    </row>
    <row r="374" spans="2:2" ht="14">
      <c r="B374" s="152"/>
    </row>
    <row r="375" spans="2:2" ht="14">
      <c r="B375" s="152"/>
    </row>
    <row r="376" spans="2:2" ht="14">
      <c r="B376" s="152"/>
    </row>
    <row r="377" spans="2:2" ht="14">
      <c r="B377" s="152"/>
    </row>
    <row r="378" spans="2:2" ht="14">
      <c r="B378" s="152"/>
    </row>
    <row r="379" spans="2:2" ht="14">
      <c r="B379" s="152"/>
    </row>
    <row r="380" spans="2:2" ht="14">
      <c r="B380" s="152"/>
    </row>
    <row r="381" spans="2:2" ht="14">
      <c r="B381" s="152"/>
    </row>
    <row r="382" spans="2:2" ht="14">
      <c r="B382" s="152"/>
    </row>
    <row r="383" spans="2:2" ht="14">
      <c r="B383" s="152"/>
    </row>
    <row r="384" spans="2:2" ht="14">
      <c r="B384" s="152"/>
    </row>
    <row r="385" spans="2:2" ht="14">
      <c r="B385" s="152"/>
    </row>
    <row r="386" spans="2:2" ht="14">
      <c r="B386" s="152"/>
    </row>
    <row r="387" spans="2:2" ht="14">
      <c r="B387" s="152"/>
    </row>
    <row r="388" spans="2:2" ht="14">
      <c r="B388" s="152"/>
    </row>
    <row r="389" spans="2:2" ht="14">
      <c r="B389" s="152"/>
    </row>
    <row r="390" spans="2:2" ht="14">
      <c r="B390" s="152"/>
    </row>
    <row r="391" spans="2:2" ht="14">
      <c r="B391" s="152"/>
    </row>
    <row r="392" spans="2:2" ht="14">
      <c r="B392" s="152"/>
    </row>
    <row r="393" spans="2:2" ht="14">
      <c r="B393" s="152"/>
    </row>
    <row r="394" spans="2:2" ht="14">
      <c r="B394" s="152"/>
    </row>
    <row r="395" spans="2:2" ht="14">
      <c r="B395" s="152"/>
    </row>
    <row r="396" spans="2:2" ht="14">
      <c r="B396" s="152"/>
    </row>
    <row r="397" spans="2:2" ht="14">
      <c r="B397" s="152"/>
    </row>
    <row r="398" spans="2:2" ht="14">
      <c r="B398" s="152"/>
    </row>
    <row r="399" spans="2:2" ht="14">
      <c r="B399" s="152"/>
    </row>
    <row r="400" spans="2:2" ht="14">
      <c r="B400" s="152"/>
    </row>
    <row r="401" spans="2:2" ht="14">
      <c r="B401" s="152"/>
    </row>
    <row r="402" spans="2:2" ht="14">
      <c r="B402" s="152"/>
    </row>
    <row r="403" spans="2:2" ht="14">
      <c r="B403" s="152"/>
    </row>
    <row r="404" spans="2:2" ht="14">
      <c r="B404" s="152"/>
    </row>
    <row r="405" spans="2:2" ht="14">
      <c r="B405" s="152"/>
    </row>
    <row r="406" spans="2:2" ht="14">
      <c r="B406" s="152"/>
    </row>
    <row r="407" spans="2:2" ht="14">
      <c r="B407" s="152"/>
    </row>
    <row r="408" spans="2:2" ht="14">
      <c r="B408" s="152"/>
    </row>
    <row r="409" spans="2:2" ht="14">
      <c r="B409" s="152"/>
    </row>
    <row r="410" spans="2:2" ht="14">
      <c r="B410" s="152"/>
    </row>
    <row r="411" spans="2:2" ht="14">
      <c r="B411" s="152"/>
    </row>
    <row r="412" spans="2:2" ht="14">
      <c r="B412" s="152"/>
    </row>
    <row r="413" spans="2:2" ht="14">
      <c r="B413" s="152"/>
    </row>
    <row r="414" spans="2:2" ht="14">
      <c r="B414" s="152"/>
    </row>
    <row r="415" spans="2:2" ht="14">
      <c r="B415" s="152"/>
    </row>
    <row r="416" spans="2:2" ht="14">
      <c r="B416" s="152"/>
    </row>
    <row r="417" spans="2:2" ht="14">
      <c r="B417" s="152"/>
    </row>
    <row r="418" spans="2:2" ht="14">
      <c r="B418" s="152"/>
    </row>
    <row r="419" spans="2:2" ht="14">
      <c r="B419" s="152"/>
    </row>
    <row r="420" spans="2:2" ht="14">
      <c r="B420" s="152"/>
    </row>
    <row r="421" spans="2:2" ht="14">
      <c r="B421" s="152"/>
    </row>
    <row r="422" spans="2:2" ht="14">
      <c r="B422" s="152"/>
    </row>
    <row r="423" spans="2:2" ht="14">
      <c r="B423" s="152"/>
    </row>
    <row r="424" spans="2:2" ht="14">
      <c r="B424" s="152"/>
    </row>
    <row r="425" spans="2:2" ht="14">
      <c r="B425" s="152"/>
    </row>
    <row r="426" spans="2:2" ht="14">
      <c r="B426" s="152"/>
    </row>
    <row r="427" spans="2:2" ht="14">
      <c r="B427" s="152"/>
    </row>
    <row r="428" spans="2:2" ht="14">
      <c r="B428" s="152"/>
    </row>
    <row r="429" spans="2:2" ht="14">
      <c r="B429" s="152"/>
    </row>
    <row r="430" spans="2:2" ht="14">
      <c r="B430" s="152"/>
    </row>
    <row r="431" spans="2:2" ht="14">
      <c r="B431" s="152"/>
    </row>
    <row r="432" spans="2:2" ht="14">
      <c r="B432" s="152"/>
    </row>
    <row r="433" spans="2:2" ht="14">
      <c r="B433" s="152"/>
    </row>
    <row r="434" spans="2:2" ht="14">
      <c r="B434" s="152"/>
    </row>
    <row r="435" spans="2:2" ht="14">
      <c r="B435" s="152"/>
    </row>
    <row r="436" spans="2:2" ht="14">
      <c r="B436" s="152"/>
    </row>
    <row r="437" spans="2:2" ht="14">
      <c r="B437" s="152"/>
    </row>
    <row r="438" spans="2:2" ht="14">
      <c r="B438" s="152"/>
    </row>
    <row r="439" spans="2:2" ht="14">
      <c r="B439" s="152"/>
    </row>
    <row r="440" spans="2:2" ht="14">
      <c r="B440" s="152"/>
    </row>
    <row r="441" spans="2:2" ht="14">
      <c r="B441" s="152"/>
    </row>
    <row r="442" spans="2:2" ht="14">
      <c r="B442" s="152"/>
    </row>
    <row r="443" spans="2:2" ht="14">
      <c r="B443" s="152"/>
    </row>
    <row r="444" spans="2:2" ht="14">
      <c r="B444" s="152"/>
    </row>
    <row r="445" spans="2:2" ht="14">
      <c r="B445" s="152"/>
    </row>
    <row r="446" spans="2:2" ht="14">
      <c r="B446" s="152"/>
    </row>
    <row r="447" spans="2:2" ht="14">
      <c r="B447" s="152"/>
    </row>
    <row r="448" spans="2:2" ht="14">
      <c r="B448" s="152"/>
    </row>
    <row r="449" spans="2:2" ht="14">
      <c r="B449" s="152"/>
    </row>
    <row r="450" spans="2:2" ht="14">
      <c r="B450" s="152"/>
    </row>
    <row r="451" spans="2:2" ht="14">
      <c r="B451" s="152"/>
    </row>
    <row r="452" spans="2:2" ht="14">
      <c r="B452" s="152"/>
    </row>
    <row r="453" spans="2:2" ht="14">
      <c r="B453" s="152"/>
    </row>
    <row r="454" spans="2:2" ht="14">
      <c r="B454" s="152"/>
    </row>
    <row r="455" spans="2:2" ht="14">
      <c r="B455" s="152"/>
    </row>
    <row r="456" spans="2:2" ht="14">
      <c r="B456" s="152"/>
    </row>
    <row r="457" spans="2:2" ht="14">
      <c r="B457" s="152"/>
    </row>
    <row r="458" spans="2:2" ht="14">
      <c r="B458" s="152"/>
    </row>
    <row r="459" spans="2:2" ht="14">
      <c r="B459" s="152"/>
    </row>
    <row r="460" spans="2:2" ht="14">
      <c r="B460" s="152"/>
    </row>
    <row r="461" spans="2:2" ht="14">
      <c r="B461" s="152"/>
    </row>
    <row r="462" spans="2:2" ht="14">
      <c r="B462" s="152"/>
    </row>
    <row r="463" spans="2:2" ht="14">
      <c r="B463" s="152"/>
    </row>
    <row r="464" spans="2:2" ht="14">
      <c r="B464" s="152"/>
    </row>
    <row r="465" spans="2:2" ht="14">
      <c r="B465" s="152"/>
    </row>
    <row r="466" spans="2:2" ht="14">
      <c r="B466" s="152"/>
    </row>
    <row r="467" spans="2:2" ht="14">
      <c r="B467" s="152"/>
    </row>
    <row r="468" spans="2:2" ht="14">
      <c r="B468" s="152"/>
    </row>
    <row r="469" spans="2:2" ht="14">
      <c r="B469" s="152"/>
    </row>
    <row r="470" spans="2:2" ht="14">
      <c r="B470" s="152"/>
    </row>
    <row r="471" spans="2:2" ht="14">
      <c r="B471" s="152"/>
    </row>
    <row r="472" spans="2:2" ht="14">
      <c r="B472" s="152"/>
    </row>
    <row r="473" spans="2:2" ht="14">
      <c r="B473" s="152"/>
    </row>
    <row r="474" spans="2:2" ht="14">
      <c r="B474" s="152"/>
    </row>
    <row r="475" spans="2:2" ht="14">
      <c r="B475" s="152"/>
    </row>
    <row r="476" spans="2:2" ht="14">
      <c r="B476" s="152"/>
    </row>
    <row r="477" spans="2:2" ht="14">
      <c r="B477" s="152"/>
    </row>
    <row r="478" spans="2:2" ht="14">
      <c r="B478" s="152"/>
    </row>
    <row r="479" spans="2:2" ht="14">
      <c r="B479" s="152"/>
    </row>
    <row r="480" spans="2:2" ht="14">
      <c r="B480" s="152"/>
    </row>
    <row r="481" spans="2:2" ht="14">
      <c r="B481" s="152"/>
    </row>
    <row r="482" spans="2:2" ht="14">
      <c r="B482" s="152"/>
    </row>
    <row r="483" spans="2:2" ht="14">
      <c r="B483" s="152"/>
    </row>
    <row r="484" spans="2:2" ht="14">
      <c r="B484" s="152"/>
    </row>
    <row r="485" spans="2:2" ht="14">
      <c r="B485" s="152"/>
    </row>
    <row r="486" spans="2:2" ht="14">
      <c r="B486" s="152"/>
    </row>
    <row r="487" spans="2:2" ht="14">
      <c r="B487" s="152"/>
    </row>
    <row r="488" spans="2:2" ht="14">
      <c r="B488" s="152"/>
    </row>
    <row r="489" spans="2:2" ht="14">
      <c r="B489" s="152"/>
    </row>
    <row r="490" spans="2:2" ht="14">
      <c r="B490" s="152"/>
    </row>
    <row r="491" spans="2:2" ht="14">
      <c r="B491" s="152"/>
    </row>
    <row r="492" spans="2:2" ht="14">
      <c r="B492" s="152"/>
    </row>
    <row r="493" spans="2:2" ht="14">
      <c r="B493" s="152"/>
    </row>
    <row r="494" spans="2:2" ht="14">
      <c r="B494" s="152"/>
    </row>
    <row r="495" spans="2:2" ht="14">
      <c r="B495" s="152"/>
    </row>
    <row r="496" spans="2:2" ht="14">
      <c r="B496" s="152"/>
    </row>
    <row r="497" spans="2:2" ht="14">
      <c r="B497" s="152"/>
    </row>
    <row r="498" spans="2:2" ht="14">
      <c r="B498" s="152"/>
    </row>
    <row r="499" spans="2:2" ht="14">
      <c r="B499" s="152"/>
    </row>
    <row r="500" spans="2:2" ht="14">
      <c r="B500" s="152"/>
    </row>
    <row r="501" spans="2:2" ht="14">
      <c r="B501" s="152"/>
    </row>
    <row r="502" spans="2:2" ht="14">
      <c r="B502" s="152"/>
    </row>
    <row r="503" spans="2:2" ht="14">
      <c r="B503" s="152"/>
    </row>
    <row r="504" spans="2:2" ht="14">
      <c r="B504" s="152"/>
    </row>
    <row r="505" spans="2:2" ht="14">
      <c r="B505" s="152"/>
    </row>
    <row r="506" spans="2:2" ht="14">
      <c r="B506" s="152"/>
    </row>
    <row r="507" spans="2:2" ht="14">
      <c r="B507" s="152"/>
    </row>
    <row r="508" spans="2:2" ht="14">
      <c r="B508" s="152"/>
    </row>
    <row r="509" spans="2:2" ht="14">
      <c r="B509" s="152"/>
    </row>
    <row r="510" spans="2:2" ht="14">
      <c r="B510" s="152"/>
    </row>
    <row r="511" spans="2:2" ht="14">
      <c r="B511" s="152"/>
    </row>
    <row r="512" spans="2:2" ht="14">
      <c r="B512" s="152"/>
    </row>
    <row r="513" spans="2:2" ht="14">
      <c r="B513" s="152"/>
    </row>
    <row r="514" spans="2:2" ht="14">
      <c r="B514" s="152"/>
    </row>
    <row r="515" spans="2:2" ht="14">
      <c r="B515" s="152"/>
    </row>
    <row r="516" spans="2:2" ht="14">
      <c r="B516" s="152"/>
    </row>
    <row r="517" spans="2:2" ht="14">
      <c r="B517" s="152"/>
    </row>
    <row r="518" spans="2:2" ht="14">
      <c r="B518" s="152"/>
    </row>
    <row r="519" spans="2:2" ht="14">
      <c r="B519" s="152"/>
    </row>
    <row r="520" spans="2:2" ht="14">
      <c r="B520" s="152"/>
    </row>
    <row r="521" spans="2:2" ht="14">
      <c r="B521" s="152"/>
    </row>
    <row r="522" spans="2:2" ht="14">
      <c r="B522" s="152"/>
    </row>
    <row r="523" spans="2:2" ht="14">
      <c r="B523" s="152"/>
    </row>
    <row r="524" spans="2:2" ht="14">
      <c r="B524" s="152"/>
    </row>
    <row r="525" spans="2:2" ht="14">
      <c r="B525" s="152"/>
    </row>
    <row r="526" spans="2:2" ht="14">
      <c r="B526" s="152"/>
    </row>
    <row r="527" spans="2:2" ht="14">
      <c r="B527" s="152"/>
    </row>
    <row r="528" spans="2:2" ht="14">
      <c r="B528" s="152"/>
    </row>
    <row r="529" spans="2:2" ht="14">
      <c r="B529" s="152"/>
    </row>
    <row r="530" spans="2:2" ht="14">
      <c r="B530" s="152"/>
    </row>
    <row r="531" spans="2:2" ht="14">
      <c r="B531" s="152"/>
    </row>
    <row r="532" spans="2:2" ht="14">
      <c r="B532" s="152"/>
    </row>
    <row r="533" spans="2:2" ht="14">
      <c r="B533" s="152"/>
    </row>
    <row r="534" spans="2:2" ht="14">
      <c r="B534" s="152"/>
    </row>
    <row r="535" spans="2:2" ht="14">
      <c r="B535" s="152"/>
    </row>
    <row r="536" spans="2:2" ht="14">
      <c r="B536" s="152"/>
    </row>
    <row r="537" spans="2:2" ht="14">
      <c r="B537" s="152"/>
    </row>
    <row r="538" spans="2:2" ht="14">
      <c r="B538" s="152"/>
    </row>
    <row r="539" spans="2:2" ht="14">
      <c r="B539" s="152"/>
    </row>
    <row r="540" spans="2:2" ht="14">
      <c r="B540" s="152"/>
    </row>
    <row r="541" spans="2:2" ht="14">
      <c r="B541" s="152"/>
    </row>
    <row r="542" spans="2:2" ht="14">
      <c r="B542" s="152"/>
    </row>
    <row r="543" spans="2:2" ht="14">
      <c r="B543" s="152"/>
    </row>
    <row r="544" spans="2:2" ht="14">
      <c r="B544" s="152"/>
    </row>
    <row r="545" spans="2:2" ht="14">
      <c r="B545" s="152"/>
    </row>
    <row r="546" spans="2:2" ht="14">
      <c r="B546" s="152"/>
    </row>
    <row r="547" spans="2:2" ht="14">
      <c r="B547" s="152"/>
    </row>
    <row r="548" spans="2:2" ht="14">
      <c r="B548" s="152"/>
    </row>
    <row r="549" spans="2:2" ht="14">
      <c r="B549" s="152"/>
    </row>
    <row r="550" spans="2:2" ht="14">
      <c r="B550" s="152"/>
    </row>
    <row r="551" spans="2:2" ht="14">
      <c r="B551" s="152"/>
    </row>
    <row r="552" spans="2:2" ht="14">
      <c r="B552" s="152"/>
    </row>
    <row r="553" spans="2:2" ht="14">
      <c r="B553" s="152"/>
    </row>
    <row r="554" spans="2:2" ht="14">
      <c r="B554" s="152"/>
    </row>
    <row r="555" spans="2:2" ht="14">
      <c r="B555" s="152"/>
    </row>
    <row r="556" spans="2:2" ht="14">
      <c r="B556" s="152"/>
    </row>
    <row r="557" spans="2:2" ht="14">
      <c r="B557" s="152"/>
    </row>
    <row r="558" spans="2:2" ht="14">
      <c r="B558" s="152"/>
    </row>
    <row r="559" spans="2:2" ht="14">
      <c r="B559" s="152"/>
    </row>
    <row r="560" spans="2:2" ht="14">
      <c r="B560" s="152"/>
    </row>
    <row r="561" spans="2:2" ht="14">
      <c r="B561" s="152"/>
    </row>
    <row r="562" spans="2:2" ht="14">
      <c r="B562" s="152"/>
    </row>
    <row r="563" spans="2:2" ht="14">
      <c r="B563" s="152"/>
    </row>
    <row r="564" spans="2:2" ht="14">
      <c r="B564" s="152"/>
    </row>
    <row r="565" spans="2:2" ht="14">
      <c r="B565" s="152"/>
    </row>
    <row r="566" spans="2:2" ht="14">
      <c r="B566" s="152"/>
    </row>
    <row r="567" spans="2:2" ht="14">
      <c r="B567" s="152"/>
    </row>
    <row r="568" spans="2:2" ht="14">
      <c r="B568" s="152"/>
    </row>
    <row r="569" spans="2:2" ht="14">
      <c r="B569" s="152"/>
    </row>
    <row r="570" spans="2:2" ht="14">
      <c r="B570" s="152"/>
    </row>
    <row r="571" spans="2:2" ht="14">
      <c r="B571" s="152"/>
    </row>
    <row r="572" spans="2:2" ht="14">
      <c r="B572" s="152"/>
    </row>
    <row r="573" spans="2:2" ht="14">
      <c r="B573" s="152"/>
    </row>
    <row r="574" spans="2:2" ht="14">
      <c r="B574" s="152"/>
    </row>
    <row r="575" spans="2:2" ht="14">
      <c r="B575" s="152"/>
    </row>
    <row r="576" spans="2:2" ht="14">
      <c r="B576" s="152"/>
    </row>
    <row r="577" spans="2:2" ht="14">
      <c r="B577" s="152"/>
    </row>
    <row r="578" spans="2:2" ht="14">
      <c r="B578" s="152"/>
    </row>
    <row r="579" spans="2:2" ht="14">
      <c r="B579" s="152"/>
    </row>
    <row r="580" spans="2:2" ht="14">
      <c r="B580" s="152"/>
    </row>
    <row r="581" spans="2:2" ht="14">
      <c r="B581" s="152"/>
    </row>
    <row r="582" spans="2:2" ht="14">
      <c r="B582" s="152"/>
    </row>
    <row r="583" spans="2:2" ht="14">
      <c r="B583" s="152"/>
    </row>
    <row r="584" spans="2:2" ht="14">
      <c r="B584" s="152"/>
    </row>
    <row r="585" spans="2:2" ht="14">
      <c r="B585" s="152"/>
    </row>
    <row r="586" spans="2:2" ht="14">
      <c r="B586" s="152"/>
    </row>
    <row r="587" spans="2:2" ht="14">
      <c r="B587" s="152"/>
    </row>
    <row r="588" spans="2:2" ht="14">
      <c r="B588" s="152"/>
    </row>
    <row r="589" spans="2:2" ht="14">
      <c r="B589" s="152"/>
    </row>
    <row r="590" spans="2:2" ht="14">
      <c r="B590" s="152"/>
    </row>
    <row r="591" spans="2:2" ht="14">
      <c r="B591" s="152"/>
    </row>
    <row r="592" spans="2:2" ht="14">
      <c r="B592" s="152"/>
    </row>
    <row r="593" spans="2:2" ht="14">
      <c r="B593" s="152"/>
    </row>
    <row r="594" spans="2:2" ht="14">
      <c r="B594" s="152"/>
    </row>
    <row r="595" spans="2:2" ht="14">
      <c r="B595" s="152"/>
    </row>
    <row r="596" spans="2:2" ht="14">
      <c r="B596" s="152"/>
    </row>
    <row r="597" spans="2:2" ht="14">
      <c r="B597" s="152"/>
    </row>
    <row r="598" spans="2:2" ht="14">
      <c r="B598" s="152"/>
    </row>
    <row r="599" spans="2:2" ht="14">
      <c r="B599" s="152"/>
    </row>
    <row r="600" spans="2:2" ht="14">
      <c r="B600" s="152"/>
    </row>
    <row r="601" spans="2:2" ht="14">
      <c r="B601" s="152"/>
    </row>
    <row r="602" spans="2:2" ht="14">
      <c r="B602" s="152"/>
    </row>
    <row r="603" spans="2:2" ht="14">
      <c r="B603" s="152"/>
    </row>
    <row r="604" spans="2:2" ht="14">
      <c r="B604" s="152"/>
    </row>
    <row r="605" spans="2:2" ht="14">
      <c r="B605" s="152"/>
    </row>
    <row r="606" spans="2:2" ht="14">
      <c r="B606" s="152"/>
    </row>
    <row r="607" spans="2:2" ht="14">
      <c r="B607" s="152"/>
    </row>
    <row r="608" spans="2:2" ht="14">
      <c r="B608" s="152"/>
    </row>
    <row r="609" spans="2:2" ht="14">
      <c r="B609" s="152"/>
    </row>
    <row r="610" spans="2:2" ht="14">
      <c r="B610" s="152"/>
    </row>
    <row r="611" spans="2:2" ht="14">
      <c r="B611" s="152"/>
    </row>
    <row r="612" spans="2:2" ht="14">
      <c r="B612" s="152"/>
    </row>
    <row r="613" spans="2:2" ht="14">
      <c r="B613" s="152"/>
    </row>
    <row r="614" spans="2:2" ht="14">
      <c r="B614" s="152"/>
    </row>
    <row r="615" spans="2:2" ht="14">
      <c r="B615" s="152"/>
    </row>
    <row r="616" spans="2:2" ht="14">
      <c r="B616" s="152"/>
    </row>
    <row r="617" spans="2:2" ht="14">
      <c r="B617" s="152"/>
    </row>
    <row r="618" spans="2:2" ht="14">
      <c r="B618" s="152"/>
    </row>
    <row r="619" spans="2:2" ht="14">
      <c r="B619" s="152"/>
    </row>
    <row r="620" spans="2:2" ht="14">
      <c r="B620" s="152"/>
    </row>
    <row r="621" spans="2:2" ht="14">
      <c r="B621" s="152"/>
    </row>
    <row r="622" spans="2:2" ht="14">
      <c r="B622" s="152"/>
    </row>
    <row r="623" spans="2:2" ht="14">
      <c r="B623" s="152"/>
    </row>
    <row r="624" spans="2:2" ht="14">
      <c r="B624" s="152"/>
    </row>
    <row r="625" spans="2:2" ht="14">
      <c r="B625" s="152"/>
    </row>
    <row r="626" spans="2:2" ht="14">
      <c r="B626" s="152"/>
    </row>
    <row r="627" spans="2:2" ht="14">
      <c r="B627" s="152"/>
    </row>
    <row r="628" spans="2:2" ht="14">
      <c r="B628" s="152"/>
    </row>
    <row r="629" spans="2:2" ht="14">
      <c r="B629" s="152"/>
    </row>
    <row r="630" spans="2:2" ht="14">
      <c r="B630" s="152"/>
    </row>
    <row r="631" spans="2:2" ht="14">
      <c r="B631" s="152"/>
    </row>
    <row r="632" spans="2:2" ht="14">
      <c r="B632" s="152"/>
    </row>
    <row r="633" spans="2:2" ht="14">
      <c r="B633" s="152"/>
    </row>
    <row r="634" spans="2:2" ht="14">
      <c r="B634" s="152"/>
    </row>
    <row r="635" spans="2:2" ht="14">
      <c r="B635" s="152"/>
    </row>
    <row r="636" spans="2:2" ht="14">
      <c r="B636" s="152"/>
    </row>
    <row r="637" spans="2:2" ht="14">
      <c r="B637" s="152"/>
    </row>
    <row r="638" spans="2:2" ht="14">
      <c r="B638" s="152"/>
    </row>
    <row r="639" spans="2:2" ht="14">
      <c r="B639" s="152"/>
    </row>
    <row r="640" spans="2:2" ht="14">
      <c r="B640" s="152"/>
    </row>
    <row r="641" spans="2:2" ht="14">
      <c r="B641" s="152"/>
    </row>
    <row r="642" spans="2:2" ht="14">
      <c r="B642" s="152"/>
    </row>
    <row r="643" spans="2:2" ht="14">
      <c r="B643" s="152"/>
    </row>
    <row r="644" spans="2:2" ht="14">
      <c r="B644" s="152"/>
    </row>
    <row r="645" spans="2:2" ht="14">
      <c r="B645" s="152"/>
    </row>
    <row r="646" spans="2:2" ht="14">
      <c r="B646" s="152"/>
    </row>
    <row r="647" spans="2:2" ht="14">
      <c r="B647" s="152"/>
    </row>
    <row r="648" spans="2:2" ht="14">
      <c r="B648" s="152"/>
    </row>
    <row r="649" spans="2:2" ht="14">
      <c r="B649" s="152"/>
    </row>
    <row r="650" spans="2:2" ht="14">
      <c r="B650" s="152"/>
    </row>
    <row r="651" spans="2:2" ht="14">
      <c r="B651" s="152"/>
    </row>
    <row r="652" spans="2:2" ht="14">
      <c r="B652" s="152"/>
    </row>
    <row r="653" spans="2:2" ht="14">
      <c r="B653" s="152"/>
    </row>
    <row r="654" spans="2:2" ht="14">
      <c r="B654" s="152"/>
    </row>
    <row r="655" spans="2:2" ht="14">
      <c r="B655" s="152"/>
    </row>
    <row r="656" spans="2:2" ht="14">
      <c r="B656" s="152"/>
    </row>
    <row r="657" spans="2:2" ht="14">
      <c r="B657" s="152"/>
    </row>
    <row r="658" spans="2:2" ht="14">
      <c r="B658" s="152"/>
    </row>
    <row r="659" spans="2:2" ht="14">
      <c r="B659" s="152"/>
    </row>
    <row r="660" spans="2:2" ht="14">
      <c r="B660" s="152"/>
    </row>
    <row r="661" spans="2:2" ht="14">
      <c r="B661" s="152"/>
    </row>
    <row r="662" spans="2:2" ht="14">
      <c r="B662" s="152"/>
    </row>
    <row r="663" spans="2:2" ht="14">
      <c r="B663" s="152"/>
    </row>
    <row r="664" spans="2:2" ht="14">
      <c r="B664" s="152"/>
    </row>
    <row r="665" spans="2:2" ht="14">
      <c r="B665" s="152"/>
    </row>
    <row r="666" spans="2:2" ht="14">
      <c r="B666" s="152"/>
    </row>
    <row r="667" spans="2:2" ht="14">
      <c r="B667" s="152"/>
    </row>
    <row r="668" spans="2:2" ht="14">
      <c r="B668" s="152"/>
    </row>
    <row r="669" spans="2:2" ht="14">
      <c r="B669" s="152"/>
    </row>
    <row r="670" spans="2:2" ht="14">
      <c r="B670" s="152"/>
    </row>
    <row r="671" spans="2:2" ht="14">
      <c r="B671" s="152"/>
    </row>
    <row r="672" spans="2:2" ht="14">
      <c r="B672" s="152"/>
    </row>
    <row r="673" spans="2:2" ht="14">
      <c r="B673" s="152"/>
    </row>
    <row r="674" spans="2:2" ht="14">
      <c r="B674" s="152"/>
    </row>
    <row r="675" spans="2:2" ht="14">
      <c r="B675" s="152"/>
    </row>
    <row r="676" spans="2:2" ht="14">
      <c r="B676" s="152"/>
    </row>
    <row r="677" spans="2:2" ht="14">
      <c r="B677" s="152"/>
    </row>
    <row r="678" spans="2:2" ht="14">
      <c r="B678" s="152"/>
    </row>
    <row r="679" spans="2:2" ht="14">
      <c r="B679" s="152"/>
    </row>
    <row r="680" spans="2:2" ht="14">
      <c r="B680" s="152"/>
    </row>
    <row r="681" spans="2:2" ht="14">
      <c r="B681" s="152"/>
    </row>
    <row r="682" spans="2:2" ht="14">
      <c r="B682" s="152"/>
    </row>
    <row r="683" spans="2:2" ht="14">
      <c r="B683" s="152"/>
    </row>
    <row r="684" spans="2:2" ht="14">
      <c r="B684" s="152"/>
    </row>
    <row r="685" spans="2:2" ht="14">
      <c r="B685" s="152"/>
    </row>
    <row r="686" spans="2:2" ht="14">
      <c r="B686" s="152"/>
    </row>
    <row r="687" spans="2:2" ht="14">
      <c r="B687" s="152"/>
    </row>
    <row r="688" spans="2:2" ht="14">
      <c r="B688" s="152"/>
    </row>
    <row r="689" spans="2:2" ht="14">
      <c r="B689" s="152"/>
    </row>
    <row r="690" spans="2:2" ht="14">
      <c r="B690" s="152"/>
    </row>
    <row r="691" spans="2:2" ht="14">
      <c r="B691" s="152"/>
    </row>
    <row r="692" spans="2:2" ht="14">
      <c r="B692" s="152"/>
    </row>
    <row r="693" spans="2:2" ht="14">
      <c r="B693" s="152"/>
    </row>
    <row r="694" spans="2:2" ht="14">
      <c r="B694" s="152"/>
    </row>
    <row r="695" spans="2:2" ht="14">
      <c r="B695" s="152"/>
    </row>
    <row r="696" spans="2:2" ht="14">
      <c r="B696" s="152"/>
    </row>
    <row r="697" spans="2:2" ht="14">
      <c r="B697" s="152"/>
    </row>
    <row r="698" spans="2:2" ht="14">
      <c r="B698" s="152"/>
    </row>
    <row r="699" spans="2:2" ht="14">
      <c r="B699" s="152"/>
    </row>
    <row r="700" spans="2:2" ht="14">
      <c r="B700" s="152"/>
    </row>
    <row r="701" spans="2:2" ht="14">
      <c r="B701" s="152"/>
    </row>
    <row r="702" spans="2:2" ht="14">
      <c r="B702" s="152"/>
    </row>
    <row r="703" spans="2:2" ht="14">
      <c r="B703" s="152"/>
    </row>
    <row r="704" spans="2:2" ht="14">
      <c r="B704" s="152"/>
    </row>
    <row r="705" spans="2:2" ht="14">
      <c r="B705" s="152"/>
    </row>
    <row r="706" spans="2:2" ht="14">
      <c r="B706" s="152"/>
    </row>
    <row r="707" spans="2:2" ht="14">
      <c r="B707" s="152"/>
    </row>
    <row r="708" spans="2:2" ht="14">
      <c r="B708" s="152"/>
    </row>
    <row r="709" spans="2:2" ht="14">
      <c r="B709" s="152"/>
    </row>
    <row r="710" spans="2:2" ht="14">
      <c r="B710" s="152"/>
    </row>
    <row r="711" spans="2:2" ht="14">
      <c r="B711" s="152"/>
    </row>
    <row r="712" spans="2:2" ht="14">
      <c r="B712" s="152"/>
    </row>
    <row r="713" spans="2:2" ht="14">
      <c r="B713" s="152"/>
    </row>
    <row r="714" spans="2:2" ht="14">
      <c r="B714" s="152"/>
    </row>
    <row r="715" spans="2:2" ht="14">
      <c r="B715" s="152"/>
    </row>
    <row r="716" spans="2:2" ht="14">
      <c r="B716" s="152"/>
    </row>
    <row r="717" spans="2:2" ht="14">
      <c r="B717" s="152"/>
    </row>
    <row r="718" spans="2:2" ht="14">
      <c r="B718" s="152"/>
    </row>
    <row r="719" spans="2:2" ht="14">
      <c r="B719" s="152"/>
    </row>
    <row r="720" spans="2:2" ht="14">
      <c r="B720" s="152"/>
    </row>
    <row r="721" spans="2:2" ht="14">
      <c r="B721" s="152"/>
    </row>
    <row r="722" spans="2:2" ht="14">
      <c r="B722" s="152"/>
    </row>
    <row r="723" spans="2:2" ht="14">
      <c r="B723" s="152"/>
    </row>
    <row r="724" spans="2:2" ht="14">
      <c r="B724" s="152"/>
    </row>
    <row r="725" spans="2:2" ht="14">
      <c r="B725" s="152"/>
    </row>
    <row r="726" spans="2:2" ht="14">
      <c r="B726" s="152"/>
    </row>
    <row r="727" spans="2:2" ht="14">
      <c r="B727" s="152"/>
    </row>
    <row r="728" spans="2:2" ht="14">
      <c r="B728" s="152"/>
    </row>
    <row r="729" spans="2:2" ht="14">
      <c r="B729" s="152"/>
    </row>
    <row r="730" spans="2:2" ht="14">
      <c r="B730" s="152"/>
    </row>
    <row r="731" spans="2:2" ht="14">
      <c r="B731" s="152"/>
    </row>
    <row r="732" spans="2:2" ht="14">
      <c r="B732" s="152"/>
    </row>
    <row r="733" spans="2:2" ht="14">
      <c r="B733" s="152"/>
    </row>
    <row r="734" spans="2:2" ht="14">
      <c r="B734" s="152"/>
    </row>
    <row r="735" spans="2:2" ht="14">
      <c r="B735" s="152"/>
    </row>
    <row r="736" spans="2:2" ht="14">
      <c r="B736" s="152"/>
    </row>
    <row r="737" spans="2:2" ht="14">
      <c r="B737" s="152"/>
    </row>
    <row r="738" spans="2:2" ht="14">
      <c r="B738" s="152"/>
    </row>
    <row r="739" spans="2:2" ht="14">
      <c r="B739" s="152"/>
    </row>
    <row r="740" spans="2:2" ht="14">
      <c r="B740" s="152"/>
    </row>
    <row r="741" spans="2:2" ht="14">
      <c r="B741" s="152"/>
    </row>
    <row r="742" spans="2:2" ht="14">
      <c r="B742" s="152"/>
    </row>
    <row r="743" spans="2:2" ht="14">
      <c r="B743" s="152"/>
    </row>
    <row r="744" spans="2:2" ht="14">
      <c r="B744" s="152"/>
    </row>
    <row r="745" spans="2:2" ht="14">
      <c r="B745" s="152"/>
    </row>
    <row r="746" spans="2:2" ht="14">
      <c r="B746" s="152"/>
    </row>
    <row r="747" spans="2:2" ht="14">
      <c r="B747" s="152"/>
    </row>
    <row r="748" spans="2:2" ht="14">
      <c r="B748" s="152"/>
    </row>
    <row r="749" spans="2:2" ht="14">
      <c r="B749" s="152"/>
    </row>
    <row r="750" spans="2:2" ht="14">
      <c r="B750" s="152"/>
    </row>
    <row r="751" spans="2:2" ht="14">
      <c r="B751" s="152"/>
    </row>
    <row r="752" spans="2:2" ht="14">
      <c r="B752" s="152"/>
    </row>
    <row r="753" spans="2:2" ht="14">
      <c r="B753" s="152"/>
    </row>
    <row r="754" spans="2:2" ht="14">
      <c r="B754" s="152"/>
    </row>
    <row r="755" spans="2:2" ht="14">
      <c r="B755" s="152"/>
    </row>
    <row r="756" spans="2:2" ht="14">
      <c r="B756" s="152"/>
    </row>
    <row r="757" spans="2:2" ht="14">
      <c r="B757" s="152"/>
    </row>
    <row r="758" spans="2:2" ht="14">
      <c r="B758" s="152"/>
    </row>
    <row r="759" spans="2:2" ht="14">
      <c r="B759" s="152"/>
    </row>
    <row r="760" spans="2:2" ht="14">
      <c r="B760" s="152"/>
    </row>
    <row r="761" spans="2:2" ht="14">
      <c r="B761" s="152"/>
    </row>
    <row r="762" spans="2:2" ht="14">
      <c r="B762" s="152"/>
    </row>
    <row r="763" spans="2:2" ht="14">
      <c r="B763" s="152"/>
    </row>
    <row r="764" spans="2:2" ht="14">
      <c r="B764" s="152"/>
    </row>
    <row r="765" spans="2:2" ht="14">
      <c r="B765" s="152"/>
    </row>
    <row r="766" spans="2:2" ht="14">
      <c r="B766" s="152"/>
    </row>
    <row r="767" spans="2:2" ht="14">
      <c r="B767" s="152"/>
    </row>
    <row r="768" spans="2:2" ht="14">
      <c r="B768" s="152"/>
    </row>
    <row r="769" spans="2:2" ht="14">
      <c r="B769" s="152"/>
    </row>
    <row r="770" spans="2:2" ht="14">
      <c r="B770" s="152"/>
    </row>
    <row r="771" spans="2:2" ht="14">
      <c r="B771" s="152"/>
    </row>
    <row r="772" spans="2:2" ht="14">
      <c r="B772" s="152"/>
    </row>
    <row r="773" spans="2:2" ht="14">
      <c r="B773" s="152"/>
    </row>
    <row r="774" spans="2:2" ht="14">
      <c r="B774" s="152"/>
    </row>
    <row r="775" spans="2:2" ht="14">
      <c r="B775" s="152"/>
    </row>
    <row r="776" spans="2:2" ht="14">
      <c r="B776" s="152"/>
    </row>
    <row r="777" spans="2:2" ht="14">
      <c r="B777" s="152"/>
    </row>
    <row r="778" spans="2:2" ht="14">
      <c r="B778" s="152"/>
    </row>
    <row r="779" spans="2:2" ht="14">
      <c r="B779" s="152"/>
    </row>
    <row r="780" spans="2:2" ht="14">
      <c r="B780" s="152"/>
    </row>
    <row r="781" spans="2:2" ht="14">
      <c r="B781" s="152"/>
    </row>
    <row r="782" spans="2:2" ht="14">
      <c r="B782" s="152"/>
    </row>
    <row r="783" spans="2:2" ht="14">
      <c r="B783" s="152"/>
    </row>
    <row r="784" spans="2:2" ht="14">
      <c r="B784" s="152"/>
    </row>
    <row r="785" spans="2:2" ht="14">
      <c r="B785" s="152"/>
    </row>
    <row r="786" spans="2:2" ht="14">
      <c r="B786" s="152"/>
    </row>
    <row r="787" spans="2:2" ht="14">
      <c r="B787" s="152"/>
    </row>
    <row r="788" spans="2:2" ht="14">
      <c r="B788" s="152"/>
    </row>
    <row r="789" spans="2:2" ht="14">
      <c r="B789" s="152"/>
    </row>
    <row r="790" spans="2:2" ht="14">
      <c r="B790" s="152"/>
    </row>
    <row r="791" spans="2:2" ht="14">
      <c r="B791" s="152"/>
    </row>
    <row r="792" spans="2:2" ht="14">
      <c r="B792" s="152"/>
    </row>
    <row r="793" spans="2:2" ht="14">
      <c r="B793" s="152"/>
    </row>
    <row r="794" spans="2:2" ht="14">
      <c r="B794" s="152"/>
    </row>
    <row r="795" spans="2:2" ht="14">
      <c r="B795" s="152"/>
    </row>
    <row r="796" spans="2:2" ht="14">
      <c r="B796" s="152"/>
    </row>
    <row r="797" spans="2:2" ht="14">
      <c r="B797" s="152"/>
    </row>
    <row r="798" spans="2:2" ht="14">
      <c r="B798" s="152"/>
    </row>
    <row r="799" spans="2:2" ht="14">
      <c r="B799" s="152"/>
    </row>
    <row r="800" spans="2:2" ht="14">
      <c r="B800" s="152"/>
    </row>
    <row r="801" spans="2:2" ht="14">
      <c r="B801" s="152"/>
    </row>
    <row r="802" spans="2:2" ht="14">
      <c r="B802" s="152"/>
    </row>
    <row r="803" spans="2:2" ht="14">
      <c r="B803" s="152"/>
    </row>
    <row r="804" spans="2:2" ht="14">
      <c r="B804" s="152"/>
    </row>
    <row r="805" spans="2:2" ht="14">
      <c r="B805" s="152"/>
    </row>
    <row r="806" spans="2:2" ht="14">
      <c r="B806" s="152"/>
    </row>
    <row r="807" spans="2:2" ht="14">
      <c r="B807" s="152"/>
    </row>
    <row r="808" spans="2:2" ht="14">
      <c r="B808" s="152"/>
    </row>
    <row r="809" spans="2:2" ht="14">
      <c r="B809" s="152"/>
    </row>
    <row r="810" spans="2:2" ht="14">
      <c r="B810" s="152"/>
    </row>
    <row r="811" spans="2:2" ht="14">
      <c r="B811" s="152"/>
    </row>
    <row r="812" spans="2:2" ht="14">
      <c r="B812" s="152"/>
    </row>
    <row r="813" spans="2:2" ht="14">
      <c r="B813" s="152"/>
    </row>
    <row r="814" spans="2:2" ht="14">
      <c r="B814" s="152"/>
    </row>
    <row r="815" spans="2:2" ht="14">
      <c r="B815" s="152"/>
    </row>
    <row r="816" spans="2:2" ht="14">
      <c r="B816" s="152"/>
    </row>
    <row r="817" spans="2:2" ht="14">
      <c r="B817" s="152"/>
    </row>
    <row r="818" spans="2:2" ht="14">
      <c r="B818" s="152"/>
    </row>
    <row r="819" spans="2:2" ht="14">
      <c r="B819" s="152"/>
    </row>
    <row r="820" spans="2:2" ht="14">
      <c r="B820" s="152"/>
    </row>
    <row r="821" spans="2:2" ht="14">
      <c r="B821" s="152"/>
    </row>
    <row r="822" spans="2:2" ht="14">
      <c r="B822" s="152"/>
    </row>
    <row r="823" spans="2:2" ht="14">
      <c r="B823" s="152"/>
    </row>
    <row r="824" spans="2:2" ht="14">
      <c r="B824" s="152"/>
    </row>
    <row r="825" spans="2:2" ht="14">
      <c r="B825" s="152"/>
    </row>
    <row r="826" spans="2:2" ht="14">
      <c r="B826" s="152"/>
    </row>
    <row r="827" spans="2:2" ht="14">
      <c r="B827" s="152"/>
    </row>
    <row r="828" spans="2:2" ht="14">
      <c r="B828" s="152"/>
    </row>
    <row r="829" spans="2:2" ht="14">
      <c r="B829" s="152"/>
    </row>
    <row r="830" spans="2:2" ht="14">
      <c r="B830" s="152"/>
    </row>
    <row r="831" spans="2:2" ht="14">
      <c r="B831" s="152"/>
    </row>
    <row r="832" spans="2:2" ht="14">
      <c r="B832" s="152"/>
    </row>
    <row r="833" spans="2:2" ht="14">
      <c r="B833" s="152"/>
    </row>
    <row r="834" spans="2:2" ht="14">
      <c r="B834" s="152"/>
    </row>
    <row r="835" spans="2:2" ht="14">
      <c r="B835" s="152"/>
    </row>
    <row r="836" spans="2:2" ht="14">
      <c r="B836" s="152"/>
    </row>
    <row r="837" spans="2:2" ht="14">
      <c r="B837" s="152"/>
    </row>
    <row r="838" spans="2:2" ht="14">
      <c r="B838" s="152"/>
    </row>
    <row r="839" spans="2:2" ht="14">
      <c r="B839" s="152"/>
    </row>
    <row r="840" spans="2:2" ht="14">
      <c r="B840" s="152"/>
    </row>
    <row r="841" spans="2:2" ht="14">
      <c r="B841" s="152"/>
    </row>
    <row r="842" spans="2:2" ht="14">
      <c r="B842" s="152"/>
    </row>
    <row r="843" spans="2:2" ht="14">
      <c r="B843" s="152"/>
    </row>
    <row r="844" spans="2:2" ht="14">
      <c r="B844" s="152"/>
    </row>
    <row r="845" spans="2:2" ht="14">
      <c r="B845" s="152"/>
    </row>
    <row r="846" spans="2:2" ht="14">
      <c r="B846" s="152"/>
    </row>
    <row r="847" spans="2:2" ht="14">
      <c r="B847" s="152"/>
    </row>
    <row r="848" spans="2:2" ht="14">
      <c r="B848" s="152"/>
    </row>
    <row r="849" spans="2:2" ht="14">
      <c r="B849" s="152"/>
    </row>
    <row r="850" spans="2:2" ht="14">
      <c r="B850" s="152"/>
    </row>
    <row r="851" spans="2:2" ht="14">
      <c r="B851" s="152"/>
    </row>
    <row r="852" spans="2:2" ht="14">
      <c r="B852" s="152"/>
    </row>
    <row r="853" spans="2:2" ht="14">
      <c r="B853" s="152"/>
    </row>
    <row r="854" spans="2:2" ht="14">
      <c r="B854" s="152"/>
    </row>
    <row r="855" spans="2:2" ht="14">
      <c r="B855" s="152"/>
    </row>
    <row r="856" spans="2:2" ht="14">
      <c r="B856" s="152"/>
    </row>
    <row r="857" spans="2:2" ht="14">
      <c r="B857" s="152"/>
    </row>
    <row r="858" spans="2:2" ht="14">
      <c r="B858" s="152"/>
    </row>
    <row r="859" spans="2:2" ht="14">
      <c r="B859" s="152"/>
    </row>
    <row r="860" spans="2:2" ht="14">
      <c r="B860" s="152"/>
    </row>
    <row r="861" spans="2:2" ht="14">
      <c r="B861" s="152"/>
    </row>
    <row r="862" spans="2:2" ht="14">
      <c r="B862" s="152"/>
    </row>
    <row r="863" spans="2:2" ht="14">
      <c r="B863" s="152"/>
    </row>
    <row r="864" spans="2:2" ht="14">
      <c r="B864" s="152"/>
    </row>
    <row r="865" spans="2:2" ht="14">
      <c r="B865" s="152"/>
    </row>
    <row r="866" spans="2:2" ht="14">
      <c r="B866" s="152"/>
    </row>
    <row r="867" spans="2:2" ht="14">
      <c r="B867" s="152"/>
    </row>
    <row r="868" spans="2:2" ht="14">
      <c r="B868" s="152"/>
    </row>
    <row r="869" spans="2:2" ht="14">
      <c r="B869" s="152"/>
    </row>
    <row r="870" spans="2:2" ht="14">
      <c r="B870" s="152"/>
    </row>
    <row r="871" spans="2:2" ht="14">
      <c r="B871" s="152"/>
    </row>
    <row r="872" spans="2:2" ht="14">
      <c r="B872" s="152"/>
    </row>
    <row r="873" spans="2:2" ht="14">
      <c r="B873" s="152"/>
    </row>
    <row r="874" spans="2:2" ht="14">
      <c r="B874" s="152"/>
    </row>
    <row r="875" spans="2:2" ht="14">
      <c r="B875" s="152"/>
    </row>
    <row r="876" spans="2:2" ht="14">
      <c r="B876" s="152"/>
    </row>
    <row r="877" spans="2:2" ht="14">
      <c r="B877" s="152"/>
    </row>
    <row r="878" spans="2:2" ht="14">
      <c r="B878" s="152"/>
    </row>
    <row r="879" spans="2:2" ht="14">
      <c r="B879" s="152"/>
    </row>
    <row r="880" spans="2:2" ht="14">
      <c r="B880" s="152"/>
    </row>
    <row r="881" spans="2:2" ht="14">
      <c r="B881" s="152"/>
    </row>
    <row r="882" spans="2:2" ht="14">
      <c r="B882" s="152"/>
    </row>
    <row r="883" spans="2:2" ht="14">
      <c r="B883" s="152"/>
    </row>
    <row r="884" spans="2:2" ht="14">
      <c r="B884" s="152"/>
    </row>
    <row r="885" spans="2:2" ht="14">
      <c r="B885" s="152"/>
    </row>
    <row r="886" spans="2:2" ht="14">
      <c r="B886" s="152"/>
    </row>
    <row r="887" spans="2:2" ht="14">
      <c r="B887" s="152"/>
    </row>
    <row r="888" spans="2:2" ht="14">
      <c r="B888" s="152"/>
    </row>
    <row r="889" spans="2:2" ht="14">
      <c r="B889" s="152"/>
    </row>
    <row r="890" spans="2:2" ht="14">
      <c r="B890" s="152"/>
    </row>
    <row r="891" spans="2:2" ht="14">
      <c r="B891" s="152"/>
    </row>
    <row r="892" spans="2:2" ht="14">
      <c r="B892" s="152"/>
    </row>
    <row r="893" spans="2:2" ht="14">
      <c r="B893" s="152"/>
    </row>
    <row r="894" spans="2:2" ht="14">
      <c r="B894" s="152"/>
    </row>
    <row r="895" spans="2:2" ht="14">
      <c r="B895" s="152"/>
    </row>
    <row r="896" spans="2:2" ht="14">
      <c r="B896" s="152"/>
    </row>
    <row r="897" spans="2:2" ht="14">
      <c r="B897" s="152"/>
    </row>
    <row r="898" spans="2:2" ht="14">
      <c r="B898" s="152"/>
    </row>
    <row r="899" spans="2:2" ht="14">
      <c r="B899" s="152"/>
    </row>
    <row r="900" spans="2:2" ht="14">
      <c r="B900" s="152"/>
    </row>
    <row r="901" spans="2:2" ht="14">
      <c r="B901" s="152"/>
    </row>
    <row r="902" spans="2:2" ht="14">
      <c r="B902" s="152"/>
    </row>
    <row r="903" spans="2:2" ht="14">
      <c r="B903" s="152"/>
    </row>
    <row r="904" spans="2:2" ht="14">
      <c r="B904" s="152"/>
    </row>
    <row r="905" spans="2:2" ht="14">
      <c r="B905" s="152"/>
    </row>
    <row r="906" spans="2:2" ht="14">
      <c r="B906" s="152"/>
    </row>
    <row r="907" spans="2:2" ht="14">
      <c r="B907" s="152"/>
    </row>
    <row r="908" spans="2:2" ht="14">
      <c r="B908" s="152"/>
    </row>
    <row r="909" spans="2:2" ht="14">
      <c r="B909" s="152"/>
    </row>
    <row r="910" spans="2:2" ht="14">
      <c r="B910" s="152"/>
    </row>
    <row r="911" spans="2:2" ht="14">
      <c r="B911" s="152"/>
    </row>
    <row r="912" spans="2:2" ht="14">
      <c r="B912" s="152"/>
    </row>
    <row r="913" spans="2:2" ht="14">
      <c r="B913" s="152"/>
    </row>
    <row r="914" spans="2:2" ht="14">
      <c r="B914" s="152"/>
    </row>
    <row r="915" spans="2:2" ht="14">
      <c r="B915" s="152"/>
    </row>
    <row r="916" spans="2:2" ht="14">
      <c r="B916" s="152"/>
    </row>
    <row r="917" spans="2:2" ht="14">
      <c r="B917" s="152"/>
    </row>
    <row r="918" spans="2:2" ht="14">
      <c r="B918" s="152"/>
    </row>
    <row r="919" spans="2:2" ht="14">
      <c r="B919" s="152"/>
    </row>
    <row r="920" spans="2:2" ht="14">
      <c r="B920" s="152"/>
    </row>
    <row r="921" spans="2:2" ht="14">
      <c r="B921" s="152"/>
    </row>
    <row r="922" spans="2:2" ht="14">
      <c r="B922" s="152"/>
    </row>
    <row r="923" spans="2:2" ht="14">
      <c r="B923" s="152"/>
    </row>
    <row r="924" spans="2:2" ht="14">
      <c r="B924" s="152"/>
    </row>
    <row r="925" spans="2:2" ht="14">
      <c r="B925" s="152"/>
    </row>
    <row r="926" spans="2:2" ht="14">
      <c r="B926" s="152"/>
    </row>
    <row r="927" spans="2:2" ht="14">
      <c r="B927" s="152"/>
    </row>
    <row r="928" spans="2:2" ht="14">
      <c r="B928" s="152"/>
    </row>
    <row r="929" spans="2:2" ht="14">
      <c r="B929" s="152"/>
    </row>
    <row r="930" spans="2:2" ht="14">
      <c r="B930" s="152"/>
    </row>
    <row r="931" spans="2:2" ht="14">
      <c r="B931" s="152"/>
    </row>
    <row r="932" spans="2:2" ht="14">
      <c r="B932" s="152"/>
    </row>
    <row r="933" spans="2:2" ht="14">
      <c r="B933" s="152"/>
    </row>
    <row r="934" spans="2:2" ht="14">
      <c r="B934" s="152"/>
    </row>
    <row r="935" spans="2:2" ht="14">
      <c r="B935" s="152"/>
    </row>
    <row r="936" spans="2:2" ht="14">
      <c r="B936" s="152"/>
    </row>
    <row r="937" spans="2:2" ht="14">
      <c r="B937" s="152"/>
    </row>
    <row r="938" spans="2:2" ht="14">
      <c r="B938" s="152"/>
    </row>
    <row r="939" spans="2:2" ht="14">
      <c r="B939" s="152"/>
    </row>
    <row r="940" spans="2:2" ht="14">
      <c r="B940" s="152"/>
    </row>
    <row r="941" spans="2:2" ht="14">
      <c r="B941" s="152"/>
    </row>
    <row r="942" spans="2:2" ht="14">
      <c r="B942" s="152"/>
    </row>
    <row r="943" spans="2:2" ht="14">
      <c r="B943" s="152"/>
    </row>
    <row r="944" spans="2:2" ht="14">
      <c r="B944" s="152"/>
    </row>
    <row r="945" spans="2:2" ht="14">
      <c r="B945" s="152"/>
    </row>
    <row r="946" spans="2:2" ht="14">
      <c r="B946" s="152"/>
    </row>
    <row r="947" spans="2:2" ht="14">
      <c r="B947" s="152"/>
    </row>
    <row r="948" spans="2:2" ht="14">
      <c r="B948" s="152"/>
    </row>
    <row r="949" spans="2:2" ht="14">
      <c r="B949" s="152"/>
    </row>
    <row r="950" spans="2:2" ht="14">
      <c r="B950" s="152"/>
    </row>
    <row r="951" spans="2:2" ht="14">
      <c r="B951" s="152"/>
    </row>
    <row r="952" spans="2:2" ht="14">
      <c r="B952" s="152"/>
    </row>
    <row r="953" spans="2:2" ht="14">
      <c r="B953" s="152"/>
    </row>
    <row r="954" spans="2:2" ht="14">
      <c r="B954" s="152"/>
    </row>
    <row r="955" spans="2:2" ht="14">
      <c r="B955" s="152"/>
    </row>
    <row r="956" spans="2:2" ht="14">
      <c r="B956" s="152"/>
    </row>
    <row r="957" spans="2:2" ht="14">
      <c r="B957" s="152"/>
    </row>
    <row r="958" spans="2:2" ht="14">
      <c r="B958" s="152"/>
    </row>
    <row r="959" spans="2:2" ht="14">
      <c r="B959" s="152"/>
    </row>
    <row r="960" spans="2:2" ht="14">
      <c r="B960" s="152"/>
    </row>
    <row r="961" spans="2:2" ht="14">
      <c r="B961" s="152"/>
    </row>
    <row r="962" spans="2:2" ht="14">
      <c r="B962" s="152"/>
    </row>
    <row r="963" spans="2:2" ht="14">
      <c r="B963" s="152"/>
    </row>
    <row r="964" spans="2:2" ht="14">
      <c r="B964" s="152"/>
    </row>
    <row r="965" spans="2:2" ht="14">
      <c r="B965" s="152"/>
    </row>
    <row r="966" spans="2:2" ht="14">
      <c r="B966" s="152"/>
    </row>
    <row r="967" spans="2:2" ht="14">
      <c r="B967" s="152"/>
    </row>
    <row r="968" spans="2:2" ht="14">
      <c r="B968" s="152"/>
    </row>
    <row r="969" spans="2:2" ht="14">
      <c r="B969" s="152"/>
    </row>
    <row r="970" spans="2:2" ht="14">
      <c r="B970" s="152"/>
    </row>
    <row r="971" spans="2:2" ht="14">
      <c r="B971" s="152"/>
    </row>
    <row r="972" spans="2:2" ht="14">
      <c r="B972" s="152"/>
    </row>
    <row r="973" spans="2:2" ht="14">
      <c r="B973" s="152"/>
    </row>
    <row r="974" spans="2:2" ht="14">
      <c r="B974" s="152"/>
    </row>
    <row r="975" spans="2:2" ht="14">
      <c r="B975" s="152"/>
    </row>
    <row r="976" spans="2:2" ht="14">
      <c r="B976" s="152"/>
    </row>
    <row r="977" spans="2:2" ht="14">
      <c r="B977" s="152"/>
    </row>
    <row r="978" spans="2:2" ht="14">
      <c r="B978" s="152"/>
    </row>
    <row r="979" spans="2:2" ht="14">
      <c r="B979" s="152"/>
    </row>
    <row r="980" spans="2:2" ht="14">
      <c r="B980" s="152"/>
    </row>
    <row r="981" spans="2:2" ht="14">
      <c r="B981" s="152"/>
    </row>
    <row r="982" spans="2:2" ht="14">
      <c r="B982" s="152"/>
    </row>
    <row r="983" spans="2:2" ht="14">
      <c r="B983" s="152"/>
    </row>
    <row r="984" spans="2:2" ht="14">
      <c r="B984" s="152"/>
    </row>
    <row r="985" spans="2:2" ht="14">
      <c r="B985" s="152"/>
    </row>
    <row r="986" spans="2:2" ht="14">
      <c r="B986" s="152"/>
    </row>
    <row r="987" spans="2:2" ht="14">
      <c r="B987" s="152"/>
    </row>
    <row r="988" spans="2:2" ht="14">
      <c r="B988" s="152"/>
    </row>
    <row r="989" spans="2:2" ht="14">
      <c r="B989" s="152"/>
    </row>
    <row r="990" spans="2:2" ht="14">
      <c r="B990" s="152"/>
    </row>
    <row r="991" spans="2:2" ht="14">
      <c r="B991" s="152"/>
    </row>
    <row r="992" spans="2:2" ht="14">
      <c r="B992" s="152"/>
    </row>
    <row r="993" spans="2:2" ht="14">
      <c r="B993" s="152"/>
    </row>
    <row r="994" spans="2:2" ht="14">
      <c r="B994" s="15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3:B14"/>
  <sheetViews>
    <sheetView workbookViewId="0"/>
  </sheetViews>
  <sheetFormatPr baseColWidth="10" defaultColWidth="14.3984375" defaultRowHeight="15" customHeight="1"/>
  <sheetData>
    <row r="3" spans="2:2">
      <c r="B3" s="495" t="s">
        <v>255</v>
      </c>
    </row>
    <row r="4" spans="2:2">
      <c r="B4" s="495" t="s">
        <v>256</v>
      </c>
    </row>
    <row r="5" spans="2:2">
      <c r="B5" s="495" t="s">
        <v>257</v>
      </c>
    </row>
    <row r="6" spans="2:2">
      <c r="B6" s="495" t="s">
        <v>258</v>
      </c>
    </row>
    <row r="7" spans="2:2">
      <c r="B7" s="495" t="s">
        <v>259</v>
      </c>
    </row>
    <row r="8" spans="2:2">
      <c r="B8" s="495" t="s">
        <v>260</v>
      </c>
    </row>
    <row r="9" spans="2:2">
      <c r="B9" s="495" t="s">
        <v>261</v>
      </c>
    </row>
    <row r="10" spans="2:2">
      <c r="B10" s="495" t="s">
        <v>262</v>
      </c>
    </row>
    <row r="11" spans="2:2">
      <c r="B11" s="495" t="s">
        <v>263</v>
      </c>
    </row>
    <row r="12" spans="2:2">
      <c r="B12" s="495" t="s">
        <v>264</v>
      </c>
    </row>
    <row r="13" spans="2:2">
      <c r="B13" s="496" t="s">
        <v>265</v>
      </c>
    </row>
    <row r="14" spans="2:2">
      <c r="B14" s="496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Consolidated P&amp;L</vt:lpstr>
      <vt:lpstr>Revenue summary</vt:lpstr>
      <vt:lpstr>Non Staff costs</vt:lpstr>
      <vt:lpstr>Staff costs</vt:lpstr>
      <vt:lpstr>Working Capital</vt:lpstr>
      <vt:lpstr>Balance Sheet</vt:lpstr>
      <vt:lpstr>Cashflow</vt:lpstr>
      <vt:lpstr>Aged receivables </vt:lpstr>
      <vt:lpstr>Aged payable</vt:lpstr>
      <vt:lpstr>4th P&amp;L</vt:lpstr>
      <vt:lpstr>Eris P&amp;L</vt:lpstr>
      <vt:lpstr>HO P&amp;L</vt:lpstr>
      <vt:lpstr>Sales forecast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Handy</cp:lastModifiedBy>
  <dcterms:created xsi:type="dcterms:W3CDTF">2024-08-20T07:21:16Z</dcterms:created>
  <dcterms:modified xsi:type="dcterms:W3CDTF">2024-08-20T07:21:16Z</dcterms:modified>
</cp:coreProperties>
</file>