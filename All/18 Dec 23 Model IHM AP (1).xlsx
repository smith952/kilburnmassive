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autoCompressPictures="0" defaultThemeVersion="166925"/>
  <mc:AlternateContent xmlns:mc="http://schemas.openxmlformats.org/markup-compatibility/2006">
    <mc:Choice Requires="x15">
      <x15ac:absPath xmlns:x15ac="http://schemas.microsoft.com/office/spreadsheetml/2010/11/ac" url="C:\Users\lbfre\Downloads\"/>
    </mc:Choice>
  </mc:AlternateContent>
  <xr:revisionPtr revIDLastSave="0" documentId="13_ncr:1_{8C41E11D-2D30-44FA-9744-EC92F6E7B485}" xr6:coauthVersionLast="47" xr6:coauthVersionMax="47" xr10:uidLastSave="{00000000-0000-0000-0000-000000000000}"/>
  <bookViews>
    <workbookView xWindow="60" yWindow="312" windowWidth="22128" windowHeight="11004" xr2:uid="{00000000-000D-0000-FFFF-FFFF00000000}"/>
  </bookViews>
  <sheets>
    <sheet name="Summary" sheetId="13" r:id="rId1"/>
    <sheet name="KPI's" sheetId="12" state="hidden" r:id="rId2"/>
    <sheet name="Financials Annual" sheetId="11" r:id="rId3"/>
    <sheet name="Financials Monthly" sheetId="9" r:id="rId4"/>
    <sheet name="Timing" sheetId="1" state="hidden" r:id="rId5"/>
    <sheet name="Inputs" sheetId="2" r:id="rId6"/>
    <sheet name="Revenue" sheetId="3" r:id="rId7"/>
    <sheet name="COS and Overheads" sheetId="4" r:id="rId8"/>
    <sheet name="Wages and Salaries" sheetId="10" r:id="rId9"/>
    <sheet name="Fixed Assets" sheetId="5" r:id="rId10"/>
    <sheet name="Working Capital" sheetId="6" r:id="rId11"/>
    <sheet name="Corporation tax" sheetId="14" state="hidden" r:id="rId12"/>
  </sheets>
  <externalReferences>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23" i="13" l="1"/>
  <c r="J58" i="11"/>
  <c r="D24" i="13"/>
  <c r="N43" i="11"/>
  <c r="K134" i="9"/>
  <c r="L134" i="9"/>
  <c r="M134" i="9"/>
  <c r="N134" i="9"/>
  <c r="O134" i="9"/>
  <c r="P134" i="9"/>
  <c r="Q134" i="9"/>
  <c r="R134" i="9"/>
  <c r="S134" i="9"/>
  <c r="T134" i="9"/>
  <c r="U134" i="9"/>
  <c r="V134" i="9"/>
  <c r="W134" i="9"/>
  <c r="X134" i="9"/>
  <c r="Y134" i="9"/>
  <c r="Z134" i="9"/>
  <c r="AA134" i="9"/>
  <c r="AB134" i="9"/>
  <c r="AC134" i="9"/>
  <c r="AD134" i="9"/>
  <c r="AE134" i="9"/>
  <c r="AF134" i="9"/>
  <c r="AG134" i="9"/>
  <c r="AH134" i="9"/>
  <c r="AI134" i="9"/>
  <c r="AJ134" i="9"/>
  <c r="AK134" i="9"/>
  <c r="AL134" i="9"/>
  <c r="AM134" i="9"/>
  <c r="AN134" i="9"/>
  <c r="AO134" i="9"/>
  <c r="AQ134" i="9"/>
  <c r="AR134" i="9"/>
  <c r="AS134" i="9"/>
  <c r="AT134" i="9"/>
  <c r="AU134" i="9"/>
  <c r="AV134" i="9"/>
  <c r="AW134" i="9"/>
  <c r="AX134" i="9"/>
  <c r="AY134" i="9"/>
  <c r="AZ134" i="9"/>
  <c r="BA134" i="9"/>
  <c r="BC134" i="9"/>
  <c r="BD134" i="9"/>
  <c r="BE134" i="9"/>
  <c r="BF134" i="9"/>
  <c r="BG134" i="9"/>
  <c r="BH134" i="9"/>
  <c r="BI134" i="9"/>
  <c r="BJ134" i="9"/>
  <c r="BK134" i="9"/>
  <c r="BL134" i="9"/>
  <c r="BM134" i="9"/>
  <c r="BO134" i="9"/>
  <c r="BP134" i="9"/>
  <c r="BQ134" i="9"/>
  <c r="J134" i="9"/>
  <c r="K48" i="6"/>
  <c r="L48" i="6"/>
  <c r="M48" i="6"/>
  <c r="N48" i="6"/>
  <c r="O48" i="6"/>
  <c r="P48" i="6"/>
  <c r="Q48" i="6"/>
  <c r="R48" i="6"/>
  <c r="S48" i="6"/>
  <c r="T48" i="6"/>
  <c r="U48" i="6"/>
  <c r="V48" i="6"/>
  <c r="W48" i="6"/>
  <c r="X48" i="6"/>
  <c r="Y48" i="6"/>
  <c r="Z48" i="6"/>
  <c r="AA48" i="6"/>
  <c r="AB48" i="6"/>
  <c r="AC48" i="6"/>
  <c r="AD48" i="6"/>
  <c r="AE48" i="6"/>
  <c r="AF48" i="6"/>
  <c r="AG48" i="6"/>
  <c r="AH48" i="6"/>
  <c r="AI48" i="6"/>
  <c r="AJ48" i="6"/>
  <c r="AK48" i="6"/>
  <c r="AL48" i="6"/>
  <c r="AM48" i="6"/>
  <c r="AN48" i="6"/>
  <c r="AO48" i="6"/>
  <c r="AP48" i="6"/>
  <c r="AQ48" i="6"/>
  <c r="AR48" i="6"/>
  <c r="AS48" i="6"/>
  <c r="AT48" i="6"/>
  <c r="AU48" i="6"/>
  <c r="AV48" i="6"/>
  <c r="AW48" i="6"/>
  <c r="AX48" i="6"/>
  <c r="AY48" i="6"/>
  <c r="AZ48" i="6"/>
  <c r="BA48" i="6"/>
  <c r="BB48" i="6"/>
  <c r="BC48" i="6"/>
  <c r="BD48" i="6"/>
  <c r="BE48" i="6"/>
  <c r="BF48" i="6"/>
  <c r="BG48" i="6"/>
  <c r="BH48" i="6"/>
  <c r="BI48" i="6"/>
  <c r="BJ48" i="6"/>
  <c r="BK48" i="6"/>
  <c r="BL48" i="6"/>
  <c r="BM48" i="6"/>
  <c r="BN48" i="6"/>
  <c r="BO48" i="6"/>
  <c r="BP48" i="6"/>
  <c r="BQ48" i="6"/>
  <c r="M30" i="14"/>
  <c r="O11" i="14"/>
  <c r="O12" i="14"/>
  <c r="AA24" i="14"/>
  <c r="Z24" i="14"/>
  <c r="K53" i="9"/>
  <c r="L53" i="9"/>
  <c r="M53" i="9"/>
  <c r="N53" i="9"/>
  <c r="Q53" i="9"/>
  <c r="R53" i="9"/>
  <c r="AH53" i="9"/>
  <c r="AI53" i="9"/>
  <c r="AJ53" i="9"/>
  <c r="AK53" i="9"/>
  <c r="AL53" i="9"/>
  <c r="AM53" i="9"/>
  <c r="AN53" i="9"/>
  <c r="AO53" i="9"/>
  <c r="AP53" i="9"/>
  <c r="AQ53" i="9"/>
  <c r="AR53" i="9"/>
  <c r="AS53" i="9"/>
  <c r="AT53" i="9"/>
  <c r="AU53" i="9"/>
  <c r="AV53" i="9"/>
  <c r="AW53" i="9"/>
  <c r="AX53" i="9"/>
  <c r="AY53" i="9"/>
  <c r="AZ53" i="9"/>
  <c r="BA53" i="9"/>
  <c r="BB53" i="9"/>
  <c r="BC53" i="9"/>
  <c r="BD53" i="9"/>
  <c r="BE53" i="9"/>
  <c r="BF53" i="9"/>
  <c r="BG53" i="9"/>
  <c r="BH53" i="9"/>
  <c r="BI53" i="9"/>
  <c r="BJ53" i="9"/>
  <c r="BK53" i="9"/>
  <c r="BL53" i="9"/>
  <c r="BM53" i="9"/>
  <c r="BN53" i="9"/>
  <c r="BO53" i="9"/>
  <c r="BP53" i="9"/>
  <c r="BQ53" i="9"/>
  <c r="K117" i="4"/>
  <c r="L117" i="4"/>
  <c r="M117" i="4"/>
  <c r="N117" i="4"/>
  <c r="O117" i="4"/>
  <c r="P117" i="4"/>
  <c r="Q117" i="4"/>
  <c r="R117" i="4"/>
  <c r="S117" i="4"/>
  <c r="T117" i="4"/>
  <c r="U117" i="4"/>
  <c r="V117" i="4"/>
  <c r="W117" i="4"/>
  <c r="X117" i="4"/>
  <c r="Y117" i="4"/>
  <c r="Z117" i="4"/>
  <c r="AA117" i="4"/>
  <c r="AB117" i="4"/>
  <c r="AC117" i="4"/>
  <c r="AD117" i="4"/>
  <c r="AE117" i="4"/>
  <c r="AF117" i="4"/>
  <c r="AG117" i="4"/>
  <c r="AH117" i="4"/>
  <c r="AI117" i="4"/>
  <c r="AJ117" i="4"/>
  <c r="AK117" i="4"/>
  <c r="AL117" i="4"/>
  <c r="AM117" i="4"/>
  <c r="AN117" i="4"/>
  <c r="AO117" i="4"/>
  <c r="AP117" i="4"/>
  <c r="AQ117" i="4"/>
  <c r="AR117" i="4"/>
  <c r="AS117" i="4"/>
  <c r="AT117" i="4"/>
  <c r="AU117" i="4"/>
  <c r="AV117" i="4"/>
  <c r="AW117" i="4"/>
  <c r="AX117" i="4"/>
  <c r="AY117" i="4"/>
  <c r="AZ117" i="4"/>
  <c r="BA117" i="4"/>
  <c r="BB117" i="4"/>
  <c r="BC117" i="4"/>
  <c r="BD117" i="4"/>
  <c r="BE117" i="4"/>
  <c r="BF117" i="4"/>
  <c r="BG117" i="4"/>
  <c r="BH117" i="4"/>
  <c r="BI117" i="4"/>
  <c r="BJ117" i="4"/>
  <c r="BK117" i="4"/>
  <c r="BL117" i="4"/>
  <c r="BM117" i="4"/>
  <c r="BN117" i="4"/>
  <c r="BO117" i="4"/>
  <c r="BP117" i="4"/>
  <c r="BQ117" i="4"/>
  <c r="J117" i="4"/>
  <c r="AH29" i="14"/>
  <c r="AI29" i="14"/>
  <c r="AJ29" i="14"/>
  <c r="AK29" i="14"/>
  <c r="AL29" i="14"/>
  <c r="AM29" i="14"/>
  <c r="AN29" i="14"/>
  <c r="AO29" i="14"/>
  <c r="AP29" i="14"/>
  <c r="AQ29" i="14"/>
  <c r="AR29" i="14"/>
  <c r="AS29" i="14"/>
  <c r="AT29" i="14"/>
  <c r="AU29" i="14"/>
  <c r="AV29" i="14"/>
  <c r="AW29" i="14"/>
  <c r="AX29" i="14"/>
  <c r="AY29" i="14"/>
  <c r="AZ29" i="14"/>
  <c r="BA29" i="14"/>
  <c r="BB29" i="14"/>
  <c r="BC29" i="14"/>
  <c r="BD29" i="14"/>
  <c r="BE29" i="14"/>
  <c r="BF29" i="14"/>
  <c r="BG29" i="14"/>
  <c r="BH29" i="14"/>
  <c r="BI29" i="14"/>
  <c r="BJ29" i="14"/>
  <c r="BK29" i="14"/>
  <c r="BL29" i="14"/>
  <c r="BM29" i="14"/>
  <c r="BN29" i="14"/>
  <c r="BO29" i="14"/>
  <c r="BP29" i="14"/>
  <c r="BQ29" i="14"/>
  <c r="Q29" i="14"/>
  <c r="N29" i="14"/>
  <c r="L29" i="14"/>
  <c r="M29" i="14"/>
  <c r="K32" i="14"/>
  <c r="L32" i="14"/>
  <c r="M32" i="14"/>
  <c r="N32" i="14"/>
  <c r="O32" i="14"/>
  <c r="P32" i="14"/>
  <c r="Q32" i="14"/>
  <c r="R32" i="14"/>
  <c r="S32" i="14"/>
  <c r="T32" i="14"/>
  <c r="U32" i="14"/>
  <c r="V32" i="14"/>
  <c r="W32" i="14"/>
  <c r="X32" i="14"/>
  <c r="Y32" i="14"/>
  <c r="Z32" i="14"/>
  <c r="AA32" i="14"/>
  <c r="AB32" i="14"/>
  <c r="AC32" i="14"/>
  <c r="AD32" i="14"/>
  <c r="AE32" i="14"/>
  <c r="AF32" i="14"/>
  <c r="AG32" i="14"/>
  <c r="AH32" i="14"/>
  <c r="AI32" i="14"/>
  <c r="AJ32" i="14"/>
  <c r="AK32" i="14"/>
  <c r="AL32" i="14"/>
  <c r="AM32" i="14"/>
  <c r="AN32" i="14"/>
  <c r="AO32" i="14"/>
  <c r="AP32" i="14"/>
  <c r="AQ32" i="14"/>
  <c r="AR32" i="14"/>
  <c r="AS32" i="14"/>
  <c r="AT32" i="14"/>
  <c r="AU32" i="14"/>
  <c r="AV32" i="14"/>
  <c r="AW32" i="14"/>
  <c r="AX32" i="14"/>
  <c r="AY32" i="14"/>
  <c r="AZ32" i="14"/>
  <c r="BA32" i="14"/>
  <c r="BB32" i="14"/>
  <c r="BC32" i="14"/>
  <c r="BD32" i="14"/>
  <c r="BE32" i="14"/>
  <c r="BF32" i="14"/>
  <c r="BG32" i="14"/>
  <c r="BH32" i="14"/>
  <c r="BI32" i="14"/>
  <c r="BJ32" i="14"/>
  <c r="BK32" i="14"/>
  <c r="BL32" i="14"/>
  <c r="BM32" i="14"/>
  <c r="BN32" i="14"/>
  <c r="BO32" i="14"/>
  <c r="BP32" i="14"/>
  <c r="BQ32" i="14"/>
  <c r="J32" i="14"/>
  <c r="B11" i="14"/>
  <c r="B28" i="14"/>
  <c r="B33" i="14"/>
  <c r="BR21" i="14"/>
  <c r="J11" i="14"/>
  <c r="B12" i="14"/>
  <c r="BR10" i="14"/>
  <c r="BS10" i="14"/>
  <c r="BT10" i="14"/>
  <c r="B10" i="14"/>
  <c r="J18" i="14"/>
  <c r="B19" i="14"/>
  <c r="BQ3" i="14"/>
  <c r="BP3" i="14"/>
  <c r="BO3" i="14"/>
  <c r="BN3" i="14"/>
  <c r="BM3" i="14"/>
  <c r="BL3" i="14"/>
  <c r="BK3" i="14"/>
  <c r="BJ3" i="14"/>
  <c r="BI3" i="14"/>
  <c r="BH3" i="14"/>
  <c r="BG3" i="14"/>
  <c r="BF3" i="14"/>
  <c r="BE3" i="14"/>
  <c r="BD3" i="14"/>
  <c r="BC3" i="14"/>
  <c r="BB3" i="14"/>
  <c r="BA3" i="14"/>
  <c r="AZ3" i="14"/>
  <c r="AY3" i="14"/>
  <c r="AX3"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BQ2" i="14"/>
  <c r="BP2" i="14"/>
  <c r="BO2" i="14"/>
  <c r="BN2" i="14"/>
  <c r="BM2" i="14"/>
  <c r="BL2" i="14"/>
  <c r="BK2" i="14"/>
  <c r="BJ2" i="14"/>
  <c r="BI2" i="14"/>
  <c r="BH2" i="14"/>
  <c r="BG2" i="14"/>
  <c r="BF2" i="14"/>
  <c r="BE2" i="14"/>
  <c r="BD2" i="14"/>
  <c r="BC2" i="14"/>
  <c r="BB2" i="14"/>
  <c r="BA2" i="14"/>
  <c r="AZ2" i="14"/>
  <c r="AY2" i="14"/>
  <c r="AX2" i="14"/>
  <c r="AW2" i="14"/>
  <c r="AV2" i="14"/>
  <c r="AU2" i="14"/>
  <c r="AT2" i="14"/>
  <c r="AS2" i="14"/>
  <c r="AR2" i="14"/>
  <c r="AQ2" i="14"/>
  <c r="AP2" i="14"/>
  <c r="AO2" i="14"/>
  <c r="AN2" i="14"/>
  <c r="AM2" i="14"/>
  <c r="AL2" i="14"/>
  <c r="AK2" i="14"/>
  <c r="AJ2" i="14"/>
  <c r="AI2" i="14"/>
  <c r="AH2" i="14"/>
  <c r="AG2" i="14"/>
  <c r="AF2" i="14"/>
  <c r="AE2" i="14"/>
  <c r="AD2" i="14"/>
  <c r="AC2" i="14"/>
  <c r="AB2" i="14"/>
  <c r="AA2" i="14"/>
  <c r="Z2" i="14"/>
  <c r="Y2" i="14"/>
  <c r="X2" i="14"/>
  <c r="W2" i="14"/>
  <c r="V2" i="14"/>
  <c r="U2" i="14"/>
  <c r="T2" i="14"/>
  <c r="S2" i="14"/>
  <c r="R2" i="14"/>
  <c r="Q2" i="14"/>
  <c r="P2" i="14"/>
  <c r="O2" i="14"/>
  <c r="N2" i="14"/>
  <c r="M2" i="14"/>
  <c r="L2" i="14"/>
  <c r="K2" i="14"/>
  <c r="J2" i="14"/>
  <c r="G5" i="13"/>
  <c r="G4" i="13"/>
  <c r="F5" i="13"/>
  <c r="F4" i="13"/>
  <c r="F6" i="13" s="1"/>
  <c r="E5" i="13"/>
  <c r="E4" i="13"/>
  <c r="D5" i="13"/>
  <c r="D4" i="13"/>
  <c r="D6" i="13" s="1"/>
  <c r="C4" i="13"/>
  <c r="C5" i="13"/>
  <c r="C6" i="13" s="1"/>
  <c r="E6" i="13" l="1"/>
  <c r="G6" i="13"/>
  <c r="N147" i="11" l="1"/>
  <c r="N146" i="11"/>
  <c r="N145" i="11"/>
  <c r="N144" i="11"/>
  <c r="N139" i="11"/>
  <c r="N138" i="11"/>
  <c r="N133" i="11"/>
  <c r="N119" i="11"/>
  <c r="N118" i="11"/>
  <c r="N95" i="11"/>
  <c r="N93" i="11"/>
  <c r="N92" i="11"/>
  <c r="N91" i="11"/>
  <c r="N87" i="11"/>
  <c r="N86" i="11"/>
  <c r="N85" i="11"/>
  <c r="N84" i="11"/>
  <c r="N81" i="11"/>
  <c r="N67" i="11"/>
  <c r="N26" i="11"/>
  <c r="N16" i="11"/>
  <c r="N15" i="11"/>
  <c r="N14" i="11"/>
  <c r="N47" i="11"/>
  <c r="N52" i="11"/>
  <c r="N53" i="11"/>
  <c r="N60" i="11"/>
  <c r="N73" i="11"/>
  <c r="N102" i="11"/>
  <c r="N104" i="11"/>
  <c r="N124" i="11"/>
  <c r="N9" i="11"/>
  <c r="BF118" i="9"/>
  <c r="BG118" i="9"/>
  <c r="BH118" i="9"/>
  <c r="BI118" i="9"/>
  <c r="BJ118" i="9"/>
  <c r="BK118" i="9"/>
  <c r="BL118" i="9"/>
  <c r="BM118" i="9"/>
  <c r="BN118" i="9"/>
  <c r="BO118" i="9"/>
  <c r="BP118" i="9"/>
  <c r="BQ118" i="9"/>
  <c r="BF124" i="9"/>
  <c r="BG124" i="9"/>
  <c r="BH124" i="9"/>
  <c r="BI124" i="9"/>
  <c r="BJ124" i="9"/>
  <c r="BK124" i="9"/>
  <c r="BL124" i="9"/>
  <c r="BM124" i="9"/>
  <c r="BN124" i="9"/>
  <c r="BO124" i="9"/>
  <c r="BP124" i="9"/>
  <c r="BQ124" i="9"/>
  <c r="BF133" i="9"/>
  <c r="BG133" i="9"/>
  <c r="BH133" i="9"/>
  <c r="BI133" i="9"/>
  <c r="BJ133" i="9"/>
  <c r="BK133" i="9"/>
  <c r="BL133" i="9"/>
  <c r="BM133" i="9"/>
  <c r="BN133" i="9"/>
  <c r="BO133" i="9"/>
  <c r="BP133" i="9"/>
  <c r="BQ133" i="9"/>
  <c r="BF146" i="9"/>
  <c r="BG146" i="9"/>
  <c r="BH146" i="9"/>
  <c r="BI146" i="9"/>
  <c r="BJ146" i="9"/>
  <c r="BK146" i="9"/>
  <c r="BL146" i="9"/>
  <c r="BM146" i="9"/>
  <c r="BN146" i="9"/>
  <c r="BO146" i="9"/>
  <c r="BP146" i="9"/>
  <c r="BQ146" i="9"/>
  <c r="BF67" i="9"/>
  <c r="BG67" i="9"/>
  <c r="BH67" i="9"/>
  <c r="BI67" i="9"/>
  <c r="BJ67" i="9"/>
  <c r="BK67" i="9"/>
  <c r="BL67" i="9"/>
  <c r="BM67" i="9"/>
  <c r="BN67" i="9"/>
  <c r="BO67" i="9"/>
  <c r="BP67" i="9"/>
  <c r="BQ67" i="9"/>
  <c r="BF73" i="9"/>
  <c r="BG73" i="9"/>
  <c r="BH73" i="9"/>
  <c r="BI73" i="9"/>
  <c r="BJ73" i="9"/>
  <c r="BK73" i="9"/>
  <c r="BL73" i="9"/>
  <c r="BM73" i="9"/>
  <c r="BN73" i="9"/>
  <c r="BO73" i="9"/>
  <c r="BP73" i="9"/>
  <c r="BQ73" i="9"/>
  <c r="BF81" i="9"/>
  <c r="BG81" i="9"/>
  <c r="BH81" i="9"/>
  <c r="BI81" i="9"/>
  <c r="BJ81" i="9"/>
  <c r="BK81" i="9"/>
  <c r="BL81" i="9"/>
  <c r="BM81" i="9"/>
  <c r="BN81" i="9"/>
  <c r="BO81" i="9"/>
  <c r="BP81" i="9"/>
  <c r="BQ81" i="9"/>
  <c r="BF84" i="9"/>
  <c r="BG84" i="9"/>
  <c r="BH84" i="9"/>
  <c r="BI84" i="9"/>
  <c r="BJ84" i="9"/>
  <c r="BK84" i="9"/>
  <c r="BL84" i="9"/>
  <c r="BM84" i="9"/>
  <c r="BN84" i="9"/>
  <c r="BO84" i="9"/>
  <c r="BP84" i="9"/>
  <c r="BQ84" i="9"/>
  <c r="BF93" i="9"/>
  <c r="BG93" i="9"/>
  <c r="BH93" i="9"/>
  <c r="BI93" i="9"/>
  <c r="BJ93" i="9"/>
  <c r="BK93" i="9"/>
  <c r="BL93" i="9"/>
  <c r="BM93" i="9"/>
  <c r="BN93" i="9"/>
  <c r="BO93" i="9"/>
  <c r="BP93" i="9"/>
  <c r="BQ93" i="9"/>
  <c r="BF95" i="9"/>
  <c r="BG95" i="9"/>
  <c r="BH95" i="9"/>
  <c r="BI95" i="9"/>
  <c r="BJ95" i="9"/>
  <c r="BK95" i="9"/>
  <c r="BL95" i="9"/>
  <c r="BM95" i="9"/>
  <c r="BN95" i="9"/>
  <c r="BO95" i="9"/>
  <c r="BP95" i="9"/>
  <c r="BQ95" i="9"/>
  <c r="BF14" i="9"/>
  <c r="BG14" i="9"/>
  <c r="BH14" i="9"/>
  <c r="BI14" i="9"/>
  <c r="BJ14" i="9"/>
  <c r="BK14" i="9"/>
  <c r="BL14" i="9"/>
  <c r="BM14" i="9"/>
  <c r="BN14" i="9"/>
  <c r="BO14" i="9"/>
  <c r="BP14" i="9"/>
  <c r="BQ14" i="9"/>
  <c r="BF15" i="9"/>
  <c r="BG15" i="9"/>
  <c r="BH15" i="9"/>
  <c r="BI15" i="9"/>
  <c r="BJ15" i="9"/>
  <c r="BK15" i="9"/>
  <c r="BL15" i="9"/>
  <c r="BM15" i="9"/>
  <c r="BN15" i="9"/>
  <c r="BO15" i="9"/>
  <c r="BP15" i="9"/>
  <c r="BQ15" i="9"/>
  <c r="BF16" i="9"/>
  <c r="BG16" i="9"/>
  <c r="BH16" i="9"/>
  <c r="BI16" i="9"/>
  <c r="BJ16" i="9"/>
  <c r="BK16" i="9"/>
  <c r="BL16" i="9"/>
  <c r="BM16" i="9"/>
  <c r="BN16" i="9"/>
  <c r="BO16" i="9"/>
  <c r="BP16" i="9"/>
  <c r="BQ16" i="9"/>
  <c r="BF26" i="9"/>
  <c r="BG26" i="9"/>
  <c r="BH26" i="9"/>
  <c r="BI26" i="9"/>
  <c r="BJ26" i="9"/>
  <c r="BK26" i="9"/>
  <c r="BL26" i="9"/>
  <c r="BM26" i="9"/>
  <c r="BN26" i="9"/>
  <c r="BO26" i="9"/>
  <c r="BP26" i="9"/>
  <c r="BQ26" i="9"/>
  <c r="BF2" i="9"/>
  <c r="BG2" i="9"/>
  <c r="BH2" i="9"/>
  <c r="BI2" i="9"/>
  <c r="BJ2" i="9"/>
  <c r="BK2" i="9"/>
  <c r="BL2" i="9"/>
  <c r="BM2" i="9"/>
  <c r="BN2" i="9"/>
  <c r="BO2" i="9"/>
  <c r="BP2" i="9"/>
  <c r="BQ2" i="9"/>
  <c r="BF3" i="9"/>
  <c r="BG3" i="9"/>
  <c r="BH3" i="9"/>
  <c r="BI3" i="9"/>
  <c r="BJ3" i="9"/>
  <c r="BK3" i="9"/>
  <c r="BL3" i="9"/>
  <c r="BM3" i="9"/>
  <c r="BN3" i="9"/>
  <c r="BO3" i="9"/>
  <c r="BP3" i="9"/>
  <c r="BQ3" i="9"/>
  <c r="BF16" i="6"/>
  <c r="BF18" i="6"/>
  <c r="BG16" i="6" s="1"/>
  <c r="BG18" i="6" s="1"/>
  <c r="BF21" i="6"/>
  <c r="BF23" i="6"/>
  <c r="BG21" i="6" s="1"/>
  <c r="BG23" i="6" s="1"/>
  <c r="BH21" i="6" s="1"/>
  <c r="BH23" i="6" s="1"/>
  <c r="BI21" i="6" s="1"/>
  <c r="BI23" i="6" s="1"/>
  <c r="BJ21" i="6" s="1"/>
  <c r="BJ23" i="6" s="1"/>
  <c r="BK21" i="6" s="1"/>
  <c r="BK23" i="6" s="1"/>
  <c r="BL21" i="6" s="1"/>
  <c r="BL23" i="6" s="1"/>
  <c r="BM21" i="6" s="1"/>
  <c r="BM23" i="6" s="1"/>
  <c r="BN21" i="6" s="1"/>
  <c r="BN23" i="6" s="1"/>
  <c r="BO21" i="6" s="1"/>
  <c r="BO23" i="6" s="1"/>
  <c r="BP21" i="6" s="1"/>
  <c r="BP23" i="6" s="1"/>
  <c r="BQ21" i="6" s="1"/>
  <c r="BQ23" i="6" s="1"/>
  <c r="BF25" i="6"/>
  <c r="BF41" i="6"/>
  <c r="BF43" i="6"/>
  <c r="BG41" i="6" s="1"/>
  <c r="BG43" i="6" s="1"/>
  <c r="BH41" i="6" s="1"/>
  <c r="BH43" i="6" s="1"/>
  <c r="BI41" i="6" s="1"/>
  <c r="BI43" i="6" s="1"/>
  <c r="BJ41" i="6" s="1"/>
  <c r="BJ43" i="6" s="1"/>
  <c r="BK41" i="6" s="1"/>
  <c r="BK43" i="6" s="1"/>
  <c r="BL41" i="6" s="1"/>
  <c r="BL43" i="6" s="1"/>
  <c r="BM41" i="6" s="1"/>
  <c r="BM43" i="6" s="1"/>
  <c r="BN41" i="6" s="1"/>
  <c r="BN43" i="6" s="1"/>
  <c r="BO41" i="6" s="1"/>
  <c r="BO43" i="6" s="1"/>
  <c r="BP41" i="6" s="1"/>
  <c r="BP43" i="6" s="1"/>
  <c r="BQ41" i="6" s="1"/>
  <c r="BQ43" i="6" s="1"/>
  <c r="BF73" i="6"/>
  <c r="BF75" i="6"/>
  <c r="BG73" i="6" s="1"/>
  <c r="BG75" i="6" s="1"/>
  <c r="BH73" i="6" s="1"/>
  <c r="BH75" i="6" s="1"/>
  <c r="BI73" i="6" s="1"/>
  <c r="BI75" i="6" s="1"/>
  <c r="BJ73" i="6" s="1"/>
  <c r="BJ75" i="6" s="1"/>
  <c r="BK73" i="6" s="1"/>
  <c r="BK75" i="6" s="1"/>
  <c r="BL73" i="6" s="1"/>
  <c r="BL75" i="6" s="1"/>
  <c r="BM73" i="6" s="1"/>
  <c r="BM75" i="6" s="1"/>
  <c r="BN73" i="6" s="1"/>
  <c r="BN75" i="6" s="1"/>
  <c r="BO73" i="6" s="1"/>
  <c r="BO75" i="6" s="1"/>
  <c r="BP73" i="6" s="1"/>
  <c r="BP75" i="6" s="1"/>
  <c r="BQ73" i="6" s="1"/>
  <c r="BQ75" i="6" s="1"/>
  <c r="BF79" i="6"/>
  <c r="BF81" i="6"/>
  <c r="BG79" i="6" s="1"/>
  <c r="BG81" i="6" s="1"/>
  <c r="BH79" i="6" s="1"/>
  <c r="BH81" i="6" s="1"/>
  <c r="BI79" i="6" s="1"/>
  <c r="BI81" i="6" s="1"/>
  <c r="BJ79" i="6" s="1"/>
  <c r="BJ81" i="6" s="1"/>
  <c r="BK79" i="6" s="1"/>
  <c r="BK81" i="6" s="1"/>
  <c r="BL79" i="6" s="1"/>
  <c r="BL81" i="6" s="1"/>
  <c r="BM79" i="6" s="1"/>
  <c r="BM81" i="6" s="1"/>
  <c r="BN79" i="6" s="1"/>
  <c r="BN81" i="6" s="1"/>
  <c r="BO79" i="6" s="1"/>
  <c r="BO81" i="6" s="1"/>
  <c r="BP79" i="6" s="1"/>
  <c r="BP81" i="6" s="1"/>
  <c r="BQ79" i="6" s="1"/>
  <c r="BQ81" i="6" s="1"/>
  <c r="BF2" i="6"/>
  <c r="BG2" i="6"/>
  <c r="BH2" i="6"/>
  <c r="BI2" i="6"/>
  <c r="BJ2" i="6"/>
  <c r="BK2" i="6"/>
  <c r="BL2" i="6"/>
  <c r="BM2" i="6"/>
  <c r="BN2" i="6"/>
  <c r="BO2" i="6"/>
  <c r="BP2" i="6"/>
  <c r="BQ2" i="6"/>
  <c r="BF3" i="6"/>
  <c r="BG3" i="6"/>
  <c r="BH3" i="6"/>
  <c r="BI3" i="6"/>
  <c r="BJ3" i="6"/>
  <c r="BK3" i="6"/>
  <c r="BL3" i="6"/>
  <c r="BM3" i="6"/>
  <c r="BN3" i="6"/>
  <c r="BO3" i="6"/>
  <c r="BP3" i="6"/>
  <c r="BQ3" i="6"/>
  <c r="BF9" i="5"/>
  <c r="BF12" i="5"/>
  <c r="BG9" i="5" s="1"/>
  <c r="BG12" i="5" s="1"/>
  <c r="BF14" i="5"/>
  <c r="BF15" i="5"/>
  <c r="BF17" i="5"/>
  <c r="BG14" i="5" s="1"/>
  <c r="BF39" i="5"/>
  <c r="BF42" i="5"/>
  <c r="BG39" i="5" s="1"/>
  <c r="BG42" i="5" s="1"/>
  <c r="BF44" i="5"/>
  <c r="BF45" i="5"/>
  <c r="BF47" i="5"/>
  <c r="BG44" i="5" s="1"/>
  <c r="BF49" i="5"/>
  <c r="BF53" i="5"/>
  <c r="BF56" i="5"/>
  <c r="BG53" i="5" s="1"/>
  <c r="BG56" i="5" s="1"/>
  <c r="BF58" i="5"/>
  <c r="BF59" i="5"/>
  <c r="BF61" i="5"/>
  <c r="BG58" i="5" s="1"/>
  <c r="BF63" i="5"/>
  <c r="BF69" i="5"/>
  <c r="BG69" i="5"/>
  <c r="BH69" i="5"/>
  <c r="BI69" i="5"/>
  <c r="BJ69" i="5"/>
  <c r="BK69" i="5"/>
  <c r="BL69" i="5"/>
  <c r="BM69" i="5"/>
  <c r="BN69" i="5"/>
  <c r="BO69" i="5"/>
  <c r="BP69" i="5"/>
  <c r="BQ69" i="5"/>
  <c r="BF74" i="5"/>
  <c r="BG74" i="5"/>
  <c r="BH74" i="5"/>
  <c r="BI74" i="5"/>
  <c r="BJ74" i="5"/>
  <c r="BK74" i="5"/>
  <c r="BL74" i="5"/>
  <c r="BM74" i="5"/>
  <c r="BN74" i="5"/>
  <c r="BO74" i="5"/>
  <c r="BP74" i="5"/>
  <c r="BQ74" i="5"/>
  <c r="BF84" i="5"/>
  <c r="BG84" i="5"/>
  <c r="BH84" i="5"/>
  <c r="BI84" i="5"/>
  <c r="BJ84" i="5"/>
  <c r="BK84" i="5"/>
  <c r="BL84" i="5"/>
  <c r="BL86" i="5" s="1"/>
  <c r="BL88" i="5" s="1"/>
  <c r="BL26" i="5" s="1"/>
  <c r="BL68" i="5" s="1"/>
  <c r="BM84" i="5"/>
  <c r="BM86" i="5" s="1"/>
  <c r="BM88" i="5" s="1"/>
  <c r="BM26" i="5" s="1"/>
  <c r="BM68" i="5" s="1"/>
  <c r="BM31" i="6" s="1"/>
  <c r="BN84" i="5"/>
  <c r="BO84" i="5"/>
  <c r="BP84" i="5"/>
  <c r="BQ84" i="5"/>
  <c r="BQ86" i="5" s="1"/>
  <c r="BQ88" i="5" s="1"/>
  <c r="BQ26" i="5" s="1"/>
  <c r="BQ68" i="5" s="1"/>
  <c r="BF85" i="5"/>
  <c r="BG85" i="5"/>
  <c r="BH85" i="5"/>
  <c r="BI85" i="5"/>
  <c r="BJ85" i="5"/>
  <c r="BK85" i="5"/>
  <c r="BL85" i="5"/>
  <c r="BM85" i="5"/>
  <c r="BN85" i="5"/>
  <c r="BO85" i="5"/>
  <c r="BP85" i="5"/>
  <c r="BQ85" i="5"/>
  <c r="BF86" i="5"/>
  <c r="BF88" i="5" s="1"/>
  <c r="BF26" i="5" s="1"/>
  <c r="BG86" i="5"/>
  <c r="BG88" i="5" s="1"/>
  <c r="BG26" i="5" s="1"/>
  <c r="BG68" i="5" s="1"/>
  <c r="BH86" i="5"/>
  <c r="BI86" i="5"/>
  <c r="BI88" i="5" s="1"/>
  <c r="BI26" i="5" s="1"/>
  <c r="BI68" i="5" s="1"/>
  <c r="BH88" i="5"/>
  <c r="BH26" i="5" s="1"/>
  <c r="BH68" i="5" s="1"/>
  <c r="BH140" i="9" s="1"/>
  <c r="BH141" i="9" s="1"/>
  <c r="BE9" i="5"/>
  <c r="BF2" i="5"/>
  <c r="BG2" i="5"/>
  <c r="BH2" i="5"/>
  <c r="BI2" i="5"/>
  <c r="BJ2" i="5"/>
  <c r="BK2" i="5"/>
  <c r="BL2" i="5"/>
  <c r="BM2" i="5"/>
  <c r="BN2" i="5"/>
  <c r="BO2" i="5"/>
  <c r="BP2" i="5"/>
  <c r="BQ2" i="5"/>
  <c r="BF3" i="5"/>
  <c r="BG3" i="5"/>
  <c r="BH3" i="5"/>
  <c r="BI3" i="5"/>
  <c r="BJ3" i="5"/>
  <c r="BK3" i="5"/>
  <c r="BL3" i="5"/>
  <c r="BM3" i="5"/>
  <c r="BN3" i="5"/>
  <c r="BO3" i="5"/>
  <c r="BP3" i="5"/>
  <c r="BQ3" i="5"/>
  <c r="BF12" i="10"/>
  <c r="BG12" i="10"/>
  <c r="BH12" i="10"/>
  <c r="BI12" i="10"/>
  <c r="BJ12" i="10"/>
  <c r="BK12" i="10"/>
  <c r="BL12" i="10"/>
  <c r="BM12" i="10"/>
  <c r="BN12" i="10"/>
  <c r="BO12" i="10"/>
  <c r="BP12" i="10"/>
  <c r="BQ12" i="10"/>
  <c r="BF15" i="10"/>
  <c r="BG15" i="10"/>
  <c r="BH15" i="10"/>
  <c r="BI15" i="10"/>
  <c r="BJ15" i="10"/>
  <c r="BK15" i="10"/>
  <c r="BL15" i="10"/>
  <c r="BM15" i="10"/>
  <c r="BN15" i="10"/>
  <c r="BO15" i="10"/>
  <c r="BP15" i="10"/>
  <c r="BQ15" i="10"/>
  <c r="BF16" i="10"/>
  <c r="BG16" i="10"/>
  <c r="BH16" i="10"/>
  <c r="BI16" i="10"/>
  <c r="BJ16" i="10"/>
  <c r="BK16" i="10"/>
  <c r="BL16" i="10"/>
  <c r="BM16" i="10"/>
  <c r="BN16" i="10"/>
  <c r="BO16" i="10"/>
  <c r="BP16" i="10"/>
  <c r="BQ16" i="10"/>
  <c r="BF17" i="10"/>
  <c r="BG17" i="10"/>
  <c r="BH17" i="10"/>
  <c r="BI17" i="10"/>
  <c r="BJ17" i="10"/>
  <c r="BK17" i="10"/>
  <c r="BL17" i="10"/>
  <c r="BM17" i="10"/>
  <c r="BN17" i="10"/>
  <c r="BO17" i="10"/>
  <c r="BP17" i="10"/>
  <c r="BQ17" i="10"/>
  <c r="BF18" i="10"/>
  <c r="BG18" i="10"/>
  <c r="BH18" i="10"/>
  <c r="BI18" i="10"/>
  <c r="BJ18" i="10"/>
  <c r="BK18" i="10"/>
  <c r="BL18" i="10"/>
  <c r="BM18" i="10"/>
  <c r="BN18" i="10"/>
  <c r="BO18" i="10"/>
  <c r="BP18" i="10"/>
  <c r="BQ18" i="10"/>
  <c r="BF19" i="10"/>
  <c r="BG19" i="10"/>
  <c r="BH19" i="10"/>
  <c r="BI19" i="10"/>
  <c r="BJ19" i="10"/>
  <c r="BK19" i="10"/>
  <c r="BL19" i="10"/>
  <c r="BM19" i="10"/>
  <c r="BN19" i="10"/>
  <c r="BO19" i="10"/>
  <c r="BP19" i="10"/>
  <c r="BQ19" i="10"/>
  <c r="BF20" i="10"/>
  <c r="BG20" i="10"/>
  <c r="BH20" i="10"/>
  <c r="BI20" i="10"/>
  <c r="BI21" i="10" s="1"/>
  <c r="BJ20" i="10"/>
  <c r="BK20" i="10"/>
  <c r="BL20" i="10"/>
  <c r="BM20" i="10"/>
  <c r="BN20" i="10"/>
  <c r="BO20" i="10"/>
  <c r="BP20" i="10"/>
  <c r="BQ20" i="10"/>
  <c r="BF21" i="10"/>
  <c r="BG21" i="10"/>
  <c r="BH21" i="10"/>
  <c r="BJ21" i="10"/>
  <c r="BK21" i="10"/>
  <c r="BL21" i="10"/>
  <c r="BM21" i="10"/>
  <c r="BN21" i="10"/>
  <c r="BO21" i="10"/>
  <c r="BP21" i="10"/>
  <c r="BQ21" i="10"/>
  <c r="BF24" i="10"/>
  <c r="BG24" i="10"/>
  <c r="BH24" i="10"/>
  <c r="BJ24" i="10"/>
  <c r="BK24" i="10"/>
  <c r="BL24" i="10"/>
  <c r="BM24" i="10"/>
  <c r="BN24" i="10"/>
  <c r="BO24" i="10"/>
  <c r="BP24" i="10"/>
  <c r="BQ24" i="10"/>
  <c r="BF25" i="10"/>
  <c r="BG25" i="10"/>
  <c r="BH25" i="10"/>
  <c r="BJ25" i="10"/>
  <c r="BK25" i="10"/>
  <c r="BL25" i="10"/>
  <c r="BM25" i="10"/>
  <c r="BN25" i="10"/>
  <c r="BO25" i="10"/>
  <c r="BP25" i="10"/>
  <c r="BQ25" i="10"/>
  <c r="BF26" i="10"/>
  <c r="BG26" i="10"/>
  <c r="BH26" i="10"/>
  <c r="BJ26" i="10"/>
  <c r="BK26" i="10"/>
  <c r="BL26" i="10"/>
  <c r="BM26" i="10"/>
  <c r="BN26" i="10"/>
  <c r="BO26" i="10"/>
  <c r="BP26" i="10"/>
  <c r="BQ26" i="10"/>
  <c r="BF27" i="10"/>
  <c r="BG27" i="10"/>
  <c r="BH27" i="10"/>
  <c r="BJ27" i="10"/>
  <c r="BK27" i="10"/>
  <c r="BL27" i="10"/>
  <c r="BM27" i="10"/>
  <c r="BM28" i="10" s="1"/>
  <c r="BM85" i="10" s="1"/>
  <c r="BN27" i="10"/>
  <c r="BO27" i="10"/>
  <c r="BP27" i="10"/>
  <c r="BQ27" i="10"/>
  <c r="BF28" i="10"/>
  <c r="BF85" i="10" s="1"/>
  <c r="BG28" i="10"/>
  <c r="BH28" i="10"/>
  <c r="BJ28" i="10"/>
  <c r="BK28" i="10"/>
  <c r="BL28" i="10"/>
  <c r="BN28" i="10"/>
  <c r="BO28" i="10"/>
  <c r="BP28" i="10"/>
  <c r="BF38" i="10"/>
  <c r="BG38" i="10"/>
  <c r="BH38" i="10"/>
  <c r="BI38" i="10"/>
  <c r="BJ38" i="10"/>
  <c r="BK38" i="10"/>
  <c r="BL38" i="10"/>
  <c r="BM38" i="10"/>
  <c r="BN38" i="10"/>
  <c r="BO38" i="10"/>
  <c r="BP38" i="10"/>
  <c r="BQ38" i="10"/>
  <c r="BF41" i="10"/>
  <c r="BG41" i="10"/>
  <c r="BH41" i="10"/>
  <c r="BI41" i="10"/>
  <c r="BJ41" i="10"/>
  <c r="BK41" i="10"/>
  <c r="BL41" i="10"/>
  <c r="BM41" i="10"/>
  <c r="BN41" i="10"/>
  <c r="BO41" i="10"/>
  <c r="BP41" i="10"/>
  <c r="BQ41" i="10"/>
  <c r="BF42" i="10"/>
  <c r="BG42" i="10"/>
  <c r="BH42" i="10"/>
  <c r="BI42" i="10"/>
  <c r="BJ42" i="10"/>
  <c r="BK42" i="10"/>
  <c r="BL42" i="10"/>
  <c r="BM42" i="10"/>
  <c r="BN42" i="10"/>
  <c r="BO42" i="10"/>
  <c r="BP42" i="10"/>
  <c r="BQ42" i="10"/>
  <c r="BF43" i="10"/>
  <c r="BG43" i="10"/>
  <c r="BH43" i="10"/>
  <c r="BI43" i="10"/>
  <c r="BJ43" i="10"/>
  <c r="BK43" i="10"/>
  <c r="BL43" i="10"/>
  <c r="BM43" i="10"/>
  <c r="BN43" i="10"/>
  <c r="BO43" i="10"/>
  <c r="BP43" i="10"/>
  <c r="BQ43" i="10"/>
  <c r="BF44" i="10"/>
  <c r="BG44" i="10"/>
  <c r="BH44" i="10"/>
  <c r="BI44" i="10"/>
  <c r="BJ44" i="10"/>
  <c r="BK44" i="10"/>
  <c r="BL44" i="10"/>
  <c r="BM44" i="10"/>
  <c r="BN44" i="10"/>
  <c r="BO44" i="10"/>
  <c r="BP44" i="10"/>
  <c r="BQ44" i="10"/>
  <c r="BF45" i="10"/>
  <c r="BG45" i="10"/>
  <c r="BH45" i="10"/>
  <c r="BI45" i="10"/>
  <c r="BJ45" i="10"/>
  <c r="BK45" i="10"/>
  <c r="BL45" i="10"/>
  <c r="BM45" i="10"/>
  <c r="BN45" i="10"/>
  <c r="BO45" i="10"/>
  <c r="BP45" i="10"/>
  <c r="BQ45" i="10"/>
  <c r="BF46" i="10"/>
  <c r="BG46" i="10"/>
  <c r="BH46" i="10"/>
  <c r="BI46" i="10"/>
  <c r="BJ46" i="10"/>
  <c r="BK46" i="10"/>
  <c r="BL46" i="10"/>
  <c r="BM46" i="10"/>
  <c r="BN46" i="10"/>
  <c r="BO46" i="10"/>
  <c r="BP46" i="10"/>
  <c r="BQ46" i="10"/>
  <c r="BF47" i="10"/>
  <c r="BF50" i="10" s="1"/>
  <c r="BF24" i="9" s="1"/>
  <c r="BG47" i="10"/>
  <c r="BG52" i="10" s="1"/>
  <c r="BH47" i="10"/>
  <c r="BH52" i="10" s="1"/>
  <c r="BI47" i="10"/>
  <c r="BJ47" i="10"/>
  <c r="BJ53" i="10" s="1"/>
  <c r="BK47" i="10"/>
  <c r="BK50" i="10" s="1"/>
  <c r="BL47" i="10"/>
  <c r="BM47" i="10"/>
  <c r="BN47" i="10"/>
  <c r="BN50" i="10" s="1"/>
  <c r="BO47" i="10"/>
  <c r="BO52" i="10" s="1"/>
  <c r="BP47" i="10"/>
  <c r="BP50" i="10" s="1"/>
  <c r="BQ47" i="10"/>
  <c r="BJ50" i="10"/>
  <c r="BJ54" i="10" s="1"/>
  <c r="BJ86" i="10" s="1"/>
  <c r="BF51" i="10"/>
  <c r="BF25" i="9" s="1"/>
  <c r="BG51" i="10"/>
  <c r="BG25" i="9" s="1"/>
  <c r="BJ51" i="10"/>
  <c r="BJ25" i="9" s="1"/>
  <c r="BN51" i="10"/>
  <c r="BN25" i="9" s="1"/>
  <c r="BO51" i="10"/>
  <c r="BO25" i="9" s="1"/>
  <c r="BJ52" i="10"/>
  <c r="BN52" i="10"/>
  <c r="BF53" i="10"/>
  <c r="BL53" i="10"/>
  <c r="BF64" i="10"/>
  <c r="BG64" i="10"/>
  <c r="BH64" i="10"/>
  <c r="BI64" i="10"/>
  <c r="BJ64" i="10"/>
  <c r="BK64" i="10"/>
  <c r="BL64" i="10"/>
  <c r="BM64" i="10"/>
  <c r="BN64" i="10"/>
  <c r="BO64" i="10"/>
  <c r="BP64" i="10"/>
  <c r="BQ64" i="10"/>
  <c r="BF67" i="10"/>
  <c r="BG67" i="10"/>
  <c r="BH67" i="10"/>
  <c r="BI67" i="10"/>
  <c r="BJ67" i="10"/>
  <c r="BK67" i="10"/>
  <c r="BL67" i="10"/>
  <c r="BM67" i="10"/>
  <c r="BN67" i="10"/>
  <c r="BO67" i="10"/>
  <c r="BP67" i="10"/>
  <c r="BQ67" i="10"/>
  <c r="BF68" i="10"/>
  <c r="BG68" i="10"/>
  <c r="BH68" i="10"/>
  <c r="BI68" i="10"/>
  <c r="BJ68" i="10"/>
  <c r="BK68" i="10"/>
  <c r="BL68" i="10"/>
  <c r="BM68" i="10"/>
  <c r="BN68" i="10"/>
  <c r="BO68" i="10"/>
  <c r="BP68" i="10"/>
  <c r="BQ68" i="10"/>
  <c r="BF69" i="10"/>
  <c r="BG69" i="10"/>
  <c r="BH69" i="10"/>
  <c r="BI69" i="10"/>
  <c r="BJ69" i="10"/>
  <c r="BK69" i="10"/>
  <c r="BL69" i="10"/>
  <c r="BM69" i="10"/>
  <c r="BN69" i="10"/>
  <c r="BO69" i="10"/>
  <c r="BP69" i="10"/>
  <c r="BQ69" i="10"/>
  <c r="BF70" i="10"/>
  <c r="BG70" i="10"/>
  <c r="BH70" i="10"/>
  <c r="BI70" i="10"/>
  <c r="BJ70" i="10"/>
  <c r="BK70" i="10"/>
  <c r="BL70" i="10"/>
  <c r="BM70" i="10"/>
  <c r="BN70" i="10"/>
  <c r="BO70" i="10"/>
  <c r="BP70" i="10"/>
  <c r="BQ70" i="10"/>
  <c r="BF71" i="10"/>
  <c r="BG71" i="10"/>
  <c r="BH71" i="10"/>
  <c r="BI71" i="10"/>
  <c r="BJ71" i="10"/>
  <c r="BK71" i="10"/>
  <c r="BL71" i="10"/>
  <c r="BM71" i="10"/>
  <c r="BN71" i="10"/>
  <c r="BO71" i="10"/>
  <c r="BP71" i="10"/>
  <c r="BQ71" i="10"/>
  <c r="BF72" i="10"/>
  <c r="BG72" i="10"/>
  <c r="BH72" i="10"/>
  <c r="BI72" i="10"/>
  <c r="BJ72" i="10"/>
  <c r="BK72" i="10"/>
  <c r="BL72" i="10"/>
  <c r="BM72" i="10"/>
  <c r="BN72" i="10"/>
  <c r="BO72" i="10"/>
  <c r="BP72" i="10"/>
  <c r="BQ72" i="10"/>
  <c r="BF73" i="10"/>
  <c r="BG73" i="10"/>
  <c r="BH73" i="10"/>
  <c r="BI73" i="10"/>
  <c r="BJ73" i="10"/>
  <c r="BK73" i="10"/>
  <c r="BL73" i="10"/>
  <c r="BM73" i="10"/>
  <c r="BN73" i="10"/>
  <c r="BO73" i="10"/>
  <c r="BP73" i="10"/>
  <c r="BQ73" i="10"/>
  <c r="BF76" i="10"/>
  <c r="BG76" i="10"/>
  <c r="BH76" i="10"/>
  <c r="BI76" i="10"/>
  <c r="BJ76" i="10"/>
  <c r="BK76" i="10"/>
  <c r="BL76" i="10"/>
  <c r="BM76" i="10"/>
  <c r="BN76" i="10"/>
  <c r="BO76" i="10"/>
  <c r="BP76" i="10"/>
  <c r="BQ76" i="10"/>
  <c r="BF77" i="10"/>
  <c r="BG77" i="10"/>
  <c r="BH77" i="10"/>
  <c r="BI77" i="10"/>
  <c r="BJ77" i="10"/>
  <c r="BK77" i="10"/>
  <c r="BL77" i="10"/>
  <c r="BM77" i="10"/>
  <c r="BN77" i="10"/>
  <c r="BO77" i="10"/>
  <c r="BP77" i="10"/>
  <c r="BQ77" i="10"/>
  <c r="BF78" i="10"/>
  <c r="BG78" i="10"/>
  <c r="BH78" i="10"/>
  <c r="BI78" i="10"/>
  <c r="BJ78" i="10"/>
  <c r="BK78" i="10"/>
  <c r="BL78" i="10"/>
  <c r="BM78" i="10"/>
  <c r="BN78" i="10"/>
  <c r="BO78" i="10"/>
  <c r="BP78" i="10"/>
  <c r="BQ78" i="10"/>
  <c r="BF79" i="10"/>
  <c r="BG79" i="10"/>
  <c r="BH79" i="10"/>
  <c r="BI79" i="10"/>
  <c r="BJ79" i="10"/>
  <c r="BJ80" i="10" s="1"/>
  <c r="BJ87" i="10" s="1"/>
  <c r="BK79" i="10"/>
  <c r="BL79" i="10"/>
  <c r="BM79" i="10"/>
  <c r="BN79" i="10"/>
  <c r="BO79" i="10"/>
  <c r="BP79" i="10"/>
  <c r="BQ79" i="10"/>
  <c r="BF80" i="10"/>
  <c r="BG80" i="10"/>
  <c r="BH80" i="10"/>
  <c r="BI80" i="10"/>
  <c r="BK80" i="10"/>
  <c r="BL80" i="10"/>
  <c r="BM80" i="10"/>
  <c r="BN80" i="10"/>
  <c r="BO80" i="10"/>
  <c r="BP80" i="10"/>
  <c r="BQ80" i="10"/>
  <c r="BG85" i="10"/>
  <c r="BH85" i="10"/>
  <c r="BJ85" i="10"/>
  <c r="BK85" i="10"/>
  <c r="BL85" i="10"/>
  <c r="BN85" i="10"/>
  <c r="BO85" i="10"/>
  <c r="BP85" i="10"/>
  <c r="BF87" i="10"/>
  <c r="BG87" i="10"/>
  <c r="BH87" i="10"/>
  <c r="BI87" i="10"/>
  <c r="BK87" i="10"/>
  <c r="BL87" i="10"/>
  <c r="BM87" i="10"/>
  <c r="BN87" i="10"/>
  <c r="BO87" i="10"/>
  <c r="BP87" i="10"/>
  <c r="BQ87" i="10"/>
  <c r="BE15" i="10"/>
  <c r="BF2" i="10"/>
  <c r="BG2" i="10"/>
  <c r="BH2" i="10"/>
  <c r="BI2" i="10"/>
  <c r="BJ2" i="10"/>
  <c r="BK2" i="10"/>
  <c r="BL2" i="10"/>
  <c r="BM2" i="10"/>
  <c r="BN2" i="10"/>
  <c r="BO2" i="10"/>
  <c r="BP2" i="10"/>
  <c r="BQ2" i="10"/>
  <c r="BF3" i="10"/>
  <c r="BG3" i="10"/>
  <c r="BH3" i="10"/>
  <c r="BI3" i="10"/>
  <c r="BJ3" i="10"/>
  <c r="BK3" i="10"/>
  <c r="BL3" i="10"/>
  <c r="BM3" i="10"/>
  <c r="BN3" i="10"/>
  <c r="BO3" i="10"/>
  <c r="BP3" i="10"/>
  <c r="BQ3" i="10"/>
  <c r="BF13" i="12"/>
  <c r="BG13" i="12"/>
  <c r="BH13" i="12"/>
  <c r="BI13" i="12"/>
  <c r="BJ13" i="12"/>
  <c r="BK13" i="12"/>
  <c r="BL13" i="12"/>
  <c r="BM13" i="12"/>
  <c r="BN13" i="12"/>
  <c r="BO13" i="12"/>
  <c r="BP13" i="12"/>
  <c r="BQ13" i="12"/>
  <c r="BF14" i="12"/>
  <c r="BG14" i="12"/>
  <c r="BH14" i="12"/>
  <c r="BI14" i="12"/>
  <c r="BJ14" i="12"/>
  <c r="BK14" i="12"/>
  <c r="BL14" i="12"/>
  <c r="BM14" i="12"/>
  <c r="BM15" i="12" s="1"/>
  <c r="BN14" i="12"/>
  <c r="BO14" i="12"/>
  <c r="BP14" i="12"/>
  <c r="BQ14" i="12"/>
  <c r="BF15" i="12"/>
  <c r="BG15" i="12"/>
  <c r="BH15" i="12"/>
  <c r="BI15" i="12"/>
  <c r="BJ15" i="12"/>
  <c r="BK15" i="12"/>
  <c r="BL15" i="12"/>
  <c r="BN15" i="12"/>
  <c r="BO15" i="12"/>
  <c r="BP15" i="12"/>
  <c r="BQ15" i="12"/>
  <c r="BQ2" i="12"/>
  <c r="BQ3" i="12"/>
  <c r="BF2" i="12"/>
  <c r="BG2" i="12"/>
  <c r="BH2" i="12"/>
  <c r="BI2" i="12"/>
  <c r="BJ2" i="12"/>
  <c r="BK2" i="12"/>
  <c r="BL2" i="12"/>
  <c r="BM2" i="12"/>
  <c r="BN2" i="12"/>
  <c r="BO2" i="12"/>
  <c r="BP2" i="12"/>
  <c r="BF3" i="12"/>
  <c r="BG3" i="12"/>
  <c r="BH3" i="12"/>
  <c r="BI3" i="12"/>
  <c r="BJ3" i="12"/>
  <c r="BK3" i="12"/>
  <c r="BL3" i="12"/>
  <c r="BM3" i="12"/>
  <c r="BN3" i="12"/>
  <c r="BO3" i="12"/>
  <c r="BP3" i="12"/>
  <c r="BF52" i="4"/>
  <c r="BG52" i="4"/>
  <c r="BH52" i="4"/>
  <c r="BI52" i="4"/>
  <c r="BJ52" i="4"/>
  <c r="BK52" i="4"/>
  <c r="BL52" i="4"/>
  <c r="BM52" i="4"/>
  <c r="BN52" i="4"/>
  <c r="BO52" i="4"/>
  <c r="BP52" i="4"/>
  <c r="BQ52" i="4"/>
  <c r="BF54" i="4"/>
  <c r="BF6" i="4" s="1"/>
  <c r="BG54" i="4"/>
  <c r="BG6" i="4" s="1"/>
  <c r="BH54" i="4"/>
  <c r="BH6" i="4" s="1"/>
  <c r="BI54" i="4"/>
  <c r="BI6" i="4" s="1"/>
  <c r="BJ54" i="4"/>
  <c r="BJ6" i="4" s="1"/>
  <c r="BK54" i="4"/>
  <c r="BK6" i="4" s="1"/>
  <c r="BL54" i="4"/>
  <c r="BL6" i="4" s="1"/>
  <c r="BM54" i="4"/>
  <c r="BM6" i="4" s="1"/>
  <c r="BN54" i="4"/>
  <c r="BN6" i="4" s="1"/>
  <c r="BO54" i="4"/>
  <c r="BO6" i="4" s="1"/>
  <c r="BP54" i="4"/>
  <c r="BP6" i="4" s="1"/>
  <c r="BQ54" i="4"/>
  <c r="BQ6" i="4" s="1"/>
  <c r="BF57" i="4"/>
  <c r="BG57" i="4"/>
  <c r="BH57" i="4"/>
  <c r="BI57" i="4"/>
  <c r="BJ57" i="4"/>
  <c r="BK57" i="4"/>
  <c r="BL57" i="4"/>
  <c r="BM57" i="4"/>
  <c r="BN57" i="4"/>
  <c r="BO57" i="4"/>
  <c r="BP57" i="4"/>
  <c r="BQ57" i="4"/>
  <c r="BF59" i="4"/>
  <c r="BF7" i="4" s="1"/>
  <c r="BG59" i="4"/>
  <c r="BG7" i="4" s="1"/>
  <c r="BH59" i="4"/>
  <c r="BH7" i="4" s="1"/>
  <c r="BI59" i="4"/>
  <c r="BI7" i="4" s="1"/>
  <c r="BJ59" i="4"/>
  <c r="BJ7" i="4" s="1"/>
  <c r="BK59" i="4"/>
  <c r="BK7" i="4" s="1"/>
  <c r="BL59" i="4"/>
  <c r="BL7" i="4" s="1"/>
  <c r="BM59" i="4"/>
  <c r="BM7" i="4" s="1"/>
  <c r="BN59" i="4"/>
  <c r="BN7" i="4" s="1"/>
  <c r="BO59" i="4"/>
  <c r="BO7" i="4" s="1"/>
  <c r="BP59" i="4"/>
  <c r="BP7" i="4" s="1"/>
  <c r="BQ59" i="4"/>
  <c r="BQ7" i="4" s="1"/>
  <c r="BF62" i="4"/>
  <c r="BG62" i="4"/>
  <c r="BH62" i="4"/>
  <c r="BI62" i="4"/>
  <c r="BJ62" i="4"/>
  <c r="BK62" i="4"/>
  <c r="BL62" i="4"/>
  <c r="BM62" i="4"/>
  <c r="BN62" i="4"/>
  <c r="BO62" i="4"/>
  <c r="BP62" i="4"/>
  <c r="BQ62" i="4"/>
  <c r="BF64" i="4"/>
  <c r="BF8" i="4" s="1"/>
  <c r="BG64" i="4"/>
  <c r="BG8" i="4" s="1"/>
  <c r="BH64" i="4"/>
  <c r="BH8" i="4" s="1"/>
  <c r="BI64" i="4"/>
  <c r="BI8" i="4" s="1"/>
  <c r="BJ64" i="4"/>
  <c r="BJ8" i="4" s="1"/>
  <c r="BK64" i="4"/>
  <c r="BK8" i="4" s="1"/>
  <c r="BL64" i="4"/>
  <c r="BL8" i="4" s="1"/>
  <c r="BM64" i="4"/>
  <c r="BM8" i="4" s="1"/>
  <c r="BN64" i="4"/>
  <c r="BN8" i="4" s="1"/>
  <c r="BO64" i="4"/>
  <c r="BO8" i="4" s="1"/>
  <c r="BP64" i="4"/>
  <c r="BP8" i="4" s="1"/>
  <c r="BQ64" i="4"/>
  <c r="BQ8" i="4" s="1"/>
  <c r="BF67" i="4"/>
  <c r="BG67" i="4"/>
  <c r="BH67" i="4"/>
  <c r="BI67" i="4"/>
  <c r="BJ67" i="4"/>
  <c r="BK67" i="4"/>
  <c r="BL67" i="4"/>
  <c r="BM67" i="4"/>
  <c r="BN67" i="4"/>
  <c r="BO67" i="4"/>
  <c r="BP67" i="4"/>
  <c r="BQ67" i="4"/>
  <c r="BF69" i="4"/>
  <c r="BF9" i="4" s="1"/>
  <c r="BG69" i="4"/>
  <c r="BG9" i="4" s="1"/>
  <c r="BH69" i="4"/>
  <c r="BH9" i="4" s="1"/>
  <c r="BI69" i="4"/>
  <c r="BI9" i="4" s="1"/>
  <c r="BJ69" i="4"/>
  <c r="BJ9" i="4" s="1"/>
  <c r="BK69" i="4"/>
  <c r="BK9" i="4" s="1"/>
  <c r="BL69" i="4"/>
  <c r="BL9" i="4" s="1"/>
  <c r="BM69" i="4"/>
  <c r="BM9" i="4" s="1"/>
  <c r="BN69" i="4"/>
  <c r="BN9" i="4" s="1"/>
  <c r="BO69" i="4"/>
  <c r="BO9" i="4" s="1"/>
  <c r="BP69" i="4"/>
  <c r="BP9" i="4" s="1"/>
  <c r="BQ69" i="4"/>
  <c r="BQ9" i="4" s="1"/>
  <c r="BF77" i="4"/>
  <c r="BG77" i="4"/>
  <c r="BH77" i="4"/>
  <c r="BI77" i="4"/>
  <c r="BJ77" i="4"/>
  <c r="BK77" i="4"/>
  <c r="BL77" i="4"/>
  <c r="BM77" i="4"/>
  <c r="BN77" i="4"/>
  <c r="BO77" i="4"/>
  <c r="BP77" i="4"/>
  <c r="BQ77" i="4"/>
  <c r="BF79" i="4"/>
  <c r="BF11" i="4" s="1"/>
  <c r="BG79" i="4"/>
  <c r="BG11" i="4" s="1"/>
  <c r="BH79" i="4"/>
  <c r="BH11" i="4" s="1"/>
  <c r="BI79" i="4"/>
  <c r="BI11" i="4" s="1"/>
  <c r="BJ79" i="4"/>
  <c r="BJ11" i="4" s="1"/>
  <c r="BK79" i="4"/>
  <c r="BK11" i="4" s="1"/>
  <c r="BL79" i="4"/>
  <c r="BL11" i="4" s="1"/>
  <c r="BM79" i="4"/>
  <c r="BM11" i="4" s="1"/>
  <c r="BN79" i="4"/>
  <c r="BN11" i="4" s="1"/>
  <c r="BO79" i="4"/>
  <c r="BO11" i="4" s="1"/>
  <c r="BP79" i="4"/>
  <c r="BP11" i="4" s="1"/>
  <c r="BQ79" i="4"/>
  <c r="BQ11" i="4" s="1"/>
  <c r="BF137" i="4"/>
  <c r="BF29" i="4" s="1"/>
  <c r="BG137" i="4"/>
  <c r="BG29" i="4" s="1"/>
  <c r="BH137" i="4"/>
  <c r="BH29" i="4" s="1"/>
  <c r="BI137" i="4"/>
  <c r="BI29" i="4" s="1"/>
  <c r="BJ137" i="4"/>
  <c r="BJ29" i="4" s="1"/>
  <c r="BK137" i="4"/>
  <c r="BK29" i="4" s="1"/>
  <c r="BL137" i="4"/>
  <c r="BL29" i="4" s="1"/>
  <c r="BM137" i="4"/>
  <c r="BM29" i="4" s="1"/>
  <c r="BN137" i="4"/>
  <c r="BN29" i="4" s="1"/>
  <c r="BO137" i="4"/>
  <c r="BO29" i="4" s="1"/>
  <c r="BP137" i="4"/>
  <c r="BP29" i="4" s="1"/>
  <c r="BQ137" i="4"/>
  <c r="BQ29" i="4" s="1"/>
  <c r="BF143" i="4"/>
  <c r="BF30" i="4" s="1"/>
  <c r="BG143" i="4"/>
  <c r="BG30" i="4" s="1"/>
  <c r="BH143" i="4"/>
  <c r="BH30" i="4" s="1"/>
  <c r="BI143" i="4"/>
  <c r="BI30" i="4" s="1"/>
  <c r="BJ143" i="4"/>
  <c r="BJ30" i="4" s="1"/>
  <c r="BK143" i="4"/>
  <c r="BK30" i="4" s="1"/>
  <c r="BL143" i="4"/>
  <c r="BL30" i="4" s="1"/>
  <c r="BM143" i="4"/>
  <c r="BM30" i="4" s="1"/>
  <c r="BN143" i="4"/>
  <c r="BN30" i="4" s="1"/>
  <c r="BO143" i="4"/>
  <c r="BO30" i="4" s="1"/>
  <c r="BP143" i="4"/>
  <c r="BP30" i="4" s="1"/>
  <c r="BQ143" i="4"/>
  <c r="BQ30" i="4" s="1"/>
  <c r="BF149" i="4"/>
  <c r="BF31" i="4" s="1"/>
  <c r="BG149" i="4"/>
  <c r="BG31" i="4" s="1"/>
  <c r="BH149" i="4"/>
  <c r="BH31" i="4" s="1"/>
  <c r="BI149" i="4"/>
  <c r="BI31" i="4" s="1"/>
  <c r="BJ149" i="4"/>
  <c r="BJ31" i="4" s="1"/>
  <c r="BK149" i="4"/>
  <c r="BK31" i="4" s="1"/>
  <c r="BL149" i="4"/>
  <c r="BL31" i="4" s="1"/>
  <c r="BM149" i="4"/>
  <c r="BM31" i="4" s="1"/>
  <c r="BN149" i="4"/>
  <c r="BN31" i="4" s="1"/>
  <c r="BO149" i="4"/>
  <c r="BO31" i="4" s="1"/>
  <c r="BP149" i="4"/>
  <c r="BP31" i="4" s="1"/>
  <c r="BQ149" i="4"/>
  <c r="BQ31" i="4" s="1"/>
  <c r="BF164" i="4"/>
  <c r="BF33" i="4" s="1"/>
  <c r="BG164" i="4"/>
  <c r="BG33" i="4" s="1"/>
  <c r="BH164" i="4"/>
  <c r="BH33" i="4" s="1"/>
  <c r="BI164" i="4"/>
  <c r="BI33" i="4" s="1"/>
  <c r="BJ164" i="4"/>
  <c r="BJ33" i="4" s="1"/>
  <c r="BK164" i="4"/>
  <c r="BK33" i="4" s="1"/>
  <c r="BL164" i="4"/>
  <c r="BL33" i="4" s="1"/>
  <c r="BM164" i="4"/>
  <c r="BM33" i="4" s="1"/>
  <c r="BN164" i="4"/>
  <c r="BN33" i="4" s="1"/>
  <c r="BO164" i="4"/>
  <c r="BO33" i="4" s="1"/>
  <c r="BP164" i="4"/>
  <c r="BP33" i="4" s="1"/>
  <c r="BQ164" i="4"/>
  <c r="BQ33" i="4" s="1"/>
  <c r="BF172" i="4"/>
  <c r="BF34" i="4" s="1"/>
  <c r="BG172" i="4"/>
  <c r="BG34" i="4" s="1"/>
  <c r="BH172" i="4"/>
  <c r="BH34" i="4" s="1"/>
  <c r="BI172" i="4"/>
  <c r="BI34" i="4" s="1"/>
  <c r="BJ172" i="4"/>
  <c r="BJ34" i="4" s="1"/>
  <c r="BK172" i="4"/>
  <c r="BK34" i="4" s="1"/>
  <c r="BL172" i="4"/>
  <c r="BL34" i="4" s="1"/>
  <c r="BM172" i="4"/>
  <c r="BM34" i="4" s="1"/>
  <c r="BN172" i="4"/>
  <c r="BN34" i="4" s="1"/>
  <c r="BO172" i="4"/>
  <c r="BO34" i="4" s="1"/>
  <c r="BP172" i="4"/>
  <c r="BP34" i="4" s="1"/>
  <c r="BQ172" i="4"/>
  <c r="BQ34" i="4" s="1"/>
  <c r="BF178" i="4"/>
  <c r="BF35" i="4" s="1"/>
  <c r="BG178" i="4"/>
  <c r="BG35" i="4" s="1"/>
  <c r="BH178" i="4"/>
  <c r="BH35" i="4" s="1"/>
  <c r="BI178" i="4"/>
  <c r="BI35" i="4" s="1"/>
  <c r="BJ178" i="4"/>
  <c r="BJ35" i="4" s="1"/>
  <c r="BK178" i="4"/>
  <c r="BK35" i="4" s="1"/>
  <c r="BL178" i="4"/>
  <c r="BL35" i="4" s="1"/>
  <c r="BM178" i="4"/>
  <c r="BM35" i="4" s="1"/>
  <c r="BN178" i="4"/>
  <c r="BN35" i="4" s="1"/>
  <c r="BO178" i="4"/>
  <c r="BO35" i="4" s="1"/>
  <c r="BP178" i="4"/>
  <c r="BP35" i="4" s="1"/>
  <c r="BQ178" i="4"/>
  <c r="BQ35" i="4" s="1"/>
  <c r="BF184" i="4"/>
  <c r="BF36" i="4" s="1"/>
  <c r="BG184" i="4"/>
  <c r="BG36" i="4" s="1"/>
  <c r="BH184" i="4"/>
  <c r="BH36" i="4" s="1"/>
  <c r="BI184" i="4"/>
  <c r="BI36" i="4" s="1"/>
  <c r="BJ184" i="4"/>
  <c r="BJ36" i="4" s="1"/>
  <c r="BK184" i="4"/>
  <c r="BK36" i="4" s="1"/>
  <c r="BL184" i="4"/>
  <c r="BL36" i="4" s="1"/>
  <c r="BM184" i="4"/>
  <c r="BM36" i="4" s="1"/>
  <c r="BN184" i="4"/>
  <c r="BN36" i="4" s="1"/>
  <c r="BO184" i="4"/>
  <c r="BO36" i="4" s="1"/>
  <c r="BP184" i="4"/>
  <c r="BP36" i="4" s="1"/>
  <c r="BQ184" i="4"/>
  <c r="BQ36" i="4" s="1"/>
  <c r="BF190" i="4"/>
  <c r="BF37" i="4" s="1"/>
  <c r="BG190" i="4"/>
  <c r="BG37" i="4" s="1"/>
  <c r="BH190" i="4"/>
  <c r="BH37" i="4" s="1"/>
  <c r="BI190" i="4"/>
  <c r="BI37" i="4" s="1"/>
  <c r="BJ190" i="4"/>
  <c r="BJ37" i="4" s="1"/>
  <c r="BK190" i="4"/>
  <c r="BK37" i="4" s="1"/>
  <c r="BL190" i="4"/>
  <c r="BL37" i="4" s="1"/>
  <c r="BM190" i="4"/>
  <c r="BM37" i="4" s="1"/>
  <c r="BN190" i="4"/>
  <c r="BN37" i="4" s="1"/>
  <c r="BO190" i="4"/>
  <c r="BO37" i="4" s="1"/>
  <c r="BP190" i="4"/>
  <c r="BP37" i="4" s="1"/>
  <c r="BQ190" i="4"/>
  <c r="BQ37" i="4" s="1"/>
  <c r="BF196" i="4"/>
  <c r="BF38" i="4" s="1"/>
  <c r="BG196" i="4"/>
  <c r="BG38" i="4" s="1"/>
  <c r="BH196" i="4"/>
  <c r="BH38" i="4" s="1"/>
  <c r="BI196" i="4"/>
  <c r="BI38" i="4" s="1"/>
  <c r="BJ196" i="4"/>
  <c r="BJ38" i="4" s="1"/>
  <c r="BK196" i="4"/>
  <c r="BK38" i="4" s="1"/>
  <c r="BL196" i="4"/>
  <c r="BL38" i="4" s="1"/>
  <c r="BM196" i="4"/>
  <c r="BM38" i="4" s="1"/>
  <c r="BN196" i="4"/>
  <c r="BN38" i="4" s="1"/>
  <c r="BO196" i="4"/>
  <c r="BO38" i="4" s="1"/>
  <c r="BP196" i="4"/>
  <c r="BP38" i="4" s="1"/>
  <c r="BQ196" i="4"/>
  <c r="BQ38" i="4" s="1"/>
  <c r="BF202" i="4"/>
  <c r="BF39" i="4" s="1"/>
  <c r="BG202" i="4"/>
  <c r="BG39" i="4" s="1"/>
  <c r="BH202" i="4"/>
  <c r="BH39" i="4" s="1"/>
  <c r="BI202" i="4"/>
  <c r="BI39" i="4" s="1"/>
  <c r="BJ202" i="4"/>
  <c r="BJ39" i="4" s="1"/>
  <c r="BK202" i="4"/>
  <c r="BK39" i="4" s="1"/>
  <c r="BL202" i="4"/>
  <c r="BL39" i="4" s="1"/>
  <c r="BM202" i="4"/>
  <c r="BM39" i="4" s="1"/>
  <c r="BN202" i="4"/>
  <c r="BN39" i="4" s="1"/>
  <c r="BO202" i="4"/>
  <c r="BO39" i="4" s="1"/>
  <c r="BP202" i="4"/>
  <c r="BP39" i="4" s="1"/>
  <c r="BQ202" i="4"/>
  <c r="BQ39" i="4" s="1"/>
  <c r="BF208" i="4"/>
  <c r="BF40" i="4" s="1"/>
  <c r="BG208" i="4"/>
  <c r="BG40" i="4" s="1"/>
  <c r="BH208" i="4"/>
  <c r="BH40" i="4" s="1"/>
  <c r="BI208" i="4"/>
  <c r="BI40" i="4" s="1"/>
  <c r="BJ208" i="4"/>
  <c r="BJ40" i="4" s="1"/>
  <c r="BK208" i="4"/>
  <c r="BK40" i="4" s="1"/>
  <c r="BL208" i="4"/>
  <c r="BL40" i="4" s="1"/>
  <c r="BM208" i="4"/>
  <c r="BM40" i="4" s="1"/>
  <c r="BN208" i="4"/>
  <c r="BN40" i="4" s="1"/>
  <c r="BO208" i="4"/>
  <c r="BO40" i="4" s="1"/>
  <c r="BP208" i="4"/>
  <c r="BP40" i="4" s="1"/>
  <c r="BQ208" i="4"/>
  <c r="BQ40" i="4" s="1"/>
  <c r="BF214" i="4"/>
  <c r="BF41" i="4" s="1"/>
  <c r="BG214" i="4"/>
  <c r="BG41" i="4" s="1"/>
  <c r="BH214" i="4"/>
  <c r="BH41" i="4" s="1"/>
  <c r="BI214" i="4"/>
  <c r="BI41" i="4" s="1"/>
  <c r="BJ214" i="4"/>
  <c r="BJ41" i="4" s="1"/>
  <c r="BK214" i="4"/>
  <c r="BK41" i="4" s="1"/>
  <c r="BL214" i="4"/>
  <c r="BL41" i="4" s="1"/>
  <c r="BM214" i="4"/>
  <c r="BM41" i="4" s="1"/>
  <c r="BN214" i="4"/>
  <c r="BN41" i="4" s="1"/>
  <c r="BO214" i="4"/>
  <c r="BO41" i="4" s="1"/>
  <c r="BP214" i="4"/>
  <c r="BP41" i="4" s="1"/>
  <c r="BQ214" i="4"/>
  <c r="BQ41" i="4" s="1"/>
  <c r="BF220" i="4"/>
  <c r="BF42" i="4" s="1"/>
  <c r="BG220" i="4"/>
  <c r="BG42" i="4" s="1"/>
  <c r="BH220" i="4"/>
  <c r="BH42" i="4" s="1"/>
  <c r="BI220" i="4"/>
  <c r="BI42" i="4" s="1"/>
  <c r="BJ220" i="4"/>
  <c r="BJ42" i="4" s="1"/>
  <c r="BK220" i="4"/>
  <c r="BK42" i="4" s="1"/>
  <c r="BL220" i="4"/>
  <c r="BL42" i="4" s="1"/>
  <c r="BM220" i="4"/>
  <c r="BM42" i="4" s="1"/>
  <c r="BN220" i="4"/>
  <c r="BN42" i="4" s="1"/>
  <c r="BO220" i="4"/>
  <c r="BO42" i="4" s="1"/>
  <c r="BP220" i="4"/>
  <c r="BP42" i="4" s="1"/>
  <c r="BQ220" i="4"/>
  <c r="BQ42" i="4" s="1"/>
  <c r="BF226" i="4"/>
  <c r="BF43" i="4" s="1"/>
  <c r="BG226" i="4"/>
  <c r="BG43" i="4" s="1"/>
  <c r="BH226" i="4"/>
  <c r="BH43" i="4" s="1"/>
  <c r="BI226" i="4"/>
  <c r="BI43" i="4" s="1"/>
  <c r="BJ226" i="4"/>
  <c r="BJ43" i="4" s="1"/>
  <c r="BK226" i="4"/>
  <c r="BK43" i="4" s="1"/>
  <c r="BL226" i="4"/>
  <c r="BL43" i="4" s="1"/>
  <c r="BM226" i="4"/>
  <c r="BM43" i="4" s="1"/>
  <c r="BN226" i="4"/>
  <c r="BN43" i="4" s="1"/>
  <c r="BO226" i="4"/>
  <c r="BO43" i="4" s="1"/>
  <c r="BP226" i="4"/>
  <c r="BP43" i="4" s="1"/>
  <c r="BQ226" i="4"/>
  <c r="BQ43" i="4" s="1"/>
  <c r="BF232" i="4"/>
  <c r="BF44" i="4" s="1"/>
  <c r="BG232" i="4"/>
  <c r="BG44" i="4" s="1"/>
  <c r="BH232" i="4"/>
  <c r="BH44" i="4" s="1"/>
  <c r="BI232" i="4"/>
  <c r="BI44" i="4" s="1"/>
  <c r="BJ232" i="4"/>
  <c r="BJ44" i="4" s="1"/>
  <c r="BK232" i="4"/>
  <c r="BK44" i="4" s="1"/>
  <c r="BL232" i="4"/>
  <c r="BL44" i="4" s="1"/>
  <c r="BM232" i="4"/>
  <c r="BM44" i="4" s="1"/>
  <c r="BN232" i="4"/>
  <c r="BN44" i="4" s="1"/>
  <c r="BO232" i="4"/>
  <c r="BO44" i="4" s="1"/>
  <c r="BP232" i="4"/>
  <c r="BP44" i="4" s="1"/>
  <c r="BQ232" i="4"/>
  <c r="BQ44" i="4" s="1"/>
  <c r="BF238" i="4"/>
  <c r="BF45" i="4" s="1"/>
  <c r="BG238" i="4"/>
  <c r="BG45" i="4" s="1"/>
  <c r="BH238" i="4"/>
  <c r="BH45" i="4" s="1"/>
  <c r="BI238" i="4"/>
  <c r="BI45" i="4" s="1"/>
  <c r="BJ238" i="4"/>
  <c r="BJ45" i="4" s="1"/>
  <c r="BK238" i="4"/>
  <c r="BK45" i="4" s="1"/>
  <c r="BL238" i="4"/>
  <c r="BL45" i="4" s="1"/>
  <c r="BM238" i="4"/>
  <c r="BM45" i="4" s="1"/>
  <c r="BN238" i="4"/>
  <c r="BN45" i="4" s="1"/>
  <c r="BO238" i="4"/>
  <c r="BO45" i="4" s="1"/>
  <c r="BP238" i="4"/>
  <c r="BP45" i="4" s="1"/>
  <c r="BQ238" i="4"/>
  <c r="BQ45" i="4" s="1"/>
  <c r="BF245" i="4"/>
  <c r="BF34" i="9" s="1"/>
  <c r="BG245" i="4"/>
  <c r="BG34" i="9" s="1"/>
  <c r="BH245" i="4"/>
  <c r="BH34" i="9" s="1"/>
  <c r="BI245" i="4"/>
  <c r="BI34" i="9" s="1"/>
  <c r="BJ245" i="4"/>
  <c r="BJ34" i="9" s="1"/>
  <c r="BK245" i="4"/>
  <c r="BK34" i="9" s="1"/>
  <c r="BL245" i="4"/>
  <c r="BL34" i="9" s="1"/>
  <c r="BM245" i="4"/>
  <c r="BM34" i="9" s="1"/>
  <c r="BN245" i="4"/>
  <c r="BN34" i="9" s="1"/>
  <c r="BO245" i="4"/>
  <c r="BO34" i="9" s="1"/>
  <c r="BP245" i="4"/>
  <c r="BP34" i="9" s="1"/>
  <c r="BQ245" i="4"/>
  <c r="BQ34" i="9" s="1"/>
  <c r="BF252" i="4"/>
  <c r="BF35" i="9" s="1"/>
  <c r="BG252" i="4"/>
  <c r="BG35" i="9" s="1"/>
  <c r="BH252" i="4"/>
  <c r="BH35" i="9" s="1"/>
  <c r="BI252" i="4"/>
  <c r="BI35" i="9" s="1"/>
  <c r="BJ252" i="4"/>
  <c r="BJ35" i="9" s="1"/>
  <c r="BK252" i="4"/>
  <c r="BK35" i="9" s="1"/>
  <c r="BL252" i="4"/>
  <c r="BL35" i="9" s="1"/>
  <c r="BM252" i="4"/>
  <c r="BM35" i="9" s="1"/>
  <c r="BN252" i="4"/>
  <c r="BN35" i="9" s="1"/>
  <c r="BO252" i="4"/>
  <c r="BO35" i="9" s="1"/>
  <c r="BP252" i="4"/>
  <c r="BP35" i="9" s="1"/>
  <c r="BQ252" i="4"/>
  <c r="BQ35" i="9" s="1"/>
  <c r="BN2" i="4"/>
  <c r="BO2" i="4"/>
  <c r="BP2" i="4"/>
  <c r="BQ2" i="4"/>
  <c r="BN3" i="4"/>
  <c r="BO3" i="4"/>
  <c r="BP3" i="4"/>
  <c r="BQ3" i="4"/>
  <c r="BJ2" i="4"/>
  <c r="BK2" i="4"/>
  <c r="BL2" i="4"/>
  <c r="BM2" i="4"/>
  <c r="BJ3" i="4"/>
  <c r="BK3" i="4"/>
  <c r="BL3" i="4"/>
  <c r="BM3" i="4"/>
  <c r="BF2" i="4"/>
  <c r="BG2" i="4"/>
  <c r="BH2" i="4"/>
  <c r="BI2" i="4"/>
  <c r="BF3" i="4"/>
  <c r="BG3" i="4"/>
  <c r="BH3" i="4"/>
  <c r="BI3" i="4"/>
  <c r="BF36" i="3"/>
  <c r="BG36" i="3"/>
  <c r="BH36" i="3"/>
  <c r="BI36" i="3"/>
  <c r="BJ36" i="3"/>
  <c r="BK36" i="3"/>
  <c r="BL36" i="3"/>
  <c r="BM36" i="3"/>
  <c r="BN36" i="3"/>
  <c r="BO36" i="3"/>
  <c r="BP36" i="3"/>
  <c r="BQ36" i="3"/>
  <c r="BQ38" i="3" s="1"/>
  <c r="BQ7" i="3" s="1"/>
  <c r="BF38" i="3"/>
  <c r="BF7" i="3" s="1"/>
  <c r="BG38" i="3"/>
  <c r="BG7" i="3" s="1"/>
  <c r="BH38" i="3"/>
  <c r="BH7" i="3" s="1"/>
  <c r="BI38" i="3"/>
  <c r="BI7" i="3" s="1"/>
  <c r="BJ38" i="3"/>
  <c r="BJ7" i="3" s="1"/>
  <c r="BK38" i="3"/>
  <c r="BK7" i="3" s="1"/>
  <c r="BL38" i="3"/>
  <c r="BL7" i="3" s="1"/>
  <c r="BM38" i="3"/>
  <c r="BM7" i="3" s="1"/>
  <c r="BN38" i="3"/>
  <c r="BN7" i="3" s="1"/>
  <c r="BO38" i="3"/>
  <c r="BO7" i="3" s="1"/>
  <c r="BP38" i="3"/>
  <c r="BP7" i="3" s="1"/>
  <c r="BF40" i="3"/>
  <c r="BG40" i="3"/>
  <c r="BH40" i="3"/>
  <c r="BI40" i="3"/>
  <c r="BJ40" i="3"/>
  <c r="BK40" i="3"/>
  <c r="BL40" i="3"/>
  <c r="BM40" i="3"/>
  <c r="BN40" i="3"/>
  <c r="BO40" i="3"/>
  <c r="BP40" i="3"/>
  <c r="BQ40" i="3"/>
  <c r="BF42" i="3"/>
  <c r="BF8" i="3" s="1"/>
  <c r="BG42" i="3"/>
  <c r="BG8" i="3" s="1"/>
  <c r="BH42" i="3"/>
  <c r="BH8" i="3" s="1"/>
  <c r="BI42" i="3"/>
  <c r="BI8" i="3" s="1"/>
  <c r="BJ42" i="3"/>
  <c r="BJ8" i="3" s="1"/>
  <c r="BK42" i="3"/>
  <c r="BK8" i="3" s="1"/>
  <c r="BL42" i="3"/>
  <c r="BL8" i="3" s="1"/>
  <c r="BM42" i="3"/>
  <c r="BM8" i="3" s="1"/>
  <c r="BN42" i="3"/>
  <c r="BN8" i="3" s="1"/>
  <c r="BO42" i="3"/>
  <c r="BO8" i="3" s="1"/>
  <c r="BP42" i="3"/>
  <c r="BP8" i="3" s="1"/>
  <c r="BQ42" i="3"/>
  <c r="BQ8" i="3" s="1"/>
  <c r="BF44" i="3"/>
  <c r="BG44" i="3"/>
  <c r="BH44" i="3"/>
  <c r="BI44" i="3"/>
  <c r="BJ44" i="3"/>
  <c r="BK44" i="3"/>
  <c r="BL44" i="3"/>
  <c r="BM44" i="3"/>
  <c r="BN44" i="3"/>
  <c r="BO44" i="3"/>
  <c r="BP44" i="3"/>
  <c r="BQ44" i="3"/>
  <c r="BF46" i="3"/>
  <c r="BF9" i="3" s="1"/>
  <c r="BG46" i="3"/>
  <c r="BG9" i="3" s="1"/>
  <c r="BH46" i="3"/>
  <c r="BH9" i="3" s="1"/>
  <c r="BI46" i="3"/>
  <c r="BI9" i="3" s="1"/>
  <c r="BJ46" i="3"/>
  <c r="BJ9" i="3" s="1"/>
  <c r="BK46" i="3"/>
  <c r="BK9" i="3" s="1"/>
  <c r="BL46" i="3"/>
  <c r="BL9" i="3" s="1"/>
  <c r="BM46" i="3"/>
  <c r="BM9" i="3" s="1"/>
  <c r="BN46" i="3"/>
  <c r="BN9" i="3" s="1"/>
  <c r="BO46" i="3"/>
  <c r="BO9" i="3" s="1"/>
  <c r="BP46" i="3"/>
  <c r="BP9" i="3" s="1"/>
  <c r="BQ46" i="3"/>
  <c r="BQ9" i="3" s="1"/>
  <c r="BF48" i="3"/>
  <c r="BG48" i="3"/>
  <c r="BH48" i="3"/>
  <c r="BI48" i="3"/>
  <c r="BJ48" i="3"/>
  <c r="BK48" i="3"/>
  <c r="BL48" i="3"/>
  <c r="BM48" i="3"/>
  <c r="BN48" i="3"/>
  <c r="BO48" i="3"/>
  <c r="BP48" i="3"/>
  <c r="BQ48" i="3"/>
  <c r="BF50" i="3"/>
  <c r="BF10" i="3" s="1"/>
  <c r="BG50" i="3"/>
  <c r="BG10" i="3" s="1"/>
  <c r="BH50" i="3"/>
  <c r="BH10" i="3" s="1"/>
  <c r="BI50" i="3"/>
  <c r="BI10" i="3" s="1"/>
  <c r="BJ50" i="3"/>
  <c r="BJ10" i="3" s="1"/>
  <c r="BK50" i="3"/>
  <c r="BK10" i="3" s="1"/>
  <c r="BL50" i="3"/>
  <c r="BL10" i="3" s="1"/>
  <c r="BM50" i="3"/>
  <c r="BM10" i="3" s="1"/>
  <c r="BN50" i="3"/>
  <c r="BN10" i="3" s="1"/>
  <c r="BO50" i="3"/>
  <c r="BO10" i="3" s="1"/>
  <c r="BP50" i="3"/>
  <c r="BP10" i="3" s="1"/>
  <c r="BQ50" i="3"/>
  <c r="BQ10" i="3" s="1"/>
  <c r="BF52" i="3"/>
  <c r="BF54" i="3" s="1"/>
  <c r="BF11" i="3" s="1"/>
  <c r="BG52" i="3"/>
  <c r="BH52" i="3"/>
  <c r="BH54" i="3" s="1"/>
  <c r="BH11" i="3" s="1"/>
  <c r="BI52" i="3"/>
  <c r="BI54" i="3" s="1"/>
  <c r="BI11" i="3" s="1"/>
  <c r="BJ52" i="3"/>
  <c r="BJ54" i="3" s="1"/>
  <c r="BJ11" i="3" s="1"/>
  <c r="BK52" i="3"/>
  <c r="BL52" i="3"/>
  <c r="BL54" i="3" s="1"/>
  <c r="BL11" i="3" s="1"/>
  <c r="BM52" i="3"/>
  <c r="BM54" i="3" s="1"/>
  <c r="BM11" i="3" s="1"/>
  <c r="BN52" i="3"/>
  <c r="BN54" i="3" s="1"/>
  <c r="BN11" i="3" s="1"/>
  <c r="BO52" i="3"/>
  <c r="BP52" i="3"/>
  <c r="BP54" i="3" s="1"/>
  <c r="BP11" i="3" s="1"/>
  <c r="BQ52" i="3"/>
  <c r="BQ54" i="3" s="1"/>
  <c r="BQ11" i="3" s="1"/>
  <c r="BG54" i="3"/>
  <c r="BG11" i="3" s="1"/>
  <c r="BK54" i="3"/>
  <c r="BK11" i="3" s="1"/>
  <c r="BO54" i="3"/>
  <c r="BO11" i="3" s="1"/>
  <c r="BF56" i="3"/>
  <c r="BG56" i="3"/>
  <c r="BH56" i="3"/>
  <c r="BI56" i="3"/>
  <c r="BJ56" i="3"/>
  <c r="BK56" i="3"/>
  <c r="BL56" i="3"/>
  <c r="BM56" i="3"/>
  <c r="BN56" i="3"/>
  <c r="BO56" i="3"/>
  <c r="BP56" i="3"/>
  <c r="BQ56" i="3"/>
  <c r="BF58" i="3"/>
  <c r="BF12" i="3" s="1"/>
  <c r="BG58" i="3"/>
  <c r="BG12" i="3" s="1"/>
  <c r="BH58" i="3"/>
  <c r="BH12" i="3" s="1"/>
  <c r="BI58" i="3"/>
  <c r="BI12" i="3" s="1"/>
  <c r="BJ58" i="3"/>
  <c r="BJ12" i="3" s="1"/>
  <c r="BK58" i="3"/>
  <c r="BK12" i="3" s="1"/>
  <c r="BL58" i="3"/>
  <c r="BL12" i="3" s="1"/>
  <c r="BM58" i="3"/>
  <c r="BM12" i="3" s="1"/>
  <c r="BN58" i="3"/>
  <c r="BN12" i="3" s="1"/>
  <c r="BO58" i="3"/>
  <c r="BO12" i="3" s="1"/>
  <c r="BP58" i="3"/>
  <c r="BP12" i="3" s="1"/>
  <c r="BQ58" i="3"/>
  <c r="BQ12" i="3" s="1"/>
  <c r="BF2" i="3"/>
  <c r="BG2" i="3"/>
  <c r="BH2" i="3"/>
  <c r="BI2" i="3"/>
  <c r="BJ2" i="3"/>
  <c r="BK2" i="3"/>
  <c r="BL2" i="3"/>
  <c r="BM2" i="3"/>
  <c r="BN2" i="3"/>
  <c r="BO2" i="3"/>
  <c r="BP2" i="3"/>
  <c r="BQ2" i="3"/>
  <c r="BF3" i="3"/>
  <c r="BG3" i="3"/>
  <c r="BH3" i="3"/>
  <c r="BI3" i="3"/>
  <c r="BJ3" i="3"/>
  <c r="BK3" i="3"/>
  <c r="BL3" i="3"/>
  <c r="BM3" i="3"/>
  <c r="BN3" i="3"/>
  <c r="BO3" i="3"/>
  <c r="BP3" i="3"/>
  <c r="BQ3" i="3"/>
  <c r="BE7" i="3"/>
  <c r="BF51" i="2"/>
  <c r="BG51" i="2"/>
  <c r="BH51" i="2" s="1"/>
  <c r="BI51" i="2" s="1"/>
  <c r="BJ51" i="2" s="1"/>
  <c r="BK51" i="2" s="1"/>
  <c r="BL51" i="2" s="1"/>
  <c r="BM51" i="2" s="1"/>
  <c r="BN51" i="2" s="1"/>
  <c r="BO51" i="2" s="1"/>
  <c r="BP51" i="2" s="1"/>
  <c r="BQ51" i="2" s="1"/>
  <c r="BF52" i="2"/>
  <c r="BG52" i="2"/>
  <c r="BH52" i="2" s="1"/>
  <c r="BI52" i="2" s="1"/>
  <c r="BJ52" i="2" s="1"/>
  <c r="BK52" i="2" s="1"/>
  <c r="BL52" i="2" s="1"/>
  <c r="BM52" i="2" s="1"/>
  <c r="BN52" i="2" s="1"/>
  <c r="BO52" i="2" s="1"/>
  <c r="BP52" i="2" s="1"/>
  <c r="BQ52" i="2" s="1"/>
  <c r="BF53" i="2"/>
  <c r="BG53" i="2"/>
  <c r="BH53" i="2" s="1"/>
  <c r="BI53" i="2" s="1"/>
  <c r="BJ53" i="2" s="1"/>
  <c r="BK53" i="2" s="1"/>
  <c r="BL53" i="2" s="1"/>
  <c r="BM53" i="2" s="1"/>
  <c r="BN53" i="2" s="1"/>
  <c r="BO53" i="2" s="1"/>
  <c r="BP53" i="2" s="1"/>
  <c r="BQ53" i="2" s="1"/>
  <c r="BF54" i="2"/>
  <c r="BG54" i="2"/>
  <c r="BH54" i="2" s="1"/>
  <c r="BI54" i="2" s="1"/>
  <c r="BJ54" i="2" s="1"/>
  <c r="BK54" i="2" s="1"/>
  <c r="BL54" i="2" s="1"/>
  <c r="BM54" i="2" s="1"/>
  <c r="BN54" i="2" s="1"/>
  <c r="BO54" i="2" s="1"/>
  <c r="BP54" i="2" s="1"/>
  <c r="BQ54" i="2" s="1"/>
  <c r="BF55" i="2"/>
  <c r="BG55" i="2"/>
  <c r="BH55" i="2" s="1"/>
  <c r="BI55" i="2" s="1"/>
  <c r="BJ55" i="2" s="1"/>
  <c r="BK55" i="2" s="1"/>
  <c r="BL55" i="2" s="1"/>
  <c r="BM55" i="2" s="1"/>
  <c r="BN55" i="2" s="1"/>
  <c r="BO55" i="2" s="1"/>
  <c r="BP55" i="2" s="1"/>
  <c r="BQ55" i="2" s="1"/>
  <c r="BF56" i="2"/>
  <c r="BG56" i="2"/>
  <c r="BH56" i="2" s="1"/>
  <c r="BI56" i="2" s="1"/>
  <c r="BJ56" i="2" s="1"/>
  <c r="BK56" i="2" s="1"/>
  <c r="BL56" i="2" s="1"/>
  <c r="BM56" i="2" s="1"/>
  <c r="BN56" i="2" s="1"/>
  <c r="BO56" i="2" s="1"/>
  <c r="BP56" i="2" s="1"/>
  <c r="BQ56" i="2" s="1"/>
  <c r="BF59" i="2"/>
  <c r="BG59" i="2"/>
  <c r="BH59" i="2" s="1"/>
  <c r="BI59" i="2" s="1"/>
  <c r="BJ59" i="2" s="1"/>
  <c r="BK59" i="2" s="1"/>
  <c r="BL59" i="2" s="1"/>
  <c r="BM59" i="2" s="1"/>
  <c r="BN59" i="2" s="1"/>
  <c r="BO59" i="2" s="1"/>
  <c r="BP59" i="2" s="1"/>
  <c r="BQ59" i="2" s="1"/>
  <c r="BF60" i="2"/>
  <c r="BG60" i="2"/>
  <c r="BH60" i="2" s="1"/>
  <c r="BI60" i="2" s="1"/>
  <c r="BJ60" i="2" s="1"/>
  <c r="BK60" i="2" s="1"/>
  <c r="BL60" i="2" s="1"/>
  <c r="BM60" i="2" s="1"/>
  <c r="BN60" i="2" s="1"/>
  <c r="BO60" i="2" s="1"/>
  <c r="BP60" i="2" s="1"/>
  <c r="BQ60" i="2" s="1"/>
  <c r="BF61" i="2"/>
  <c r="BG61" i="2"/>
  <c r="BH61" i="2" s="1"/>
  <c r="BI61" i="2" s="1"/>
  <c r="BJ61" i="2" s="1"/>
  <c r="BK61" i="2" s="1"/>
  <c r="BL61" i="2" s="1"/>
  <c r="BM61" i="2" s="1"/>
  <c r="BN61" i="2" s="1"/>
  <c r="BO61" i="2" s="1"/>
  <c r="BP61" i="2" s="1"/>
  <c r="BQ61" i="2" s="1"/>
  <c r="BF64" i="2"/>
  <c r="BG64" i="2"/>
  <c r="BH64" i="2" s="1"/>
  <c r="BI64" i="2" s="1"/>
  <c r="BJ64" i="2" s="1"/>
  <c r="BK64" i="2" s="1"/>
  <c r="BL64" i="2" s="1"/>
  <c r="BM64" i="2" s="1"/>
  <c r="BN64" i="2" s="1"/>
  <c r="BO64" i="2" s="1"/>
  <c r="BP64" i="2" s="1"/>
  <c r="BQ64" i="2" s="1"/>
  <c r="BF65" i="2"/>
  <c r="BG65" i="2"/>
  <c r="BH65" i="2" s="1"/>
  <c r="BI65" i="2" s="1"/>
  <c r="BJ65" i="2" s="1"/>
  <c r="BK65" i="2" s="1"/>
  <c r="BL65" i="2" s="1"/>
  <c r="BM65" i="2" s="1"/>
  <c r="BN65" i="2" s="1"/>
  <c r="BO65" i="2" s="1"/>
  <c r="BP65" i="2" s="1"/>
  <c r="BQ65" i="2" s="1"/>
  <c r="BF68" i="2"/>
  <c r="BG68" i="2"/>
  <c r="BH68" i="2" s="1"/>
  <c r="BI68" i="2" s="1"/>
  <c r="BJ68" i="2" s="1"/>
  <c r="BK68" i="2" s="1"/>
  <c r="BL68" i="2" s="1"/>
  <c r="BM68" i="2" s="1"/>
  <c r="BN68" i="2" s="1"/>
  <c r="BO68" i="2" s="1"/>
  <c r="BP68" i="2" s="1"/>
  <c r="BQ68" i="2" s="1"/>
  <c r="BF71" i="2"/>
  <c r="BG71" i="2"/>
  <c r="BH71" i="2" s="1"/>
  <c r="BI71" i="2" s="1"/>
  <c r="BJ71" i="2" s="1"/>
  <c r="BK71" i="2" s="1"/>
  <c r="BL71" i="2" s="1"/>
  <c r="BM71" i="2" s="1"/>
  <c r="BN71" i="2" s="1"/>
  <c r="BO71" i="2" s="1"/>
  <c r="BP71" i="2" s="1"/>
  <c r="BQ71" i="2" s="1"/>
  <c r="BF72" i="2"/>
  <c r="BG72" i="2"/>
  <c r="BH72" i="2" s="1"/>
  <c r="BI72" i="2" s="1"/>
  <c r="BJ72" i="2" s="1"/>
  <c r="BK72" i="2" s="1"/>
  <c r="BL72" i="2" s="1"/>
  <c r="BM72" i="2" s="1"/>
  <c r="BN72" i="2" s="1"/>
  <c r="BO72" i="2" s="1"/>
  <c r="BP72" i="2" s="1"/>
  <c r="BQ72" i="2" s="1"/>
  <c r="BF75" i="2"/>
  <c r="BG75" i="2"/>
  <c r="BH75" i="2" s="1"/>
  <c r="BI75" i="2" s="1"/>
  <c r="BJ75" i="2" s="1"/>
  <c r="BK75" i="2" s="1"/>
  <c r="BL75" i="2" s="1"/>
  <c r="BM75" i="2" s="1"/>
  <c r="BN75" i="2" s="1"/>
  <c r="BO75" i="2" s="1"/>
  <c r="BP75" i="2" s="1"/>
  <c r="BQ75" i="2" s="1"/>
  <c r="BF78" i="2"/>
  <c r="BG78" i="2"/>
  <c r="BH78" i="2" s="1"/>
  <c r="BI78" i="2" s="1"/>
  <c r="BJ78" i="2" s="1"/>
  <c r="BK78" i="2" s="1"/>
  <c r="BL78" i="2" s="1"/>
  <c r="BM78" i="2" s="1"/>
  <c r="BN78" i="2" s="1"/>
  <c r="BO78" i="2" s="1"/>
  <c r="BP78" i="2" s="1"/>
  <c r="BQ78" i="2" s="1"/>
  <c r="BF79" i="2"/>
  <c r="BG79" i="2"/>
  <c r="BH79" i="2" s="1"/>
  <c r="BI79" i="2" s="1"/>
  <c r="BJ79" i="2" s="1"/>
  <c r="BK79" i="2" s="1"/>
  <c r="BL79" i="2" s="1"/>
  <c r="BM79" i="2" s="1"/>
  <c r="BN79" i="2" s="1"/>
  <c r="BO79" i="2" s="1"/>
  <c r="BP79" i="2" s="1"/>
  <c r="BQ79" i="2" s="1"/>
  <c r="BF80" i="2"/>
  <c r="BG80" i="2"/>
  <c r="BH80" i="2" s="1"/>
  <c r="BI80" i="2" s="1"/>
  <c r="BJ80" i="2" s="1"/>
  <c r="BK80" i="2" s="1"/>
  <c r="BL80" i="2" s="1"/>
  <c r="BM80" i="2" s="1"/>
  <c r="BN80" i="2" s="1"/>
  <c r="BO80" i="2" s="1"/>
  <c r="BP80" i="2" s="1"/>
  <c r="BQ80" i="2" s="1"/>
  <c r="BF83" i="2"/>
  <c r="BG83" i="2"/>
  <c r="BH83" i="2" s="1"/>
  <c r="BI83" i="2" s="1"/>
  <c r="BJ83" i="2" s="1"/>
  <c r="BK83" i="2" s="1"/>
  <c r="BL83" i="2" s="1"/>
  <c r="BM83" i="2" s="1"/>
  <c r="BN83" i="2" s="1"/>
  <c r="BO83" i="2" s="1"/>
  <c r="BP83" i="2" s="1"/>
  <c r="BQ83" i="2" s="1"/>
  <c r="BF114" i="2"/>
  <c r="BG114" i="2"/>
  <c r="BH114" i="2"/>
  <c r="BI114" i="2"/>
  <c r="BJ114" i="2"/>
  <c r="BK114" i="2"/>
  <c r="BL114" i="2"/>
  <c r="BM114" i="2"/>
  <c r="BN114" i="2"/>
  <c r="BO114" i="2"/>
  <c r="BP114" i="2"/>
  <c r="BQ114" i="2"/>
  <c r="BO2" i="2"/>
  <c r="BP2" i="2"/>
  <c r="BQ2" i="2"/>
  <c r="BO3" i="2"/>
  <c r="BP3" i="2"/>
  <c r="BQ3" i="2"/>
  <c r="BF2" i="2"/>
  <c r="BG2" i="2"/>
  <c r="BH2" i="2"/>
  <c r="BI2" i="2"/>
  <c r="BJ2" i="2"/>
  <c r="BK2" i="2"/>
  <c r="BL2" i="2"/>
  <c r="BM2" i="2"/>
  <c r="BN2" i="2"/>
  <c r="BF3" i="2"/>
  <c r="BG3" i="2"/>
  <c r="BH3" i="2"/>
  <c r="BI3" i="2"/>
  <c r="BJ3" i="2"/>
  <c r="BK3" i="2"/>
  <c r="BL3" i="2"/>
  <c r="BM3" i="2"/>
  <c r="BN3" i="2"/>
  <c r="BP2" i="1"/>
  <c r="BQ2" i="1" s="1"/>
  <c r="BQ3" i="1" s="1"/>
  <c r="BP3" i="1"/>
  <c r="BF2" i="1"/>
  <c r="BG2" i="1" s="1"/>
  <c r="BF3" i="1"/>
  <c r="BE2" i="1"/>
  <c r="BI140" i="9" l="1"/>
  <c r="BI141" i="9" s="1"/>
  <c r="BI31" i="6"/>
  <c r="BP86" i="5"/>
  <c r="BP88" i="5" s="1"/>
  <c r="BP26" i="5" s="1"/>
  <c r="BP68" i="5" s="1"/>
  <c r="BN86" i="5"/>
  <c r="BN88" i="5" s="1"/>
  <c r="BN26" i="5" s="1"/>
  <c r="BN68" i="5" s="1"/>
  <c r="BN140" i="9" s="1"/>
  <c r="BN141" i="9" s="1"/>
  <c r="BJ86" i="5"/>
  <c r="BJ88" i="5" s="1"/>
  <c r="BJ26" i="5" s="1"/>
  <c r="BJ68" i="5" s="1"/>
  <c r="BQ31" i="6"/>
  <c r="BQ140" i="9"/>
  <c r="BQ141" i="9" s="1"/>
  <c r="BM140" i="9"/>
  <c r="BM141" i="9" s="1"/>
  <c r="BO86" i="5"/>
  <c r="BO88" i="5" s="1"/>
  <c r="BO26" i="5" s="1"/>
  <c r="BO68" i="5" s="1"/>
  <c r="BO31" i="6" s="1"/>
  <c r="BK86" i="5"/>
  <c r="BK88" i="5" s="1"/>
  <c r="BK26" i="5" s="1"/>
  <c r="BK68" i="5" s="1"/>
  <c r="BL31" i="6"/>
  <c r="BL140" i="9"/>
  <c r="BL141" i="9" s="1"/>
  <c r="BP140" i="9"/>
  <c r="BP141" i="9" s="1"/>
  <c r="BP31" i="6"/>
  <c r="BG140" i="9"/>
  <c r="BG141" i="9" s="1"/>
  <c r="BG31" i="6"/>
  <c r="BO140" i="9"/>
  <c r="BO141" i="9" s="1"/>
  <c r="BK140" i="9"/>
  <c r="BK141" i="9" s="1"/>
  <c r="BK31" i="6"/>
  <c r="BJ140" i="9"/>
  <c r="BJ141" i="9" s="1"/>
  <c r="BJ31" i="6"/>
  <c r="BH31" i="6"/>
  <c r="BN31" i="6"/>
  <c r="BO23" i="9"/>
  <c r="BG23" i="9"/>
  <c r="BK53" i="10"/>
  <c r="BO53" i="10"/>
  <c r="BG53" i="10"/>
  <c r="BK52" i="10"/>
  <c r="BG50" i="10"/>
  <c r="BN23" i="9"/>
  <c r="BF23" i="9"/>
  <c r="BN53" i="10"/>
  <c r="BK51" i="10"/>
  <c r="BK25" i="9" s="1"/>
  <c r="BO50" i="10"/>
  <c r="BK23" i="9"/>
  <c r="BJ23" i="9"/>
  <c r="BP24" i="9"/>
  <c r="BL23" i="9"/>
  <c r="BL50" i="10"/>
  <c r="BL51" i="10"/>
  <c r="BL25" i="9" s="1"/>
  <c r="BK24" i="9"/>
  <c r="BP53" i="10"/>
  <c r="BJ24" i="9"/>
  <c r="BH23" i="9"/>
  <c r="BH53" i="10"/>
  <c r="BH50" i="10"/>
  <c r="BL52" i="10"/>
  <c r="BN54" i="10"/>
  <c r="BN86" i="10" s="1"/>
  <c r="BN88" i="10" s="1"/>
  <c r="BN57" i="6" s="1"/>
  <c r="BO58" i="6" s="1"/>
  <c r="BP23" i="9"/>
  <c r="BP51" i="10"/>
  <c r="BP25" i="9" s="1"/>
  <c r="BP52" i="10"/>
  <c r="BP54" i="10" s="1"/>
  <c r="BP86" i="10" s="1"/>
  <c r="BP88" i="10" s="1"/>
  <c r="BP57" i="6" s="1"/>
  <c r="BQ58" i="6" s="1"/>
  <c r="BH51" i="10"/>
  <c r="BH25" i="9" s="1"/>
  <c r="BQ50" i="10"/>
  <c r="BQ24" i="9" s="1"/>
  <c r="BQ23" i="9"/>
  <c r="BM50" i="10"/>
  <c r="BM24" i="9" s="1"/>
  <c r="BM23" i="9"/>
  <c r="BI50" i="10"/>
  <c r="BI24" i="9" s="1"/>
  <c r="BI23" i="9"/>
  <c r="BN24" i="9"/>
  <c r="BF52" i="10"/>
  <c r="BF54" i="10" s="1"/>
  <c r="BF86" i="10" s="1"/>
  <c r="BF88" i="10" s="1"/>
  <c r="BF57" i="6" s="1"/>
  <c r="BG58" i="6" s="1"/>
  <c r="BG25" i="6"/>
  <c r="BH16" i="6"/>
  <c r="BH18" i="6" s="1"/>
  <c r="BF19" i="5"/>
  <c r="BF68" i="5"/>
  <c r="BG45" i="5"/>
  <c r="BH39" i="5"/>
  <c r="BH42" i="5" s="1"/>
  <c r="BG15" i="5"/>
  <c r="BH9" i="5"/>
  <c r="BH12" i="5" s="1"/>
  <c r="BG59" i="5"/>
  <c r="BG61" i="5" s="1"/>
  <c r="BH53" i="5"/>
  <c r="BH56" i="5" s="1"/>
  <c r="BG47" i="5"/>
  <c r="BH44" i="5" s="1"/>
  <c r="BG17" i="5"/>
  <c r="BH14" i="5" s="1"/>
  <c r="BQ53" i="10"/>
  <c r="BM53" i="10"/>
  <c r="BI53" i="10"/>
  <c r="BI54" i="10" s="1"/>
  <c r="BI86" i="10" s="1"/>
  <c r="BQ52" i="10"/>
  <c r="BM52" i="10"/>
  <c r="BI52" i="10"/>
  <c r="BQ51" i="10"/>
  <c r="BM51" i="10"/>
  <c r="BI51" i="10"/>
  <c r="BI25" i="9" s="1"/>
  <c r="BI24" i="10"/>
  <c r="BI26" i="10"/>
  <c r="BI27" i="10"/>
  <c r="BI25" i="10"/>
  <c r="BQ28" i="10"/>
  <c r="BQ85" i="10" s="1"/>
  <c r="BJ88" i="10"/>
  <c r="BJ57" i="6" s="1"/>
  <c r="BK58" i="6" s="1"/>
  <c r="BN15" i="3"/>
  <c r="BJ15" i="3"/>
  <c r="BF15" i="3"/>
  <c r="BQ15" i="3"/>
  <c r="BM15" i="3"/>
  <c r="BI15" i="3"/>
  <c r="BP15" i="3"/>
  <c r="BL15" i="3"/>
  <c r="BH15" i="3"/>
  <c r="BO15" i="3"/>
  <c r="BK15" i="3"/>
  <c r="BG15" i="3"/>
  <c r="BH2" i="1"/>
  <c r="BG3" i="1"/>
  <c r="AV68" i="2"/>
  <c r="AW68" i="2" s="1"/>
  <c r="AX68" i="2" s="1"/>
  <c r="AY68" i="2" s="1"/>
  <c r="AZ68" i="2" s="1"/>
  <c r="BA68" i="2" s="1"/>
  <c r="BB68" i="2" s="1"/>
  <c r="BC68" i="2" s="1"/>
  <c r="BD68" i="2" s="1"/>
  <c r="BE68" i="2" s="1"/>
  <c r="AV71" i="2"/>
  <c r="AW71" i="2"/>
  <c r="AX71" i="2" s="1"/>
  <c r="AY71" i="2" s="1"/>
  <c r="AZ71" i="2" s="1"/>
  <c r="BA71" i="2" s="1"/>
  <c r="BB71" i="2" s="1"/>
  <c r="BC71" i="2" s="1"/>
  <c r="BD71" i="2" s="1"/>
  <c r="BE71" i="2" s="1"/>
  <c r="AV72" i="2"/>
  <c r="AW72" i="2" s="1"/>
  <c r="AX72" i="2" s="1"/>
  <c r="AY72" i="2" s="1"/>
  <c r="AZ72" i="2" s="1"/>
  <c r="BA72" i="2" s="1"/>
  <c r="BB72" i="2" s="1"/>
  <c r="BC72" i="2" s="1"/>
  <c r="BD72" i="2" s="1"/>
  <c r="BE72" i="2" s="1"/>
  <c r="AV75" i="2"/>
  <c r="AW75" i="2"/>
  <c r="AX75" i="2" s="1"/>
  <c r="AY75" i="2" s="1"/>
  <c r="AZ75" i="2" s="1"/>
  <c r="BA75" i="2" s="1"/>
  <c r="BB75" i="2" s="1"/>
  <c r="BC75" i="2" s="1"/>
  <c r="BD75" i="2" s="1"/>
  <c r="BE75" i="2" s="1"/>
  <c r="AV78" i="2"/>
  <c r="AW78" i="2" s="1"/>
  <c r="AX78" i="2" s="1"/>
  <c r="AY78" i="2" s="1"/>
  <c r="AZ78" i="2" s="1"/>
  <c r="BA78" i="2" s="1"/>
  <c r="BB78" i="2" s="1"/>
  <c r="BC78" i="2" s="1"/>
  <c r="BD78" i="2" s="1"/>
  <c r="BE78" i="2" s="1"/>
  <c r="AV79" i="2"/>
  <c r="AW79" i="2"/>
  <c r="AX79" i="2" s="1"/>
  <c r="AY79" i="2" s="1"/>
  <c r="AZ79" i="2" s="1"/>
  <c r="BA79" i="2" s="1"/>
  <c r="BB79" i="2" s="1"/>
  <c r="BC79" i="2" s="1"/>
  <c r="BD79" i="2" s="1"/>
  <c r="BE79" i="2" s="1"/>
  <c r="AV80" i="2"/>
  <c r="AW80" i="2" s="1"/>
  <c r="AX80" i="2" s="1"/>
  <c r="AY80" i="2" s="1"/>
  <c r="AZ80" i="2" s="1"/>
  <c r="BA80" i="2" s="1"/>
  <c r="BB80" i="2" s="1"/>
  <c r="BC80" i="2" s="1"/>
  <c r="BD80" i="2" s="1"/>
  <c r="BE80" i="2" s="1"/>
  <c r="AV83" i="2"/>
  <c r="AW83" i="2"/>
  <c r="AX83" i="2" s="1"/>
  <c r="AY83" i="2" s="1"/>
  <c r="AZ83" i="2" s="1"/>
  <c r="BA83" i="2" s="1"/>
  <c r="BB83" i="2" s="1"/>
  <c r="BC83" i="2" s="1"/>
  <c r="BD83" i="2" s="1"/>
  <c r="BE83" i="2" s="1"/>
  <c r="AT83" i="2"/>
  <c r="AU83" i="2" s="1"/>
  <c r="AT80" i="2"/>
  <c r="AU80" i="2" s="1"/>
  <c r="AT79" i="2"/>
  <c r="AU79" i="2" s="1"/>
  <c r="AT78" i="2"/>
  <c r="AU78" i="2" s="1"/>
  <c r="AT75" i="2"/>
  <c r="AU75" i="2" s="1"/>
  <c r="AT72" i="2"/>
  <c r="AU72" i="2" s="1"/>
  <c r="AT71" i="2"/>
  <c r="AU71" i="2" s="1"/>
  <c r="AT68" i="2"/>
  <c r="AU68" i="2" s="1"/>
  <c r="AT65" i="2"/>
  <c r="AU65" i="2" s="1"/>
  <c r="AT64" i="2"/>
  <c r="AU64" i="2" s="1"/>
  <c r="AJ64" i="2"/>
  <c r="AK64" i="2"/>
  <c r="AL64" i="2"/>
  <c r="AM64" i="2"/>
  <c r="AN64" i="2" s="1"/>
  <c r="AO64" i="2" s="1"/>
  <c r="AP64" i="2" s="1"/>
  <c r="AQ64" i="2" s="1"/>
  <c r="AR64" i="2" s="1"/>
  <c r="AS64" i="2" s="1"/>
  <c r="AJ65" i="2"/>
  <c r="AK65" i="2"/>
  <c r="AL65" i="2" s="1"/>
  <c r="AM65" i="2" s="1"/>
  <c r="AN65" i="2" s="1"/>
  <c r="AO65" i="2" s="1"/>
  <c r="AP65" i="2" s="1"/>
  <c r="AQ65" i="2" s="1"/>
  <c r="AR65" i="2" s="1"/>
  <c r="AS65" i="2" s="1"/>
  <c r="AJ68" i="2"/>
  <c r="AK68" i="2"/>
  <c r="AL68" i="2"/>
  <c r="AM68" i="2"/>
  <c r="AN68" i="2" s="1"/>
  <c r="AO68" i="2" s="1"/>
  <c r="AP68" i="2" s="1"/>
  <c r="AQ68" i="2" s="1"/>
  <c r="AR68" i="2" s="1"/>
  <c r="AS68" i="2" s="1"/>
  <c r="AJ71" i="2"/>
  <c r="AK71" i="2"/>
  <c r="AL71" i="2" s="1"/>
  <c r="AM71" i="2" s="1"/>
  <c r="AN71" i="2" s="1"/>
  <c r="AO71" i="2" s="1"/>
  <c r="AP71" i="2" s="1"/>
  <c r="AQ71" i="2" s="1"/>
  <c r="AR71" i="2" s="1"/>
  <c r="AS71" i="2" s="1"/>
  <c r="AJ72" i="2"/>
  <c r="AK72" i="2"/>
  <c r="AL72" i="2"/>
  <c r="AM72" i="2"/>
  <c r="AN72" i="2" s="1"/>
  <c r="AO72" i="2" s="1"/>
  <c r="AP72" i="2" s="1"/>
  <c r="AQ72" i="2" s="1"/>
  <c r="AR72" i="2" s="1"/>
  <c r="AS72" i="2" s="1"/>
  <c r="AJ75" i="2"/>
  <c r="AK75" i="2"/>
  <c r="AL75" i="2" s="1"/>
  <c r="AM75" i="2" s="1"/>
  <c r="AN75" i="2" s="1"/>
  <c r="AO75" i="2" s="1"/>
  <c r="AP75" i="2" s="1"/>
  <c r="AQ75" i="2" s="1"/>
  <c r="AR75" i="2" s="1"/>
  <c r="AS75" i="2" s="1"/>
  <c r="AJ78" i="2"/>
  <c r="AK78" i="2" s="1"/>
  <c r="AL78" i="2" s="1"/>
  <c r="AM78" i="2" s="1"/>
  <c r="AN78" i="2" s="1"/>
  <c r="AO78" i="2" s="1"/>
  <c r="AP78" i="2" s="1"/>
  <c r="AQ78" i="2" s="1"/>
  <c r="AR78" i="2" s="1"/>
  <c r="AS78" i="2" s="1"/>
  <c r="AJ79" i="2"/>
  <c r="AK79" i="2"/>
  <c r="AL79" i="2" s="1"/>
  <c r="AM79" i="2" s="1"/>
  <c r="AN79" i="2" s="1"/>
  <c r="AO79" i="2" s="1"/>
  <c r="AP79" i="2" s="1"/>
  <c r="AQ79" i="2" s="1"/>
  <c r="AR79" i="2" s="1"/>
  <c r="AS79" i="2" s="1"/>
  <c r="AJ80" i="2"/>
  <c r="AK80" i="2" s="1"/>
  <c r="AL80" i="2" s="1"/>
  <c r="AM80" i="2" s="1"/>
  <c r="AN80" i="2" s="1"/>
  <c r="AO80" i="2" s="1"/>
  <c r="AP80" i="2" s="1"/>
  <c r="AQ80" i="2" s="1"/>
  <c r="AR80" i="2" s="1"/>
  <c r="AS80" i="2" s="1"/>
  <c r="AJ83" i="2"/>
  <c r="AK83" i="2"/>
  <c r="AL83" i="2" s="1"/>
  <c r="AM83" i="2" s="1"/>
  <c r="AN83" i="2" s="1"/>
  <c r="AO83" i="2" s="1"/>
  <c r="AP83" i="2" s="1"/>
  <c r="AQ83" i="2" s="1"/>
  <c r="AR83" i="2" s="1"/>
  <c r="AS83" i="2" s="1"/>
  <c r="AI64" i="2"/>
  <c r="AI65" i="2"/>
  <c r="AI68" i="2"/>
  <c r="AI71" i="2"/>
  <c r="AI72" i="2"/>
  <c r="AI75" i="2"/>
  <c r="AI78" i="2"/>
  <c r="AI79" i="2"/>
  <c r="AI80" i="2"/>
  <c r="AI83" i="2"/>
  <c r="AH83" i="2"/>
  <c r="AH80" i="2"/>
  <c r="AH79" i="2"/>
  <c r="AH78" i="2"/>
  <c r="AH75" i="2"/>
  <c r="AH72" i="2"/>
  <c r="AH71" i="2"/>
  <c r="AH68" i="2"/>
  <c r="AV59" i="2"/>
  <c r="AW59" i="2"/>
  <c r="AX59" i="2"/>
  <c r="AY59" i="2"/>
  <c r="AZ59" i="2" s="1"/>
  <c r="BA59" i="2" s="1"/>
  <c r="BB59" i="2" s="1"/>
  <c r="BC59" i="2" s="1"/>
  <c r="BD59" i="2" s="1"/>
  <c r="BE59" i="2" s="1"/>
  <c r="AV60" i="2"/>
  <c r="AW60" i="2"/>
  <c r="AX60" i="2" s="1"/>
  <c r="AY60" i="2" s="1"/>
  <c r="AZ60" i="2" s="1"/>
  <c r="BA60" i="2" s="1"/>
  <c r="BB60" i="2" s="1"/>
  <c r="BC60" i="2" s="1"/>
  <c r="BD60" i="2" s="1"/>
  <c r="BE60" i="2" s="1"/>
  <c r="AV61" i="2"/>
  <c r="AW61" i="2"/>
  <c r="AX61" i="2"/>
  <c r="AY61" i="2"/>
  <c r="AZ61" i="2" s="1"/>
  <c r="BA61" i="2" s="1"/>
  <c r="BB61" i="2" s="1"/>
  <c r="BC61" i="2" s="1"/>
  <c r="BD61" i="2" s="1"/>
  <c r="BE61" i="2" s="1"/>
  <c r="AT61" i="2"/>
  <c r="AU61" i="2" s="1"/>
  <c r="AT60" i="2"/>
  <c r="AU60" i="2" s="1"/>
  <c r="AT59" i="2"/>
  <c r="AU59" i="2" s="1"/>
  <c r="AJ59" i="2"/>
  <c r="AK59" i="2" s="1"/>
  <c r="AL59" i="2" s="1"/>
  <c r="AM59" i="2" s="1"/>
  <c r="AN59" i="2" s="1"/>
  <c r="AO59" i="2" s="1"/>
  <c r="AP59" i="2" s="1"/>
  <c r="AQ59" i="2" s="1"/>
  <c r="AR59" i="2" s="1"/>
  <c r="AS59" i="2" s="1"/>
  <c r="AJ60" i="2"/>
  <c r="AK60" i="2"/>
  <c r="AL60" i="2" s="1"/>
  <c r="AM60" i="2" s="1"/>
  <c r="AN60" i="2" s="1"/>
  <c r="AO60" i="2" s="1"/>
  <c r="AP60" i="2" s="1"/>
  <c r="AQ60" i="2" s="1"/>
  <c r="AR60" i="2" s="1"/>
  <c r="AS60" i="2" s="1"/>
  <c r="AJ61" i="2"/>
  <c r="AK61" i="2" s="1"/>
  <c r="AL61" i="2" s="1"/>
  <c r="AM61" i="2" s="1"/>
  <c r="AN61" i="2" s="1"/>
  <c r="AO61" i="2" s="1"/>
  <c r="AP61" i="2" s="1"/>
  <c r="AQ61" i="2" s="1"/>
  <c r="AR61" i="2" s="1"/>
  <c r="AS61" i="2" s="1"/>
  <c r="AH65" i="2"/>
  <c r="AH64" i="2"/>
  <c r="AH61" i="2"/>
  <c r="AI61" i="2" s="1"/>
  <c r="AH60" i="2"/>
  <c r="AI60" i="2" s="1"/>
  <c r="AI59" i="2"/>
  <c r="AH59" i="2"/>
  <c r="AV51" i="2"/>
  <c r="AW51" i="2"/>
  <c r="AX51" i="2" s="1"/>
  <c r="AY51" i="2" s="1"/>
  <c r="AZ51" i="2" s="1"/>
  <c r="BA51" i="2" s="1"/>
  <c r="BB51" i="2" s="1"/>
  <c r="BC51" i="2" s="1"/>
  <c r="BD51" i="2" s="1"/>
  <c r="BE51" i="2" s="1"/>
  <c r="AV52" i="2"/>
  <c r="AW52" i="2"/>
  <c r="AX52" i="2" s="1"/>
  <c r="AY52" i="2" s="1"/>
  <c r="AZ52" i="2" s="1"/>
  <c r="BA52" i="2" s="1"/>
  <c r="BB52" i="2" s="1"/>
  <c r="BC52" i="2" s="1"/>
  <c r="BD52" i="2" s="1"/>
  <c r="BE52" i="2" s="1"/>
  <c r="AV53" i="2"/>
  <c r="AW53" i="2"/>
  <c r="AX53" i="2" s="1"/>
  <c r="AY53" i="2" s="1"/>
  <c r="AZ53" i="2" s="1"/>
  <c r="BA53" i="2" s="1"/>
  <c r="BB53" i="2" s="1"/>
  <c r="BC53" i="2" s="1"/>
  <c r="BD53" i="2" s="1"/>
  <c r="BE53" i="2" s="1"/>
  <c r="AV54" i="2"/>
  <c r="AW54" i="2"/>
  <c r="AX54" i="2" s="1"/>
  <c r="AY54" i="2" s="1"/>
  <c r="AZ54" i="2" s="1"/>
  <c r="BA54" i="2" s="1"/>
  <c r="BB54" i="2" s="1"/>
  <c r="BC54" i="2" s="1"/>
  <c r="BD54" i="2" s="1"/>
  <c r="BE54" i="2" s="1"/>
  <c r="AV55" i="2"/>
  <c r="AW55" i="2" s="1"/>
  <c r="AX55" i="2" s="1"/>
  <c r="AY55" i="2" s="1"/>
  <c r="AZ55" i="2" s="1"/>
  <c r="BA55" i="2" s="1"/>
  <c r="BB55" i="2" s="1"/>
  <c r="BC55" i="2" s="1"/>
  <c r="BD55" i="2" s="1"/>
  <c r="BE55" i="2" s="1"/>
  <c r="AV56" i="2"/>
  <c r="AW56" i="2"/>
  <c r="AX56" i="2" s="1"/>
  <c r="AY56" i="2" s="1"/>
  <c r="AZ56" i="2" s="1"/>
  <c r="BA56" i="2" s="1"/>
  <c r="BB56" i="2" s="1"/>
  <c r="BC56" i="2" s="1"/>
  <c r="BD56" i="2" s="1"/>
  <c r="BE56" i="2" s="1"/>
  <c r="AU52" i="2"/>
  <c r="AU53" i="2"/>
  <c r="AU54" i="2"/>
  <c r="AU55" i="2"/>
  <c r="AU56" i="2"/>
  <c r="AU51" i="2"/>
  <c r="AT56" i="2"/>
  <c r="AT55" i="2"/>
  <c r="AT54" i="2"/>
  <c r="AT53" i="2"/>
  <c r="AT52" i="2"/>
  <c r="AT51" i="2"/>
  <c r="AJ51" i="2"/>
  <c r="AK51" i="2"/>
  <c r="AL51" i="2" s="1"/>
  <c r="AM51" i="2" s="1"/>
  <c r="AN51" i="2" s="1"/>
  <c r="AO51" i="2" s="1"/>
  <c r="AP51" i="2" s="1"/>
  <c r="AQ51" i="2" s="1"/>
  <c r="AR51" i="2" s="1"/>
  <c r="AS51" i="2" s="1"/>
  <c r="AJ52" i="2"/>
  <c r="AK52" i="2"/>
  <c r="AL52" i="2" s="1"/>
  <c r="AM52" i="2" s="1"/>
  <c r="AN52" i="2" s="1"/>
  <c r="AO52" i="2" s="1"/>
  <c r="AP52" i="2" s="1"/>
  <c r="AQ52" i="2" s="1"/>
  <c r="AR52" i="2" s="1"/>
  <c r="AS52" i="2" s="1"/>
  <c r="AJ53" i="2"/>
  <c r="AK53" i="2"/>
  <c r="AL53" i="2" s="1"/>
  <c r="AM53" i="2" s="1"/>
  <c r="AN53" i="2" s="1"/>
  <c r="AO53" i="2" s="1"/>
  <c r="AP53" i="2" s="1"/>
  <c r="AQ53" i="2" s="1"/>
  <c r="AR53" i="2" s="1"/>
  <c r="AS53" i="2" s="1"/>
  <c r="AJ54" i="2"/>
  <c r="AK54" i="2"/>
  <c r="AL54" i="2" s="1"/>
  <c r="AM54" i="2" s="1"/>
  <c r="AN54" i="2" s="1"/>
  <c r="AO54" i="2" s="1"/>
  <c r="AP54" i="2" s="1"/>
  <c r="AQ54" i="2" s="1"/>
  <c r="AR54" i="2" s="1"/>
  <c r="AS54" i="2" s="1"/>
  <c r="AJ55" i="2"/>
  <c r="AK55" i="2"/>
  <c r="AL55" i="2" s="1"/>
  <c r="AM55" i="2" s="1"/>
  <c r="AN55" i="2" s="1"/>
  <c r="AO55" i="2" s="1"/>
  <c r="AP55" i="2" s="1"/>
  <c r="AQ55" i="2" s="1"/>
  <c r="AR55" i="2" s="1"/>
  <c r="AS55" i="2" s="1"/>
  <c r="AJ56" i="2"/>
  <c r="AK56" i="2"/>
  <c r="AL56" i="2" s="1"/>
  <c r="AM56" i="2" s="1"/>
  <c r="AN56" i="2" s="1"/>
  <c r="AO56" i="2" s="1"/>
  <c r="AP56" i="2" s="1"/>
  <c r="AQ56" i="2" s="1"/>
  <c r="AR56" i="2" s="1"/>
  <c r="AS56" i="2" s="1"/>
  <c r="AI52" i="2"/>
  <c r="AI53" i="2"/>
  <c r="AI54" i="2"/>
  <c r="AI55" i="2"/>
  <c r="AI56" i="2"/>
  <c r="AI51" i="2"/>
  <c r="AH52" i="2"/>
  <c r="AH53" i="2"/>
  <c r="AH54" i="2"/>
  <c r="AH55" i="2"/>
  <c r="AH56" i="2"/>
  <c r="AH51" i="2"/>
  <c r="BG7" i="9" l="1"/>
  <c r="BL7" i="9"/>
  <c r="BQ7" i="9"/>
  <c r="BK7" i="9"/>
  <c r="BP7" i="9"/>
  <c r="BF7" i="9"/>
  <c r="BF140" i="9"/>
  <c r="BF31" i="6"/>
  <c r="BO7" i="9"/>
  <c r="BI7" i="9"/>
  <c r="BJ7" i="9"/>
  <c r="BH7" i="9"/>
  <c r="BM7" i="9"/>
  <c r="BN7" i="9"/>
  <c r="BG24" i="9"/>
  <c r="BG54" i="10"/>
  <c r="BG86" i="10" s="1"/>
  <c r="BG88" i="10" s="1"/>
  <c r="BG57" i="6" s="1"/>
  <c r="BH58" i="6" s="1"/>
  <c r="BO24" i="9"/>
  <c r="BO54" i="10"/>
  <c r="BO86" i="10" s="1"/>
  <c r="BO88" i="10" s="1"/>
  <c r="BO57" i="6" s="1"/>
  <c r="BP58" i="6" s="1"/>
  <c r="BK54" i="10"/>
  <c r="BK86" i="10" s="1"/>
  <c r="BK88" i="10" s="1"/>
  <c r="BK57" i="6" s="1"/>
  <c r="BL58" i="6" s="1"/>
  <c r="BM54" i="10"/>
  <c r="BM86" i="10" s="1"/>
  <c r="BM88" i="10" s="1"/>
  <c r="BM57" i="6" s="1"/>
  <c r="BN58" i="6" s="1"/>
  <c r="BM25" i="9"/>
  <c r="N23" i="11"/>
  <c r="BH24" i="9"/>
  <c r="BH54" i="10"/>
  <c r="BH86" i="10" s="1"/>
  <c r="BH88" i="10" s="1"/>
  <c r="BH57" i="6" s="1"/>
  <c r="BI58" i="6" s="1"/>
  <c r="BL24" i="9"/>
  <c r="BL54" i="10"/>
  <c r="BL86" i="10" s="1"/>
  <c r="BL88" i="10" s="1"/>
  <c r="BL57" i="6" s="1"/>
  <c r="BM58" i="6" s="1"/>
  <c r="BQ54" i="10"/>
  <c r="BQ86" i="10" s="1"/>
  <c r="BQ88" i="10" s="1"/>
  <c r="BQ57" i="6" s="1"/>
  <c r="BQ25" i="9"/>
  <c r="BH25" i="6"/>
  <c r="BI16" i="6"/>
  <c r="BI18" i="6" s="1"/>
  <c r="BH58" i="5"/>
  <c r="BG63" i="5"/>
  <c r="BI53" i="5"/>
  <c r="BI56" i="5" s="1"/>
  <c r="BH59" i="5"/>
  <c r="BH15" i="5"/>
  <c r="BI9" i="5"/>
  <c r="BI12" i="5" s="1"/>
  <c r="BG49" i="5"/>
  <c r="BG19" i="5"/>
  <c r="BH17" i="5"/>
  <c r="BI14" i="5" s="1"/>
  <c r="BH47" i="5"/>
  <c r="BI44" i="5" s="1"/>
  <c r="BH45" i="5"/>
  <c r="BI39" i="5"/>
  <c r="BI42" i="5" s="1"/>
  <c r="BI28" i="10"/>
  <c r="BI85" i="10" s="1"/>
  <c r="BI88" i="10" s="1"/>
  <c r="BI57" i="6" s="1"/>
  <c r="BJ58" i="6" s="1"/>
  <c r="BH3" i="1"/>
  <c r="BI2" i="1"/>
  <c r="AV64" i="2"/>
  <c r="AW64" i="2" s="1"/>
  <c r="AX64" i="2" s="1"/>
  <c r="AY64" i="2" s="1"/>
  <c r="AZ64" i="2" s="1"/>
  <c r="BA64" i="2" s="1"/>
  <c r="BB64" i="2" s="1"/>
  <c r="BC64" i="2" s="1"/>
  <c r="BD64" i="2" s="1"/>
  <c r="BE64" i="2" s="1"/>
  <c r="AV65" i="2"/>
  <c r="AW65" i="2" s="1"/>
  <c r="AX65" i="2" s="1"/>
  <c r="AY65" i="2" s="1"/>
  <c r="AZ65" i="2" s="1"/>
  <c r="BA65" i="2" s="1"/>
  <c r="BB65" i="2" s="1"/>
  <c r="BC65" i="2" s="1"/>
  <c r="BD65" i="2" s="1"/>
  <c r="BE65" i="2" s="1"/>
  <c r="W16" i="10"/>
  <c r="BA118" i="9"/>
  <c r="BB118" i="9"/>
  <c r="BC118" i="9"/>
  <c r="BD118" i="9"/>
  <c r="BE118" i="9"/>
  <c r="AR118" i="9"/>
  <c r="AS118" i="9"/>
  <c r="AT118" i="9"/>
  <c r="AU118" i="9"/>
  <c r="AV118" i="9"/>
  <c r="AW118" i="9"/>
  <c r="AX118" i="9"/>
  <c r="AY118" i="9"/>
  <c r="AZ118" i="9"/>
  <c r="AI118" i="9"/>
  <c r="AJ118" i="9"/>
  <c r="AK118" i="9"/>
  <c r="AL118" i="9"/>
  <c r="AM118" i="9"/>
  <c r="AN118" i="9"/>
  <c r="AO118" i="9"/>
  <c r="AP118" i="9"/>
  <c r="AQ118" i="9"/>
  <c r="AA118" i="9"/>
  <c r="AB118" i="9"/>
  <c r="AC118" i="9"/>
  <c r="AD118" i="9"/>
  <c r="AE118" i="9"/>
  <c r="AF118" i="9"/>
  <c r="AG118" i="9"/>
  <c r="AH118" i="9"/>
  <c r="T118" i="9"/>
  <c r="U118" i="9"/>
  <c r="V118" i="9"/>
  <c r="W118" i="9"/>
  <c r="X118" i="9"/>
  <c r="Y118" i="9"/>
  <c r="Z118" i="9"/>
  <c r="S118" i="9"/>
  <c r="T19" i="5"/>
  <c r="P11" i="6"/>
  <c r="Q125" i="9"/>
  <c r="L11" i="6"/>
  <c r="P62" i="4"/>
  <c r="P57" i="4"/>
  <c r="P52" i="4"/>
  <c r="T220" i="4"/>
  <c r="K28" i="3"/>
  <c r="L28" i="3"/>
  <c r="M28" i="3"/>
  <c r="N28" i="3"/>
  <c r="O28" i="3"/>
  <c r="P28" i="3"/>
  <c r="Q28" i="3"/>
  <c r="R28" i="3"/>
  <c r="S28" i="3"/>
  <c r="T28" i="3"/>
  <c r="U28" i="3"/>
  <c r="V28" i="3"/>
  <c r="W28" i="3"/>
  <c r="X28" i="3"/>
  <c r="J28" i="3"/>
  <c r="B28" i="3"/>
  <c r="K22" i="3"/>
  <c r="L22" i="3"/>
  <c r="M22" i="3"/>
  <c r="N22" i="3"/>
  <c r="O22" i="3"/>
  <c r="P22" i="3"/>
  <c r="Q22" i="3"/>
  <c r="R22" i="3"/>
  <c r="S22" i="3"/>
  <c r="T22" i="3"/>
  <c r="U22" i="3"/>
  <c r="V22" i="3"/>
  <c r="W22" i="3"/>
  <c r="X22" i="3"/>
  <c r="J22" i="3"/>
  <c r="B22" i="3"/>
  <c r="X104" i="3"/>
  <c r="W104" i="3"/>
  <c r="V104" i="3"/>
  <c r="U104" i="3"/>
  <c r="T104" i="3"/>
  <c r="S104" i="3"/>
  <c r="R104" i="3"/>
  <c r="Q104" i="3"/>
  <c r="P104" i="3"/>
  <c r="O104" i="3"/>
  <c r="N104" i="3"/>
  <c r="M104" i="3"/>
  <c r="L104" i="3"/>
  <c r="K104" i="3"/>
  <c r="J104" i="3"/>
  <c r="R100" i="3"/>
  <c r="X100" i="3"/>
  <c r="W100" i="3"/>
  <c r="V100" i="3"/>
  <c r="U100" i="3"/>
  <c r="T100" i="3"/>
  <c r="S100" i="3"/>
  <c r="Q100" i="3"/>
  <c r="P100" i="3"/>
  <c r="O100" i="3"/>
  <c r="N100" i="3"/>
  <c r="M100" i="3"/>
  <c r="L100" i="3"/>
  <c r="K100" i="3"/>
  <c r="J100" i="3"/>
  <c r="B27" i="3"/>
  <c r="BF141" i="9" l="1"/>
  <c r="N141" i="11" s="1"/>
  <c r="N140" i="11"/>
  <c r="N7" i="11"/>
  <c r="G8" i="13" s="1"/>
  <c r="N25" i="11"/>
  <c r="N24" i="11"/>
  <c r="BJ16" i="6"/>
  <c r="BJ18" i="6" s="1"/>
  <c r="BI25" i="6"/>
  <c r="BJ39" i="5"/>
  <c r="BJ42" i="5" s="1"/>
  <c r="BI45" i="5"/>
  <c r="BJ9" i="5"/>
  <c r="BJ12" i="5" s="1"/>
  <c r="BI15" i="5"/>
  <c r="BJ53" i="5"/>
  <c r="BJ56" i="5" s="1"/>
  <c r="BI59" i="5"/>
  <c r="BH49" i="5"/>
  <c r="BI17" i="5"/>
  <c r="BJ14" i="5" s="1"/>
  <c r="BH19" i="5"/>
  <c r="BI47" i="5"/>
  <c r="BJ44" i="5" s="1"/>
  <c r="BH61" i="5"/>
  <c r="BJ2" i="1"/>
  <c r="BI3" i="1"/>
  <c r="BE13" i="12"/>
  <c r="BE14" i="12"/>
  <c r="BD13" i="12"/>
  <c r="BD14" i="12"/>
  <c r="BD15" i="12" s="1"/>
  <c r="BC13" i="12"/>
  <c r="BC14" i="12"/>
  <c r="BB13" i="12"/>
  <c r="BB14" i="12"/>
  <c r="BA13" i="12"/>
  <c r="BA14" i="12"/>
  <c r="AZ13" i="12"/>
  <c r="AZ14" i="12"/>
  <c r="AZ15" i="12" s="1"/>
  <c r="AY13" i="12"/>
  <c r="AY14" i="12"/>
  <c r="AX13" i="12"/>
  <c r="AX14" i="12"/>
  <c r="AW13" i="12"/>
  <c r="AW14" i="12"/>
  <c r="AV13" i="12"/>
  <c r="AV14" i="12"/>
  <c r="AV15" i="12" s="1"/>
  <c r="AU13" i="12"/>
  <c r="AU14" i="12"/>
  <c r="AT13" i="12"/>
  <c r="AT14" i="12"/>
  <c r="AS13" i="12"/>
  <c r="AS14" i="12"/>
  <c r="AR13" i="12"/>
  <c r="AR14" i="12"/>
  <c r="AR15" i="12" s="1"/>
  <c r="AQ13" i="12"/>
  <c r="AQ14" i="12"/>
  <c r="AP13" i="12"/>
  <c r="AP14" i="12"/>
  <c r="AO13" i="12"/>
  <c r="AO14" i="12"/>
  <c r="AN13" i="12"/>
  <c r="AN14" i="12"/>
  <c r="AM13" i="12"/>
  <c r="AM14" i="12"/>
  <c r="AM15" i="12" s="1"/>
  <c r="AL13" i="12"/>
  <c r="AL14" i="12"/>
  <c r="AK13" i="12"/>
  <c r="AK14" i="12"/>
  <c r="AK15" i="12" s="1"/>
  <c r="AJ13" i="12"/>
  <c r="AJ14" i="12"/>
  <c r="AJ15" i="12" s="1"/>
  <c r="AI13" i="12"/>
  <c r="AI14" i="12"/>
  <c r="AH13" i="12"/>
  <c r="AH14" i="12"/>
  <c r="AG13" i="12"/>
  <c r="AG14" i="12"/>
  <c r="AF13" i="12"/>
  <c r="AF14" i="12"/>
  <c r="AF15" i="12" s="1"/>
  <c r="AE13" i="12"/>
  <c r="AE14" i="12"/>
  <c r="AE15" i="12" s="1"/>
  <c r="AD13" i="12"/>
  <c r="AD14" i="12"/>
  <c r="AC13" i="12"/>
  <c r="AC14" i="12"/>
  <c r="AC15" i="12" s="1"/>
  <c r="AB13" i="12"/>
  <c r="AB14" i="12"/>
  <c r="AB15" i="12" s="1"/>
  <c r="AA13" i="12"/>
  <c r="AA14" i="12"/>
  <c r="Z13" i="12"/>
  <c r="Z14" i="12"/>
  <c r="Y13" i="12"/>
  <c r="Y14" i="12"/>
  <c r="X13" i="12"/>
  <c r="X14" i="12"/>
  <c r="X15" i="12" s="1"/>
  <c r="W13" i="12"/>
  <c r="W14" i="12"/>
  <c r="W15" i="12" s="1"/>
  <c r="V13" i="12"/>
  <c r="V14" i="12"/>
  <c r="U13" i="12"/>
  <c r="U14" i="12"/>
  <c r="U15" i="12" s="1"/>
  <c r="T13" i="12"/>
  <c r="T14" i="12"/>
  <c r="T15" i="12" s="1"/>
  <c r="S13" i="12"/>
  <c r="S14" i="12"/>
  <c r="R13" i="12"/>
  <c r="R14" i="12"/>
  <c r="Q13" i="12"/>
  <c r="Q14" i="12"/>
  <c r="P13" i="12"/>
  <c r="P14" i="12"/>
  <c r="P15" i="12" s="1"/>
  <c r="O13" i="12"/>
  <c r="O14" i="12"/>
  <c r="O15" i="12" s="1"/>
  <c r="N13" i="12"/>
  <c r="N14" i="12"/>
  <c r="M13" i="12"/>
  <c r="M14" i="12"/>
  <c r="M15" i="12" s="1"/>
  <c r="L13" i="12"/>
  <c r="L14" i="12"/>
  <c r="L15" i="12" s="1"/>
  <c r="K13" i="12"/>
  <c r="K14" i="12"/>
  <c r="J14" i="12"/>
  <c r="J13" i="12"/>
  <c r="O7" i="12"/>
  <c r="J8" i="12"/>
  <c r="J153" i="4" s="1"/>
  <c r="J155" i="4" s="1"/>
  <c r="J32" i="4" s="1"/>
  <c r="J7" i="12"/>
  <c r="J2" i="12"/>
  <c r="B68" i="10"/>
  <c r="B67" i="10"/>
  <c r="B43" i="10"/>
  <c r="M147" i="11"/>
  <c r="AT146" i="9"/>
  <c r="AU146" i="9"/>
  <c r="AV146" i="9"/>
  <c r="AW146" i="9"/>
  <c r="AX146" i="9"/>
  <c r="AY146" i="9"/>
  <c r="AZ146" i="9"/>
  <c r="BA146" i="9"/>
  <c r="BB146" i="9"/>
  <c r="BC146" i="9"/>
  <c r="BD146" i="9"/>
  <c r="BE146" i="9"/>
  <c r="M146" i="11"/>
  <c r="M145" i="11"/>
  <c r="M144" i="11"/>
  <c r="M139" i="11"/>
  <c r="M138" i="11"/>
  <c r="AT133" i="9"/>
  <c r="AU133" i="9"/>
  <c r="AV133" i="9"/>
  <c r="M133" i="11" s="1"/>
  <c r="AW133" i="9"/>
  <c r="AX133" i="9"/>
  <c r="AY133" i="9"/>
  <c r="AZ133" i="9"/>
  <c r="BA133" i="9"/>
  <c r="BB133" i="9"/>
  <c r="BC133" i="9"/>
  <c r="BD133" i="9"/>
  <c r="BE133" i="9"/>
  <c r="M119" i="11"/>
  <c r="M118" i="11"/>
  <c r="L147" i="11"/>
  <c r="AH146" i="9"/>
  <c r="AI146" i="9"/>
  <c r="AJ146" i="9"/>
  <c r="AK146" i="9"/>
  <c r="AL146" i="9"/>
  <c r="AM146" i="9"/>
  <c r="AN146" i="9"/>
  <c r="AO146" i="9"/>
  <c r="AP146" i="9"/>
  <c r="AQ146" i="9"/>
  <c r="AR146" i="9"/>
  <c r="AS146" i="9"/>
  <c r="L145" i="11"/>
  <c r="L144" i="11"/>
  <c r="L139" i="11"/>
  <c r="L138" i="11"/>
  <c r="AH133" i="9"/>
  <c r="AI133" i="9"/>
  <c r="AJ133" i="9"/>
  <c r="AK133" i="9"/>
  <c r="AL133" i="9"/>
  <c r="AM133" i="9"/>
  <c r="AN133" i="9"/>
  <c r="AO133" i="9"/>
  <c r="AP133" i="9"/>
  <c r="AQ133" i="9"/>
  <c r="AR133" i="9"/>
  <c r="AS133" i="9"/>
  <c r="L119" i="11"/>
  <c r="L118" i="11"/>
  <c r="K147" i="11"/>
  <c r="V146" i="9"/>
  <c r="W146" i="9"/>
  <c r="X146" i="9"/>
  <c r="Y146" i="9"/>
  <c r="Z146" i="9"/>
  <c r="AA146" i="9"/>
  <c r="AB146" i="9"/>
  <c r="AC146" i="9"/>
  <c r="AD146" i="9"/>
  <c r="AE146" i="9"/>
  <c r="AF146" i="9"/>
  <c r="AG146" i="9"/>
  <c r="K145" i="11"/>
  <c r="K144" i="11"/>
  <c r="K139" i="11"/>
  <c r="K138" i="11"/>
  <c r="K134" i="11"/>
  <c r="V133" i="9"/>
  <c r="K133" i="11" s="1"/>
  <c r="W133" i="9"/>
  <c r="X133" i="9"/>
  <c r="Y133" i="9"/>
  <c r="Z133" i="9"/>
  <c r="AA133" i="9"/>
  <c r="AB133" i="9"/>
  <c r="AC133" i="9"/>
  <c r="AD133" i="9"/>
  <c r="AE133" i="9"/>
  <c r="AF133" i="9"/>
  <c r="AG133" i="9"/>
  <c r="K119" i="11"/>
  <c r="K118" i="11"/>
  <c r="J149" i="11"/>
  <c r="J146" i="9"/>
  <c r="J146" i="11" s="1"/>
  <c r="K146" i="9"/>
  <c r="L146" i="9"/>
  <c r="M146" i="9"/>
  <c r="N146" i="9"/>
  <c r="O146" i="9"/>
  <c r="P146" i="9"/>
  <c r="Q146" i="9"/>
  <c r="R146" i="9"/>
  <c r="S146" i="9"/>
  <c r="T146" i="9"/>
  <c r="U146" i="9"/>
  <c r="J145" i="11"/>
  <c r="J144" i="11"/>
  <c r="J139" i="11"/>
  <c r="J138" i="11"/>
  <c r="J134" i="11"/>
  <c r="J133" i="9"/>
  <c r="K133" i="9"/>
  <c r="L133" i="9"/>
  <c r="M133" i="9"/>
  <c r="N133" i="9"/>
  <c r="O133" i="9"/>
  <c r="P133" i="9"/>
  <c r="Q133" i="9"/>
  <c r="R133" i="9"/>
  <c r="S133" i="9"/>
  <c r="T133" i="9"/>
  <c r="U133" i="9"/>
  <c r="J133" i="11"/>
  <c r="J119" i="11"/>
  <c r="J118" i="11"/>
  <c r="M104" i="11"/>
  <c r="L104" i="11"/>
  <c r="K104" i="11"/>
  <c r="J104" i="11"/>
  <c r="M102" i="11"/>
  <c r="L102" i="11"/>
  <c r="K102" i="11"/>
  <c r="J102" i="11"/>
  <c r="J81" i="6"/>
  <c r="K79" i="6" s="1"/>
  <c r="K81" i="6" s="1"/>
  <c r="L79" i="6" s="1"/>
  <c r="L81" i="6" s="1"/>
  <c r="M79" i="6" s="1"/>
  <c r="M81" i="6" s="1"/>
  <c r="N79" i="6" s="1"/>
  <c r="N81" i="6" s="1"/>
  <c r="O79" i="6" s="1"/>
  <c r="O81" i="6" s="1"/>
  <c r="P79" i="6" s="1"/>
  <c r="P81" i="6" s="1"/>
  <c r="Q79" i="6" s="1"/>
  <c r="Q81" i="6" s="1"/>
  <c r="R79" i="6" s="1"/>
  <c r="R81" i="6" s="1"/>
  <c r="S79" i="6" s="1"/>
  <c r="S81" i="6" s="1"/>
  <c r="T79" i="6" s="1"/>
  <c r="T81" i="6" s="1"/>
  <c r="U79" i="6" s="1"/>
  <c r="U81" i="6" s="1"/>
  <c r="U95" i="9" s="1"/>
  <c r="J95" i="11" s="1"/>
  <c r="BE93" i="9"/>
  <c r="M93" i="11"/>
  <c r="AS93" i="9"/>
  <c r="L93" i="11"/>
  <c r="AG93" i="9"/>
  <c r="K93" i="11"/>
  <c r="U93" i="9"/>
  <c r="J93" i="11" s="1"/>
  <c r="M92" i="11"/>
  <c r="L92" i="11"/>
  <c r="K92" i="11"/>
  <c r="J92" i="11"/>
  <c r="M91" i="11"/>
  <c r="L91" i="11"/>
  <c r="K91" i="11"/>
  <c r="J91" i="11"/>
  <c r="M87" i="11"/>
  <c r="L87" i="11"/>
  <c r="K87" i="11"/>
  <c r="J87" i="11"/>
  <c r="M86" i="11"/>
  <c r="L86" i="11"/>
  <c r="K86" i="11"/>
  <c r="J86" i="11"/>
  <c r="M85" i="11"/>
  <c r="L85" i="11"/>
  <c r="K85" i="11"/>
  <c r="J85" i="11"/>
  <c r="M60" i="11"/>
  <c r="L60" i="11"/>
  <c r="K60" i="11"/>
  <c r="J60" i="11"/>
  <c r="M53" i="11"/>
  <c r="L53" i="11"/>
  <c r="M52" i="11"/>
  <c r="L52" i="11"/>
  <c r="K52" i="11"/>
  <c r="J52" i="11"/>
  <c r="M47" i="11"/>
  <c r="L47" i="11"/>
  <c r="K47" i="11"/>
  <c r="J47" i="11"/>
  <c r="M9" i="11"/>
  <c r="L9" i="11"/>
  <c r="K9" i="11"/>
  <c r="J9" i="11"/>
  <c r="B153" i="11"/>
  <c r="C60" i="11"/>
  <c r="K29" i="6"/>
  <c r="O77" i="4"/>
  <c r="O40" i="3"/>
  <c r="O42" i="3" s="1"/>
  <c r="O8" i="3" s="1"/>
  <c r="N40" i="3"/>
  <c r="N42" i="3" s="1"/>
  <c r="N8" i="3" s="1"/>
  <c r="M40" i="3"/>
  <c r="K40" i="3"/>
  <c r="AQ190" i="4"/>
  <c r="AQ37" i="4" s="1"/>
  <c r="AI190" i="4"/>
  <c r="AI37" i="4" s="1"/>
  <c r="AA190" i="4"/>
  <c r="AA37" i="4" s="1"/>
  <c r="S190" i="4"/>
  <c r="S37" i="4" s="1"/>
  <c r="R190" i="4"/>
  <c r="R37" i="4" s="1"/>
  <c r="Q190" i="4"/>
  <c r="Q37" i="4" s="1"/>
  <c r="P190" i="4"/>
  <c r="P37" i="4" s="1"/>
  <c r="O190" i="4"/>
  <c r="O37" i="4" s="1"/>
  <c r="N190" i="4"/>
  <c r="N37" i="4" s="1"/>
  <c r="M190" i="4"/>
  <c r="M37" i="4" s="1"/>
  <c r="L190" i="4"/>
  <c r="L37" i="4" s="1"/>
  <c r="K190" i="4"/>
  <c r="K37" i="4" s="1"/>
  <c r="J190" i="4"/>
  <c r="J37" i="4" s="1"/>
  <c r="BE190" i="4"/>
  <c r="BE37" i="4" s="1"/>
  <c r="BD190" i="4"/>
  <c r="BD37" i="4" s="1"/>
  <c r="BC190" i="4"/>
  <c r="BC37" i="4" s="1"/>
  <c r="BB190" i="4"/>
  <c r="BB37" i="4" s="1"/>
  <c r="BA190" i="4"/>
  <c r="BA37" i="4" s="1"/>
  <c r="AZ190" i="4"/>
  <c r="AZ37" i="4"/>
  <c r="AY190" i="4"/>
  <c r="AY37" i="4" s="1"/>
  <c r="AX190" i="4"/>
  <c r="AX37" i="4" s="1"/>
  <c r="AW190" i="4"/>
  <c r="AW37" i="4" s="1"/>
  <c r="AV190" i="4"/>
  <c r="AV37" i="4" s="1"/>
  <c r="AU190" i="4"/>
  <c r="AU37" i="4"/>
  <c r="AT190" i="4"/>
  <c r="AT37" i="4" s="1"/>
  <c r="AS190" i="4"/>
  <c r="AS37" i="4" s="1"/>
  <c r="AR190" i="4"/>
  <c r="AR37" i="4" s="1"/>
  <c r="AP190" i="4"/>
  <c r="AP37" i="4" s="1"/>
  <c r="AO190" i="4"/>
  <c r="AO37" i="4" s="1"/>
  <c r="AN190" i="4"/>
  <c r="AN37" i="4" s="1"/>
  <c r="AM190" i="4"/>
  <c r="AM37" i="4" s="1"/>
  <c r="AL190" i="4"/>
  <c r="AL37" i="4" s="1"/>
  <c r="AK190" i="4"/>
  <c r="AK37" i="4" s="1"/>
  <c r="AJ190" i="4"/>
  <c r="AJ37" i="4" s="1"/>
  <c r="AH190" i="4"/>
  <c r="AH37" i="4" s="1"/>
  <c r="AG190" i="4"/>
  <c r="AG37" i="4" s="1"/>
  <c r="AF190" i="4"/>
  <c r="AF37" i="4" s="1"/>
  <c r="AE190" i="4"/>
  <c r="AE37" i="4" s="1"/>
  <c r="AD190" i="4"/>
  <c r="AD37" i="4" s="1"/>
  <c r="AC190" i="4"/>
  <c r="AC37" i="4" s="1"/>
  <c r="AB190" i="4"/>
  <c r="AB37" i="4" s="1"/>
  <c r="Z190" i="4"/>
  <c r="Z37" i="4" s="1"/>
  <c r="Y190" i="4"/>
  <c r="Y37" i="4" s="1"/>
  <c r="X190" i="4"/>
  <c r="X37" i="4" s="1"/>
  <c r="W190" i="4"/>
  <c r="W37" i="4" s="1"/>
  <c r="V190" i="4"/>
  <c r="V37" i="4" s="1"/>
  <c r="U190" i="4"/>
  <c r="U37" i="4" s="1"/>
  <c r="T190" i="4"/>
  <c r="T37" i="4" s="1"/>
  <c r="R208" i="4"/>
  <c r="R40" i="4" s="1"/>
  <c r="K208" i="4"/>
  <c r="K40" i="4" s="1"/>
  <c r="AB202" i="4"/>
  <c r="AB39" i="4"/>
  <c r="AY196" i="4"/>
  <c r="AY38" i="4"/>
  <c r="AX196" i="4"/>
  <c r="AX38" i="4" s="1"/>
  <c r="AL184" i="4"/>
  <c r="AL36" i="4" s="1"/>
  <c r="AR178" i="4"/>
  <c r="AR35" i="4" s="1"/>
  <c r="AW172" i="4"/>
  <c r="AW34" i="4" s="1"/>
  <c r="BE184" i="4"/>
  <c r="BE36" i="4" s="1"/>
  <c r="BD184" i="4"/>
  <c r="BD36" i="4" s="1"/>
  <c r="BC184" i="4"/>
  <c r="BC36" i="4" s="1"/>
  <c r="BB184" i="4"/>
  <c r="BB36" i="4" s="1"/>
  <c r="BA184" i="4"/>
  <c r="BA36" i="4" s="1"/>
  <c r="AZ184" i="4"/>
  <c r="AZ36" i="4" s="1"/>
  <c r="AY184" i="4"/>
  <c r="AY36" i="4" s="1"/>
  <c r="AX184" i="4"/>
  <c r="AX36" i="4" s="1"/>
  <c r="AW184" i="4"/>
  <c r="AW36" i="4" s="1"/>
  <c r="AV184" i="4"/>
  <c r="AV36" i="4" s="1"/>
  <c r="AU184" i="4"/>
  <c r="AU36" i="4" s="1"/>
  <c r="AT184" i="4"/>
  <c r="AT36" i="4" s="1"/>
  <c r="AS184" i="4"/>
  <c r="AS36" i="4" s="1"/>
  <c r="AR184" i="4"/>
  <c r="AR36" i="4" s="1"/>
  <c r="AQ184" i="4"/>
  <c r="AQ36" i="4" s="1"/>
  <c r="AP184" i="4"/>
  <c r="AP36" i="4" s="1"/>
  <c r="AO184" i="4"/>
  <c r="AO36" i="4" s="1"/>
  <c r="AN184" i="4"/>
  <c r="AN36" i="4" s="1"/>
  <c r="AM184" i="4"/>
  <c r="AM36" i="4" s="1"/>
  <c r="AK184" i="4"/>
  <c r="AK36" i="4" s="1"/>
  <c r="AJ184" i="4"/>
  <c r="AJ36" i="4" s="1"/>
  <c r="AI184" i="4"/>
  <c r="AI36" i="4" s="1"/>
  <c r="AH184" i="4"/>
  <c r="AH36" i="4" s="1"/>
  <c r="AG184" i="4"/>
  <c r="AG36" i="4" s="1"/>
  <c r="AF184" i="4"/>
  <c r="AF36" i="4" s="1"/>
  <c r="AE184" i="4"/>
  <c r="AE36" i="4" s="1"/>
  <c r="AD184" i="4"/>
  <c r="AD36" i="4" s="1"/>
  <c r="AC184" i="4"/>
  <c r="AC36" i="4" s="1"/>
  <c r="AB184" i="4"/>
  <c r="AB36" i="4" s="1"/>
  <c r="AA184" i="4"/>
  <c r="AA36" i="4" s="1"/>
  <c r="Z184" i="4"/>
  <c r="Z36" i="4" s="1"/>
  <c r="Y184" i="4"/>
  <c r="Y36" i="4" s="1"/>
  <c r="X184" i="4"/>
  <c r="X36" i="4" s="1"/>
  <c r="W184" i="4"/>
  <c r="W36" i="4" s="1"/>
  <c r="V184" i="4"/>
  <c r="V36" i="4" s="1"/>
  <c r="U184" i="4"/>
  <c r="U36" i="4" s="1"/>
  <c r="T184" i="4"/>
  <c r="T36" i="4" s="1"/>
  <c r="S184" i="4"/>
  <c r="S36" i="4" s="1"/>
  <c r="R184" i="4"/>
  <c r="R36" i="4" s="1"/>
  <c r="Q184" i="4"/>
  <c r="Q36" i="4" s="1"/>
  <c r="P184" i="4"/>
  <c r="P36" i="4" s="1"/>
  <c r="O184" i="4"/>
  <c r="O36" i="4" s="1"/>
  <c r="N184" i="4"/>
  <c r="N36" i="4" s="1"/>
  <c r="M184" i="4"/>
  <c r="M36" i="4" s="1"/>
  <c r="L184" i="4"/>
  <c r="L36" i="4"/>
  <c r="K184" i="4"/>
  <c r="K36" i="4" s="1"/>
  <c r="J184" i="4"/>
  <c r="J36" i="4" s="1"/>
  <c r="BE238" i="4"/>
  <c r="BE45" i="4" s="1"/>
  <c r="BD238" i="4"/>
  <c r="BD45" i="4" s="1"/>
  <c r="BC238" i="4"/>
  <c r="BC45" i="4" s="1"/>
  <c r="BB238" i="4"/>
  <c r="BB45" i="4" s="1"/>
  <c r="BA238" i="4"/>
  <c r="BA45" i="4" s="1"/>
  <c r="AZ238" i="4"/>
  <c r="AZ45" i="4" s="1"/>
  <c r="AY238" i="4"/>
  <c r="AY45" i="4" s="1"/>
  <c r="AX238" i="4"/>
  <c r="AX45" i="4" s="1"/>
  <c r="AW238" i="4"/>
  <c r="AW45" i="4" s="1"/>
  <c r="AV238" i="4"/>
  <c r="AV45" i="4" s="1"/>
  <c r="AU238" i="4"/>
  <c r="AU45" i="4" s="1"/>
  <c r="AT238" i="4"/>
  <c r="AT45" i="4" s="1"/>
  <c r="AS238" i="4"/>
  <c r="AS45" i="4" s="1"/>
  <c r="AR238" i="4"/>
  <c r="AR45" i="4" s="1"/>
  <c r="AQ238" i="4"/>
  <c r="AQ45" i="4" s="1"/>
  <c r="AP238" i="4"/>
  <c r="AP45" i="4" s="1"/>
  <c r="AO238" i="4"/>
  <c r="AO45" i="4" s="1"/>
  <c r="AN238" i="4"/>
  <c r="AN45" i="4" s="1"/>
  <c r="AM238" i="4"/>
  <c r="AM45" i="4" s="1"/>
  <c r="AL238" i="4"/>
  <c r="AL45" i="4" s="1"/>
  <c r="AK238" i="4"/>
  <c r="AK45" i="4" s="1"/>
  <c r="AJ238" i="4"/>
  <c r="AJ45" i="4" s="1"/>
  <c r="AI238" i="4"/>
  <c r="AI45" i="4" s="1"/>
  <c r="AH238" i="4"/>
  <c r="AH45" i="4" s="1"/>
  <c r="AG238" i="4"/>
  <c r="AG45" i="4" s="1"/>
  <c r="AF238" i="4"/>
  <c r="AF45" i="4" s="1"/>
  <c r="AE238" i="4"/>
  <c r="AE45" i="4" s="1"/>
  <c r="AD238" i="4"/>
  <c r="AD45" i="4" s="1"/>
  <c r="AC238" i="4"/>
  <c r="AC45" i="4" s="1"/>
  <c r="AB238" i="4"/>
  <c r="AB45" i="4" s="1"/>
  <c r="AA238" i="4"/>
  <c r="AA45" i="4" s="1"/>
  <c r="Z238" i="4"/>
  <c r="Z45" i="4" s="1"/>
  <c r="Y238" i="4"/>
  <c r="Y45" i="4" s="1"/>
  <c r="X238" i="4"/>
  <c r="X45" i="4" s="1"/>
  <c r="W238" i="4"/>
  <c r="W45" i="4" s="1"/>
  <c r="V238" i="4"/>
  <c r="V45" i="4" s="1"/>
  <c r="U238" i="4"/>
  <c r="U45" i="4" s="1"/>
  <c r="T238" i="4"/>
  <c r="T45" i="4" s="1"/>
  <c r="S238" i="4"/>
  <c r="S45" i="4" s="1"/>
  <c r="R238" i="4"/>
  <c r="R45" i="4" s="1"/>
  <c r="Q238" i="4"/>
  <c r="Q45" i="4" s="1"/>
  <c r="P238" i="4"/>
  <c r="P45" i="4" s="1"/>
  <c r="O238" i="4"/>
  <c r="O45" i="4" s="1"/>
  <c r="N238" i="4"/>
  <c r="N45" i="4" s="1"/>
  <c r="M238" i="4"/>
  <c r="M45" i="4" s="1"/>
  <c r="L238" i="4"/>
  <c r="L45" i="4" s="1"/>
  <c r="K238" i="4"/>
  <c r="K45" i="4" s="1"/>
  <c r="J238" i="4"/>
  <c r="J45" i="4"/>
  <c r="BE232" i="4"/>
  <c r="BE44" i="4" s="1"/>
  <c r="BD232" i="4"/>
  <c r="BD44" i="4" s="1"/>
  <c r="BC232" i="4"/>
  <c r="BC44" i="4" s="1"/>
  <c r="BB232" i="4"/>
  <c r="BB44" i="4" s="1"/>
  <c r="BA232" i="4"/>
  <c r="BA44" i="4" s="1"/>
  <c r="AZ232" i="4"/>
  <c r="AZ44" i="4" s="1"/>
  <c r="AY232" i="4"/>
  <c r="AY44" i="4" s="1"/>
  <c r="AX232" i="4"/>
  <c r="AX44" i="4" s="1"/>
  <c r="AW232" i="4"/>
  <c r="AW44" i="4" s="1"/>
  <c r="AV232" i="4"/>
  <c r="AV44" i="4" s="1"/>
  <c r="AU232" i="4"/>
  <c r="AU44" i="4" s="1"/>
  <c r="AT232" i="4"/>
  <c r="AT44" i="4" s="1"/>
  <c r="AS232" i="4"/>
  <c r="AS44" i="4"/>
  <c r="AR232" i="4"/>
  <c r="AR44" i="4"/>
  <c r="AQ232" i="4"/>
  <c r="AQ44" i="4" s="1"/>
  <c r="AP232" i="4"/>
  <c r="AP44" i="4" s="1"/>
  <c r="AO232" i="4"/>
  <c r="AO44" i="4"/>
  <c r="AN232" i="4"/>
  <c r="AN44" i="4" s="1"/>
  <c r="AM232" i="4"/>
  <c r="AM44" i="4" s="1"/>
  <c r="AL232" i="4"/>
  <c r="AL44" i="4" s="1"/>
  <c r="AK232" i="4"/>
  <c r="AK44" i="4" s="1"/>
  <c r="AJ232" i="4"/>
  <c r="AJ44" i="4" s="1"/>
  <c r="AI232" i="4"/>
  <c r="AI44" i="4" s="1"/>
  <c r="AH232" i="4"/>
  <c r="AH44" i="4" s="1"/>
  <c r="AG232" i="4"/>
  <c r="AG44" i="4" s="1"/>
  <c r="AF232" i="4"/>
  <c r="AF44" i="4" s="1"/>
  <c r="AE232" i="4"/>
  <c r="AE44" i="4" s="1"/>
  <c r="AD232" i="4"/>
  <c r="AD44" i="4" s="1"/>
  <c r="AC232" i="4"/>
  <c r="AC44" i="4" s="1"/>
  <c r="AB232" i="4"/>
  <c r="AB44" i="4" s="1"/>
  <c r="AA232" i="4"/>
  <c r="AA44" i="4" s="1"/>
  <c r="Z232" i="4"/>
  <c r="Z44" i="4" s="1"/>
  <c r="Y232" i="4"/>
  <c r="Y44" i="4" s="1"/>
  <c r="X232" i="4"/>
  <c r="X44" i="4" s="1"/>
  <c r="W232" i="4"/>
  <c r="W44" i="4" s="1"/>
  <c r="V232" i="4"/>
  <c r="V44" i="4" s="1"/>
  <c r="U232" i="4"/>
  <c r="U44" i="4"/>
  <c r="T232" i="4"/>
  <c r="T44" i="4" s="1"/>
  <c r="S232" i="4"/>
  <c r="S44" i="4" s="1"/>
  <c r="R232" i="4"/>
  <c r="R44" i="4" s="1"/>
  <c r="Q232" i="4"/>
  <c r="Q44" i="4" s="1"/>
  <c r="P232" i="4"/>
  <c r="P44" i="4" s="1"/>
  <c r="O232" i="4"/>
  <c r="O44" i="4" s="1"/>
  <c r="N232" i="4"/>
  <c r="N44" i="4" s="1"/>
  <c r="M232" i="4"/>
  <c r="M44" i="4" s="1"/>
  <c r="L232" i="4"/>
  <c r="L44" i="4" s="1"/>
  <c r="K232" i="4"/>
  <c r="K44" i="4" s="1"/>
  <c r="J232" i="4"/>
  <c r="J44" i="4" s="1"/>
  <c r="BE226" i="4"/>
  <c r="BE43" i="4" s="1"/>
  <c r="BD226" i="4"/>
  <c r="BD43" i="4" s="1"/>
  <c r="BC226" i="4"/>
  <c r="BC43" i="4" s="1"/>
  <c r="BB226" i="4"/>
  <c r="BB43" i="4" s="1"/>
  <c r="BA226" i="4"/>
  <c r="BA43" i="4" s="1"/>
  <c r="AZ226" i="4"/>
  <c r="AZ43" i="4" s="1"/>
  <c r="AY226" i="4"/>
  <c r="AY43" i="4" s="1"/>
  <c r="AX226" i="4"/>
  <c r="AX43" i="4" s="1"/>
  <c r="AW226" i="4"/>
  <c r="AW43" i="4" s="1"/>
  <c r="AV226" i="4"/>
  <c r="AV43" i="4" s="1"/>
  <c r="AU226" i="4"/>
  <c r="AU43" i="4" s="1"/>
  <c r="AT226" i="4"/>
  <c r="AT43" i="4" s="1"/>
  <c r="AS226" i="4"/>
  <c r="AS43" i="4" s="1"/>
  <c r="AR226" i="4"/>
  <c r="AR43" i="4" s="1"/>
  <c r="AQ226" i="4"/>
  <c r="AQ43" i="4" s="1"/>
  <c r="AP226" i="4"/>
  <c r="AP43" i="4" s="1"/>
  <c r="AO226" i="4"/>
  <c r="AO43" i="4"/>
  <c r="AN226" i="4"/>
  <c r="AN43" i="4" s="1"/>
  <c r="AM226" i="4"/>
  <c r="AM43" i="4" s="1"/>
  <c r="AL226" i="4"/>
  <c r="AL43" i="4" s="1"/>
  <c r="AK226" i="4"/>
  <c r="AK43" i="4" s="1"/>
  <c r="AJ226" i="4"/>
  <c r="AJ43" i="4" s="1"/>
  <c r="AI226" i="4"/>
  <c r="AI43" i="4" s="1"/>
  <c r="AH226" i="4"/>
  <c r="AH43" i="4" s="1"/>
  <c r="AG226" i="4"/>
  <c r="AG43" i="4" s="1"/>
  <c r="AF226" i="4"/>
  <c r="AF43" i="4" s="1"/>
  <c r="AE226" i="4"/>
  <c r="AE43" i="4" s="1"/>
  <c r="AD226" i="4"/>
  <c r="AD43" i="4" s="1"/>
  <c r="AC226" i="4"/>
  <c r="AC43" i="4" s="1"/>
  <c r="AB226" i="4"/>
  <c r="AB43" i="4" s="1"/>
  <c r="AA226" i="4"/>
  <c r="AA43" i="4" s="1"/>
  <c r="Z226" i="4"/>
  <c r="Z43" i="4" s="1"/>
  <c r="Y226" i="4"/>
  <c r="Y43" i="4" s="1"/>
  <c r="X226" i="4"/>
  <c r="X43" i="4" s="1"/>
  <c r="W226" i="4"/>
  <c r="W43" i="4" s="1"/>
  <c r="V226" i="4"/>
  <c r="V43" i="4" s="1"/>
  <c r="U226" i="4"/>
  <c r="U43" i="4" s="1"/>
  <c r="T226" i="4"/>
  <c r="T43" i="4" s="1"/>
  <c r="S226" i="4"/>
  <c r="S43" i="4" s="1"/>
  <c r="R226" i="4"/>
  <c r="R43" i="4" s="1"/>
  <c r="Q226" i="4"/>
  <c r="Q43" i="4" s="1"/>
  <c r="P226" i="4"/>
  <c r="P43" i="4" s="1"/>
  <c r="O226" i="4"/>
  <c r="O43" i="4" s="1"/>
  <c r="N226" i="4"/>
  <c r="N43" i="4" s="1"/>
  <c r="M226" i="4"/>
  <c r="M43" i="4" s="1"/>
  <c r="L226" i="4"/>
  <c r="L43" i="4" s="1"/>
  <c r="K226" i="4"/>
  <c r="K43" i="4" s="1"/>
  <c r="J226" i="4"/>
  <c r="J43" i="4" s="1"/>
  <c r="BE220" i="4"/>
  <c r="BE42" i="4" s="1"/>
  <c r="BD220" i="4"/>
  <c r="BD42" i="4" s="1"/>
  <c r="BC220" i="4"/>
  <c r="BC42" i="4" s="1"/>
  <c r="BB220" i="4"/>
  <c r="BB42" i="4" s="1"/>
  <c r="BA220" i="4"/>
  <c r="BA42" i="4" s="1"/>
  <c r="AZ220" i="4"/>
  <c r="AZ42" i="4" s="1"/>
  <c r="AY220" i="4"/>
  <c r="AY42" i="4" s="1"/>
  <c r="AX220" i="4"/>
  <c r="AX42" i="4" s="1"/>
  <c r="AW220" i="4"/>
  <c r="AW42" i="4" s="1"/>
  <c r="AV220" i="4"/>
  <c r="AV42" i="4" s="1"/>
  <c r="AU220" i="4"/>
  <c r="AU42" i="4" s="1"/>
  <c r="AT220" i="4"/>
  <c r="AT42" i="4" s="1"/>
  <c r="AS220" i="4"/>
  <c r="AS42" i="4" s="1"/>
  <c r="AR220" i="4"/>
  <c r="AR42" i="4" s="1"/>
  <c r="AQ220" i="4"/>
  <c r="AQ42" i="4" s="1"/>
  <c r="AP220" i="4"/>
  <c r="AP42" i="4" s="1"/>
  <c r="AO220" i="4"/>
  <c r="AO42" i="4" s="1"/>
  <c r="AN220" i="4"/>
  <c r="AN42" i="4" s="1"/>
  <c r="AM220" i="4"/>
  <c r="AM42" i="4" s="1"/>
  <c r="AL220" i="4"/>
  <c r="AL42" i="4" s="1"/>
  <c r="AK220" i="4"/>
  <c r="AK42" i="4" s="1"/>
  <c r="AJ220" i="4"/>
  <c r="AJ42" i="4" s="1"/>
  <c r="AI220" i="4"/>
  <c r="AI42" i="4" s="1"/>
  <c r="AH220" i="4"/>
  <c r="AH42" i="4" s="1"/>
  <c r="AG220" i="4"/>
  <c r="AG42" i="4" s="1"/>
  <c r="AF220" i="4"/>
  <c r="AF42" i="4" s="1"/>
  <c r="AE220" i="4"/>
  <c r="AE42" i="4" s="1"/>
  <c r="AD220" i="4"/>
  <c r="AD42" i="4" s="1"/>
  <c r="AC220" i="4"/>
  <c r="AC42" i="4" s="1"/>
  <c r="AB220" i="4"/>
  <c r="AB42" i="4" s="1"/>
  <c r="AA220" i="4"/>
  <c r="AA42" i="4" s="1"/>
  <c r="Z220" i="4"/>
  <c r="Z42" i="4" s="1"/>
  <c r="Y220" i="4"/>
  <c r="Y42" i="4" s="1"/>
  <c r="X220" i="4"/>
  <c r="X42" i="4" s="1"/>
  <c r="W220" i="4"/>
  <c r="W42" i="4" s="1"/>
  <c r="V220" i="4"/>
  <c r="V42" i="4" s="1"/>
  <c r="U220" i="4"/>
  <c r="U42" i="4" s="1"/>
  <c r="T42" i="4"/>
  <c r="S220" i="4"/>
  <c r="S42" i="4" s="1"/>
  <c r="R220" i="4"/>
  <c r="R42" i="4" s="1"/>
  <c r="Q220" i="4"/>
  <c r="Q42" i="4" s="1"/>
  <c r="P220" i="4"/>
  <c r="P42" i="4" s="1"/>
  <c r="O220" i="4"/>
  <c r="O42" i="4" s="1"/>
  <c r="N220" i="4"/>
  <c r="N42" i="4" s="1"/>
  <c r="M220" i="4"/>
  <c r="M42" i="4" s="1"/>
  <c r="L220" i="4"/>
  <c r="L42" i="4"/>
  <c r="K220" i="4"/>
  <c r="K42" i="4" s="1"/>
  <c r="J220" i="4"/>
  <c r="J42" i="4" s="1"/>
  <c r="BE214" i="4"/>
  <c r="BE41" i="4" s="1"/>
  <c r="BD214" i="4"/>
  <c r="BD41" i="4" s="1"/>
  <c r="BC214" i="4"/>
  <c r="BC41" i="4" s="1"/>
  <c r="BB214" i="4"/>
  <c r="BB41" i="4" s="1"/>
  <c r="BA214" i="4"/>
  <c r="BA41" i="4" s="1"/>
  <c r="AZ214" i="4"/>
  <c r="AZ41" i="4" s="1"/>
  <c r="AY214" i="4"/>
  <c r="AY41" i="4" s="1"/>
  <c r="AX214" i="4"/>
  <c r="AX41" i="4" s="1"/>
  <c r="AW214" i="4"/>
  <c r="AW41" i="4" s="1"/>
  <c r="AV214" i="4"/>
  <c r="AV41" i="4" s="1"/>
  <c r="AU214" i="4"/>
  <c r="AU41" i="4" s="1"/>
  <c r="AT214" i="4"/>
  <c r="AT41" i="4" s="1"/>
  <c r="AS214" i="4"/>
  <c r="AS41" i="4" s="1"/>
  <c r="AR214" i="4"/>
  <c r="AR41" i="4" s="1"/>
  <c r="AQ214" i="4"/>
  <c r="AQ41" i="4" s="1"/>
  <c r="AP214" i="4"/>
  <c r="AP41" i="4" s="1"/>
  <c r="AO214" i="4"/>
  <c r="AO41" i="4" s="1"/>
  <c r="AN214" i="4"/>
  <c r="AN41" i="4" s="1"/>
  <c r="AM214" i="4"/>
  <c r="AM41" i="4" s="1"/>
  <c r="AL214" i="4"/>
  <c r="AL41" i="4" s="1"/>
  <c r="AK214" i="4"/>
  <c r="AK41" i="4" s="1"/>
  <c r="AJ214" i="4"/>
  <c r="AJ41" i="4" s="1"/>
  <c r="AI214" i="4"/>
  <c r="AI41" i="4" s="1"/>
  <c r="AH214" i="4"/>
  <c r="AH41" i="4" s="1"/>
  <c r="AG214" i="4"/>
  <c r="AG41" i="4" s="1"/>
  <c r="AF214" i="4"/>
  <c r="AF41" i="4" s="1"/>
  <c r="AE214" i="4"/>
  <c r="AE41" i="4" s="1"/>
  <c r="AD214" i="4"/>
  <c r="AD41" i="4" s="1"/>
  <c r="AC214" i="4"/>
  <c r="AC41" i="4" s="1"/>
  <c r="AB214" i="4"/>
  <c r="AB41" i="4" s="1"/>
  <c r="AA214" i="4"/>
  <c r="AA41" i="4" s="1"/>
  <c r="Z214" i="4"/>
  <c r="Z41" i="4" s="1"/>
  <c r="Y214" i="4"/>
  <c r="Y41" i="4" s="1"/>
  <c r="X214" i="4"/>
  <c r="X41" i="4" s="1"/>
  <c r="W214" i="4"/>
  <c r="W41" i="4" s="1"/>
  <c r="V214" i="4"/>
  <c r="V41" i="4" s="1"/>
  <c r="U214" i="4"/>
  <c r="U41" i="4" s="1"/>
  <c r="T214" i="4"/>
  <c r="T41" i="4" s="1"/>
  <c r="S214" i="4"/>
  <c r="S41" i="4" s="1"/>
  <c r="R214" i="4"/>
  <c r="R41" i="4" s="1"/>
  <c r="Q214" i="4"/>
  <c r="Q41" i="4" s="1"/>
  <c r="P214" i="4"/>
  <c r="P41" i="4" s="1"/>
  <c r="O214" i="4"/>
  <c r="O41" i="4" s="1"/>
  <c r="N214" i="4"/>
  <c r="N41" i="4" s="1"/>
  <c r="M214" i="4"/>
  <c r="M41" i="4" s="1"/>
  <c r="L214" i="4"/>
  <c r="L41" i="4"/>
  <c r="K214" i="4"/>
  <c r="K41" i="4" s="1"/>
  <c r="J214" i="4"/>
  <c r="J41" i="4" s="1"/>
  <c r="BE208" i="4"/>
  <c r="BE40" i="4" s="1"/>
  <c r="BD208" i="4"/>
  <c r="BD40" i="4" s="1"/>
  <c r="BC208" i="4"/>
  <c r="BC40" i="4" s="1"/>
  <c r="BB208" i="4"/>
  <c r="BB40" i="4" s="1"/>
  <c r="BA208" i="4"/>
  <c r="BA40" i="4"/>
  <c r="AZ208" i="4"/>
  <c r="AZ40" i="4" s="1"/>
  <c r="AY208" i="4"/>
  <c r="AY40" i="4" s="1"/>
  <c r="AX208" i="4"/>
  <c r="AX40" i="4"/>
  <c r="AW208" i="4"/>
  <c r="AW40" i="4" s="1"/>
  <c r="AV208" i="4"/>
  <c r="AV40" i="4" s="1"/>
  <c r="AU208" i="4"/>
  <c r="AU40" i="4" s="1"/>
  <c r="AT208" i="4"/>
  <c r="AT40" i="4" s="1"/>
  <c r="AS208" i="4"/>
  <c r="AS40" i="4" s="1"/>
  <c r="AR208" i="4"/>
  <c r="AR40" i="4" s="1"/>
  <c r="AQ208" i="4"/>
  <c r="AQ40" i="4" s="1"/>
  <c r="AP208" i="4"/>
  <c r="AP40" i="4" s="1"/>
  <c r="AO208" i="4"/>
  <c r="AO40" i="4" s="1"/>
  <c r="AN208" i="4"/>
  <c r="AN40" i="4" s="1"/>
  <c r="AM208" i="4"/>
  <c r="AM40" i="4" s="1"/>
  <c r="AL208" i="4"/>
  <c r="AL40" i="4" s="1"/>
  <c r="AK208" i="4"/>
  <c r="AK40" i="4" s="1"/>
  <c r="AJ208" i="4"/>
  <c r="AJ40" i="4" s="1"/>
  <c r="AI208" i="4"/>
  <c r="AI40" i="4" s="1"/>
  <c r="AH208" i="4"/>
  <c r="AH40" i="4" s="1"/>
  <c r="AG208" i="4"/>
  <c r="AG40" i="4" s="1"/>
  <c r="AF208" i="4"/>
  <c r="AF40" i="4" s="1"/>
  <c r="AE208" i="4"/>
  <c r="AE40" i="4" s="1"/>
  <c r="AD208" i="4"/>
  <c r="AD40" i="4" s="1"/>
  <c r="AC208" i="4"/>
  <c r="AC40" i="4" s="1"/>
  <c r="AB208" i="4"/>
  <c r="AB40" i="4" s="1"/>
  <c r="AA208" i="4"/>
  <c r="AA40" i="4" s="1"/>
  <c r="Z208" i="4"/>
  <c r="Z40" i="4" s="1"/>
  <c r="Y208" i="4"/>
  <c r="Y40" i="4" s="1"/>
  <c r="X208" i="4"/>
  <c r="X40" i="4" s="1"/>
  <c r="W208" i="4"/>
  <c r="W40" i="4" s="1"/>
  <c r="V208" i="4"/>
  <c r="V40" i="4" s="1"/>
  <c r="U208" i="4"/>
  <c r="U40" i="4" s="1"/>
  <c r="T208" i="4"/>
  <c r="T40" i="4" s="1"/>
  <c r="S208" i="4"/>
  <c r="S40" i="4" s="1"/>
  <c r="Q208" i="4"/>
  <c r="Q40" i="4" s="1"/>
  <c r="P208" i="4"/>
  <c r="P40" i="4" s="1"/>
  <c r="O208" i="4"/>
  <c r="O40" i="4" s="1"/>
  <c r="N208" i="4"/>
  <c r="N40" i="4" s="1"/>
  <c r="M208" i="4"/>
  <c r="M40" i="4" s="1"/>
  <c r="L208" i="4"/>
  <c r="L40" i="4" s="1"/>
  <c r="J208" i="4"/>
  <c r="J40" i="4"/>
  <c r="BE202" i="4"/>
  <c r="BE39" i="4" s="1"/>
  <c r="BD202" i="4"/>
  <c r="BD39" i="4" s="1"/>
  <c r="BC202" i="4"/>
  <c r="BC39" i="4" s="1"/>
  <c r="BB202" i="4"/>
  <c r="BB39" i="4" s="1"/>
  <c r="BA202" i="4"/>
  <c r="BA39" i="4" s="1"/>
  <c r="AZ202" i="4"/>
  <c r="AZ39" i="4" s="1"/>
  <c r="AY202" i="4"/>
  <c r="AY39" i="4"/>
  <c r="AX202" i="4"/>
  <c r="AX39" i="4" s="1"/>
  <c r="AW202" i="4"/>
  <c r="AW39" i="4" s="1"/>
  <c r="AV202" i="4"/>
  <c r="AV39" i="4" s="1"/>
  <c r="AU202" i="4"/>
  <c r="AU39" i="4" s="1"/>
  <c r="AT202" i="4"/>
  <c r="AT39" i="4" s="1"/>
  <c r="AS202" i="4"/>
  <c r="AS39" i="4" s="1"/>
  <c r="AR202" i="4"/>
  <c r="AR39" i="4"/>
  <c r="AQ202" i="4"/>
  <c r="AQ39" i="4" s="1"/>
  <c r="AP202" i="4"/>
  <c r="AP39" i="4" s="1"/>
  <c r="AO202" i="4"/>
  <c r="AO39" i="4" s="1"/>
  <c r="AN202" i="4"/>
  <c r="AN39" i="4" s="1"/>
  <c r="AM202" i="4"/>
  <c r="AM39" i="4" s="1"/>
  <c r="AL202" i="4"/>
  <c r="AL39" i="4" s="1"/>
  <c r="AK202" i="4"/>
  <c r="AK39" i="4" s="1"/>
  <c r="AJ202" i="4"/>
  <c r="AJ39" i="4" s="1"/>
  <c r="AI202" i="4"/>
  <c r="AI39" i="4" s="1"/>
  <c r="AH202" i="4"/>
  <c r="AH39" i="4" s="1"/>
  <c r="AG202" i="4"/>
  <c r="AG39" i="4" s="1"/>
  <c r="AF202" i="4"/>
  <c r="AF39" i="4" s="1"/>
  <c r="AE202" i="4"/>
  <c r="AE39" i="4" s="1"/>
  <c r="AD202" i="4"/>
  <c r="AD39" i="4" s="1"/>
  <c r="AC202" i="4"/>
  <c r="AC39" i="4" s="1"/>
  <c r="AA202" i="4"/>
  <c r="AA39" i="4" s="1"/>
  <c r="Z202" i="4"/>
  <c r="Z39" i="4" s="1"/>
  <c r="Y202" i="4"/>
  <c r="Y39" i="4" s="1"/>
  <c r="X202" i="4"/>
  <c r="X39" i="4" s="1"/>
  <c r="W202" i="4"/>
  <c r="W39" i="4" s="1"/>
  <c r="V202" i="4"/>
  <c r="V39" i="4" s="1"/>
  <c r="U202" i="4"/>
  <c r="U39" i="4" s="1"/>
  <c r="T202" i="4"/>
  <c r="T39" i="4" s="1"/>
  <c r="S202" i="4"/>
  <c r="S39" i="4" s="1"/>
  <c r="R202" i="4"/>
  <c r="R39" i="4" s="1"/>
  <c r="Q202" i="4"/>
  <c r="Q39" i="4" s="1"/>
  <c r="P202" i="4"/>
  <c r="P39" i="4" s="1"/>
  <c r="O202" i="4"/>
  <c r="O39" i="4" s="1"/>
  <c r="N202" i="4"/>
  <c r="N39" i="4" s="1"/>
  <c r="M202" i="4"/>
  <c r="M39" i="4" s="1"/>
  <c r="L202" i="4"/>
  <c r="L39" i="4" s="1"/>
  <c r="K202" i="4"/>
  <c r="K39" i="4" s="1"/>
  <c r="J202" i="4"/>
  <c r="J39" i="4" s="1"/>
  <c r="BE196" i="4"/>
  <c r="BE38" i="4" s="1"/>
  <c r="BD196" i="4"/>
  <c r="BD38" i="4" s="1"/>
  <c r="BC196" i="4"/>
  <c r="BC38" i="4" s="1"/>
  <c r="BB196" i="4"/>
  <c r="BB38" i="4" s="1"/>
  <c r="BA196" i="4"/>
  <c r="BA38" i="4" s="1"/>
  <c r="AZ196" i="4"/>
  <c r="AZ38" i="4" s="1"/>
  <c r="AW196" i="4"/>
  <c r="AW38" i="4" s="1"/>
  <c r="AV196" i="4"/>
  <c r="AV38" i="4" s="1"/>
  <c r="AU196" i="4"/>
  <c r="AU38" i="4" s="1"/>
  <c r="AT196" i="4"/>
  <c r="AT38" i="4" s="1"/>
  <c r="AS196" i="4"/>
  <c r="AS38" i="4" s="1"/>
  <c r="AR196" i="4"/>
  <c r="AR38" i="4" s="1"/>
  <c r="AQ196" i="4"/>
  <c r="AQ38" i="4" s="1"/>
  <c r="AP196" i="4"/>
  <c r="AP38" i="4" s="1"/>
  <c r="AO196" i="4"/>
  <c r="AO38" i="4" s="1"/>
  <c r="AN196" i="4"/>
  <c r="AN38" i="4" s="1"/>
  <c r="AM196" i="4"/>
  <c r="AM38" i="4" s="1"/>
  <c r="AL196" i="4"/>
  <c r="AL38" i="4" s="1"/>
  <c r="AK196" i="4"/>
  <c r="AK38" i="4" s="1"/>
  <c r="AJ196" i="4"/>
  <c r="AJ38" i="4" s="1"/>
  <c r="AI196" i="4"/>
  <c r="AI38" i="4" s="1"/>
  <c r="AH196" i="4"/>
  <c r="AH38" i="4" s="1"/>
  <c r="AG196" i="4"/>
  <c r="AG38" i="4" s="1"/>
  <c r="AF196" i="4"/>
  <c r="AF38" i="4" s="1"/>
  <c r="AE196" i="4"/>
  <c r="AE38" i="4" s="1"/>
  <c r="AD196" i="4"/>
  <c r="AD38" i="4" s="1"/>
  <c r="AC196" i="4"/>
  <c r="AC38" i="4" s="1"/>
  <c r="AB196" i="4"/>
  <c r="AB38" i="4" s="1"/>
  <c r="AA196" i="4"/>
  <c r="AA38" i="4" s="1"/>
  <c r="Z196" i="4"/>
  <c r="Z38" i="4"/>
  <c r="Y196" i="4"/>
  <c r="Y38" i="4" s="1"/>
  <c r="X196" i="4"/>
  <c r="X38" i="4" s="1"/>
  <c r="W196" i="4"/>
  <c r="W38" i="4" s="1"/>
  <c r="V196" i="4"/>
  <c r="V38" i="4" s="1"/>
  <c r="U196" i="4"/>
  <c r="U38" i="4" s="1"/>
  <c r="T196" i="4"/>
  <c r="T38" i="4" s="1"/>
  <c r="S196" i="4"/>
  <c r="S38" i="4" s="1"/>
  <c r="R196" i="4"/>
  <c r="R38" i="4" s="1"/>
  <c r="Q196" i="4"/>
  <c r="Q38" i="4" s="1"/>
  <c r="P196" i="4"/>
  <c r="P38" i="4" s="1"/>
  <c r="O196" i="4"/>
  <c r="O38" i="4" s="1"/>
  <c r="N196" i="4"/>
  <c r="N38" i="4" s="1"/>
  <c r="M196" i="4"/>
  <c r="M38" i="4" s="1"/>
  <c r="L196" i="4"/>
  <c r="L38" i="4" s="1"/>
  <c r="K196" i="4"/>
  <c r="K38" i="4" s="1"/>
  <c r="J196" i="4"/>
  <c r="J38" i="4"/>
  <c r="BE178" i="4"/>
  <c r="BE35" i="4" s="1"/>
  <c r="BD178" i="4"/>
  <c r="BD35" i="4" s="1"/>
  <c r="BC178" i="4"/>
  <c r="BC35" i="4" s="1"/>
  <c r="BB178" i="4"/>
  <c r="BB35" i="4" s="1"/>
  <c r="BA178" i="4"/>
  <c r="BA35" i="4" s="1"/>
  <c r="AZ178" i="4"/>
  <c r="AZ35" i="4" s="1"/>
  <c r="AY178" i="4"/>
  <c r="AY35" i="4" s="1"/>
  <c r="AX178" i="4"/>
  <c r="AX35" i="4" s="1"/>
  <c r="AW178" i="4"/>
  <c r="AW35" i="4" s="1"/>
  <c r="AV178" i="4"/>
  <c r="AV35" i="4" s="1"/>
  <c r="AU178" i="4"/>
  <c r="AU35" i="4" s="1"/>
  <c r="AT178" i="4"/>
  <c r="AT35" i="4" s="1"/>
  <c r="AS178" i="4"/>
  <c r="AS35" i="4" s="1"/>
  <c r="AQ178" i="4"/>
  <c r="AQ35" i="4" s="1"/>
  <c r="AP178" i="4"/>
  <c r="AP35" i="4" s="1"/>
  <c r="AO178" i="4"/>
  <c r="AO35" i="4" s="1"/>
  <c r="AN178" i="4"/>
  <c r="AN35" i="4" s="1"/>
  <c r="AM178" i="4"/>
  <c r="AM35" i="4" s="1"/>
  <c r="AL178" i="4"/>
  <c r="AL35" i="4" s="1"/>
  <c r="AK178" i="4"/>
  <c r="AK35" i="4" s="1"/>
  <c r="AJ178" i="4"/>
  <c r="AJ35" i="4" s="1"/>
  <c r="AI178" i="4"/>
  <c r="AI35" i="4" s="1"/>
  <c r="AH178" i="4"/>
  <c r="AH35" i="4" s="1"/>
  <c r="AG178" i="4"/>
  <c r="AG35" i="4" s="1"/>
  <c r="AF178" i="4"/>
  <c r="AF35" i="4" s="1"/>
  <c r="AE178" i="4"/>
  <c r="AE35" i="4" s="1"/>
  <c r="AD178" i="4"/>
  <c r="AD35" i="4" s="1"/>
  <c r="AC178" i="4"/>
  <c r="AC35" i="4" s="1"/>
  <c r="AB178" i="4"/>
  <c r="AB35" i="4" s="1"/>
  <c r="AA178" i="4"/>
  <c r="AA35" i="4" s="1"/>
  <c r="Z178" i="4"/>
  <c r="Z35" i="4" s="1"/>
  <c r="Y178" i="4"/>
  <c r="Y35" i="4" s="1"/>
  <c r="X178" i="4"/>
  <c r="X35" i="4" s="1"/>
  <c r="W178" i="4"/>
  <c r="W35" i="4" s="1"/>
  <c r="V178" i="4"/>
  <c r="V35" i="4" s="1"/>
  <c r="U178" i="4"/>
  <c r="U35" i="4"/>
  <c r="T178" i="4"/>
  <c r="T35" i="4" s="1"/>
  <c r="S178" i="4"/>
  <c r="S35" i="4" s="1"/>
  <c r="R178" i="4"/>
  <c r="R35" i="4" s="1"/>
  <c r="Q178" i="4"/>
  <c r="Q35" i="4" s="1"/>
  <c r="P178" i="4"/>
  <c r="P35" i="4" s="1"/>
  <c r="O178" i="4"/>
  <c r="O35" i="4" s="1"/>
  <c r="N178" i="4"/>
  <c r="N35" i="4" s="1"/>
  <c r="M178" i="4"/>
  <c r="M35" i="4" s="1"/>
  <c r="L178" i="4"/>
  <c r="L35" i="4" s="1"/>
  <c r="K178" i="4"/>
  <c r="K35" i="4" s="1"/>
  <c r="J178" i="4"/>
  <c r="J35" i="4" s="1"/>
  <c r="BE172" i="4"/>
  <c r="BE34" i="4" s="1"/>
  <c r="BD172" i="4"/>
  <c r="BD34" i="4" s="1"/>
  <c r="BC172" i="4"/>
  <c r="BC34" i="4" s="1"/>
  <c r="BB172" i="4"/>
  <c r="BB34" i="4" s="1"/>
  <c r="BA172" i="4"/>
  <c r="BA34" i="4" s="1"/>
  <c r="AZ172" i="4"/>
  <c r="AZ34" i="4" s="1"/>
  <c r="AY172" i="4"/>
  <c r="AY34" i="4" s="1"/>
  <c r="AX172" i="4"/>
  <c r="AX34" i="4" s="1"/>
  <c r="AV172" i="4"/>
  <c r="AV34" i="4" s="1"/>
  <c r="AU172" i="4"/>
  <c r="AU34" i="4" s="1"/>
  <c r="AT172" i="4"/>
  <c r="AT34" i="4" s="1"/>
  <c r="AS172" i="4"/>
  <c r="AS34" i="4" s="1"/>
  <c r="AR172" i="4"/>
  <c r="AR34" i="4" s="1"/>
  <c r="AQ172" i="4"/>
  <c r="AQ34" i="4" s="1"/>
  <c r="AP172" i="4"/>
  <c r="AP34" i="4" s="1"/>
  <c r="AO172" i="4"/>
  <c r="AO34" i="4" s="1"/>
  <c r="AN172" i="4"/>
  <c r="AN34" i="4" s="1"/>
  <c r="AM172" i="4"/>
  <c r="AM34" i="4" s="1"/>
  <c r="AL172" i="4"/>
  <c r="AL34" i="4" s="1"/>
  <c r="AK172" i="4"/>
  <c r="AK34" i="4" s="1"/>
  <c r="AJ172" i="4"/>
  <c r="AJ34" i="4" s="1"/>
  <c r="AI172" i="4"/>
  <c r="AI34" i="4" s="1"/>
  <c r="AH172" i="4"/>
  <c r="AH34" i="4" s="1"/>
  <c r="AG172" i="4"/>
  <c r="AG34" i="4" s="1"/>
  <c r="AF172" i="4"/>
  <c r="AF34" i="4" s="1"/>
  <c r="AE172" i="4"/>
  <c r="AE34" i="4" s="1"/>
  <c r="AD172" i="4"/>
  <c r="AD34" i="4" s="1"/>
  <c r="AC172" i="4"/>
  <c r="AC34" i="4" s="1"/>
  <c r="AB172" i="4"/>
  <c r="AB34" i="4" s="1"/>
  <c r="AA172" i="4"/>
  <c r="AA34" i="4" s="1"/>
  <c r="Z172" i="4"/>
  <c r="Z34" i="4" s="1"/>
  <c r="Y172" i="4"/>
  <c r="Y34" i="4" s="1"/>
  <c r="X172" i="4"/>
  <c r="X34" i="4" s="1"/>
  <c r="W172" i="4"/>
  <c r="W34" i="4" s="1"/>
  <c r="V172" i="4"/>
  <c r="V34" i="4" s="1"/>
  <c r="U172" i="4"/>
  <c r="U34" i="4" s="1"/>
  <c r="T172" i="4"/>
  <c r="T34" i="4" s="1"/>
  <c r="S172" i="4"/>
  <c r="S34" i="4" s="1"/>
  <c r="R172" i="4"/>
  <c r="R34" i="4" s="1"/>
  <c r="Q172" i="4"/>
  <c r="Q34" i="4" s="1"/>
  <c r="P172" i="4"/>
  <c r="P34" i="4" s="1"/>
  <c r="O172" i="4"/>
  <c r="O34" i="4" s="1"/>
  <c r="N172" i="4"/>
  <c r="N34" i="4" s="1"/>
  <c r="M172" i="4"/>
  <c r="M34" i="4" s="1"/>
  <c r="L172" i="4"/>
  <c r="L34" i="4" s="1"/>
  <c r="K172" i="4"/>
  <c r="K34" i="4" s="1"/>
  <c r="J172" i="4"/>
  <c r="J34" i="4" s="1"/>
  <c r="BE85" i="5"/>
  <c r="BD85" i="5"/>
  <c r="BC85" i="5"/>
  <c r="BB85" i="5"/>
  <c r="BA85" i="5"/>
  <c r="AZ85" i="5"/>
  <c r="AY85" i="5"/>
  <c r="AX85" i="5"/>
  <c r="AW85" i="5"/>
  <c r="AV85" i="5"/>
  <c r="AU85" i="5"/>
  <c r="AT85" i="5"/>
  <c r="AS85" i="5"/>
  <c r="AR85" i="5"/>
  <c r="AQ85" i="5"/>
  <c r="AP85" i="5"/>
  <c r="AO85" i="5"/>
  <c r="AN85" i="5"/>
  <c r="AM85" i="5"/>
  <c r="AL85" i="5"/>
  <c r="AK85" i="5"/>
  <c r="AJ85" i="5"/>
  <c r="AI85" i="5"/>
  <c r="AH85" i="5"/>
  <c r="AG85" i="5"/>
  <c r="AF85" i="5"/>
  <c r="AE85" i="5"/>
  <c r="AD85" i="5"/>
  <c r="AC85" i="5"/>
  <c r="AB85" i="5"/>
  <c r="AA85" i="5"/>
  <c r="Z85" i="5"/>
  <c r="Y85" i="5"/>
  <c r="X85" i="5"/>
  <c r="W85" i="5"/>
  <c r="V85" i="5"/>
  <c r="U85" i="5"/>
  <c r="T85" i="5"/>
  <c r="S85" i="5"/>
  <c r="R85" i="5"/>
  <c r="Q85" i="5"/>
  <c r="P85" i="5"/>
  <c r="O85" i="5"/>
  <c r="N85" i="5"/>
  <c r="M85" i="5"/>
  <c r="L85" i="5"/>
  <c r="K85" i="5"/>
  <c r="BE84" i="5"/>
  <c r="BD84" i="5"/>
  <c r="BC84" i="5"/>
  <c r="BB84" i="5"/>
  <c r="BA84" i="5"/>
  <c r="AZ84" i="5"/>
  <c r="AY84" i="5"/>
  <c r="AX84" i="5"/>
  <c r="AW84" i="5"/>
  <c r="AV84" i="5"/>
  <c r="AU84" i="5"/>
  <c r="AT84" i="5"/>
  <c r="AS84" i="5"/>
  <c r="AR84" i="5"/>
  <c r="AQ84" i="5"/>
  <c r="AP84" i="5"/>
  <c r="AO84" i="5"/>
  <c r="AN84" i="5"/>
  <c r="AM84" i="5"/>
  <c r="AL84" i="5"/>
  <c r="AK84" i="5"/>
  <c r="AJ84" i="5"/>
  <c r="AI84" i="5"/>
  <c r="AH84" i="5"/>
  <c r="AG84" i="5"/>
  <c r="AF84" i="5"/>
  <c r="AE84" i="5"/>
  <c r="AD84" i="5"/>
  <c r="AC84" i="5"/>
  <c r="AB84" i="5"/>
  <c r="AA84" i="5"/>
  <c r="Z84" i="5"/>
  <c r="Y84" i="5"/>
  <c r="X84" i="5"/>
  <c r="W84" i="5"/>
  <c r="V84" i="5"/>
  <c r="U84" i="5"/>
  <c r="T84" i="5"/>
  <c r="S84" i="5"/>
  <c r="R84" i="5"/>
  <c r="Q84" i="5"/>
  <c r="P84" i="5"/>
  <c r="O84" i="5"/>
  <c r="O86" i="5" s="1"/>
  <c r="O88" i="5" s="1"/>
  <c r="O26" i="5" s="1"/>
  <c r="O68" i="5" s="1"/>
  <c r="O140" i="9" s="1"/>
  <c r="O141" i="9" s="1"/>
  <c r="O114" i="2"/>
  <c r="N84" i="5"/>
  <c r="N86" i="5" s="1"/>
  <c r="N88" i="5" s="1"/>
  <c r="N26" i="5" s="1"/>
  <c r="N68" i="5" s="1"/>
  <c r="N140" i="9" s="1"/>
  <c r="N141" i="9" s="1"/>
  <c r="N114" i="2"/>
  <c r="M84" i="5"/>
  <c r="L84" i="5"/>
  <c r="K84" i="5"/>
  <c r="J85" i="5"/>
  <c r="J84" i="5"/>
  <c r="B85" i="5"/>
  <c r="B84" i="5"/>
  <c r="BE114" i="2"/>
  <c r="BD114" i="2"/>
  <c r="BC114" i="2"/>
  <c r="BB114" i="2"/>
  <c r="BA114" i="2"/>
  <c r="AZ114" i="2"/>
  <c r="AY114" i="2"/>
  <c r="AX114" i="2"/>
  <c r="AW114" i="2"/>
  <c r="AV114" i="2"/>
  <c r="AU114" i="2"/>
  <c r="AT114" i="2"/>
  <c r="AS114" i="2"/>
  <c r="AR114" i="2"/>
  <c r="AQ114" i="2"/>
  <c r="AP114" i="2"/>
  <c r="AO114" i="2"/>
  <c r="AN114" i="2"/>
  <c r="AM114" i="2"/>
  <c r="AL114" i="2"/>
  <c r="AK114" i="2"/>
  <c r="AJ114" i="2"/>
  <c r="AI114" i="2"/>
  <c r="AH114" i="2"/>
  <c r="AG114" i="2"/>
  <c r="AF114" i="2"/>
  <c r="AE114" i="2"/>
  <c r="AD114" i="2"/>
  <c r="AC114" i="2"/>
  <c r="AB114" i="2"/>
  <c r="AA114" i="2"/>
  <c r="Z114" i="2"/>
  <c r="Y114" i="2"/>
  <c r="X114" i="2"/>
  <c r="W114" i="2"/>
  <c r="V114" i="2"/>
  <c r="U114" i="2"/>
  <c r="T114" i="2"/>
  <c r="S114" i="2"/>
  <c r="R114" i="2"/>
  <c r="Q114" i="2"/>
  <c r="P114" i="2"/>
  <c r="M114" i="2"/>
  <c r="L114" i="2"/>
  <c r="K114" i="2"/>
  <c r="J114" i="2"/>
  <c r="B19" i="4"/>
  <c r="B18" i="4"/>
  <c r="B17" i="4"/>
  <c r="J119" i="4"/>
  <c r="J19" i="4" s="1"/>
  <c r="J112" i="4"/>
  <c r="J114" i="4" s="1"/>
  <c r="J18" i="4" s="1"/>
  <c r="J107" i="4"/>
  <c r="J109" i="4" s="1"/>
  <c r="J17" i="4" s="1"/>
  <c r="B16" i="4"/>
  <c r="J102" i="4"/>
  <c r="J104" i="4" s="1"/>
  <c r="J16" i="4" s="1"/>
  <c r="BE41" i="10"/>
  <c r="BE42" i="10"/>
  <c r="BE43" i="10"/>
  <c r="BE44" i="10"/>
  <c r="BE45" i="10"/>
  <c r="BE46" i="10"/>
  <c r="BD41" i="10"/>
  <c r="BD42" i="10"/>
  <c r="BD43" i="10"/>
  <c r="BD44" i="10"/>
  <c r="BD45" i="10"/>
  <c r="BD46" i="10"/>
  <c r="BC41" i="10"/>
  <c r="BC42" i="10"/>
  <c r="BC43" i="10"/>
  <c r="BC44" i="10"/>
  <c r="BC45" i="10"/>
  <c r="BC46" i="10"/>
  <c r="BB41" i="10"/>
  <c r="BB42" i="10"/>
  <c r="BB43" i="10"/>
  <c r="BB44" i="10"/>
  <c r="BB45" i="10"/>
  <c r="BB46" i="10"/>
  <c r="BA41" i="10"/>
  <c r="BA42" i="10"/>
  <c r="BA43" i="10"/>
  <c r="BA44" i="10"/>
  <c r="BA45" i="10"/>
  <c r="BA46" i="10"/>
  <c r="AZ41" i="10"/>
  <c r="AZ42" i="10"/>
  <c r="AZ43" i="10"/>
  <c r="AZ44" i="10"/>
  <c r="AZ45" i="10"/>
  <c r="AZ46" i="10"/>
  <c r="AY41" i="10"/>
  <c r="AY42" i="10"/>
  <c r="AY43" i="10"/>
  <c r="AY44" i="10"/>
  <c r="AY45" i="10"/>
  <c r="AY46" i="10"/>
  <c r="AX41" i="10"/>
  <c r="AX42" i="10"/>
  <c r="AX43" i="10"/>
  <c r="AX44" i="10"/>
  <c r="AX45" i="10"/>
  <c r="AX46" i="10"/>
  <c r="AW41" i="10"/>
  <c r="AW42" i="10"/>
  <c r="AW43" i="10"/>
  <c r="AW44" i="10"/>
  <c r="AW45" i="10"/>
  <c r="AW46" i="10"/>
  <c r="AV41" i="10"/>
  <c r="AV42" i="10"/>
  <c r="AV43" i="10"/>
  <c r="AV44" i="10"/>
  <c r="AV45" i="10"/>
  <c r="AV46" i="10"/>
  <c r="AU41" i="10"/>
  <c r="AU42" i="10"/>
  <c r="AU43" i="10"/>
  <c r="AU44" i="10"/>
  <c r="AU45" i="10"/>
  <c r="AU46" i="10"/>
  <c r="AT41" i="10"/>
  <c r="AT42" i="10"/>
  <c r="AT43" i="10"/>
  <c r="AT44" i="10"/>
  <c r="AT45" i="10"/>
  <c r="AT46" i="10"/>
  <c r="AS41" i="10"/>
  <c r="AS42" i="10"/>
  <c r="AS43" i="10"/>
  <c r="AS44" i="10"/>
  <c r="AS45" i="10"/>
  <c r="AS46" i="10"/>
  <c r="AR41" i="10"/>
  <c r="AR42" i="10"/>
  <c r="AR43" i="10"/>
  <c r="AR44" i="10"/>
  <c r="AR45" i="10"/>
  <c r="AR46" i="10"/>
  <c r="AQ41" i="10"/>
  <c r="AQ42" i="10"/>
  <c r="AQ43" i="10"/>
  <c r="AQ44" i="10"/>
  <c r="AQ45" i="10"/>
  <c r="AQ46" i="10"/>
  <c r="AP41" i="10"/>
  <c r="AP42" i="10"/>
  <c r="AP43" i="10"/>
  <c r="AP44" i="10"/>
  <c r="AP45" i="10"/>
  <c r="AP46" i="10"/>
  <c r="AO41" i="10"/>
  <c r="AO42" i="10"/>
  <c r="AO43" i="10"/>
  <c r="AO44" i="10"/>
  <c r="AO45" i="10"/>
  <c r="AO46" i="10"/>
  <c r="AN41" i="10"/>
  <c r="AN42" i="10"/>
  <c r="AN43" i="10"/>
  <c r="AN44" i="10"/>
  <c r="AN45" i="10"/>
  <c r="AN46" i="10"/>
  <c r="AM41" i="10"/>
  <c r="AM42" i="10"/>
  <c r="AM43" i="10"/>
  <c r="AM44" i="10"/>
  <c r="AM45" i="10"/>
  <c r="AM46" i="10"/>
  <c r="AL41" i="10"/>
  <c r="AL42" i="10"/>
  <c r="AL43" i="10"/>
  <c r="AL44" i="10"/>
  <c r="AL45" i="10"/>
  <c r="AL46" i="10"/>
  <c r="AK41" i="10"/>
  <c r="AK42" i="10"/>
  <c r="AK43" i="10"/>
  <c r="AK44" i="10"/>
  <c r="AK45" i="10"/>
  <c r="AK46" i="10"/>
  <c r="AJ41" i="10"/>
  <c r="AJ42" i="10"/>
  <c r="AJ43" i="10"/>
  <c r="AJ44" i="10"/>
  <c r="AJ45" i="10"/>
  <c r="AJ46" i="10"/>
  <c r="AI41" i="10"/>
  <c r="AI42" i="10"/>
  <c r="AI43" i="10"/>
  <c r="AI44" i="10"/>
  <c r="AI45" i="10"/>
  <c r="AI46" i="10"/>
  <c r="AH41" i="10"/>
  <c r="AH42" i="10"/>
  <c r="AH43" i="10"/>
  <c r="AH44" i="10"/>
  <c r="AH45" i="10"/>
  <c r="AH46" i="10"/>
  <c r="AG41" i="10"/>
  <c r="AG42" i="10"/>
  <c r="AG43" i="10"/>
  <c r="AG44" i="10"/>
  <c r="AG45" i="10"/>
  <c r="AG46" i="10"/>
  <c r="AF41" i="10"/>
  <c r="AF42" i="10"/>
  <c r="AF43" i="10"/>
  <c r="AF44" i="10"/>
  <c r="AF47" i="10" s="1"/>
  <c r="AF45" i="10"/>
  <c r="AF46" i="10"/>
  <c r="AE41" i="10"/>
  <c r="AE42" i="10"/>
  <c r="AE43" i="10"/>
  <c r="AE44" i="10"/>
  <c r="AE45" i="10"/>
  <c r="AE46" i="10"/>
  <c r="AD41" i="10"/>
  <c r="AD42" i="10"/>
  <c r="AD43" i="10"/>
  <c r="AD44" i="10"/>
  <c r="AD45" i="10"/>
  <c r="AD46" i="10"/>
  <c r="AD47" i="10" s="1"/>
  <c r="AD23" i="9" s="1"/>
  <c r="AC41" i="10"/>
  <c r="AC42" i="10"/>
  <c r="AC43" i="10"/>
  <c r="AC44" i="10"/>
  <c r="AC45" i="10"/>
  <c r="AC46" i="10"/>
  <c r="AC47" i="10" s="1"/>
  <c r="AB41" i="10"/>
  <c r="AB42" i="10"/>
  <c r="AB43" i="10"/>
  <c r="AB44" i="10"/>
  <c r="AB45" i="10"/>
  <c r="AB46" i="10"/>
  <c r="AA41" i="10"/>
  <c r="AA42" i="10"/>
  <c r="AA43" i="10"/>
  <c r="AA44" i="10"/>
  <c r="AA47" i="10" s="1"/>
  <c r="AA45" i="10"/>
  <c r="AA46" i="10"/>
  <c r="Z41" i="10"/>
  <c r="Z42" i="10"/>
  <c r="Z43" i="10"/>
  <c r="Z44" i="10"/>
  <c r="Z45" i="10"/>
  <c r="Z46" i="10"/>
  <c r="Y41" i="10"/>
  <c r="Y42" i="10"/>
  <c r="Y43" i="10"/>
  <c r="Y44" i="10"/>
  <c r="Y45" i="10"/>
  <c r="Y47" i="10" s="1"/>
  <c r="Y46" i="10"/>
  <c r="X41" i="10"/>
  <c r="X42" i="10"/>
  <c r="X43" i="10"/>
  <c r="X44" i="10"/>
  <c r="X45" i="10"/>
  <c r="X46" i="10"/>
  <c r="W41" i="10"/>
  <c r="W42" i="10"/>
  <c r="W43" i="10"/>
  <c r="W44" i="10"/>
  <c r="W47" i="10" s="1"/>
  <c r="W45" i="10"/>
  <c r="W46" i="10"/>
  <c r="V41" i="10"/>
  <c r="V42" i="10"/>
  <c r="V43" i="10"/>
  <c r="V44" i="10"/>
  <c r="V45" i="10"/>
  <c r="V46" i="10"/>
  <c r="V47" i="10" s="1"/>
  <c r="U41" i="10"/>
  <c r="U42" i="10"/>
  <c r="U43" i="10"/>
  <c r="U44" i="10"/>
  <c r="U45" i="10"/>
  <c r="U46" i="10"/>
  <c r="T41" i="10"/>
  <c r="T42" i="10"/>
  <c r="T43" i="10"/>
  <c r="T44" i="10"/>
  <c r="T45" i="10"/>
  <c r="T46" i="10"/>
  <c r="S41" i="10"/>
  <c r="S42" i="10"/>
  <c r="S43" i="10"/>
  <c r="S44" i="10"/>
  <c r="S45" i="10"/>
  <c r="S46" i="10"/>
  <c r="R41" i="10"/>
  <c r="R42" i="10"/>
  <c r="R43" i="10"/>
  <c r="R44" i="10"/>
  <c r="R45" i="10"/>
  <c r="R46" i="10"/>
  <c r="Q41" i="10"/>
  <c r="Q42" i="10"/>
  <c r="Q43" i="10"/>
  <c r="Q44" i="10"/>
  <c r="Q45" i="10"/>
  <c r="Q46" i="10"/>
  <c r="P41" i="10"/>
  <c r="P42" i="10"/>
  <c r="P43" i="10"/>
  <c r="P44" i="10"/>
  <c r="P45" i="10"/>
  <c r="P46" i="10"/>
  <c r="L42" i="10"/>
  <c r="L43" i="10"/>
  <c r="L44" i="10"/>
  <c r="L45" i="10"/>
  <c r="L47" i="10" s="1"/>
  <c r="L23" i="9" s="1"/>
  <c r="L46" i="10"/>
  <c r="B42" i="10"/>
  <c r="B41" i="10"/>
  <c r="BE16" i="10"/>
  <c r="BE17" i="10"/>
  <c r="BE18" i="10"/>
  <c r="BE19" i="10"/>
  <c r="BE20" i="10"/>
  <c r="BD15" i="10"/>
  <c r="BD16" i="10"/>
  <c r="BD17" i="10"/>
  <c r="BD18" i="10"/>
  <c r="BD19" i="10"/>
  <c r="BD20" i="10"/>
  <c r="BC15" i="10"/>
  <c r="BC16" i="10"/>
  <c r="BC17" i="10"/>
  <c r="BC18" i="10"/>
  <c r="BC19" i="10"/>
  <c r="BC20" i="10"/>
  <c r="BB15" i="10"/>
  <c r="BB16" i="10"/>
  <c r="BB17" i="10"/>
  <c r="BB18" i="10"/>
  <c r="BB19" i="10"/>
  <c r="BB20" i="10"/>
  <c r="BA15" i="10"/>
  <c r="BA16" i="10"/>
  <c r="BA17" i="10"/>
  <c r="BA18" i="10"/>
  <c r="BA19" i="10"/>
  <c r="BA20" i="10"/>
  <c r="AZ15" i="10"/>
  <c r="AZ16" i="10"/>
  <c r="AZ17" i="10"/>
  <c r="AZ18" i="10"/>
  <c r="AZ19" i="10"/>
  <c r="AZ20" i="10"/>
  <c r="AY15" i="10"/>
  <c r="AY16" i="10"/>
  <c r="AY17" i="10"/>
  <c r="AY18" i="10"/>
  <c r="AY19" i="10"/>
  <c r="AY20" i="10"/>
  <c r="AX15" i="10"/>
  <c r="AX16" i="10"/>
  <c r="AX17" i="10"/>
  <c r="AX18" i="10"/>
  <c r="AX19" i="10"/>
  <c r="AX20" i="10"/>
  <c r="AW15" i="10"/>
  <c r="AW16" i="10"/>
  <c r="AW17" i="10"/>
  <c r="AW18" i="10"/>
  <c r="AW19" i="10"/>
  <c r="AW20" i="10"/>
  <c r="AV15" i="10"/>
  <c r="AV16" i="10"/>
  <c r="AV17" i="10"/>
  <c r="AV18" i="10"/>
  <c r="AV19" i="10"/>
  <c r="AV20" i="10"/>
  <c r="AU15" i="10"/>
  <c r="AU16" i="10"/>
  <c r="AU17" i="10"/>
  <c r="AU18" i="10"/>
  <c r="AU19" i="10"/>
  <c r="AU20" i="10"/>
  <c r="AT15" i="10"/>
  <c r="AT16" i="10"/>
  <c r="AT17" i="10"/>
  <c r="AT18" i="10"/>
  <c r="AT19" i="10"/>
  <c r="AT20" i="10"/>
  <c r="AS15" i="10"/>
  <c r="AS16" i="10"/>
  <c r="AS17" i="10"/>
  <c r="AS18" i="10"/>
  <c r="AS19" i="10"/>
  <c r="AS20" i="10"/>
  <c r="AR15" i="10"/>
  <c r="AR16" i="10"/>
  <c r="AR17" i="10"/>
  <c r="AR18" i="10"/>
  <c r="AR19" i="10"/>
  <c r="AR20" i="10"/>
  <c r="AQ15" i="10"/>
  <c r="AQ16" i="10"/>
  <c r="AQ17" i="10"/>
  <c r="AQ18" i="10"/>
  <c r="AQ19" i="10"/>
  <c r="AQ20" i="10"/>
  <c r="AP15" i="10"/>
  <c r="AP16" i="10"/>
  <c r="AP17" i="10"/>
  <c r="AP18" i="10"/>
  <c r="AP19" i="10"/>
  <c r="AP20" i="10"/>
  <c r="AO15" i="10"/>
  <c r="AO16" i="10"/>
  <c r="AO17" i="10"/>
  <c r="AO18" i="10"/>
  <c r="AO19" i="10"/>
  <c r="AO20" i="10"/>
  <c r="AN15" i="10"/>
  <c r="AN16" i="10"/>
  <c r="AN17" i="10"/>
  <c r="AN18" i="10"/>
  <c r="AN19" i="10"/>
  <c r="AN20" i="10"/>
  <c r="AM15" i="10"/>
  <c r="AM16" i="10"/>
  <c r="AM17" i="10"/>
  <c r="AM18" i="10"/>
  <c r="AM19" i="10"/>
  <c r="AM20" i="10"/>
  <c r="AL15" i="10"/>
  <c r="AL16" i="10"/>
  <c r="AL17" i="10"/>
  <c r="AL18" i="10"/>
  <c r="AL19" i="10"/>
  <c r="AL20" i="10"/>
  <c r="AK15" i="10"/>
  <c r="AK16" i="10"/>
  <c r="AK17" i="10"/>
  <c r="AK18" i="10"/>
  <c r="AK19" i="10"/>
  <c r="AK20" i="10"/>
  <c r="AJ15" i="10"/>
  <c r="AJ16" i="10"/>
  <c r="AJ17" i="10"/>
  <c r="AJ18" i="10"/>
  <c r="AJ19" i="10"/>
  <c r="AJ20" i="10"/>
  <c r="AI15" i="10"/>
  <c r="AI16" i="10"/>
  <c r="AI17" i="10"/>
  <c r="AI18" i="10"/>
  <c r="AI19" i="10"/>
  <c r="AI20" i="10"/>
  <c r="AH15" i="10"/>
  <c r="AH16" i="10"/>
  <c r="AH17" i="10"/>
  <c r="AH18" i="10"/>
  <c r="AH19" i="10"/>
  <c r="AH20" i="10"/>
  <c r="AG15" i="10"/>
  <c r="AG16" i="10"/>
  <c r="AG17" i="10"/>
  <c r="AG18" i="10"/>
  <c r="AG19" i="10"/>
  <c r="AG20" i="10"/>
  <c r="AF15" i="10"/>
  <c r="AF16" i="10"/>
  <c r="AF17" i="10"/>
  <c r="AF18" i="10"/>
  <c r="AF19" i="10"/>
  <c r="AF20" i="10"/>
  <c r="AE15" i="10"/>
  <c r="AE16" i="10"/>
  <c r="AE17" i="10"/>
  <c r="AE18" i="10"/>
  <c r="AE19" i="10"/>
  <c r="AE20" i="10"/>
  <c r="AD15" i="10"/>
  <c r="AD16" i="10"/>
  <c r="AD17" i="10"/>
  <c r="AD18" i="10"/>
  <c r="AD19" i="10"/>
  <c r="AD20" i="10"/>
  <c r="AC15" i="10"/>
  <c r="AC16" i="10"/>
  <c r="AC17" i="10"/>
  <c r="AC21" i="10" s="1"/>
  <c r="AC14" i="9" s="1"/>
  <c r="AC18" i="10"/>
  <c r="AC19" i="10"/>
  <c r="AC20" i="10"/>
  <c r="AB15" i="10"/>
  <c r="AB16" i="10"/>
  <c r="AB17" i="10"/>
  <c r="AB18" i="10"/>
  <c r="AB19" i="10"/>
  <c r="AB20" i="10"/>
  <c r="AA15" i="10"/>
  <c r="AA16" i="10"/>
  <c r="AA17" i="10"/>
  <c r="AA18" i="10"/>
  <c r="AA19" i="10"/>
  <c r="AA20" i="10"/>
  <c r="V15" i="10"/>
  <c r="V16" i="10"/>
  <c r="V17" i="10"/>
  <c r="V18" i="10"/>
  <c r="V19" i="10"/>
  <c r="V20" i="10"/>
  <c r="W15" i="10"/>
  <c r="W17" i="10"/>
  <c r="W18" i="10"/>
  <c r="W19" i="10"/>
  <c r="W20" i="10"/>
  <c r="X15" i="10"/>
  <c r="X16" i="10"/>
  <c r="X17" i="10"/>
  <c r="X18" i="10"/>
  <c r="X19" i="10"/>
  <c r="X20" i="10"/>
  <c r="Y15" i="10"/>
  <c r="Y16" i="10"/>
  <c r="Y17" i="10"/>
  <c r="Y18" i="10"/>
  <c r="Y19" i="10"/>
  <c r="Y20" i="10"/>
  <c r="Z15" i="10"/>
  <c r="Z16" i="10"/>
  <c r="Z17" i="10"/>
  <c r="Z18" i="10"/>
  <c r="Z19" i="10"/>
  <c r="Z20" i="10"/>
  <c r="U15" i="10"/>
  <c r="U16" i="10"/>
  <c r="U17" i="10"/>
  <c r="U18" i="10"/>
  <c r="U19" i="10"/>
  <c r="U20" i="10"/>
  <c r="T15" i="10"/>
  <c r="T16" i="10"/>
  <c r="T17" i="10"/>
  <c r="T18" i="10"/>
  <c r="T19" i="10"/>
  <c r="T20" i="10"/>
  <c r="S15" i="10"/>
  <c r="S16" i="10"/>
  <c r="S17" i="10"/>
  <c r="S18" i="10"/>
  <c r="S19" i="10"/>
  <c r="S20" i="10"/>
  <c r="R15" i="10"/>
  <c r="R16" i="10"/>
  <c r="R17" i="10"/>
  <c r="R18" i="10"/>
  <c r="R19" i="10"/>
  <c r="R20" i="10"/>
  <c r="Q15" i="10"/>
  <c r="Q16" i="10"/>
  <c r="Q17" i="10"/>
  <c r="Q18" i="10"/>
  <c r="Q19" i="10"/>
  <c r="Q20" i="10"/>
  <c r="P15" i="10"/>
  <c r="P16" i="10"/>
  <c r="P17" i="10"/>
  <c r="P18" i="10"/>
  <c r="P19" i="10"/>
  <c r="P20" i="10"/>
  <c r="B15" i="4"/>
  <c r="J97" i="4"/>
  <c r="J99" i="4" s="1"/>
  <c r="J15" i="4" s="1"/>
  <c r="B14" i="4"/>
  <c r="J92" i="4"/>
  <c r="J94" i="4" s="1"/>
  <c r="J14" i="4" s="1"/>
  <c r="B13" i="4"/>
  <c r="J87" i="4"/>
  <c r="J89" i="4" s="1"/>
  <c r="J13" i="4" s="1"/>
  <c r="B12" i="4"/>
  <c r="K84" i="4"/>
  <c r="K12" i="4" s="1"/>
  <c r="J84" i="4"/>
  <c r="J12" i="4" s="1"/>
  <c r="B11" i="4"/>
  <c r="BE77" i="4"/>
  <c r="BE79" i="4" s="1"/>
  <c r="BE11" i="4" s="1"/>
  <c r="BD77" i="4"/>
  <c r="BD79" i="4" s="1"/>
  <c r="BD11" i="4" s="1"/>
  <c r="BC77" i="4"/>
  <c r="BC79" i="4" s="1"/>
  <c r="BC11" i="4" s="1"/>
  <c r="BB77" i="4"/>
  <c r="BB79" i="4" s="1"/>
  <c r="BB11" i="4" s="1"/>
  <c r="BA77" i="4"/>
  <c r="BA79" i="4" s="1"/>
  <c r="BA11" i="4" s="1"/>
  <c r="AZ77" i="4"/>
  <c r="AZ79" i="4" s="1"/>
  <c r="AZ11" i="4" s="1"/>
  <c r="AY77" i="4"/>
  <c r="AY79" i="4" s="1"/>
  <c r="AY11" i="4" s="1"/>
  <c r="AX77" i="4"/>
  <c r="AX79" i="4" s="1"/>
  <c r="AX11" i="4" s="1"/>
  <c r="AW77" i="4"/>
  <c r="AW79" i="4" s="1"/>
  <c r="AW11" i="4" s="1"/>
  <c r="AV77" i="4"/>
  <c r="AV79" i="4" s="1"/>
  <c r="AV11" i="4" s="1"/>
  <c r="AU77" i="4"/>
  <c r="AU79" i="4" s="1"/>
  <c r="AU11" i="4" s="1"/>
  <c r="AT77" i="4"/>
  <c r="AT79" i="4" s="1"/>
  <c r="AT11" i="4" s="1"/>
  <c r="AS77" i="4"/>
  <c r="AS79" i="4" s="1"/>
  <c r="AS11" i="4" s="1"/>
  <c r="AR77" i="4"/>
  <c r="AR79" i="4" s="1"/>
  <c r="AR11" i="4" s="1"/>
  <c r="AQ77" i="4"/>
  <c r="AQ79" i="4" s="1"/>
  <c r="AQ11" i="4" s="1"/>
  <c r="AP77" i="4"/>
  <c r="AP79" i="4" s="1"/>
  <c r="AP11" i="4" s="1"/>
  <c r="AO77" i="4"/>
  <c r="AO79" i="4" s="1"/>
  <c r="AO11" i="4" s="1"/>
  <c r="AN77" i="4"/>
  <c r="AN79" i="4" s="1"/>
  <c r="AN11" i="4" s="1"/>
  <c r="AM77" i="4"/>
  <c r="AM79" i="4" s="1"/>
  <c r="AM11" i="4" s="1"/>
  <c r="AL77" i="4"/>
  <c r="AL79" i="4" s="1"/>
  <c r="AL11" i="4" s="1"/>
  <c r="AK77" i="4"/>
  <c r="AK79" i="4" s="1"/>
  <c r="AK11" i="4" s="1"/>
  <c r="AJ77" i="4"/>
  <c r="AJ79" i="4" s="1"/>
  <c r="AJ11" i="4" s="1"/>
  <c r="AI77" i="4"/>
  <c r="AI79" i="4" s="1"/>
  <c r="AI11" i="4" s="1"/>
  <c r="AH77" i="4"/>
  <c r="AH79" i="4" s="1"/>
  <c r="AH11" i="4" s="1"/>
  <c r="AG77" i="4"/>
  <c r="AG79" i="4" s="1"/>
  <c r="AG11" i="4" s="1"/>
  <c r="AF77" i="4"/>
  <c r="AF79" i="4" s="1"/>
  <c r="AF11" i="4" s="1"/>
  <c r="AE77" i="4"/>
  <c r="AE79" i="4" s="1"/>
  <c r="AE11" i="4" s="1"/>
  <c r="AD77" i="4"/>
  <c r="AD79" i="4" s="1"/>
  <c r="AD11" i="4" s="1"/>
  <c r="AC77" i="4"/>
  <c r="AC79" i="4" s="1"/>
  <c r="AC11" i="4" s="1"/>
  <c r="AB77" i="4"/>
  <c r="AB79" i="4" s="1"/>
  <c r="AB11" i="4" s="1"/>
  <c r="AA77" i="4"/>
  <c r="AA79" i="4" s="1"/>
  <c r="AA11" i="4" s="1"/>
  <c r="Z77" i="4"/>
  <c r="Z79" i="4" s="1"/>
  <c r="Z11" i="4" s="1"/>
  <c r="Y77" i="4"/>
  <c r="Y79" i="4" s="1"/>
  <c r="Y11" i="4" s="1"/>
  <c r="X77" i="4"/>
  <c r="X79" i="4" s="1"/>
  <c r="X11" i="4" s="1"/>
  <c r="W77" i="4"/>
  <c r="W79" i="4" s="1"/>
  <c r="W11" i="4" s="1"/>
  <c r="V77" i="4"/>
  <c r="V79" i="4" s="1"/>
  <c r="V11" i="4" s="1"/>
  <c r="U77" i="4"/>
  <c r="U79" i="4" s="1"/>
  <c r="U11" i="4" s="1"/>
  <c r="T77" i="4"/>
  <c r="T79" i="4" s="1"/>
  <c r="T11" i="4" s="1"/>
  <c r="S77" i="4"/>
  <c r="S79" i="4" s="1"/>
  <c r="S11" i="4" s="1"/>
  <c r="R77" i="4"/>
  <c r="R79" i="4" s="1"/>
  <c r="R11" i="4" s="1"/>
  <c r="Q77" i="4"/>
  <c r="Q79" i="4" s="1"/>
  <c r="Q11" i="4" s="1"/>
  <c r="P79" i="4"/>
  <c r="P11" i="4" s="1"/>
  <c r="O79" i="4"/>
  <c r="O11" i="4" s="1"/>
  <c r="N79" i="4"/>
  <c r="N11" i="4" s="1"/>
  <c r="M79" i="4"/>
  <c r="M11" i="4" s="1"/>
  <c r="L79" i="4"/>
  <c r="L11" i="4" s="1"/>
  <c r="K79" i="4"/>
  <c r="K11" i="4" s="1"/>
  <c r="J79" i="4"/>
  <c r="J11" i="4" s="1"/>
  <c r="J74" i="4"/>
  <c r="J10" i="4" s="1"/>
  <c r="B10" i="4"/>
  <c r="B9" i="4"/>
  <c r="BE67" i="4"/>
  <c r="BE69" i="4" s="1"/>
  <c r="BE9" i="4" s="1"/>
  <c r="BD67" i="4"/>
  <c r="BD69" i="4" s="1"/>
  <c r="BD9" i="4" s="1"/>
  <c r="BC67" i="4"/>
  <c r="BC69" i="4" s="1"/>
  <c r="BC9" i="4" s="1"/>
  <c r="BB67" i="4"/>
  <c r="BB69" i="4" s="1"/>
  <c r="BB9" i="4" s="1"/>
  <c r="BA67" i="4"/>
  <c r="BA69" i="4" s="1"/>
  <c r="BA9" i="4" s="1"/>
  <c r="AZ67" i="4"/>
  <c r="AZ69" i="4" s="1"/>
  <c r="AZ9" i="4" s="1"/>
  <c r="AY67" i="4"/>
  <c r="AY69" i="4" s="1"/>
  <c r="AY9" i="4" s="1"/>
  <c r="AX67" i="4"/>
  <c r="AX69" i="4" s="1"/>
  <c r="AX9" i="4" s="1"/>
  <c r="AW67" i="4"/>
  <c r="AW69" i="4" s="1"/>
  <c r="AW9" i="4" s="1"/>
  <c r="AV67" i="4"/>
  <c r="AV69" i="4" s="1"/>
  <c r="AV9" i="4" s="1"/>
  <c r="AU67" i="4"/>
  <c r="AU69" i="4" s="1"/>
  <c r="AU9" i="4" s="1"/>
  <c r="AT67" i="4"/>
  <c r="AT69" i="4" s="1"/>
  <c r="AT9" i="4" s="1"/>
  <c r="AS67" i="4"/>
  <c r="AS69" i="4" s="1"/>
  <c r="AS9" i="4" s="1"/>
  <c r="AR67" i="4"/>
  <c r="AR69" i="4" s="1"/>
  <c r="AR9" i="4" s="1"/>
  <c r="AQ67" i="4"/>
  <c r="AQ69" i="4" s="1"/>
  <c r="AQ9" i="4" s="1"/>
  <c r="AP67" i="4"/>
  <c r="AP69" i="4" s="1"/>
  <c r="AP9" i="4" s="1"/>
  <c r="AO67" i="4"/>
  <c r="AO69" i="4" s="1"/>
  <c r="AO9" i="4" s="1"/>
  <c r="AN67" i="4"/>
  <c r="AN69" i="4" s="1"/>
  <c r="AN9" i="4" s="1"/>
  <c r="AM67" i="4"/>
  <c r="AM69" i="4" s="1"/>
  <c r="AM9" i="4" s="1"/>
  <c r="AL67" i="4"/>
  <c r="AL69" i="4" s="1"/>
  <c r="AL9" i="4" s="1"/>
  <c r="AK67" i="4"/>
  <c r="AK69" i="4" s="1"/>
  <c r="AK9" i="4" s="1"/>
  <c r="AJ67" i="4"/>
  <c r="AJ69" i="4" s="1"/>
  <c r="AJ9" i="4" s="1"/>
  <c r="AI67" i="4"/>
  <c r="AI69" i="4" s="1"/>
  <c r="AI9" i="4" s="1"/>
  <c r="AH67" i="4"/>
  <c r="AH69" i="4" s="1"/>
  <c r="AH9" i="4" s="1"/>
  <c r="AG67" i="4"/>
  <c r="AG69" i="4" s="1"/>
  <c r="AG9" i="4" s="1"/>
  <c r="AF67" i="4"/>
  <c r="AF69" i="4" s="1"/>
  <c r="AF9" i="4" s="1"/>
  <c r="AE67" i="4"/>
  <c r="AE69" i="4" s="1"/>
  <c r="AE9" i="4" s="1"/>
  <c r="AD67" i="4"/>
  <c r="AD69" i="4" s="1"/>
  <c r="AD9" i="4" s="1"/>
  <c r="AC67" i="4"/>
  <c r="AC69" i="4" s="1"/>
  <c r="AC9" i="4" s="1"/>
  <c r="AB67" i="4"/>
  <c r="AB69" i="4" s="1"/>
  <c r="AB9" i="4" s="1"/>
  <c r="AA67" i="4"/>
  <c r="AA69" i="4" s="1"/>
  <c r="AA9" i="4" s="1"/>
  <c r="Z67" i="4"/>
  <c r="Z69" i="4" s="1"/>
  <c r="Z9" i="4" s="1"/>
  <c r="Y67" i="4"/>
  <c r="Y69" i="4" s="1"/>
  <c r="Y9" i="4" s="1"/>
  <c r="X67" i="4"/>
  <c r="X69" i="4" s="1"/>
  <c r="X9" i="4" s="1"/>
  <c r="W67" i="4"/>
  <c r="W69" i="4" s="1"/>
  <c r="W9" i="4" s="1"/>
  <c r="V67" i="4"/>
  <c r="V69" i="4" s="1"/>
  <c r="V9" i="4" s="1"/>
  <c r="U67" i="4"/>
  <c r="U69" i="4" s="1"/>
  <c r="U9" i="4" s="1"/>
  <c r="T67" i="4"/>
  <c r="T69" i="4" s="1"/>
  <c r="T9" i="4" s="1"/>
  <c r="S67" i="4"/>
  <c r="S69" i="4" s="1"/>
  <c r="S9" i="4" s="1"/>
  <c r="R67" i="4"/>
  <c r="R69" i="4" s="1"/>
  <c r="R9" i="4" s="1"/>
  <c r="Q69" i="4"/>
  <c r="Q9" i="4" s="1"/>
  <c r="P69" i="4"/>
  <c r="P9" i="4" s="1"/>
  <c r="O69" i="4"/>
  <c r="O9" i="4" s="1"/>
  <c r="N69" i="4"/>
  <c r="N9" i="4" s="1"/>
  <c r="M69" i="4"/>
  <c r="M9" i="4" s="1"/>
  <c r="L69" i="4"/>
  <c r="L9" i="4" s="1"/>
  <c r="K69" i="4"/>
  <c r="K9" i="4" s="1"/>
  <c r="J69" i="4"/>
  <c r="J9" i="4" s="1"/>
  <c r="B8" i="4"/>
  <c r="BE62" i="4"/>
  <c r="BE64" i="4" s="1"/>
  <c r="BE8" i="4" s="1"/>
  <c r="BD62" i="4"/>
  <c r="BD64" i="4" s="1"/>
  <c r="BD8" i="4" s="1"/>
  <c r="BC62" i="4"/>
  <c r="BC64" i="4" s="1"/>
  <c r="BC8" i="4" s="1"/>
  <c r="BB62" i="4"/>
  <c r="BB64" i="4" s="1"/>
  <c r="BB8" i="4" s="1"/>
  <c r="BA62" i="4"/>
  <c r="BA64" i="4" s="1"/>
  <c r="BA8" i="4" s="1"/>
  <c r="AZ62" i="4"/>
  <c r="AZ64" i="4" s="1"/>
  <c r="AZ8" i="4" s="1"/>
  <c r="AY62" i="4"/>
  <c r="AY64" i="4" s="1"/>
  <c r="AY8" i="4" s="1"/>
  <c r="AX62" i="4"/>
  <c r="AX64" i="4" s="1"/>
  <c r="AX8" i="4" s="1"/>
  <c r="AW62" i="4"/>
  <c r="AV62" i="4"/>
  <c r="AV64" i="4" s="1"/>
  <c r="AV8" i="4" s="1"/>
  <c r="AU62" i="4"/>
  <c r="AU64" i="4" s="1"/>
  <c r="AU8" i="4" s="1"/>
  <c r="AT62" i="4"/>
  <c r="AT64" i="4" s="1"/>
  <c r="AT8" i="4" s="1"/>
  <c r="AS62" i="4"/>
  <c r="AS64" i="4" s="1"/>
  <c r="AS8" i="4" s="1"/>
  <c r="AR62" i="4"/>
  <c r="AR64" i="4" s="1"/>
  <c r="AR8" i="4" s="1"/>
  <c r="AQ62" i="4"/>
  <c r="AQ64" i="4" s="1"/>
  <c r="AQ8" i="4" s="1"/>
  <c r="AP62" i="4"/>
  <c r="AP64" i="4" s="1"/>
  <c r="AP8" i="4" s="1"/>
  <c r="AO62" i="4"/>
  <c r="AO64" i="4" s="1"/>
  <c r="AO8" i="4" s="1"/>
  <c r="AN62" i="4"/>
  <c r="AN64" i="4" s="1"/>
  <c r="AN8" i="4" s="1"/>
  <c r="AM62" i="4"/>
  <c r="AM64" i="4" s="1"/>
  <c r="AM8" i="4" s="1"/>
  <c r="AL62" i="4"/>
  <c r="AL64" i="4" s="1"/>
  <c r="AL8" i="4" s="1"/>
  <c r="AK62" i="4"/>
  <c r="AK64" i="4" s="1"/>
  <c r="AK8" i="4" s="1"/>
  <c r="AJ62" i="4"/>
  <c r="AJ64" i="4" s="1"/>
  <c r="AJ8" i="4" s="1"/>
  <c r="AI62" i="4"/>
  <c r="AI64" i="4" s="1"/>
  <c r="AI8" i="4" s="1"/>
  <c r="AH62" i="4"/>
  <c r="AH64" i="4" s="1"/>
  <c r="AH8" i="4" s="1"/>
  <c r="AG62" i="4"/>
  <c r="AG64" i="4" s="1"/>
  <c r="AG8" i="4" s="1"/>
  <c r="AF62" i="4"/>
  <c r="AF64" i="4" s="1"/>
  <c r="AF8" i="4" s="1"/>
  <c r="AE62" i="4"/>
  <c r="AE64" i="4" s="1"/>
  <c r="AE8" i="4" s="1"/>
  <c r="AD62" i="4"/>
  <c r="AD64" i="4" s="1"/>
  <c r="AD8" i="4" s="1"/>
  <c r="AC62" i="4"/>
  <c r="AC64" i="4" s="1"/>
  <c r="AC8" i="4" s="1"/>
  <c r="AB62" i="4"/>
  <c r="AB64" i="4" s="1"/>
  <c r="AB8" i="4" s="1"/>
  <c r="AA62" i="4"/>
  <c r="AA64" i="4" s="1"/>
  <c r="AA8" i="4" s="1"/>
  <c r="Z62" i="4"/>
  <c r="Z64" i="4" s="1"/>
  <c r="Z8" i="4" s="1"/>
  <c r="Y62" i="4"/>
  <c r="Y64" i="4" s="1"/>
  <c r="Y8" i="4" s="1"/>
  <c r="X62" i="4"/>
  <c r="X64" i="4" s="1"/>
  <c r="X8" i="4" s="1"/>
  <c r="W62" i="4"/>
  <c r="W64" i="4" s="1"/>
  <c r="W8" i="4" s="1"/>
  <c r="V62" i="4"/>
  <c r="V64" i="4" s="1"/>
  <c r="V8" i="4" s="1"/>
  <c r="U62" i="4"/>
  <c r="U64" i="4" s="1"/>
  <c r="U8" i="4" s="1"/>
  <c r="T62" i="4"/>
  <c r="T64" i="4" s="1"/>
  <c r="T8" i="4" s="1"/>
  <c r="S62" i="4"/>
  <c r="S64" i="4" s="1"/>
  <c r="S8" i="4" s="1"/>
  <c r="R62" i="4"/>
  <c r="R64" i="4" s="1"/>
  <c r="R8" i="4" s="1"/>
  <c r="Q62" i="4"/>
  <c r="Q64" i="4" s="1"/>
  <c r="Q8" i="4" s="1"/>
  <c r="P64" i="4"/>
  <c r="P8" i="4" s="1"/>
  <c r="O64" i="4"/>
  <c r="O8" i="4" s="1"/>
  <c r="N64" i="4"/>
  <c r="N8" i="4" s="1"/>
  <c r="M64" i="4"/>
  <c r="M8" i="4" s="1"/>
  <c r="L64" i="4"/>
  <c r="L8" i="4" s="1"/>
  <c r="K64" i="4"/>
  <c r="K8" i="4" s="1"/>
  <c r="J64" i="4"/>
  <c r="J8" i="4" s="1"/>
  <c r="AW64" i="4"/>
  <c r="AW8" i="4" s="1"/>
  <c r="B7" i="4"/>
  <c r="BE57" i="4"/>
  <c r="BE59" i="4" s="1"/>
  <c r="BE7" i="4" s="1"/>
  <c r="BD57" i="4"/>
  <c r="BC57" i="4"/>
  <c r="BC59" i="4" s="1"/>
  <c r="BC7" i="4" s="1"/>
  <c r="BB57" i="4"/>
  <c r="BA57" i="4"/>
  <c r="BA59" i="4" s="1"/>
  <c r="BA7" i="4" s="1"/>
  <c r="AZ57" i="4"/>
  <c r="AY57" i="4"/>
  <c r="AY59" i="4" s="1"/>
  <c r="AY7" i="4" s="1"/>
  <c r="AX57" i="4"/>
  <c r="AW57" i="4"/>
  <c r="AW59" i="4" s="1"/>
  <c r="AW7" i="4" s="1"/>
  <c r="AV57" i="4"/>
  <c r="AU57" i="4"/>
  <c r="AU59" i="4" s="1"/>
  <c r="AU7" i="4" s="1"/>
  <c r="AT57" i="4"/>
  <c r="AT59" i="4" s="1"/>
  <c r="AT7" i="4" s="1"/>
  <c r="AS57" i="4"/>
  <c r="AS59" i="4" s="1"/>
  <c r="AS7" i="4" s="1"/>
  <c r="AR57" i="4"/>
  <c r="AQ57" i="4"/>
  <c r="AQ59" i="4" s="1"/>
  <c r="AQ7" i="4" s="1"/>
  <c r="AP57" i="4"/>
  <c r="AP59" i="4" s="1"/>
  <c r="AP7" i="4" s="1"/>
  <c r="AO57" i="4"/>
  <c r="AO59" i="4" s="1"/>
  <c r="AO7" i="4" s="1"/>
  <c r="AN57" i="4"/>
  <c r="AM57" i="4"/>
  <c r="AM59" i="4" s="1"/>
  <c r="AM7" i="4" s="1"/>
  <c r="AL57" i="4"/>
  <c r="AL59" i="4" s="1"/>
  <c r="AL7" i="4" s="1"/>
  <c r="AK57" i="4"/>
  <c r="AK59" i="4" s="1"/>
  <c r="AK7" i="4" s="1"/>
  <c r="AJ57" i="4"/>
  <c r="AJ59" i="4" s="1"/>
  <c r="AJ7" i="4" s="1"/>
  <c r="AI57" i="4"/>
  <c r="AI59" i="4" s="1"/>
  <c r="AI7" i="4" s="1"/>
  <c r="AH57" i="4"/>
  <c r="AG57" i="4"/>
  <c r="AG59" i="4" s="1"/>
  <c r="AG7" i="4" s="1"/>
  <c r="AF57" i="4"/>
  <c r="AF59" i="4" s="1"/>
  <c r="AF7" i="4" s="1"/>
  <c r="AE57" i="4"/>
  <c r="AE59" i="4" s="1"/>
  <c r="AE7" i="4" s="1"/>
  <c r="AD57" i="4"/>
  <c r="AD59" i="4" s="1"/>
  <c r="AD7" i="4" s="1"/>
  <c r="AC57" i="4"/>
  <c r="AC59" i="4" s="1"/>
  <c r="AC7" i="4" s="1"/>
  <c r="AB57" i="4"/>
  <c r="AA57" i="4"/>
  <c r="AA59" i="4" s="1"/>
  <c r="AA7" i="4" s="1"/>
  <c r="Z57" i="4"/>
  <c r="Z59" i="4" s="1"/>
  <c r="Z7" i="4" s="1"/>
  <c r="Y57" i="4"/>
  <c r="X57" i="4"/>
  <c r="W57" i="4"/>
  <c r="W59" i="4" s="1"/>
  <c r="W7" i="4" s="1"/>
  <c r="V57" i="4"/>
  <c r="U57" i="4"/>
  <c r="U59" i="4" s="1"/>
  <c r="U7" i="4" s="1"/>
  <c r="T57" i="4"/>
  <c r="S57" i="4"/>
  <c r="R57" i="4"/>
  <c r="B6" i="4"/>
  <c r="BE52" i="4"/>
  <c r="BD52" i="4"/>
  <c r="BD54" i="4" s="1"/>
  <c r="BD6" i="4" s="1"/>
  <c r="BC52" i="4"/>
  <c r="BB52" i="4"/>
  <c r="BB54" i="4" s="1"/>
  <c r="BB6" i="4" s="1"/>
  <c r="BA52" i="4"/>
  <c r="AZ52" i="4"/>
  <c r="AZ54" i="4" s="1"/>
  <c r="AZ6" i="4" s="1"/>
  <c r="AY52" i="4"/>
  <c r="AY54" i="4" s="1"/>
  <c r="AY6" i="4" s="1"/>
  <c r="AX52" i="4"/>
  <c r="AX54" i="4" s="1"/>
  <c r="AX6" i="4" s="1"/>
  <c r="AW52" i="4"/>
  <c r="AV52" i="4"/>
  <c r="AV54" i="4" s="1"/>
  <c r="AV6" i="4" s="1"/>
  <c r="AU52" i="4"/>
  <c r="AU54" i="4" s="1"/>
  <c r="AU6" i="4" s="1"/>
  <c r="AT52" i="4"/>
  <c r="AT54" i="4" s="1"/>
  <c r="AT6" i="4" s="1"/>
  <c r="AS52" i="4"/>
  <c r="AR52" i="4"/>
  <c r="AR54" i="4" s="1"/>
  <c r="AR6" i="4" s="1"/>
  <c r="AQ52" i="4"/>
  <c r="AP52" i="4"/>
  <c r="AP54" i="4" s="1"/>
  <c r="AP6" i="4" s="1"/>
  <c r="AO52" i="4"/>
  <c r="AN52" i="4"/>
  <c r="AN54" i="4" s="1"/>
  <c r="AN6" i="4" s="1"/>
  <c r="AM52" i="4"/>
  <c r="AL52" i="4"/>
  <c r="AL54" i="4" s="1"/>
  <c r="AL6" i="4" s="1"/>
  <c r="AK52" i="4"/>
  <c r="AK54" i="4" s="1"/>
  <c r="AK6" i="4" s="1"/>
  <c r="AJ52" i="4"/>
  <c r="AJ54" i="4" s="1"/>
  <c r="AJ6" i="4" s="1"/>
  <c r="AI52" i="4"/>
  <c r="AI54" i="4" s="1"/>
  <c r="AI6" i="4" s="1"/>
  <c r="AH52" i="4"/>
  <c r="AH54" i="4" s="1"/>
  <c r="AH6" i="4" s="1"/>
  <c r="AG52" i="4"/>
  <c r="AG54" i="4" s="1"/>
  <c r="AG6" i="4" s="1"/>
  <c r="AF52" i="4"/>
  <c r="AF54" i="4" s="1"/>
  <c r="AF6" i="4" s="1"/>
  <c r="AE52" i="4"/>
  <c r="AD52" i="4"/>
  <c r="AC52" i="4"/>
  <c r="AB52" i="4"/>
  <c r="AB54" i="4" s="1"/>
  <c r="AB6" i="4" s="1"/>
  <c r="AA52" i="4"/>
  <c r="Z52" i="4"/>
  <c r="Z54" i="4" s="1"/>
  <c r="Z6" i="4" s="1"/>
  <c r="Y52" i="4"/>
  <c r="X52" i="4"/>
  <c r="X54" i="4" s="1"/>
  <c r="X6" i="4" s="1"/>
  <c r="W52" i="4"/>
  <c r="V52" i="4"/>
  <c r="V54" i="4" s="1"/>
  <c r="V6" i="4" s="1"/>
  <c r="U52" i="4"/>
  <c r="T52" i="4"/>
  <c r="T54" i="4" s="1"/>
  <c r="T6" i="4" s="1"/>
  <c r="S52" i="4"/>
  <c r="R52" i="4"/>
  <c r="R54" i="4" s="1"/>
  <c r="R6" i="4" s="1"/>
  <c r="K94" i="3"/>
  <c r="K96" i="3" s="1"/>
  <c r="K27" i="3" s="1"/>
  <c r="J94" i="3"/>
  <c r="J96" i="3" s="1"/>
  <c r="J27" i="3" s="1"/>
  <c r="B26" i="3"/>
  <c r="K90" i="3"/>
  <c r="K92" i="3" s="1"/>
  <c r="K26" i="3" s="1"/>
  <c r="J90" i="3"/>
  <c r="J92" i="3" s="1"/>
  <c r="J26" i="3" s="1"/>
  <c r="B25" i="3"/>
  <c r="J86" i="3"/>
  <c r="J88" i="3" s="1"/>
  <c r="J25" i="3" s="1"/>
  <c r="B12" i="3"/>
  <c r="BE56" i="3"/>
  <c r="BE58" i="3" s="1"/>
  <c r="BE12" i="3" s="1"/>
  <c r="BD56" i="3"/>
  <c r="BD58" i="3" s="1"/>
  <c r="BD12" i="3" s="1"/>
  <c r="BC56" i="3"/>
  <c r="BC58" i="3" s="1"/>
  <c r="BC12" i="3" s="1"/>
  <c r="BB56" i="3"/>
  <c r="BB58" i="3" s="1"/>
  <c r="BB12" i="3" s="1"/>
  <c r="BA56" i="3"/>
  <c r="BA58" i="3" s="1"/>
  <c r="BA12" i="3" s="1"/>
  <c r="AZ56" i="3"/>
  <c r="AZ58" i="3" s="1"/>
  <c r="AZ12" i="3" s="1"/>
  <c r="AY56" i="3"/>
  <c r="AY58" i="3" s="1"/>
  <c r="AY12" i="3" s="1"/>
  <c r="AX56" i="3"/>
  <c r="AX58" i="3" s="1"/>
  <c r="AX12" i="3" s="1"/>
  <c r="AW56" i="3"/>
  <c r="AW58" i="3" s="1"/>
  <c r="AW12" i="3" s="1"/>
  <c r="AV56" i="3"/>
  <c r="AV58" i="3" s="1"/>
  <c r="AV12" i="3" s="1"/>
  <c r="AU56" i="3"/>
  <c r="AU58" i="3" s="1"/>
  <c r="AU12" i="3" s="1"/>
  <c r="AT56" i="3"/>
  <c r="AT58" i="3" s="1"/>
  <c r="AT12" i="3" s="1"/>
  <c r="AS56" i="3"/>
  <c r="AS58" i="3" s="1"/>
  <c r="AS12" i="3" s="1"/>
  <c r="AR56" i="3"/>
  <c r="AR58" i="3" s="1"/>
  <c r="AR12" i="3" s="1"/>
  <c r="AQ56" i="3"/>
  <c r="AQ58" i="3" s="1"/>
  <c r="AQ12" i="3" s="1"/>
  <c r="AP56" i="3"/>
  <c r="AP58" i="3" s="1"/>
  <c r="AP12" i="3" s="1"/>
  <c r="AO56" i="3"/>
  <c r="AO58" i="3" s="1"/>
  <c r="AO12" i="3" s="1"/>
  <c r="AN56" i="3"/>
  <c r="AN58" i="3" s="1"/>
  <c r="AN12" i="3" s="1"/>
  <c r="AM56" i="3"/>
  <c r="AM58" i="3" s="1"/>
  <c r="AM12" i="3" s="1"/>
  <c r="AL56" i="3"/>
  <c r="AL58" i="3" s="1"/>
  <c r="AL12" i="3" s="1"/>
  <c r="AK56" i="3"/>
  <c r="AK58" i="3" s="1"/>
  <c r="AK12" i="3" s="1"/>
  <c r="AJ56" i="3"/>
  <c r="AJ58" i="3" s="1"/>
  <c r="AJ12" i="3" s="1"/>
  <c r="AI56" i="3"/>
  <c r="AI58" i="3" s="1"/>
  <c r="AI12" i="3" s="1"/>
  <c r="AH56" i="3"/>
  <c r="AH58" i="3" s="1"/>
  <c r="AH12" i="3" s="1"/>
  <c r="AG56" i="3"/>
  <c r="AG58" i="3" s="1"/>
  <c r="AG12" i="3" s="1"/>
  <c r="AF56" i="3"/>
  <c r="AF58" i="3" s="1"/>
  <c r="AF12" i="3" s="1"/>
  <c r="AE56" i="3"/>
  <c r="AE58" i="3" s="1"/>
  <c r="AE12" i="3" s="1"/>
  <c r="AD56" i="3"/>
  <c r="AD58" i="3" s="1"/>
  <c r="AD12" i="3" s="1"/>
  <c r="AC56" i="3"/>
  <c r="AC58" i="3" s="1"/>
  <c r="AC12" i="3" s="1"/>
  <c r="AB56" i="3"/>
  <c r="AB58" i="3" s="1"/>
  <c r="AB12" i="3" s="1"/>
  <c r="AA56" i="3"/>
  <c r="AA58" i="3" s="1"/>
  <c r="AA12" i="3" s="1"/>
  <c r="Z56" i="3"/>
  <c r="Z58" i="3" s="1"/>
  <c r="Z12" i="3" s="1"/>
  <c r="Y56" i="3"/>
  <c r="Y58" i="3" s="1"/>
  <c r="Y12" i="3" s="1"/>
  <c r="X56" i="3"/>
  <c r="X58" i="3" s="1"/>
  <c r="X12" i="3" s="1"/>
  <c r="W56" i="3"/>
  <c r="W58" i="3" s="1"/>
  <c r="W12" i="3" s="1"/>
  <c r="V56" i="3"/>
  <c r="V58" i="3" s="1"/>
  <c r="V12" i="3" s="1"/>
  <c r="U56" i="3"/>
  <c r="U58" i="3" s="1"/>
  <c r="U12" i="3" s="1"/>
  <c r="T56" i="3"/>
  <c r="T58" i="3" s="1"/>
  <c r="T12" i="3" s="1"/>
  <c r="S56" i="3"/>
  <c r="S58" i="3" s="1"/>
  <c r="S12" i="3" s="1"/>
  <c r="R56" i="3"/>
  <c r="R58" i="3" s="1"/>
  <c r="R12" i="3" s="1"/>
  <c r="Q56" i="3"/>
  <c r="Q58" i="3" s="1"/>
  <c r="Q12" i="3" s="1"/>
  <c r="P56" i="3"/>
  <c r="P58" i="3" s="1"/>
  <c r="P12" i="3" s="1"/>
  <c r="O56" i="3"/>
  <c r="O58" i="3" s="1"/>
  <c r="O12" i="3" s="1"/>
  <c r="N56" i="3"/>
  <c r="N58" i="3" s="1"/>
  <c r="N12" i="3" s="1"/>
  <c r="M56" i="3"/>
  <c r="M58" i="3" s="1"/>
  <c r="M12" i="3" s="1"/>
  <c r="L56" i="3"/>
  <c r="L58" i="3" s="1"/>
  <c r="L12" i="3" s="1"/>
  <c r="K56" i="3"/>
  <c r="K58" i="3" s="1"/>
  <c r="K12" i="3" s="1"/>
  <c r="J56" i="3"/>
  <c r="J58" i="3" s="1"/>
  <c r="J12" i="3" s="1"/>
  <c r="B24" i="3"/>
  <c r="B23" i="3"/>
  <c r="K82" i="3"/>
  <c r="K84" i="3" s="1"/>
  <c r="K24" i="3" s="1"/>
  <c r="J82" i="3"/>
  <c r="J84" i="3" s="1"/>
  <c r="J24" i="3" s="1"/>
  <c r="J78" i="3"/>
  <c r="J80" i="3" s="1"/>
  <c r="J23" i="3" s="1"/>
  <c r="BE52" i="3"/>
  <c r="BE54" i="3" s="1"/>
  <c r="BE11" i="3" s="1"/>
  <c r="BD52" i="3"/>
  <c r="BD54" i="3" s="1"/>
  <c r="BD11" i="3" s="1"/>
  <c r="BC52" i="3"/>
  <c r="BC54" i="3" s="1"/>
  <c r="BC11" i="3" s="1"/>
  <c r="BB52" i="3"/>
  <c r="BB54" i="3" s="1"/>
  <c r="BB11" i="3" s="1"/>
  <c r="BA52" i="3"/>
  <c r="BA54" i="3" s="1"/>
  <c r="BA11" i="3" s="1"/>
  <c r="AZ52" i="3"/>
  <c r="AZ54" i="3" s="1"/>
  <c r="AZ11" i="3" s="1"/>
  <c r="AY52" i="3"/>
  <c r="AY54" i="3" s="1"/>
  <c r="AY11" i="3" s="1"/>
  <c r="AX52" i="3"/>
  <c r="AX54" i="3" s="1"/>
  <c r="AX11" i="3" s="1"/>
  <c r="AW52" i="3"/>
  <c r="AW54" i="3" s="1"/>
  <c r="AW11" i="3" s="1"/>
  <c r="AV52" i="3"/>
  <c r="AV54" i="3" s="1"/>
  <c r="AV11" i="3" s="1"/>
  <c r="AU52" i="3"/>
  <c r="AU54" i="3" s="1"/>
  <c r="AU11" i="3" s="1"/>
  <c r="AT52" i="3"/>
  <c r="AT54" i="3" s="1"/>
  <c r="AT11" i="3" s="1"/>
  <c r="AS52" i="3"/>
  <c r="AS54" i="3" s="1"/>
  <c r="AS11" i="3" s="1"/>
  <c r="AR52" i="3"/>
  <c r="AR54" i="3" s="1"/>
  <c r="AR11" i="3" s="1"/>
  <c r="AQ52" i="3"/>
  <c r="AQ54" i="3" s="1"/>
  <c r="AQ11" i="3" s="1"/>
  <c r="AP52" i="3"/>
  <c r="AP54" i="3" s="1"/>
  <c r="AP11" i="3" s="1"/>
  <c r="AO52" i="3"/>
  <c r="AO54" i="3" s="1"/>
  <c r="AO11" i="3" s="1"/>
  <c r="AN52" i="3"/>
  <c r="AN54" i="3" s="1"/>
  <c r="AN11" i="3" s="1"/>
  <c r="AM52" i="3"/>
  <c r="AM54" i="3" s="1"/>
  <c r="AM11" i="3" s="1"/>
  <c r="AL52" i="3"/>
  <c r="AL54" i="3" s="1"/>
  <c r="AL11" i="3" s="1"/>
  <c r="AK52" i="3"/>
  <c r="AK54" i="3" s="1"/>
  <c r="AK11" i="3" s="1"/>
  <c r="AJ52" i="3"/>
  <c r="AJ54" i="3" s="1"/>
  <c r="AJ11" i="3" s="1"/>
  <c r="AI52" i="3"/>
  <c r="AI54" i="3" s="1"/>
  <c r="AI11" i="3" s="1"/>
  <c r="AH52" i="3"/>
  <c r="AH54" i="3" s="1"/>
  <c r="AH11" i="3" s="1"/>
  <c r="AG52" i="3"/>
  <c r="AG54" i="3" s="1"/>
  <c r="AG11" i="3" s="1"/>
  <c r="AF52" i="3"/>
  <c r="AF54" i="3" s="1"/>
  <c r="AF11" i="3" s="1"/>
  <c r="AE52" i="3"/>
  <c r="AE54" i="3" s="1"/>
  <c r="AE11" i="3" s="1"/>
  <c r="AD52" i="3"/>
  <c r="AD54" i="3" s="1"/>
  <c r="AD11" i="3" s="1"/>
  <c r="AC52" i="3"/>
  <c r="AC54" i="3" s="1"/>
  <c r="AC11" i="3" s="1"/>
  <c r="AB52" i="3"/>
  <c r="AB54" i="3" s="1"/>
  <c r="AB11" i="3" s="1"/>
  <c r="AA52" i="3"/>
  <c r="AA54" i="3" s="1"/>
  <c r="AA11" i="3" s="1"/>
  <c r="Z52" i="3"/>
  <c r="Z54" i="3" s="1"/>
  <c r="Z11" i="3" s="1"/>
  <c r="Y52" i="3"/>
  <c r="Y54" i="3" s="1"/>
  <c r="Y11" i="3" s="1"/>
  <c r="X52" i="3"/>
  <c r="X54" i="3" s="1"/>
  <c r="X11" i="3" s="1"/>
  <c r="W52" i="3"/>
  <c r="W54" i="3" s="1"/>
  <c r="W11" i="3" s="1"/>
  <c r="V52" i="3"/>
  <c r="V54" i="3" s="1"/>
  <c r="V11" i="3" s="1"/>
  <c r="U52" i="3"/>
  <c r="U54" i="3" s="1"/>
  <c r="U11" i="3" s="1"/>
  <c r="T52" i="3"/>
  <c r="T54" i="3" s="1"/>
  <c r="T11" i="3" s="1"/>
  <c r="S52" i="3"/>
  <c r="S54" i="3" s="1"/>
  <c r="S11" i="3" s="1"/>
  <c r="R52" i="3"/>
  <c r="R54" i="3" s="1"/>
  <c r="R11" i="3" s="1"/>
  <c r="Q52" i="3"/>
  <c r="Q54" i="3" s="1"/>
  <c r="Q11" i="3" s="1"/>
  <c r="P52" i="3"/>
  <c r="P54" i="3" s="1"/>
  <c r="P11" i="3" s="1"/>
  <c r="O52" i="3"/>
  <c r="O54" i="3" s="1"/>
  <c r="O11" i="3" s="1"/>
  <c r="N52" i="3"/>
  <c r="N54" i="3" s="1"/>
  <c r="N11" i="3" s="1"/>
  <c r="M52" i="3"/>
  <c r="M54" i="3" s="1"/>
  <c r="M11" i="3" s="1"/>
  <c r="L52" i="3"/>
  <c r="L54" i="3" s="1"/>
  <c r="L11" i="3" s="1"/>
  <c r="K52" i="3"/>
  <c r="K54" i="3" s="1"/>
  <c r="K11" i="3" s="1"/>
  <c r="J52" i="3"/>
  <c r="J54" i="3" s="1"/>
  <c r="J11" i="3" s="1"/>
  <c r="B11" i="3"/>
  <c r="B21" i="3"/>
  <c r="K76" i="3"/>
  <c r="K21" i="3" s="1"/>
  <c r="J76" i="3"/>
  <c r="J21" i="3" s="1"/>
  <c r="B20" i="3"/>
  <c r="B19" i="3"/>
  <c r="B10" i="3"/>
  <c r="B9" i="3"/>
  <c r="BE48" i="3"/>
  <c r="BE50" i="3" s="1"/>
  <c r="BE10" i="3" s="1"/>
  <c r="BD48" i="3"/>
  <c r="BD50" i="3" s="1"/>
  <c r="BD10" i="3" s="1"/>
  <c r="BC48" i="3"/>
  <c r="BB48" i="3"/>
  <c r="BB50" i="3" s="1"/>
  <c r="BB10" i="3" s="1"/>
  <c r="BA48" i="3"/>
  <c r="BA50" i="3" s="1"/>
  <c r="BA10" i="3" s="1"/>
  <c r="AZ48" i="3"/>
  <c r="AZ50" i="3" s="1"/>
  <c r="AZ10" i="3" s="1"/>
  <c r="AY48" i="3"/>
  <c r="AY50" i="3" s="1"/>
  <c r="AY10" i="3" s="1"/>
  <c r="AX48" i="3"/>
  <c r="AX50" i="3" s="1"/>
  <c r="AX10" i="3" s="1"/>
  <c r="AW48" i="3"/>
  <c r="AW50" i="3" s="1"/>
  <c r="AW10" i="3" s="1"/>
  <c r="AV48" i="3"/>
  <c r="AV50" i="3" s="1"/>
  <c r="AV10" i="3" s="1"/>
  <c r="AU48" i="3"/>
  <c r="AU50" i="3" s="1"/>
  <c r="AU10" i="3" s="1"/>
  <c r="AT48" i="3"/>
  <c r="AT50" i="3" s="1"/>
  <c r="AT10" i="3" s="1"/>
  <c r="AS48" i="3"/>
  <c r="AS50" i="3" s="1"/>
  <c r="AS10" i="3" s="1"/>
  <c r="AR48" i="3"/>
  <c r="AR50" i="3" s="1"/>
  <c r="AR10" i="3" s="1"/>
  <c r="AQ48" i="3"/>
  <c r="AQ50" i="3" s="1"/>
  <c r="AQ10" i="3" s="1"/>
  <c r="AP48" i="3"/>
  <c r="AP50" i="3" s="1"/>
  <c r="AP10" i="3" s="1"/>
  <c r="AO48" i="3"/>
  <c r="AO50" i="3" s="1"/>
  <c r="AO10" i="3" s="1"/>
  <c r="AN48" i="3"/>
  <c r="AN50" i="3" s="1"/>
  <c r="AN10" i="3" s="1"/>
  <c r="AM48" i="3"/>
  <c r="AM50" i="3" s="1"/>
  <c r="AM10" i="3" s="1"/>
  <c r="AL48" i="3"/>
  <c r="AL50" i="3" s="1"/>
  <c r="AL10" i="3" s="1"/>
  <c r="AK48" i="3"/>
  <c r="AK50" i="3" s="1"/>
  <c r="AK10" i="3" s="1"/>
  <c r="AJ48" i="3"/>
  <c r="AJ50" i="3" s="1"/>
  <c r="AJ10" i="3" s="1"/>
  <c r="AI48" i="3"/>
  <c r="AI50" i="3" s="1"/>
  <c r="AI10" i="3" s="1"/>
  <c r="AH48" i="3"/>
  <c r="AH50" i="3" s="1"/>
  <c r="AH10" i="3" s="1"/>
  <c r="AG48" i="3"/>
  <c r="AG50" i="3" s="1"/>
  <c r="AG10" i="3" s="1"/>
  <c r="AF48" i="3"/>
  <c r="AF50" i="3" s="1"/>
  <c r="AF10" i="3" s="1"/>
  <c r="AE48" i="3"/>
  <c r="AE50" i="3" s="1"/>
  <c r="AE10" i="3" s="1"/>
  <c r="AD48" i="3"/>
  <c r="AD50" i="3" s="1"/>
  <c r="AD10" i="3" s="1"/>
  <c r="AC48" i="3"/>
  <c r="AC50" i="3" s="1"/>
  <c r="AC10" i="3" s="1"/>
  <c r="AB48" i="3"/>
  <c r="AB50" i="3" s="1"/>
  <c r="AB10" i="3" s="1"/>
  <c r="AA48" i="3"/>
  <c r="AA50" i="3" s="1"/>
  <c r="AA10" i="3" s="1"/>
  <c r="Z48" i="3"/>
  <c r="Z50" i="3" s="1"/>
  <c r="Z10" i="3" s="1"/>
  <c r="Y48" i="3"/>
  <c r="Y50" i="3" s="1"/>
  <c r="Y10" i="3" s="1"/>
  <c r="X48" i="3"/>
  <c r="X50" i="3" s="1"/>
  <c r="X10" i="3" s="1"/>
  <c r="W48" i="3"/>
  <c r="W50" i="3" s="1"/>
  <c r="W10" i="3" s="1"/>
  <c r="V48" i="3"/>
  <c r="V50" i="3" s="1"/>
  <c r="V10" i="3" s="1"/>
  <c r="U48" i="3"/>
  <c r="U50" i="3" s="1"/>
  <c r="U10" i="3" s="1"/>
  <c r="T48" i="3"/>
  <c r="T50" i="3" s="1"/>
  <c r="T10" i="3" s="1"/>
  <c r="S48" i="3"/>
  <c r="S50" i="3" s="1"/>
  <c r="S10" i="3" s="1"/>
  <c r="R48" i="3"/>
  <c r="R50" i="3" s="1"/>
  <c r="R10" i="3" s="1"/>
  <c r="Q50" i="3"/>
  <c r="Q10" i="3" s="1"/>
  <c r="P50" i="3"/>
  <c r="P10" i="3" s="1"/>
  <c r="O50" i="3"/>
  <c r="O10" i="3" s="1"/>
  <c r="N48" i="3"/>
  <c r="N50" i="3" s="1"/>
  <c r="N10" i="3" s="1"/>
  <c r="M48" i="3"/>
  <c r="M50" i="3" s="1"/>
  <c r="M10" i="3" s="1"/>
  <c r="L48" i="3"/>
  <c r="L50" i="3" s="1"/>
  <c r="L10" i="3" s="1"/>
  <c r="K48" i="3"/>
  <c r="K50" i="3" s="1"/>
  <c r="K10" i="3" s="1"/>
  <c r="J48" i="3"/>
  <c r="J50" i="3" s="1"/>
  <c r="J10" i="3" s="1"/>
  <c r="BC50" i="3"/>
  <c r="BC10" i="3" s="1"/>
  <c r="BE44" i="3"/>
  <c r="BD44" i="3"/>
  <c r="BD46" i="3" s="1"/>
  <c r="BD9" i="3" s="1"/>
  <c r="BC44" i="3"/>
  <c r="BC46" i="3" s="1"/>
  <c r="BC9" i="3" s="1"/>
  <c r="BB44" i="3"/>
  <c r="BB46" i="3" s="1"/>
  <c r="BB9" i="3" s="1"/>
  <c r="BA44" i="3"/>
  <c r="BA46" i="3" s="1"/>
  <c r="BA9" i="3" s="1"/>
  <c r="AZ44" i="3"/>
  <c r="AZ46" i="3" s="1"/>
  <c r="AZ9" i="3" s="1"/>
  <c r="AY44" i="3"/>
  <c r="AY46" i="3" s="1"/>
  <c r="AY9" i="3" s="1"/>
  <c r="AX44" i="3"/>
  <c r="AX46" i="3" s="1"/>
  <c r="AX9" i="3" s="1"/>
  <c r="AW44" i="3"/>
  <c r="AW46" i="3" s="1"/>
  <c r="AW9" i="3" s="1"/>
  <c r="AV44" i="3"/>
  <c r="AV46" i="3" s="1"/>
  <c r="AV9" i="3" s="1"/>
  <c r="AU44" i="3"/>
  <c r="AU46" i="3" s="1"/>
  <c r="AU9" i="3" s="1"/>
  <c r="AT44" i="3"/>
  <c r="AT46" i="3" s="1"/>
  <c r="AT9" i="3" s="1"/>
  <c r="AS44" i="3"/>
  <c r="AS46" i="3" s="1"/>
  <c r="AS9" i="3" s="1"/>
  <c r="AR44" i="3"/>
  <c r="AR46" i="3" s="1"/>
  <c r="AR9" i="3" s="1"/>
  <c r="AQ44" i="3"/>
  <c r="AQ46" i="3" s="1"/>
  <c r="AQ9" i="3" s="1"/>
  <c r="AP44" i="3"/>
  <c r="AP46" i="3" s="1"/>
  <c r="AP9" i="3" s="1"/>
  <c r="AO44" i="3"/>
  <c r="AO46" i="3" s="1"/>
  <c r="AO9" i="3" s="1"/>
  <c r="AN44" i="3"/>
  <c r="AN46" i="3" s="1"/>
  <c r="AN9" i="3" s="1"/>
  <c r="AM44" i="3"/>
  <c r="AM46" i="3" s="1"/>
  <c r="AM9" i="3" s="1"/>
  <c r="AL44" i="3"/>
  <c r="AL46" i="3" s="1"/>
  <c r="AL9" i="3" s="1"/>
  <c r="AK44" i="3"/>
  <c r="AK46" i="3" s="1"/>
  <c r="AK9" i="3" s="1"/>
  <c r="AJ44" i="3"/>
  <c r="AJ46" i="3" s="1"/>
  <c r="AJ9" i="3" s="1"/>
  <c r="AI44" i="3"/>
  <c r="AI46" i="3" s="1"/>
  <c r="AI9" i="3" s="1"/>
  <c r="AH44" i="3"/>
  <c r="AH46" i="3" s="1"/>
  <c r="AH9" i="3" s="1"/>
  <c r="AG44" i="3"/>
  <c r="AG46" i="3" s="1"/>
  <c r="AG9" i="3" s="1"/>
  <c r="AF44" i="3"/>
  <c r="AF46" i="3" s="1"/>
  <c r="AF9" i="3" s="1"/>
  <c r="AE44" i="3"/>
  <c r="AE46" i="3" s="1"/>
  <c r="AE9" i="3" s="1"/>
  <c r="AD44" i="3"/>
  <c r="AD46" i="3" s="1"/>
  <c r="AD9" i="3" s="1"/>
  <c r="AC44" i="3"/>
  <c r="AC46" i="3" s="1"/>
  <c r="AC9" i="3" s="1"/>
  <c r="AB44" i="3"/>
  <c r="AB46" i="3" s="1"/>
  <c r="AB9" i="3" s="1"/>
  <c r="AA44" i="3"/>
  <c r="AA46" i="3" s="1"/>
  <c r="AA9" i="3" s="1"/>
  <c r="Z44" i="3"/>
  <c r="Z46" i="3" s="1"/>
  <c r="Z9" i="3" s="1"/>
  <c r="Y44" i="3"/>
  <c r="Y46" i="3" s="1"/>
  <c r="Y9" i="3" s="1"/>
  <c r="X44" i="3"/>
  <c r="X46" i="3" s="1"/>
  <c r="X9" i="3" s="1"/>
  <c r="W44" i="3"/>
  <c r="W46" i="3" s="1"/>
  <c r="W9" i="3" s="1"/>
  <c r="V44" i="3"/>
  <c r="V46" i="3" s="1"/>
  <c r="V9" i="3" s="1"/>
  <c r="U44" i="3"/>
  <c r="U46" i="3" s="1"/>
  <c r="U9" i="3" s="1"/>
  <c r="T44" i="3"/>
  <c r="T46" i="3" s="1"/>
  <c r="T9" i="3" s="1"/>
  <c r="S44" i="3"/>
  <c r="S46" i="3" s="1"/>
  <c r="S9" i="3" s="1"/>
  <c r="R44" i="3"/>
  <c r="R46" i="3" s="1"/>
  <c r="R9" i="3" s="1"/>
  <c r="Q46" i="3"/>
  <c r="Q9" i="3" s="1"/>
  <c r="P44" i="3"/>
  <c r="P46" i="3" s="1"/>
  <c r="P9" i="3" s="1"/>
  <c r="O46" i="3"/>
  <c r="O9" i="3" s="1"/>
  <c r="N46" i="3"/>
  <c r="N9" i="3" s="1"/>
  <c r="M46" i="3"/>
  <c r="M9" i="3" s="1"/>
  <c r="L46" i="3"/>
  <c r="L9" i="3" s="1"/>
  <c r="K46" i="3"/>
  <c r="K9" i="3"/>
  <c r="J46" i="3"/>
  <c r="J9" i="3"/>
  <c r="BE46" i="3"/>
  <c r="BE9" i="3" s="1"/>
  <c r="BE40" i="3"/>
  <c r="BE42" i="3" s="1"/>
  <c r="BE8" i="3" s="1"/>
  <c r="BD40" i="3"/>
  <c r="BD42" i="3" s="1"/>
  <c r="BD8" i="3" s="1"/>
  <c r="BC40" i="3"/>
  <c r="BC42" i="3" s="1"/>
  <c r="BC8" i="3" s="1"/>
  <c r="BB40" i="3"/>
  <c r="BB42" i="3" s="1"/>
  <c r="BB8" i="3" s="1"/>
  <c r="BA40" i="3"/>
  <c r="BA42" i="3" s="1"/>
  <c r="BA8" i="3" s="1"/>
  <c r="AZ40" i="3"/>
  <c r="AZ42" i="3" s="1"/>
  <c r="AZ8" i="3" s="1"/>
  <c r="AY40" i="3"/>
  <c r="AY42" i="3" s="1"/>
  <c r="AY8" i="3" s="1"/>
  <c r="AX40" i="3"/>
  <c r="AX42" i="3" s="1"/>
  <c r="AX8" i="3" s="1"/>
  <c r="AW40" i="3"/>
  <c r="AW42" i="3" s="1"/>
  <c r="AW8" i="3" s="1"/>
  <c r="AV40" i="3"/>
  <c r="AV42" i="3" s="1"/>
  <c r="AV8" i="3" s="1"/>
  <c r="AU40" i="3"/>
  <c r="AU42" i="3" s="1"/>
  <c r="AU8" i="3" s="1"/>
  <c r="AT40" i="3"/>
  <c r="AT42" i="3" s="1"/>
  <c r="AT8" i="3" s="1"/>
  <c r="AS40" i="3"/>
  <c r="AS42" i="3" s="1"/>
  <c r="AS8" i="3" s="1"/>
  <c r="AR40" i="3"/>
  <c r="AR42" i="3" s="1"/>
  <c r="AR8" i="3" s="1"/>
  <c r="AQ40" i="3"/>
  <c r="AQ42" i="3" s="1"/>
  <c r="AQ8" i="3" s="1"/>
  <c r="AP40" i="3"/>
  <c r="AP42" i="3" s="1"/>
  <c r="AP8" i="3" s="1"/>
  <c r="AO40" i="3"/>
  <c r="AO42" i="3" s="1"/>
  <c r="AO8" i="3" s="1"/>
  <c r="AN40" i="3"/>
  <c r="AN42" i="3" s="1"/>
  <c r="AN8" i="3" s="1"/>
  <c r="AM40" i="3"/>
  <c r="AM42" i="3" s="1"/>
  <c r="AM8" i="3" s="1"/>
  <c r="AL40" i="3"/>
  <c r="AL42" i="3" s="1"/>
  <c r="AL8" i="3" s="1"/>
  <c r="AK40" i="3"/>
  <c r="AK42" i="3" s="1"/>
  <c r="AK8" i="3" s="1"/>
  <c r="AJ40" i="3"/>
  <c r="AJ42" i="3" s="1"/>
  <c r="AJ8" i="3" s="1"/>
  <c r="AI40" i="3"/>
  <c r="AI42" i="3" s="1"/>
  <c r="AI8" i="3" s="1"/>
  <c r="AH40" i="3"/>
  <c r="AH42" i="3" s="1"/>
  <c r="AH8" i="3" s="1"/>
  <c r="AG40" i="3"/>
  <c r="AG42" i="3" s="1"/>
  <c r="AG8" i="3" s="1"/>
  <c r="AF40" i="3"/>
  <c r="AF42" i="3" s="1"/>
  <c r="AF8" i="3" s="1"/>
  <c r="AE40" i="3"/>
  <c r="AE42" i="3" s="1"/>
  <c r="AE8" i="3" s="1"/>
  <c r="AD40" i="3"/>
  <c r="AD42" i="3" s="1"/>
  <c r="AD8" i="3" s="1"/>
  <c r="AC40" i="3"/>
  <c r="AC42" i="3" s="1"/>
  <c r="AC8" i="3" s="1"/>
  <c r="AB40" i="3"/>
  <c r="AB42" i="3" s="1"/>
  <c r="AB8" i="3" s="1"/>
  <c r="AA40" i="3"/>
  <c r="AA42" i="3" s="1"/>
  <c r="AA8" i="3" s="1"/>
  <c r="Z40" i="3"/>
  <c r="Z42" i="3" s="1"/>
  <c r="Z8" i="3" s="1"/>
  <c r="Y40" i="3"/>
  <c r="Y42" i="3" s="1"/>
  <c r="Y8" i="3" s="1"/>
  <c r="X40" i="3"/>
  <c r="X42" i="3" s="1"/>
  <c r="X8" i="3" s="1"/>
  <c r="W40" i="3"/>
  <c r="W42" i="3" s="1"/>
  <c r="W8" i="3" s="1"/>
  <c r="V40" i="3"/>
  <c r="V42" i="3" s="1"/>
  <c r="V8" i="3" s="1"/>
  <c r="U40" i="3"/>
  <c r="U42" i="3" s="1"/>
  <c r="U8" i="3" s="1"/>
  <c r="T40" i="3"/>
  <c r="T42" i="3" s="1"/>
  <c r="T8" i="3" s="1"/>
  <c r="S40" i="3"/>
  <c r="S42" i="3" s="1"/>
  <c r="S8" i="3" s="1"/>
  <c r="R42" i="3"/>
  <c r="R8" i="3" s="1"/>
  <c r="Q42" i="3"/>
  <c r="Q8" i="3" s="1"/>
  <c r="P42" i="3"/>
  <c r="P8" i="3" s="1"/>
  <c r="M42" i="3"/>
  <c r="M8" i="3" s="1"/>
  <c r="L42" i="3"/>
  <c r="L8" i="3"/>
  <c r="K42" i="3"/>
  <c r="K8" i="3" s="1"/>
  <c r="J42" i="3"/>
  <c r="J8" i="3" s="1"/>
  <c r="B8" i="3"/>
  <c r="BE36" i="3"/>
  <c r="BE38" i="3" s="1"/>
  <c r="BD36" i="3"/>
  <c r="BC36" i="3"/>
  <c r="BB36" i="3"/>
  <c r="BA36" i="3"/>
  <c r="BA38" i="3" s="1"/>
  <c r="BA7" i="3" s="1"/>
  <c r="AZ36" i="3"/>
  <c r="AY36" i="3"/>
  <c r="AX36" i="3"/>
  <c r="AW36" i="3"/>
  <c r="AW38" i="3" s="1"/>
  <c r="AW7" i="3" s="1"/>
  <c r="AV36" i="3"/>
  <c r="AU36" i="3"/>
  <c r="AT36" i="3"/>
  <c r="AS36" i="3"/>
  <c r="AS38" i="3" s="1"/>
  <c r="AS7" i="3" s="1"/>
  <c r="AR36" i="3"/>
  <c r="AQ36" i="3"/>
  <c r="AP36" i="3"/>
  <c r="AO36" i="3"/>
  <c r="AN36" i="3"/>
  <c r="AM36" i="3"/>
  <c r="AL36" i="3"/>
  <c r="AK36" i="3"/>
  <c r="AK38" i="3" s="1"/>
  <c r="AK7" i="3" s="1"/>
  <c r="AJ36" i="3"/>
  <c r="AI36" i="3"/>
  <c r="AH36" i="3"/>
  <c r="AG36" i="3"/>
  <c r="AF36" i="3"/>
  <c r="AE36" i="3"/>
  <c r="AD36" i="3"/>
  <c r="AD38" i="3" s="1"/>
  <c r="AD7" i="3" s="1"/>
  <c r="AC36" i="3"/>
  <c r="AB36" i="3"/>
  <c r="AA36" i="3"/>
  <c r="Z36" i="3"/>
  <c r="Y36" i="3"/>
  <c r="Y38" i="3" s="1"/>
  <c r="Y7" i="3" s="1"/>
  <c r="X36" i="3"/>
  <c r="W36" i="3"/>
  <c r="V36" i="3"/>
  <c r="V38" i="3" s="1"/>
  <c r="V7" i="3" s="1"/>
  <c r="U36" i="3"/>
  <c r="T36" i="3"/>
  <c r="S36" i="3"/>
  <c r="R36" i="3"/>
  <c r="R38" i="3" s="1"/>
  <c r="R7" i="3" s="1"/>
  <c r="B7" i="3"/>
  <c r="K45" i="2"/>
  <c r="L45" i="2" s="1"/>
  <c r="K41" i="2"/>
  <c r="K86" i="3" s="1"/>
  <c r="K88" i="3" s="1"/>
  <c r="K25" i="3" s="1"/>
  <c r="K37" i="2"/>
  <c r="K87" i="4" s="1"/>
  <c r="K89" i="4" s="1"/>
  <c r="K13" i="4" s="1"/>
  <c r="K33" i="2"/>
  <c r="K7" i="12" s="1"/>
  <c r="BE74" i="5"/>
  <c r="BD74" i="5"/>
  <c r="BC74" i="5"/>
  <c r="BB74" i="5"/>
  <c r="BA74" i="5"/>
  <c r="AZ74" i="5"/>
  <c r="AY74" i="5"/>
  <c r="AX74" i="5"/>
  <c r="AW74" i="5"/>
  <c r="AV74" i="5"/>
  <c r="AU74" i="5"/>
  <c r="AT74" i="5"/>
  <c r="AS74" i="5"/>
  <c r="AR74" i="5"/>
  <c r="AQ74" i="5"/>
  <c r="AP74" i="5"/>
  <c r="AO74" i="5"/>
  <c r="AN74" i="5"/>
  <c r="AM74" i="5"/>
  <c r="AL74" i="5"/>
  <c r="AK74" i="5"/>
  <c r="AJ74" i="5"/>
  <c r="AI74" i="5"/>
  <c r="AH74" i="5"/>
  <c r="AG74" i="5"/>
  <c r="AF74" i="5"/>
  <c r="AE74" i="5"/>
  <c r="AD74" i="5"/>
  <c r="AC74" i="5"/>
  <c r="AB74" i="5"/>
  <c r="AA74" i="5"/>
  <c r="Z74" i="5"/>
  <c r="Y74" i="5"/>
  <c r="X74" i="5"/>
  <c r="W74" i="5"/>
  <c r="V74" i="5"/>
  <c r="U74" i="5"/>
  <c r="T74" i="5"/>
  <c r="S74" i="5"/>
  <c r="R74" i="5"/>
  <c r="Q74" i="5"/>
  <c r="P74" i="5"/>
  <c r="O74" i="5"/>
  <c r="N74" i="5"/>
  <c r="M74" i="5"/>
  <c r="L74" i="5"/>
  <c r="K74" i="5"/>
  <c r="BE69" i="5"/>
  <c r="BD69" i="5"/>
  <c r="BC69" i="5"/>
  <c r="BB69" i="5"/>
  <c r="BA69" i="5"/>
  <c r="AZ69" i="5"/>
  <c r="AY69" i="5"/>
  <c r="AX69" i="5"/>
  <c r="AW69" i="5"/>
  <c r="AV69" i="5"/>
  <c r="AU69" i="5"/>
  <c r="AT69" i="5"/>
  <c r="AS69" i="5"/>
  <c r="AR69" i="5"/>
  <c r="AQ69" i="5"/>
  <c r="AP69" i="5"/>
  <c r="AO69" i="5"/>
  <c r="AN69" i="5"/>
  <c r="AM69" i="5"/>
  <c r="AL69" i="5"/>
  <c r="AK69" i="5"/>
  <c r="AJ69" i="5"/>
  <c r="AI69" i="5"/>
  <c r="AH69" i="5"/>
  <c r="AG69" i="5"/>
  <c r="AF69" i="5"/>
  <c r="AE69" i="5"/>
  <c r="AD69" i="5"/>
  <c r="AC69" i="5"/>
  <c r="AB69" i="5"/>
  <c r="AA69" i="5"/>
  <c r="Z69" i="5"/>
  <c r="Y69" i="5"/>
  <c r="X69" i="5"/>
  <c r="W69" i="5"/>
  <c r="V69" i="5"/>
  <c r="U69" i="5"/>
  <c r="T69" i="5"/>
  <c r="S69" i="5"/>
  <c r="R69" i="5"/>
  <c r="Q69" i="5"/>
  <c r="P69" i="5"/>
  <c r="O69" i="5"/>
  <c r="N69" i="5"/>
  <c r="M69" i="5"/>
  <c r="L69" i="5"/>
  <c r="K69" i="5"/>
  <c r="J74" i="5"/>
  <c r="J72" i="5"/>
  <c r="J69" i="5"/>
  <c r="J67" i="5"/>
  <c r="J56" i="5"/>
  <c r="K53" i="5" s="1"/>
  <c r="K56" i="5" s="1"/>
  <c r="J59" i="5"/>
  <c r="J61" i="5" s="1"/>
  <c r="J42" i="5"/>
  <c r="K39" i="5" s="1"/>
  <c r="K42" i="5" s="1"/>
  <c r="J12" i="5"/>
  <c r="K9" i="5" s="1"/>
  <c r="K12" i="5"/>
  <c r="L9" i="5" s="1"/>
  <c r="L12" i="5" s="1"/>
  <c r="K15" i="5"/>
  <c r="J15" i="5"/>
  <c r="J17" i="5" s="1"/>
  <c r="K14" i="5" s="1"/>
  <c r="AY67" i="10"/>
  <c r="AY68" i="10"/>
  <c r="AY69" i="10"/>
  <c r="AY70" i="10"/>
  <c r="AY71" i="10"/>
  <c r="AY72"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I64" i="10"/>
  <c r="AJ64" i="10"/>
  <c r="AK64" i="10"/>
  <c r="AL64" i="10"/>
  <c r="AM64" i="10"/>
  <c r="AN64" i="10"/>
  <c r="AO64" i="10"/>
  <c r="AP64" i="10"/>
  <c r="AQ64" i="10"/>
  <c r="AR64" i="10"/>
  <c r="AS64" i="10"/>
  <c r="AT64" i="10"/>
  <c r="AU64" i="10"/>
  <c r="AV64" i="10"/>
  <c r="AW64" i="10"/>
  <c r="AX64" i="10"/>
  <c r="AY64" i="10"/>
  <c r="AZ64" i="10"/>
  <c r="BA64" i="10"/>
  <c r="BB64" i="10"/>
  <c r="BC64" i="10"/>
  <c r="BD64" i="10"/>
  <c r="BE64" i="10"/>
  <c r="P67" i="10"/>
  <c r="Q67" i="10"/>
  <c r="R67" i="10"/>
  <c r="S67" i="10"/>
  <c r="S73" i="10" s="1"/>
  <c r="S77" i="10" s="1"/>
  <c r="T67" i="10"/>
  <c r="U67" i="10"/>
  <c r="V67" i="10"/>
  <c r="W67" i="10"/>
  <c r="X67" i="10"/>
  <c r="Y67" i="10"/>
  <c r="Z67" i="10"/>
  <c r="AA67" i="10"/>
  <c r="AB67" i="10"/>
  <c r="AC67" i="10"/>
  <c r="AD67" i="10"/>
  <c r="AE67" i="10"/>
  <c r="AF67" i="10"/>
  <c r="AG67" i="10"/>
  <c r="AH67" i="10"/>
  <c r="AI67" i="10"/>
  <c r="AI73" i="10" s="1"/>
  <c r="AI77" i="10" s="1"/>
  <c r="AJ67" i="10"/>
  <c r="AK67" i="10"/>
  <c r="AL67" i="10"/>
  <c r="AM67" i="10"/>
  <c r="AN67" i="10"/>
  <c r="AO67" i="10"/>
  <c r="AP67" i="10"/>
  <c r="AQ67" i="10"/>
  <c r="AQ73" i="10" s="1"/>
  <c r="AQ77" i="10" s="1"/>
  <c r="AR67" i="10"/>
  <c r="AS67" i="10"/>
  <c r="AT67" i="10"/>
  <c r="AU67" i="10"/>
  <c r="AV67" i="10"/>
  <c r="AW67" i="10"/>
  <c r="AX67" i="10"/>
  <c r="AZ67" i="10"/>
  <c r="BA67" i="10"/>
  <c r="BB67" i="10"/>
  <c r="BC67" i="10"/>
  <c r="BD67" i="10"/>
  <c r="BE67" i="10"/>
  <c r="J68" i="10"/>
  <c r="J73" i="10" s="1"/>
  <c r="J69" i="10"/>
  <c r="J70" i="10"/>
  <c r="J71" i="10"/>
  <c r="J72" i="10"/>
  <c r="K68" i="10"/>
  <c r="L68" i="10"/>
  <c r="M68" i="10"/>
  <c r="N68" i="10"/>
  <c r="O68" i="10"/>
  <c r="P68" i="10"/>
  <c r="Q68" i="10"/>
  <c r="R68" i="10"/>
  <c r="R69" i="10"/>
  <c r="R70" i="10"/>
  <c r="R71" i="10"/>
  <c r="R72" i="10"/>
  <c r="R73" i="10"/>
  <c r="R76" i="10" s="1"/>
  <c r="S68" i="10"/>
  <c r="S69" i="10"/>
  <c r="S70" i="10"/>
  <c r="S71" i="10"/>
  <c r="S72" i="10"/>
  <c r="T68" i="10"/>
  <c r="U68" i="10"/>
  <c r="V68" i="10"/>
  <c r="W68" i="10"/>
  <c r="X68" i="10"/>
  <c r="Y68" i="10"/>
  <c r="Z68" i="10"/>
  <c r="Z69" i="10"/>
  <c r="Z73" i="10" s="1"/>
  <c r="Z76" i="10" s="1"/>
  <c r="Z70" i="10"/>
  <c r="Z71" i="10"/>
  <c r="Z72" i="10"/>
  <c r="AA68" i="10"/>
  <c r="AB68" i="10"/>
  <c r="AC68" i="10"/>
  <c r="AD68" i="10"/>
  <c r="AE68" i="10"/>
  <c r="AF68" i="10"/>
  <c r="AG68" i="10"/>
  <c r="AH68" i="10"/>
  <c r="AH69" i="10"/>
  <c r="AH70" i="10"/>
  <c r="AH71" i="10"/>
  <c r="AH73" i="10" s="1"/>
  <c r="AH76" i="10" s="1"/>
  <c r="AH72" i="10"/>
  <c r="AI68" i="10"/>
  <c r="AI69" i="10"/>
  <c r="AI70" i="10"/>
  <c r="AI71" i="10"/>
  <c r="AI72" i="10"/>
  <c r="AJ68" i="10"/>
  <c r="AK68" i="10"/>
  <c r="AL68" i="10"/>
  <c r="AM68" i="10"/>
  <c r="AN68" i="10"/>
  <c r="AO68" i="10"/>
  <c r="AP68" i="10"/>
  <c r="AP73" i="10" s="1"/>
  <c r="AP76" i="10" s="1"/>
  <c r="AP69" i="10"/>
  <c r="AP70" i="10"/>
  <c r="AP71" i="10"/>
  <c r="AP72" i="10"/>
  <c r="AQ68" i="10"/>
  <c r="AQ69" i="10"/>
  <c r="AQ70" i="10"/>
  <c r="AQ71" i="10"/>
  <c r="AQ72" i="10"/>
  <c r="AR68" i="10"/>
  <c r="AS68" i="10"/>
  <c r="AT68" i="10"/>
  <c r="AU68" i="10"/>
  <c r="AV68" i="10"/>
  <c r="AW68" i="10"/>
  <c r="AX68" i="10"/>
  <c r="AX69" i="10"/>
  <c r="AX70" i="10"/>
  <c r="AX71" i="10"/>
  <c r="AX73" i="10" s="1"/>
  <c r="AX76" i="10" s="1"/>
  <c r="AX72" i="10"/>
  <c r="AZ68" i="10"/>
  <c r="BA68" i="10"/>
  <c r="BB68" i="10"/>
  <c r="BC68" i="10"/>
  <c r="BD68" i="10"/>
  <c r="BE68" i="10"/>
  <c r="B69" i="10"/>
  <c r="K69" i="10"/>
  <c r="L69" i="10"/>
  <c r="M69" i="10"/>
  <c r="N69" i="10"/>
  <c r="O69" i="10"/>
  <c r="P69" i="10"/>
  <c r="Q69" i="10"/>
  <c r="T69" i="10"/>
  <c r="U69" i="10"/>
  <c r="V69" i="10"/>
  <c r="W69" i="10"/>
  <c r="X69" i="10"/>
  <c r="Y69" i="10"/>
  <c r="AA69" i="10"/>
  <c r="AB69" i="10"/>
  <c r="AC69" i="10"/>
  <c r="AD69" i="10"/>
  <c r="AE69" i="10"/>
  <c r="AF69" i="10"/>
  <c r="AG69" i="10"/>
  <c r="AJ69" i="10"/>
  <c r="AK69" i="10"/>
  <c r="AL69" i="10"/>
  <c r="AM69" i="10"/>
  <c r="AN69" i="10"/>
  <c r="AO69" i="10"/>
  <c r="AR69" i="10"/>
  <c r="AS69" i="10"/>
  <c r="AT69" i="10"/>
  <c r="AU69" i="10"/>
  <c r="AV69" i="10"/>
  <c r="AW69" i="10"/>
  <c r="AZ69" i="10"/>
  <c r="BA69" i="10"/>
  <c r="BB69" i="10"/>
  <c r="BC69" i="10"/>
  <c r="BD69" i="10"/>
  <c r="BE69" i="10"/>
  <c r="B70" i="10"/>
  <c r="K70" i="10"/>
  <c r="L70" i="10"/>
  <c r="M70" i="10"/>
  <c r="N70" i="10"/>
  <c r="O70" i="10"/>
  <c r="P70" i="10"/>
  <c r="Q70" i="10"/>
  <c r="T70" i="10"/>
  <c r="U70" i="10"/>
  <c r="V70" i="10"/>
  <c r="W70" i="10"/>
  <c r="X70" i="10"/>
  <c r="Y70" i="10"/>
  <c r="AA70" i="10"/>
  <c r="AB70" i="10"/>
  <c r="AC70" i="10"/>
  <c r="AD70" i="10"/>
  <c r="AE70" i="10"/>
  <c r="AF70" i="10"/>
  <c r="AG70" i="10"/>
  <c r="AJ70" i="10"/>
  <c r="AK70" i="10"/>
  <c r="AL70" i="10"/>
  <c r="AM70" i="10"/>
  <c r="AN70" i="10"/>
  <c r="AO70" i="10"/>
  <c r="AR70" i="10"/>
  <c r="AS70" i="10"/>
  <c r="AT70" i="10"/>
  <c r="AU70" i="10"/>
  <c r="AV70" i="10"/>
  <c r="AW70" i="10"/>
  <c r="AZ70" i="10"/>
  <c r="BA70" i="10"/>
  <c r="BB70" i="10"/>
  <c r="BC70" i="10"/>
  <c r="BD70" i="10"/>
  <c r="BE70" i="10"/>
  <c r="B71" i="10"/>
  <c r="K71" i="10"/>
  <c r="L71" i="10"/>
  <c r="M71" i="10"/>
  <c r="N71" i="10"/>
  <c r="O71" i="10"/>
  <c r="P71" i="10"/>
  <c r="Q71" i="10"/>
  <c r="T71" i="10"/>
  <c r="U71" i="10"/>
  <c r="V71" i="10"/>
  <c r="W71" i="10"/>
  <c r="X71" i="10"/>
  <c r="Y71" i="10"/>
  <c r="AA71" i="10"/>
  <c r="AB71" i="10"/>
  <c r="AC71" i="10"/>
  <c r="AD71" i="10"/>
  <c r="AE71" i="10"/>
  <c r="AF71" i="10"/>
  <c r="AG71" i="10"/>
  <c r="AJ71" i="10"/>
  <c r="AK71" i="10"/>
  <c r="AL71" i="10"/>
  <c r="AM71" i="10"/>
  <c r="AN71" i="10"/>
  <c r="AO71" i="10"/>
  <c r="AR71" i="10"/>
  <c r="AS71" i="10"/>
  <c r="AT71" i="10"/>
  <c r="AU71" i="10"/>
  <c r="AV71" i="10"/>
  <c r="AW71" i="10"/>
  <c r="AZ71" i="10"/>
  <c r="BA71" i="10"/>
  <c r="BB71" i="10"/>
  <c r="BC71" i="10"/>
  <c r="BD71" i="10"/>
  <c r="BE71" i="10"/>
  <c r="B72" i="10"/>
  <c r="K72" i="10"/>
  <c r="L72" i="10"/>
  <c r="M72" i="10"/>
  <c r="N72" i="10"/>
  <c r="O72" i="10"/>
  <c r="P72" i="10"/>
  <c r="Q72" i="10"/>
  <c r="T72" i="10"/>
  <c r="U72" i="10"/>
  <c r="V72" i="10"/>
  <c r="W72" i="10"/>
  <c r="X72" i="10"/>
  <c r="Y72" i="10"/>
  <c r="AA72" i="10"/>
  <c r="AB72" i="10"/>
  <c r="AC72" i="10"/>
  <c r="AD72" i="10"/>
  <c r="AE72" i="10"/>
  <c r="AF72" i="10"/>
  <c r="AG72" i="10"/>
  <c r="AJ72" i="10"/>
  <c r="AK72" i="10"/>
  <c r="AL72" i="10"/>
  <c r="AM72" i="10"/>
  <c r="AN72" i="10"/>
  <c r="AO72" i="10"/>
  <c r="AR72" i="10"/>
  <c r="AS72" i="10"/>
  <c r="AT72" i="10"/>
  <c r="AU72" i="10"/>
  <c r="AV72" i="10"/>
  <c r="AW72" i="10"/>
  <c r="AZ72" i="10"/>
  <c r="BA72" i="10"/>
  <c r="BB72" i="10"/>
  <c r="BC72" i="10"/>
  <c r="BD72" i="10"/>
  <c r="BE72" i="10"/>
  <c r="O46" i="10"/>
  <c r="N46" i="10"/>
  <c r="M46" i="10"/>
  <c r="K46" i="10"/>
  <c r="J46" i="10"/>
  <c r="B46" i="10"/>
  <c r="O45" i="10"/>
  <c r="N45" i="10"/>
  <c r="M45" i="10"/>
  <c r="K45" i="10"/>
  <c r="J45" i="10"/>
  <c r="B45" i="10"/>
  <c r="O44" i="10"/>
  <c r="N44" i="10"/>
  <c r="M44" i="10"/>
  <c r="K44" i="10"/>
  <c r="J44" i="10"/>
  <c r="B44" i="10"/>
  <c r="O43" i="10"/>
  <c r="N43" i="10"/>
  <c r="M43" i="10"/>
  <c r="K43" i="10"/>
  <c r="J43" i="10"/>
  <c r="O42" i="10"/>
  <c r="N42" i="10"/>
  <c r="M42" i="10"/>
  <c r="K42" i="10"/>
  <c r="J42" i="10"/>
  <c r="M47" i="10"/>
  <c r="M25" i="9"/>
  <c r="L24" i="9"/>
  <c r="K24" i="9"/>
  <c r="BE38" i="10"/>
  <c r="BD38" i="10"/>
  <c r="BC38" i="10"/>
  <c r="BB38" i="10"/>
  <c r="BA38" i="10"/>
  <c r="AZ38" i="10"/>
  <c r="AY38" i="10"/>
  <c r="AX38" i="10"/>
  <c r="AW38" i="10"/>
  <c r="AV38" i="10"/>
  <c r="AU38" i="10"/>
  <c r="AT38" i="10"/>
  <c r="AS38" i="10"/>
  <c r="AR38" i="10"/>
  <c r="AQ38" i="10"/>
  <c r="AP38" i="10"/>
  <c r="AO38" i="10"/>
  <c r="AN38" i="10"/>
  <c r="AM38" i="10"/>
  <c r="AL38" i="10"/>
  <c r="AK38" i="10"/>
  <c r="AJ38" i="10"/>
  <c r="AI38" i="10"/>
  <c r="AH38" i="10"/>
  <c r="AG38" i="10"/>
  <c r="AF38" i="10"/>
  <c r="AE38" i="10"/>
  <c r="AD38" i="10"/>
  <c r="AC38" i="10"/>
  <c r="AB38" i="10"/>
  <c r="AA38" i="10"/>
  <c r="Z38" i="10"/>
  <c r="Y38" i="10"/>
  <c r="X38" i="10"/>
  <c r="W38" i="10"/>
  <c r="V38" i="10"/>
  <c r="U38" i="10"/>
  <c r="T38" i="10"/>
  <c r="S38" i="10"/>
  <c r="R38" i="10"/>
  <c r="Q38" i="10"/>
  <c r="P38" i="10"/>
  <c r="O38" i="10"/>
  <c r="N38" i="10"/>
  <c r="M38" i="10"/>
  <c r="L38" i="10"/>
  <c r="K38" i="10"/>
  <c r="J38" i="10"/>
  <c r="O20" i="10"/>
  <c r="N20" i="10"/>
  <c r="M20" i="10"/>
  <c r="L20" i="10"/>
  <c r="K20" i="10"/>
  <c r="O19" i="10"/>
  <c r="N19" i="10"/>
  <c r="M19" i="10"/>
  <c r="L19" i="10"/>
  <c r="K19" i="10"/>
  <c r="O18" i="10"/>
  <c r="N18" i="10"/>
  <c r="M18" i="10"/>
  <c r="L18" i="10"/>
  <c r="K18" i="10"/>
  <c r="O17" i="10"/>
  <c r="N17" i="10"/>
  <c r="M17" i="10"/>
  <c r="L17" i="10"/>
  <c r="L21" i="10" s="1"/>
  <c r="K17" i="10"/>
  <c r="O16" i="10"/>
  <c r="N16" i="10"/>
  <c r="M16" i="10"/>
  <c r="L16" i="10"/>
  <c r="K16" i="10"/>
  <c r="K15" i="10"/>
  <c r="O15" i="10"/>
  <c r="N15" i="10"/>
  <c r="N21" i="10"/>
  <c r="N14" i="9" s="1"/>
  <c r="M15" i="10"/>
  <c r="L15" i="10"/>
  <c r="J20" i="10"/>
  <c r="J19" i="10"/>
  <c r="J18" i="10"/>
  <c r="J17" i="10"/>
  <c r="J16" i="10"/>
  <c r="J15" i="10"/>
  <c r="BE12" i="10"/>
  <c r="BD12" i="10"/>
  <c r="BC12" i="10"/>
  <c r="BB12" i="10"/>
  <c r="BA12" i="10"/>
  <c r="AZ12" i="10"/>
  <c r="AY12" i="10"/>
  <c r="AX12" i="10"/>
  <c r="AW12" i="10"/>
  <c r="AV12" i="10"/>
  <c r="AU12" i="10"/>
  <c r="AT12" i="10"/>
  <c r="AS12" i="10"/>
  <c r="AR12" i="10"/>
  <c r="AQ12" i="10"/>
  <c r="AP12" i="10"/>
  <c r="AO12" i="10"/>
  <c r="AN12" i="10"/>
  <c r="AM12" i="10"/>
  <c r="AL12" i="10"/>
  <c r="AK12" i="10"/>
  <c r="AJ12" i="10"/>
  <c r="AI12" i="10"/>
  <c r="AH12" i="10"/>
  <c r="AG12" i="10"/>
  <c r="AF12" i="10"/>
  <c r="AE12" i="10"/>
  <c r="AD12" i="10"/>
  <c r="AC12" i="10"/>
  <c r="AB12" i="10"/>
  <c r="AA12" i="10"/>
  <c r="Z12" i="10"/>
  <c r="Y12" i="10"/>
  <c r="X12" i="10"/>
  <c r="W12" i="10"/>
  <c r="V12" i="10"/>
  <c r="U12" i="10"/>
  <c r="T12" i="10"/>
  <c r="S12" i="10"/>
  <c r="R12" i="10"/>
  <c r="Q12" i="10"/>
  <c r="P12" i="10"/>
  <c r="O12" i="10"/>
  <c r="N12" i="10"/>
  <c r="M12" i="10"/>
  <c r="L12" i="10"/>
  <c r="K12" i="10"/>
  <c r="J12" i="10"/>
  <c r="B20" i="10"/>
  <c r="B19" i="10"/>
  <c r="B18" i="10"/>
  <c r="B17" i="10"/>
  <c r="B16" i="10"/>
  <c r="B15" i="10"/>
  <c r="K2" i="1"/>
  <c r="K2" i="12" s="1"/>
  <c r="J2" i="10"/>
  <c r="V79" i="6"/>
  <c r="V81" i="6"/>
  <c r="T95" i="9"/>
  <c r="S95" i="9"/>
  <c r="R95" i="9"/>
  <c r="Q95" i="9"/>
  <c r="P95" i="9"/>
  <c r="O95" i="9"/>
  <c r="N95" i="9"/>
  <c r="M95" i="9"/>
  <c r="L95" i="9"/>
  <c r="K95" i="9"/>
  <c r="J95" i="9"/>
  <c r="BD93" i="9"/>
  <c r="BC93" i="9"/>
  <c r="BB93" i="9"/>
  <c r="BA93" i="9"/>
  <c r="AZ93" i="9"/>
  <c r="AY93" i="9"/>
  <c r="AX93" i="9"/>
  <c r="AW93" i="9"/>
  <c r="AV93" i="9"/>
  <c r="AU93" i="9"/>
  <c r="AT93" i="9"/>
  <c r="AR93" i="9"/>
  <c r="AQ93" i="9"/>
  <c r="AP93" i="9"/>
  <c r="AO93" i="9"/>
  <c r="AN93" i="9"/>
  <c r="AM93" i="9"/>
  <c r="AL93" i="9"/>
  <c r="AK93" i="9"/>
  <c r="AJ93" i="9"/>
  <c r="AI93" i="9"/>
  <c r="AH93" i="9"/>
  <c r="AF93" i="9"/>
  <c r="AE93" i="9"/>
  <c r="AD93" i="9"/>
  <c r="AC93" i="9"/>
  <c r="AB93" i="9"/>
  <c r="AA93" i="9"/>
  <c r="Z93" i="9"/>
  <c r="Y93" i="9"/>
  <c r="X93" i="9"/>
  <c r="W93" i="9"/>
  <c r="V93" i="9"/>
  <c r="T93" i="9"/>
  <c r="S93" i="9"/>
  <c r="R93" i="9"/>
  <c r="Q93" i="9"/>
  <c r="P93" i="9"/>
  <c r="O93" i="9"/>
  <c r="N93" i="9"/>
  <c r="M93" i="9"/>
  <c r="L93" i="9"/>
  <c r="K93" i="9"/>
  <c r="J93" i="9"/>
  <c r="J75" i="6"/>
  <c r="K73" i="6" s="1"/>
  <c r="K75" i="6" s="1"/>
  <c r="L73" i="6" s="1"/>
  <c r="L75" i="6" s="1"/>
  <c r="J84" i="9"/>
  <c r="J43" i="6"/>
  <c r="K41" i="6" s="1"/>
  <c r="K43" i="6" s="1"/>
  <c r="J23" i="6"/>
  <c r="K21" i="6" s="1"/>
  <c r="K23" i="6" s="1"/>
  <c r="L21" i="6" s="1"/>
  <c r="L23" i="6"/>
  <c r="J18" i="6"/>
  <c r="K16" i="6" s="1"/>
  <c r="K18" i="6" s="1"/>
  <c r="O21" i="10"/>
  <c r="O14" i="9" s="1"/>
  <c r="M23" i="9"/>
  <c r="AP86" i="5"/>
  <c r="AP88" i="5" s="1"/>
  <c r="AP26" i="5" s="1"/>
  <c r="AP68" i="5" s="1"/>
  <c r="J81" i="9"/>
  <c r="J72" i="3"/>
  <c r="J20" i="3" s="1"/>
  <c r="L84" i="4"/>
  <c r="L12" i="4" s="1"/>
  <c r="L76" i="3"/>
  <c r="L21" i="3" s="1"/>
  <c r="L72" i="3"/>
  <c r="L20" i="3" s="1"/>
  <c r="K74" i="4"/>
  <c r="K10" i="4" s="1"/>
  <c r="AI76" i="10"/>
  <c r="BD73" i="10"/>
  <c r="BD76" i="10" s="1"/>
  <c r="AF73" i="10"/>
  <c r="AF76" i="10" s="1"/>
  <c r="X73" i="10"/>
  <c r="X79" i="10" s="1"/>
  <c r="X76" i="10"/>
  <c r="P73" i="10"/>
  <c r="L73" i="10"/>
  <c r="AV73" i="10"/>
  <c r="AV76" i="10" s="1"/>
  <c r="AA73" i="10"/>
  <c r="AA77" i="10"/>
  <c r="K73" i="10"/>
  <c r="AN73" i="10"/>
  <c r="AN76" i="10"/>
  <c r="AN77" i="10"/>
  <c r="BE73" i="10"/>
  <c r="BE76" i="10"/>
  <c r="AW73" i="10"/>
  <c r="AW76" i="10" s="1"/>
  <c r="AO73" i="10"/>
  <c r="AO76" i="10"/>
  <c r="AG73" i="10"/>
  <c r="AG76" i="10"/>
  <c r="AG77" i="10"/>
  <c r="Y73" i="10"/>
  <c r="Y76" i="10" s="1"/>
  <c r="S76" i="10"/>
  <c r="S26" i="9" s="1"/>
  <c r="AF79" i="10"/>
  <c r="AN79" i="10"/>
  <c r="BD79" i="10"/>
  <c r="X78" i="10"/>
  <c r="AN78" i="10"/>
  <c r="AO79" i="10"/>
  <c r="BE79" i="10"/>
  <c r="AW78" i="10"/>
  <c r="BE78" i="10"/>
  <c r="R79" i="10"/>
  <c r="Z79" i="10"/>
  <c r="AH79" i="10"/>
  <c r="AH80" i="10" s="1"/>
  <c r="AH87" i="10" s="1"/>
  <c r="AP79" i="10"/>
  <c r="AX79" i="10"/>
  <c r="BE77" i="10"/>
  <c r="R78" i="10"/>
  <c r="Z78" i="10"/>
  <c r="AH78" i="10"/>
  <c r="AP78" i="10"/>
  <c r="AX78" i="10"/>
  <c r="S79" i="10"/>
  <c r="AI79" i="10"/>
  <c r="AQ79" i="10"/>
  <c r="R77" i="10"/>
  <c r="R26" i="9" s="1"/>
  <c r="Z77" i="10"/>
  <c r="Z26" i="9" s="1"/>
  <c r="AH77" i="10"/>
  <c r="AP77" i="10"/>
  <c r="AP26" i="9" s="1"/>
  <c r="AX77" i="10"/>
  <c r="AX26" i="9" s="1"/>
  <c r="S78" i="10"/>
  <c r="AI78" i="10"/>
  <c r="AQ78" i="10"/>
  <c r="AZ73" i="10"/>
  <c r="AR73" i="10"/>
  <c r="AJ73" i="10"/>
  <c r="AB73" i="10"/>
  <c r="T73" i="10"/>
  <c r="BA73" i="10"/>
  <c r="AS73" i="10"/>
  <c r="AK73" i="10"/>
  <c r="AC73" i="10"/>
  <c r="U73" i="10"/>
  <c r="M73" i="10"/>
  <c r="N24" i="9"/>
  <c r="M24" i="9"/>
  <c r="O47" i="10"/>
  <c r="O23" i="9" s="1"/>
  <c r="L25" i="9"/>
  <c r="O24" i="10"/>
  <c r="O15" i="9" s="1"/>
  <c r="AC26" i="10"/>
  <c r="N27" i="10"/>
  <c r="N24" i="10"/>
  <c r="N15" i="9" s="1"/>
  <c r="N25" i="10"/>
  <c r="N16" i="9" s="1"/>
  <c r="N26" i="10"/>
  <c r="O26" i="10"/>
  <c r="K72" i="3"/>
  <c r="K20" i="3" s="1"/>
  <c r="K17" i="5"/>
  <c r="L14" i="5" s="1"/>
  <c r="K58" i="5"/>
  <c r="J63" i="5"/>
  <c r="J19" i="5"/>
  <c r="J67" i="9" s="1"/>
  <c r="O73" i="10"/>
  <c r="BC73" i="10"/>
  <c r="AM73" i="10"/>
  <c r="AE73" i="10"/>
  <c r="BB73" i="10"/>
  <c r="AT73" i="10"/>
  <c r="AL73" i="10"/>
  <c r="AD73" i="10"/>
  <c r="V73" i="10"/>
  <c r="N73" i="10"/>
  <c r="AU73" i="10"/>
  <c r="W73" i="10"/>
  <c r="Q73" i="10"/>
  <c r="J47" i="10"/>
  <c r="J23" i="9" s="1"/>
  <c r="L41" i="6"/>
  <c r="L43" i="6" s="1"/>
  <c r="K81" i="9"/>
  <c r="K25" i="6"/>
  <c r="K73" i="9" s="1"/>
  <c r="K124" i="9" s="1"/>
  <c r="L16" i="6"/>
  <c r="L18" i="6" s="1"/>
  <c r="J25" i="6"/>
  <c r="J73" i="9" s="1"/>
  <c r="J124" i="9" s="1"/>
  <c r="M21" i="6"/>
  <c r="M23" i="6" s="1"/>
  <c r="N21" i="6" s="1"/>
  <c r="N23" i="6" s="1"/>
  <c r="J26" i="9"/>
  <c r="N26" i="9"/>
  <c r="M26" i="9"/>
  <c r="K80" i="10"/>
  <c r="K87" i="10"/>
  <c r="K26" i="9"/>
  <c r="P76" i="10"/>
  <c r="L74" i="4"/>
  <c r="L10" i="4" s="1"/>
  <c r="M84" i="4"/>
  <c r="M12" i="4" s="1"/>
  <c r="M76" i="3"/>
  <c r="M21" i="3" s="1"/>
  <c r="K54" i="10"/>
  <c r="K86" i="10"/>
  <c r="K25" i="9"/>
  <c r="N54" i="10"/>
  <c r="N86" i="10"/>
  <c r="N25" i="9"/>
  <c r="AI80" i="10"/>
  <c r="AI87" i="10" s="1"/>
  <c r="AV77" i="10"/>
  <c r="AN80" i="10"/>
  <c r="AN87" i="10" s="1"/>
  <c r="AF77" i="10"/>
  <c r="AF78" i="10"/>
  <c r="P78" i="10"/>
  <c r="Z80" i="10"/>
  <c r="Z87" i="10" s="1"/>
  <c r="R80" i="10"/>
  <c r="R87" i="10" s="1"/>
  <c r="AP80" i="10"/>
  <c r="AP87" i="10" s="1"/>
  <c r="AO77" i="10"/>
  <c r="AO26" i="9"/>
  <c r="S80" i="10"/>
  <c r="S87" i="10" s="1"/>
  <c r="AG79" i="10"/>
  <c r="Y77" i="10"/>
  <c r="AO78" i="10"/>
  <c r="P77" i="10"/>
  <c r="AV78" i="10"/>
  <c r="AA79" i="10"/>
  <c r="AV79" i="10"/>
  <c r="L26" i="9"/>
  <c r="AG78" i="10"/>
  <c r="AA78" i="10"/>
  <c r="Y79" i="10"/>
  <c r="AA76" i="10"/>
  <c r="AA26" i="9" s="1"/>
  <c r="Y78" i="10"/>
  <c r="P79" i="10"/>
  <c r="P80" i="10" s="1"/>
  <c r="P87" i="10" s="1"/>
  <c r="AJ78" i="10"/>
  <c r="AJ79" i="10"/>
  <c r="AJ77" i="10"/>
  <c r="AJ76" i="10"/>
  <c r="AR78" i="10"/>
  <c r="AR79" i="10"/>
  <c r="AR76" i="10"/>
  <c r="AR77" i="10"/>
  <c r="AC79" i="10"/>
  <c r="AC76" i="10"/>
  <c r="AC77" i="10"/>
  <c r="AC26" i="9" s="1"/>
  <c r="AC78" i="10"/>
  <c r="AZ78" i="10"/>
  <c r="AZ79" i="10"/>
  <c r="AZ76" i="10"/>
  <c r="AZ77" i="10"/>
  <c r="V76" i="10"/>
  <c r="V26" i="9" s="1"/>
  <c r="V77" i="10"/>
  <c r="V79" i="10"/>
  <c r="V78" i="10"/>
  <c r="AK79" i="10"/>
  <c r="AK78" i="10"/>
  <c r="AK76" i="10"/>
  <c r="AK77" i="10"/>
  <c r="AU79" i="10"/>
  <c r="AU76" i="10"/>
  <c r="AU77" i="10"/>
  <c r="AU78" i="10"/>
  <c r="AM76" i="10"/>
  <c r="AM79" i="10"/>
  <c r="AM77" i="10"/>
  <c r="AM78" i="10"/>
  <c r="AS79" i="10"/>
  <c r="AS78" i="10"/>
  <c r="AS76" i="10"/>
  <c r="AS77" i="10"/>
  <c r="BA79" i="10"/>
  <c r="BA78" i="10"/>
  <c r="BA76" i="10"/>
  <c r="BA77" i="10"/>
  <c r="W79" i="10"/>
  <c r="W76" i="10"/>
  <c r="W77" i="10"/>
  <c r="W78" i="10"/>
  <c r="U79" i="10"/>
  <c r="U76" i="10"/>
  <c r="U78" i="10"/>
  <c r="U77" i="10"/>
  <c r="U26" i="9" s="1"/>
  <c r="AD79" i="10"/>
  <c r="AD78" i="10"/>
  <c r="AD77" i="10"/>
  <c r="AD76" i="10"/>
  <c r="T78" i="10"/>
  <c r="T79" i="10"/>
  <c r="T77" i="10"/>
  <c r="T76" i="10"/>
  <c r="AE76" i="10"/>
  <c r="AE26" i="9" s="1"/>
  <c r="AE77" i="10"/>
  <c r="AE78" i="10"/>
  <c r="AE79" i="10"/>
  <c r="BC76" i="10"/>
  <c r="BC77" i="10"/>
  <c r="BC78" i="10"/>
  <c r="BC79" i="10"/>
  <c r="AL78" i="10"/>
  <c r="AL79" i="10"/>
  <c r="AL76" i="10"/>
  <c r="AL77" i="10"/>
  <c r="AT76" i="10"/>
  <c r="AT77" i="10"/>
  <c r="AT78" i="10"/>
  <c r="AT79" i="10"/>
  <c r="Q76" i="10"/>
  <c r="Q26" i="9" s="1"/>
  <c r="Q77" i="10"/>
  <c r="Q78" i="10"/>
  <c r="Q79" i="10"/>
  <c r="BB79" i="10"/>
  <c r="BB76" i="10"/>
  <c r="BB77" i="10"/>
  <c r="BB78" i="10"/>
  <c r="AB78" i="10"/>
  <c r="AB79" i="10"/>
  <c r="AB77" i="10"/>
  <c r="AB76" i="10"/>
  <c r="L54" i="10"/>
  <c r="L86" i="10"/>
  <c r="J24" i="9"/>
  <c r="J25" i="9"/>
  <c r="O25" i="9"/>
  <c r="O24" i="9"/>
  <c r="M54" i="10"/>
  <c r="M86" i="10"/>
  <c r="K19" i="5"/>
  <c r="K67" i="9" s="1"/>
  <c r="J80" i="10"/>
  <c r="J87" i="10" s="1"/>
  <c r="M41" i="6"/>
  <c r="M43" i="6" s="1"/>
  <c r="L81" i="9"/>
  <c r="W26" i="9"/>
  <c r="AB26" i="9"/>
  <c r="AU26" i="9"/>
  <c r="AG80" i="10"/>
  <c r="AG87" i="10" s="1"/>
  <c r="BB26" i="9"/>
  <c r="AT26" i="9"/>
  <c r="BC26" i="9"/>
  <c r="P26" i="9"/>
  <c r="AJ26" i="9"/>
  <c r="AO80" i="10"/>
  <c r="AO87" i="10" s="1"/>
  <c r="O26" i="9"/>
  <c r="AB80" i="10"/>
  <c r="AB87" i="10" s="1"/>
  <c r="M72" i="3"/>
  <c r="M20" i="3" s="1"/>
  <c r="N84" i="4"/>
  <c r="N12" i="4" s="1"/>
  <c r="M74" i="4"/>
  <c r="M10" i="4" s="1"/>
  <c r="N76" i="3"/>
  <c r="N21" i="3" s="1"/>
  <c r="AA80" i="10"/>
  <c r="AA87" i="10" s="1"/>
  <c r="AV80" i="10"/>
  <c r="AV87" i="10" s="1"/>
  <c r="AJ80" i="10"/>
  <c r="AJ87" i="10" s="1"/>
  <c r="BA80" i="10"/>
  <c r="BA87" i="10" s="1"/>
  <c r="L80" i="10"/>
  <c r="L87" i="10"/>
  <c r="AE80" i="10"/>
  <c r="AE87" i="10" s="1"/>
  <c r="O80" i="10"/>
  <c r="O87" i="10" s="1"/>
  <c r="AR80" i="10"/>
  <c r="AR87" i="10" s="1"/>
  <c r="T80" i="10"/>
  <c r="T87" i="10" s="1"/>
  <c r="N80" i="10"/>
  <c r="N87" i="10"/>
  <c r="M80" i="10"/>
  <c r="M87" i="10" s="1"/>
  <c r="U80" i="10"/>
  <c r="U87" i="10" s="1"/>
  <c r="AT80" i="10"/>
  <c r="AT87" i="10" s="1"/>
  <c r="V80" i="10"/>
  <c r="V87" i="10" s="1"/>
  <c r="J54" i="10"/>
  <c r="J86" i="10"/>
  <c r="O54" i="10"/>
  <c r="O86" i="10"/>
  <c r="N41" i="6"/>
  <c r="N43" i="6" s="1"/>
  <c r="M81" i="9"/>
  <c r="O21" i="6"/>
  <c r="O23" i="6" s="1"/>
  <c r="P21" i="6" s="1"/>
  <c r="P23" i="6" s="1"/>
  <c r="Q21" i="6" s="1"/>
  <c r="Q23" i="6" s="1"/>
  <c r="R21" i="6" s="1"/>
  <c r="R23" i="6" s="1"/>
  <c r="S21" i="6" s="1"/>
  <c r="S23" i="6" s="1"/>
  <c r="T21" i="6" s="1"/>
  <c r="T23" i="6" s="1"/>
  <c r="N72" i="3"/>
  <c r="N20" i="3"/>
  <c r="O84" i="4"/>
  <c r="O12" i="4" s="1"/>
  <c r="O76" i="3"/>
  <c r="O21" i="3" s="1"/>
  <c r="N74" i="4"/>
  <c r="N10" i="4" s="1"/>
  <c r="O72" i="3"/>
  <c r="O20" i="3" s="1"/>
  <c r="P33" i="2"/>
  <c r="P7" i="12" s="1"/>
  <c r="O74" i="4"/>
  <c r="O10" i="4" s="1"/>
  <c r="P74" i="3"/>
  <c r="P76" i="3" s="1"/>
  <c r="P21" i="3" s="1"/>
  <c r="P70" i="3"/>
  <c r="P69" i="3"/>
  <c r="P82" i="4"/>
  <c r="P84" i="4" s="1"/>
  <c r="P12" i="4" s="1"/>
  <c r="P74" i="4"/>
  <c r="P10" i="4" s="1"/>
  <c r="U21" i="6"/>
  <c r="U23" i="6" s="1"/>
  <c r="V21" i="6"/>
  <c r="V23" i="6" s="1"/>
  <c r="W21" i="6"/>
  <c r="W23" i="6"/>
  <c r="X21" i="6"/>
  <c r="X23" i="6"/>
  <c r="Y21" i="6"/>
  <c r="Y23" i="6" s="1"/>
  <c r="Z21" i="6" s="1"/>
  <c r="Z23" i="6" s="1"/>
  <c r="AA21" i="6" s="1"/>
  <c r="AA23" i="6" s="1"/>
  <c r="AB21" i="6" s="1"/>
  <c r="AB23" i="6" s="1"/>
  <c r="AC21" i="6" s="1"/>
  <c r="AC23" i="6" s="1"/>
  <c r="AD21" i="6" s="1"/>
  <c r="AD23" i="6" s="1"/>
  <c r="AE21" i="6" s="1"/>
  <c r="AE23" i="6" s="1"/>
  <c r="AF21" i="6" s="1"/>
  <c r="AF23" i="6" s="1"/>
  <c r="AG21" i="6" s="1"/>
  <c r="AG23" i="6" s="1"/>
  <c r="AH21" i="6" s="1"/>
  <c r="AH23" i="6" s="1"/>
  <c r="AI21" i="6" s="1"/>
  <c r="AI23" i="6" s="1"/>
  <c r="AJ21" i="6"/>
  <c r="AJ23" i="6"/>
  <c r="AK21" i="6" s="1"/>
  <c r="AK23" i="6" s="1"/>
  <c r="AL21" i="6"/>
  <c r="AL23" i="6" s="1"/>
  <c r="AM21" i="6" s="1"/>
  <c r="AM23" i="6" s="1"/>
  <c r="AN21" i="6" s="1"/>
  <c r="AN23" i="6" s="1"/>
  <c r="AO21" i="6" s="1"/>
  <c r="AO23" i="6" s="1"/>
  <c r="AP21" i="6" s="1"/>
  <c r="AP23" i="6" s="1"/>
  <c r="AQ21" i="6" s="1"/>
  <c r="AQ23" i="6" s="1"/>
  <c r="AR21" i="6" s="1"/>
  <c r="AR23" i="6" s="1"/>
  <c r="AS21" i="6" s="1"/>
  <c r="AS23" i="6" s="1"/>
  <c r="AT21" i="6" s="1"/>
  <c r="AT23" i="6"/>
  <c r="AU21" i="6" s="1"/>
  <c r="AU23" i="6" s="1"/>
  <c r="AV21" i="6" s="1"/>
  <c r="AV23" i="6" s="1"/>
  <c r="AW21" i="6" s="1"/>
  <c r="AW23" i="6" s="1"/>
  <c r="AX21" i="6" s="1"/>
  <c r="AX23" i="6" s="1"/>
  <c r="AY21" i="6" s="1"/>
  <c r="AY23" i="6" s="1"/>
  <c r="AZ21" i="6" s="1"/>
  <c r="AZ23" i="6" s="1"/>
  <c r="BA21" i="6" s="1"/>
  <c r="BA23" i="6" s="1"/>
  <c r="BB21" i="6" s="1"/>
  <c r="BB23" i="6" s="1"/>
  <c r="BC21" i="6" s="1"/>
  <c r="BC23" i="6" s="1"/>
  <c r="BD21" i="6" s="1"/>
  <c r="BD23" i="6" s="1"/>
  <c r="BE21" i="6" s="1"/>
  <c r="BE23" i="6" s="1"/>
  <c r="BE252" i="4"/>
  <c r="BE35" i="9" s="1"/>
  <c r="BD252" i="4"/>
  <c r="BD35" i="9" s="1"/>
  <c r="BC252" i="4"/>
  <c r="BC35" i="9"/>
  <c r="BB252" i="4"/>
  <c r="BB35" i="9" s="1"/>
  <c r="BA252" i="4"/>
  <c r="BA35" i="9" s="1"/>
  <c r="AZ252" i="4"/>
  <c r="AZ35" i="9" s="1"/>
  <c r="AY252" i="4"/>
  <c r="AY35" i="9" s="1"/>
  <c r="AX252" i="4"/>
  <c r="AX35" i="9" s="1"/>
  <c r="AW252" i="4"/>
  <c r="AW35" i="9" s="1"/>
  <c r="AV252" i="4"/>
  <c r="AV35" i="9"/>
  <c r="AU252" i="4"/>
  <c r="AU35" i="9" s="1"/>
  <c r="AT252" i="4"/>
  <c r="AT35" i="9" s="1"/>
  <c r="AS252" i="4"/>
  <c r="AS35" i="9" s="1"/>
  <c r="AR252" i="4"/>
  <c r="AR35" i="9" s="1"/>
  <c r="AQ252" i="4"/>
  <c r="AQ35" i="9" s="1"/>
  <c r="AP252" i="4"/>
  <c r="AP35" i="9" s="1"/>
  <c r="AO252" i="4"/>
  <c r="AO35" i="9" s="1"/>
  <c r="AN252" i="4"/>
  <c r="AN35" i="9" s="1"/>
  <c r="AM252" i="4"/>
  <c r="AM35" i="9"/>
  <c r="AL252" i="4"/>
  <c r="AL35" i="9" s="1"/>
  <c r="AK252" i="4"/>
  <c r="AK35" i="9" s="1"/>
  <c r="AJ252" i="4"/>
  <c r="AJ35" i="9" s="1"/>
  <c r="AI252" i="4"/>
  <c r="AI35" i="9" s="1"/>
  <c r="AH252" i="4"/>
  <c r="AH35" i="9" s="1"/>
  <c r="AG252" i="4"/>
  <c r="AG35" i="9" s="1"/>
  <c r="AF252" i="4"/>
  <c r="AF35" i="9" s="1"/>
  <c r="AE252" i="4"/>
  <c r="AE35" i="9" s="1"/>
  <c r="AD252" i="4"/>
  <c r="AD35" i="9" s="1"/>
  <c r="AC252" i="4"/>
  <c r="AC35" i="9" s="1"/>
  <c r="AB252" i="4"/>
  <c r="AB35" i="9" s="1"/>
  <c r="AA252" i="4"/>
  <c r="AA35" i="9" s="1"/>
  <c r="Z252" i="4"/>
  <c r="Z35" i="9" s="1"/>
  <c r="Y252" i="4"/>
  <c r="Y35" i="9" s="1"/>
  <c r="X252" i="4"/>
  <c r="X35" i="9" s="1"/>
  <c r="W252" i="4"/>
  <c r="W35" i="9" s="1"/>
  <c r="V252" i="4"/>
  <c r="V35" i="9" s="1"/>
  <c r="U252" i="4"/>
  <c r="U35" i="9" s="1"/>
  <c r="T252" i="4"/>
  <c r="T35" i="9" s="1"/>
  <c r="S252" i="4"/>
  <c r="S35" i="9" s="1"/>
  <c r="R252" i="4"/>
  <c r="R35" i="9" s="1"/>
  <c r="Q252" i="4"/>
  <c r="Q35" i="9" s="1"/>
  <c r="P252" i="4"/>
  <c r="P35" i="9" s="1"/>
  <c r="O252" i="4"/>
  <c r="O35" i="9" s="1"/>
  <c r="N252" i="4"/>
  <c r="N35" i="9" s="1"/>
  <c r="M252" i="4"/>
  <c r="M35" i="9" s="1"/>
  <c r="L252" i="4"/>
  <c r="L35" i="9" s="1"/>
  <c r="K252" i="4"/>
  <c r="K35" i="9" s="1"/>
  <c r="J252" i="4"/>
  <c r="J35" i="9" s="1"/>
  <c r="BE245" i="4"/>
  <c r="BE34" i="9" s="1"/>
  <c r="BD245" i="4"/>
  <c r="BD34" i="9" s="1"/>
  <c r="BC245" i="4"/>
  <c r="BC34" i="9" s="1"/>
  <c r="BB245" i="4"/>
  <c r="BB34" i="9" s="1"/>
  <c r="BA245" i="4"/>
  <c r="BA34" i="9" s="1"/>
  <c r="AZ245" i="4"/>
  <c r="AZ34" i="9" s="1"/>
  <c r="AY245" i="4"/>
  <c r="AY34" i="9" s="1"/>
  <c r="AX245" i="4"/>
  <c r="AX34" i="9" s="1"/>
  <c r="AW245" i="4"/>
  <c r="AW34" i="9" s="1"/>
  <c r="AV245" i="4"/>
  <c r="AV34" i="9" s="1"/>
  <c r="AU245" i="4"/>
  <c r="AU34" i="9" s="1"/>
  <c r="AT245" i="4"/>
  <c r="AT34" i="9" s="1"/>
  <c r="AS245" i="4"/>
  <c r="AS34" i="9" s="1"/>
  <c r="AR245" i="4"/>
  <c r="AR34" i="9" s="1"/>
  <c r="AQ245" i="4"/>
  <c r="AQ34" i="9" s="1"/>
  <c r="AP245" i="4"/>
  <c r="AP34" i="9" s="1"/>
  <c r="AO245" i="4"/>
  <c r="AO34" i="9" s="1"/>
  <c r="AN245" i="4"/>
  <c r="AN34" i="9"/>
  <c r="AM245" i="4"/>
  <c r="AM34" i="9" s="1"/>
  <c r="AL245" i="4"/>
  <c r="AL34" i="9" s="1"/>
  <c r="AK245" i="4"/>
  <c r="AK34" i="9" s="1"/>
  <c r="AJ245" i="4"/>
  <c r="AJ34" i="9" s="1"/>
  <c r="AI245" i="4"/>
  <c r="AI34" i="9" s="1"/>
  <c r="AH245" i="4"/>
  <c r="AH34" i="9" s="1"/>
  <c r="AG245" i="4"/>
  <c r="AG34" i="9" s="1"/>
  <c r="AF245" i="4"/>
  <c r="AF34" i="9" s="1"/>
  <c r="AE245" i="4"/>
  <c r="AE34" i="9" s="1"/>
  <c r="AD245" i="4"/>
  <c r="AD34" i="9" s="1"/>
  <c r="AC245" i="4"/>
  <c r="AC34" i="9" s="1"/>
  <c r="AB245" i="4"/>
  <c r="AB34" i="9" s="1"/>
  <c r="AA245" i="4"/>
  <c r="AA34" i="9" s="1"/>
  <c r="Z245" i="4"/>
  <c r="Z34" i="9" s="1"/>
  <c r="Y245" i="4"/>
  <c r="Y34" i="9" s="1"/>
  <c r="X245" i="4"/>
  <c r="X34" i="9" s="1"/>
  <c r="W245" i="4"/>
  <c r="W34" i="9" s="1"/>
  <c r="V245" i="4"/>
  <c r="V34" i="9" s="1"/>
  <c r="U245" i="4"/>
  <c r="U34" i="9" s="1"/>
  <c r="T245" i="4"/>
  <c r="T34" i="9"/>
  <c r="S245" i="4"/>
  <c r="S34" i="9" s="1"/>
  <c r="R245" i="4"/>
  <c r="R34" i="9" s="1"/>
  <c r="Q245" i="4"/>
  <c r="Q34" i="9"/>
  <c r="P245" i="4"/>
  <c r="P34" i="9" s="1"/>
  <c r="O245" i="4"/>
  <c r="O34" i="9" s="1"/>
  <c r="N245" i="4"/>
  <c r="N34" i="9"/>
  <c r="M245" i="4"/>
  <c r="M34" i="9" s="1"/>
  <c r="L245" i="4"/>
  <c r="L34" i="9" s="1"/>
  <c r="K245" i="4"/>
  <c r="K34" i="9" s="1"/>
  <c r="J245" i="4"/>
  <c r="J34" i="9" s="1"/>
  <c r="BE164" i="4"/>
  <c r="BE33" i="4" s="1"/>
  <c r="BD164" i="4"/>
  <c r="BD33" i="4" s="1"/>
  <c r="BC164" i="4"/>
  <c r="BC33" i="4" s="1"/>
  <c r="BB164" i="4"/>
  <c r="BB33" i="4" s="1"/>
  <c r="BA164" i="4"/>
  <c r="BA33" i="4" s="1"/>
  <c r="AZ164" i="4"/>
  <c r="AZ33" i="4" s="1"/>
  <c r="AY164" i="4"/>
  <c r="AY33" i="4" s="1"/>
  <c r="AX164" i="4"/>
  <c r="AX33" i="4" s="1"/>
  <c r="AW164" i="4"/>
  <c r="AW33" i="4" s="1"/>
  <c r="AV164" i="4"/>
  <c r="AV33" i="4" s="1"/>
  <c r="AU164" i="4"/>
  <c r="AU33" i="4" s="1"/>
  <c r="AT164" i="4"/>
  <c r="AT33" i="4" s="1"/>
  <c r="AS164" i="4"/>
  <c r="AS33" i="4" s="1"/>
  <c r="AR164" i="4"/>
  <c r="AR33" i="4" s="1"/>
  <c r="AQ164" i="4"/>
  <c r="AQ33" i="4" s="1"/>
  <c r="AP164" i="4"/>
  <c r="AP33" i="4" s="1"/>
  <c r="AO164" i="4"/>
  <c r="AO33" i="4" s="1"/>
  <c r="AN164" i="4"/>
  <c r="AN33" i="4" s="1"/>
  <c r="AM164" i="4"/>
  <c r="AM33" i="4" s="1"/>
  <c r="AL164" i="4"/>
  <c r="AL33" i="4" s="1"/>
  <c r="AK164" i="4"/>
  <c r="AK33" i="4"/>
  <c r="AJ164" i="4"/>
  <c r="AJ33" i="4" s="1"/>
  <c r="AI164" i="4"/>
  <c r="AI33" i="4" s="1"/>
  <c r="AH164" i="4"/>
  <c r="AH33" i="4" s="1"/>
  <c r="AG164" i="4"/>
  <c r="AG33" i="4" s="1"/>
  <c r="AF164" i="4"/>
  <c r="AF33" i="4" s="1"/>
  <c r="AE164" i="4"/>
  <c r="AE33" i="4" s="1"/>
  <c r="AD164" i="4"/>
  <c r="AD33" i="4" s="1"/>
  <c r="AC164" i="4"/>
  <c r="AC33" i="4" s="1"/>
  <c r="AB164" i="4"/>
  <c r="AB33" i="4" s="1"/>
  <c r="AA164" i="4"/>
  <c r="AA33" i="4" s="1"/>
  <c r="Z164" i="4"/>
  <c r="Z33" i="4" s="1"/>
  <c r="Y164" i="4"/>
  <c r="Y33" i="4" s="1"/>
  <c r="X164" i="4"/>
  <c r="X33" i="4" s="1"/>
  <c r="W164" i="4"/>
  <c r="W33" i="4" s="1"/>
  <c r="V164" i="4"/>
  <c r="V33" i="4" s="1"/>
  <c r="U164" i="4"/>
  <c r="U33" i="4" s="1"/>
  <c r="T164" i="4"/>
  <c r="T33" i="4" s="1"/>
  <c r="S164" i="4"/>
  <c r="S33" i="4" s="1"/>
  <c r="R164" i="4"/>
  <c r="R33" i="4" s="1"/>
  <c r="Q164" i="4"/>
  <c r="Q33" i="4" s="1"/>
  <c r="P164" i="4"/>
  <c r="P33" i="4" s="1"/>
  <c r="O164" i="4"/>
  <c r="O33" i="4" s="1"/>
  <c r="N164" i="4"/>
  <c r="N33" i="4" s="1"/>
  <c r="M164" i="4"/>
  <c r="M33" i="4" s="1"/>
  <c r="L164" i="4"/>
  <c r="L33" i="4" s="1"/>
  <c r="K164" i="4"/>
  <c r="K33" i="4" s="1"/>
  <c r="J164" i="4"/>
  <c r="J33" i="4" s="1"/>
  <c r="BE149" i="4"/>
  <c r="BE31" i="4" s="1"/>
  <c r="BD149" i="4"/>
  <c r="BD31" i="4" s="1"/>
  <c r="BC149" i="4"/>
  <c r="BC31" i="4" s="1"/>
  <c r="BB149" i="4"/>
  <c r="BB31" i="4" s="1"/>
  <c r="BA149" i="4"/>
  <c r="BA31" i="4" s="1"/>
  <c r="AZ149" i="4"/>
  <c r="AZ31" i="4" s="1"/>
  <c r="AY149" i="4"/>
  <c r="AY31" i="4" s="1"/>
  <c r="AX149" i="4"/>
  <c r="AX31" i="4" s="1"/>
  <c r="AW149" i="4"/>
  <c r="AW31" i="4" s="1"/>
  <c r="AV149" i="4"/>
  <c r="AV31" i="4" s="1"/>
  <c r="AU149" i="4"/>
  <c r="AU31" i="4" s="1"/>
  <c r="AT149" i="4"/>
  <c r="AT31" i="4" s="1"/>
  <c r="AS149" i="4"/>
  <c r="AS31" i="4" s="1"/>
  <c r="AR149" i="4"/>
  <c r="AR31" i="4" s="1"/>
  <c r="AQ149" i="4"/>
  <c r="AQ31" i="4" s="1"/>
  <c r="AP149" i="4"/>
  <c r="AP31" i="4" s="1"/>
  <c r="AO149" i="4"/>
  <c r="AO31" i="4" s="1"/>
  <c r="AN149" i="4"/>
  <c r="AN31" i="4" s="1"/>
  <c r="AM149" i="4"/>
  <c r="AM31" i="4" s="1"/>
  <c r="AL149" i="4"/>
  <c r="AL31" i="4" s="1"/>
  <c r="AK149" i="4"/>
  <c r="AK31" i="4"/>
  <c r="AJ149" i="4"/>
  <c r="AJ31" i="4" s="1"/>
  <c r="AI149" i="4"/>
  <c r="AI31" i="4" s="1"/>
  <c r="AH149" i="4"/>
  <c r="AH31" i="4" s="1"/>
  <c r="AG149" i="4"/>
  <c r="AG31" i="4" s="1"/>
  <c r="AF149" i="4"/>
  <c r="AF31" i="4" s="1"/>
  <c r="AE149" i="4"/>
  <c r="AE31" i="4" s="1"/>
  <c r="AD149" i="4"/>
  <c r="AD31" i="4" s="1"/>
  <c r="AC149" i="4"/>
  <c r="AC31" i="4" s="1"/>
  <c r="AB149" i="4"/>
  <c r="AB31" i="4" s="1"/>
  <c r="AA149" i="4"/>
  <c r="AA31" i="4" s="1"/>
  <c r="Z149" i="4"/>
  <c r="Z31" i="4" s="1"/>
  <c r="Y149" i="4"/>
  <c r="Y31" i="4" s="1"/>
  <c r="X149" i="4"/>
  <c r="X31" i="4" s="1"/>
  <c r="W149" i="4"/>
  <c r="W31" i="4" s="1"/>
  <c r="V149" i="4"/>
  <c r="V31" i="4" s="1"/>
  <c r="U149" i="4"/>
  <c r="U31" i="4" s="1"/>
  <c r="T149" i="4"/>
  <c r="T31" i="4" s="1"/>
  <c r="S149" i="4"/>
  <c r="S31" i="4" s="1"/>
  <c r="R149" i="4"/>
  <c r="R31" i="4" s="1"/>
  <c r="Q149" i="4"/>
  <c r="Q31" i="4"/>
  <c r="P149" i="4"/>
  <c r="P31" i="4" s="1"/>
  <c r="O149" i="4"/>
  <c r="O31" i="4" s="1"/>
  <c r="N149" i="4"/>
  <c r="N31" i="4" s="1"/>
  <c r="M149" i="4"/>
  <c r="M31" i="4" s="1"/>
  <c r="L149" i="4"/>
  <c r="L31" i="4" s="1"/>
  <c r="K149" i="4"/>
  <c r="K31" i="4" s="1"/>
  <c r="J149" i="4"/>
  <c r="J31" i="4" s="1"/>
  <c r="BE143" i="4"/>
  <c r="BE30" i="4" s="1"/>
  <c r="BD143" i="4"/>
  <c r="BD30" i="4" s="1"/>
  <c r="BC143" i="4"/>
  <c r="BC30" i="4" s="1"/>
  <c r="BB143" i="4"/>
  <c r="BB30" i="4" s="1"/>
  <c r="BA143" i="4"/>
  <c r="BA30" i="4" s="1"/>
  <c r="AZ143" i="4"/>
  <c r="AZ30" i="4" s="1"/>
  <c r="AY143" i="4"/>
  <c r="AY30" i="4" s="1"/>
  <c r="AX143" i="4"/>
  <c r="AX30" i="4" s="1"/>
  <c r="AW143" i="4"/>
  <c r="AW30" i="4"/>
  <c r="AV143" i="4"/>
  <c r="AV30" i="4" s="1"/>
  <c r="AU143" i="4"/>
  <c r="AU30" i="4" s="1"/>
  <c r="AT143" i="4"/>
  <c r="AT30" i="4" s="1"/>
  <c r="AS143" i="4"/>
  <c r="AS30" i="4" s="1"/>
  <c r="AR143" i="4"/>
  <c r="AR30" i="4" s="1"/>
  <c r="AQ143" i="4"/>
  <c r="AQ30" i="4" s="1"/>
  <c r="AP143" i="4"/>
  <c r="AP30" i="4" s="1"/>
  <c r="AO143" i="4"/>
  <c r="AO30" i="4" s="1"/>
  <c r="AN143" i="4"/>
  <c r="AN30" i="4" s="1"/>
  <c r="AM143" i="4"/>
  <c r="AM30" i="4" s="1"/>
  <c r="AL143" i="4"/>
  <c r="AL30" i="4" s="1"/>
  <c r="AK143" i="4"/>
  <c r="AK30" i="4" s="1"/>
  <c r="AJ143" i="4"/>
  <c r="AJ30" i="4" s="1"/>
  <c r="AI143" i="4"/>
  <c r="AI30" i="4" s="1"/>
  <c r="AH143" i="4"/>
  <c r="AH30" i="4" s="1"/>
  <c r="AG143" i="4"/>
  <c r="AG30" i="4" s="1"/>
  <c r="AF143" i="4"/>
  <c r="AF30" i="4" s="1"/>
  <c r="AE143" i="4"/>
  <c r="AE30" i="4" s="1"/>
  <c r="AD143" i="4"/>
  <c r="AD30" i="4" s="1"/>
  <c r="AC143" i="4"/>
  <c r="AC30" i="4" s="1"/>
  <c r="AB143" i="4"/>
  <c r="AB30" i="4" s="1"/>
  <c r="AA143" i="4"/>
  <c r="AA30" i="4" s="1"/>
  <c r="Z143" i="4"/>
  <c r="Z30" i="4" s="1"/>
  <c r="Y143" i="4"/>
  <c r="Y30" i="4" s="1"/>
  <c r="X143" i="4"/>
  <c r="X30" i="4" s="1"/>
  <c r="W143" i="4"/>
  <c r="W30" i="4" s="1"/>
  <c r="V143" i="4"/>
  <c r="V30" i="4" s="1"/>
  <c r="U143" i="4"/>
  <c r="U30" i="4" s="1"/>
  <c r="T143" i="4"/>
  <c r="T30" i="4" s="1"/>
  <c r="S143" i="4"/>
  <c r="S30" i="4" s="1"/>
  <c r="R143" i="4"/>
  <c r="R30" i="4" s="1"/>
  <c r="Q143" i="4"/>
  <c r="Q30" i="4" s="1"/>
  <c r="P143" i="4"/>
  <c r="P30" i="4" s="1"/>
  <c r="O143" i="4"/>
  <c r="O30" i="4" s="1"/>
  <c r="N143" i="4"/>
  <c r="N30" i="4" s="1"/>
  <c r="M143" i="4"/>
  <c r="M30" i="4"/>
  <c r="L143" i="4"/>
  <c r="L30" i="4" s="1"/>
  <c r="K143" i="4"/>
  <c r="K30" i="4" s="1"/>
  <c r="J143" i="4"/>
  <c r="J30" i="4" s="1"/>
  <c r="BE137" i="4"/>
  <c r="BE29" i="4" s="1"/>
  <c r="BD137" i="4"/>
  <c r="BD29" i="4" s="1"/>
  <c r="BC137" i="4"/>
  <c r="BC29" i="4" s="1"/>
  <c r="BB137" i="4"/>
  <c r="BB29" i="4" s="1"/>
  <c r="BA137" i="4"/>
  <c r="BA29" i="4" s="1"/>
  <c r="AZ137" i="4"/>
  <c r="AZ29" i="4" s="1"/>
  <c r="AY137" i="4"/>
  <c r="AY29" i="4" s="1"/>
  <c r="AX137" i="4"/>
  <c r="AX29" i="4" s="1"/>
  <c r="AW137" i="4"/>
  <c r="AW29" i="4" s="1"/>
  <c r="AV137" i="4"/>
  <c r="AV29" i="4" s="1"/>
  <c r="AU137" i="4"/>
  <c r="AU29" i="4" s="1"/>
  <c r="AT137" i="4"/>
  <c r="AT29" i="4" s="1"/>
  <c r="AS137" i="4"/>
  <c r="AS29" i="4" s="1"/>
  <c r="AR137" i="4"/>
  <c r="AR29" i="4" s="1"/>
  <c r="AQ137" i="4"/>
  <c r="AQ29" i="4" s="1"/>
  <c r="AP137" i="4"/>
  <c r="AP29" i="4" s="1"/>
  <c r="AO137" i="4"/>
  <c r="AO29" i="4" s="1"/>
  <c r="AN137" i="4"/>
  <c r="AN29" i="4" s="1"/>
  <c r="AM137" i="4"/>
  <c r="AM29" i="4" s="1"/>
  <c r="AL137" i="4"/>
  <c r="AL29" i="4" s="1"/>
  <c r="AK137" i="4"/>
  <c r="AK29" i="4" s="1"/>
  <c r="AJ137" i="4"/>
  <c r="AJ29" i="4" s="1"/>
  <c r="AI137" i="4"/>
  <c r="AI29" i="4" s="1"/>
  <c r="AH137" i="4"/>
  <c r="AH29" i="4" s="1"/>
  <c r="AG137" i="4"/>
  <c r="AG29" i="4" s="1"/>
  <c r="AF137" i="4"/>
  <c r="AF29" i="4" s="1"/>
  <c r="AE137" i="4"/>
  <c r="AE29" i="4" s="1"/>
  <c r="AD137" i="4"/>
  <c r="AD29" i="4" s="1"/>
  <c r="AC137" i="4"/>
  <c r="AC29" i="4" s="1"/>
  <c r="AB137" i="4"/>
  <c r="AB29" i="4" s="1"/>
  <c r="AA137" i="4"/>
  <c r="AA29" i="4" s="1"/>
  <c r="Z137" i="4"/>
  <c r="Z29" i="4" s="1"/>
  <c r="Y137" i="4"/>
  <c r="Y29" i="4" s="1"/>
  <c r="X137" i="4"/>
  <c r="X29" i="4" s="1"/>
  <c r="W137" i="4"/>
  <c r="W29" i="4" s="1"/>
  <c r="V137" i="4"/>
  <c r="V29" i="4" s="1"/>
  <c r="U137" i="4"/>
  <c r="U29" i="4" s="1"/>
  <c r="T137" i="4"/>
  <c r="T29" i="4" s="1"/>
  <c r="S137" i="4"/>
  <c r="S29" i="4" s="1"/>
  <c r="R137" i="4"/>
  <c r="R29" i="4" s="1"/>
  <c r="Q137" i="4"/>
  <c r="Q29" i="4" s="1"/>
  <c r="P137" i="4"/>
  <c r="P29" i="4" s="1"/>
  <c r="O137" i="4"/>
  <c r="O29" i="4" s="1"/>
  <c r="N137" i="4"/>
  <c r="N29" i="4" s="1"/>
  <c r="M137" i="4"/>
  <c r="M29" i="4" s="1"/>
  <c r="L137" i="4"/>
  <c r="L29" i="4" s="1"/>
  <c r="K137" i="4"/>
  <c r="K29" i="4" s="1"/>
  <c r="J137" i="4"/>
  <c r="J29" i="4" s="1"/>
  <c r="BD59" i="4"/>
  <c r="BD7" i="4" s="1"/>
  <c r="BB59" i="4"/>
  <c r="BB7" i="4" s="1"/>
  <c r="AZ59" i="4"/>
  <c r="AZ7" i="4" s="1"/>
  <c r="AX59" i="4"/>
  <c r="AX7" i="4" s="1"/>
  <c r="AV59" i="4"/>
  <c r="AV7" i="4" s="1"/>
  <c r="AR59" i="4"/>
  <c r="AR7" i="4" s="1"/>
  <c r="AN59" i="4"/>
  <c r="AN7" i="4" s="1"/>
  <c r="AH59" i="4"/>
  <c r="AH7" i="4" s="1"/>
  <c r="AB59" i="4"/>
  <c r="AB7" i="4" s="1"/>
  <c r="Y59" i="4"/>
  <c r="Y7" i="4" s="1"/>
  <c r="X59" i="4"/>
  <c r="X7" i="4" s="1"/>
  <c r="V59" i="4"/>
  <c r="V7" i="4" s="1"/>
  <c r="T59" i="4"/>
  <c r="T7" i="4" s="1"/>
  <c r="S59" i="4"/>
  <c r="S7" i="4" s="1"/>
  <c r="R59" i="4"/>
  <c r="R7" i="4" s="1"/>
  <c r="Q59" i="4"/>
  <c r="Q7" i="4" s="1"/>
  <c r="P59" i="4"/>
  <c r="P7" i="4" s="1"/>
  <c r="O59" i="4"/>
  <c r="O7" i="4" s="1"/>
  <c r="N59" i="4"/>
  <c r="N7" i="4" s="1"/>
  <c r="M59" i="4"/>
  <c r="M7" i="4" s="1"/>
  <c r="L59" i="4"/>
  <c r="L7" i="4" s="1"/>
  <c r="K59" i="4"/>
  <c r="K7" i="4" s="1"/>
  <c r="J59" i="4"/>
  <c r="J7" i="4" s="1"/>
  <c r="BE54" i="4"/>
  <c r="BE6" i="4" s="1"/>
  <c r="BC54" i="4"/>
  <c r="BC6" i="4" s="1"/>
  <c r="BA54" i="4"/>
  <c r="BA6" i="4" s="1"/>
  <c r="AW54" i="4"/>
  <c r="AW6" i="4" s="1"/>
  <c r="AS54" i="4"/>
  <c r="AS6" i="4" s="1"/>
  <c r="AQ54" i="4"/>
  <c r="AQ6" i="4" s="1"/>
  <c r="AO54" i="4"/>
  <c r="AO6" i="4" s="1"/>
  <c r="AM54" i="4"/>
  <c r="AM6" i="4" s="1"/>
  <c r="AE54" i="4"/>
  <c r="AE6" i="4" s="1"/>
  <c r="AD54" i="4"/>
  <c r="AD6" i="4" s="1"/>
  <c r="AC54" i="4"/>
  <c r="AC6" i="4" s="1"/>
  <c r="AA54" i="4"/>
  <c r="AA6" i="4" s="1"/>
  <c r="Y54" i="4"/>
  <c r="Y6" i="4" s="1"/>
  <c r="W54" i="4"/>
  <c r="W6" i="4" s="1"/>
  <c r="U54" i="4"/>
  <c r="U6" i="4" s="1"/>
  <c r="S54" i="4"/>
  <c r="S6" i="4" s="1"/>
  <c r="Q54" i="4"/>
  <c r="Q6" i="4" s="1"/>
  <c r="P54" i="4"/>
  <c r="P6" i="4" s="1"/>
  <c r="O54" i="4"/>
  <c r="O6" i="4"/>
  <c r="N54" i="4"/>
  <c r="N6" i="4" s="1"/>
  <c r="M54" i="4"/>
  <c r="M6" i="4" s="1"/>
  <c r="L54" i="4"/>
  <c r="L6" i="4"/>
  <c r="K54" i="4"/>
  <c r="K6" i="4" s="1"/>
  <c r="J54" i="4"/>
  <c r="J6" i="4" s="1"/>
  <c r="P66" i="3"/>
  <c r="P19" i="3" s="1"/>
  <c r="O66" i="3"/>
  <c r="O19" i="3" s="1"/>
  <c r="N66" i="3"/>
  <c r="N19" i="3" s="1"/>
  <c r="M66" i="3"/>
  <c r="M19" i="3" s="1"/>
  <c r="L66" i="3"/>
  <c r="L19" i="3" s="1"/>
  <c r="K66" i="3"/>
  <c r="K19" i="3" s="1"/>
  <c r="J66" i="3"/>
  <c r="J19" i="3" s="1"/>
  <c r="BD38" i="3"/>
  <c r="BD7" i="3" s="1"/>
  <c r="BC38" i="3"/>
  <c r="BC7" i="3" s="1"/>
  <c r="BB38" i="3"/>
  <c r="BB7" i="3" s="1"/>
  <c r="AZ38" i="3"/>
  <c r="AZ7" i="3" s="1"/>
  <c r="AY38" i="3"/>
  <c r="AY7" i="3" s="1"/>
  <c r="AX38" i="3"/>
  <c r="AX7" i="3" s="1"/>
  <c r="AV38" i="3"/>
  <c r="AV7" i="3" s="1"/>
  <c r="AU38" i="3"/>
  <c r="AU7" i="3" s="1"/>
  <c r="AT38" i="3"/>
  <c r="AT7" i="3" s="1"/>
  <c r="AR38" i="3"/>
  <c r="AR7" i="3" s="1"/>
  <c r="AQ38" i="3"/>
  <c r="AQ7" i="3" s="1"/>
  <c r="AP38" i="3"/>
  <c r="AP7" i="3" s="1"/>
  <c r="AO38" i="3"/>
  <c r="AO7" i="3" s="1"/>
  <c r="AN38" i="3"/>
  <c r="AN7" i="3" s="1"/>
  <c r="AM38" i="3"/>
  <c r="AM7" i="3" s="1"/>
  <c r="AL38" i="3"/>
  <c r="AL7" i="3" s="1"/>
  <c r="AJ38" i="3"/>
  <c r="AJ7" i="3" s="1"/>
  <c r="AI38" i="3"/>
  <c r="AI7" i="3" s="1"/>
  <c r="AH38" i="3"/>
  <c r="AH7" i="3" s="1"/>
  <c r="AG38" i="3"/>
  <c r="AG7" i="3" s="1"/>
  <c r="AF38" i="3"/>
  <c r="AF7" i="3" s="1"/>
  <c r="AE38" i="3"/>
  <c r="AE7" i="3" s="1"/>
  <c r="AC38" i="3"/>
  <c r="AC7" i="3" s="1"/>
  <c r="AB38" i="3"/>
  <c r="AB7" i="3" s="1"/>
  <c r="AA38" i="3"/>
  <c r="AA7" i="3" s="1"/>
  <c r="Z38" i="3"/>
  <c r="Z7" i="3" s="1"/>
  <c r="X38" i="3"/>
  <c r="X7" i="3" s="1"/>
  <c r="W38" i="3"/>
  <c r="W7" i="3" s="1"/>
  <c r="U38" i="3"/>
  <c r="U7" i="3" s="1"/>
  <c r="T38" i="3"/>
  <c r="T7" i="3" s="1"/>
  <c r="S38" i="3"/>
  <c r="S7" i="3" s="1"/>
  <c r="Q38" i="3"/>
  <c r="Q7" i="3" s="1"/>
  <c r="P38" i="3"/>
  <c r="P7" i="3" s="1"/>
  <c r="O38" i="3"/>
  <c r="O7" i="3" s="1"/>
  <c r="N38" i="3"/>
  <c r="N7" i="3" s="1"/>
  <c r="M38" i="3"/>
  <c r="M7" i="3" s="1"/>
  <c r="L38" i="3"/>
  <c r="L7" i="3" s="1"/>
  <c r="K38" i="3"/>
  <c r="K7" i="3" s="1"/>
  <c r="J38" i="3"/>
  <c r="J7" i="3"/>
  <c r="K2" i="9"/>
  <c r="J2" i="9"/>
  <c r="B153" i="9"/>
  <c r="C60" i="9"/>
  <c r="K2" i="6"/>
  <c r="J2" i="6"/>
  <c r="K2" i="5"/>
  <c r="J2" i="5"/>
  <c r="K2" i="4"/>
  <c r="J2" i="4"/>
  <c r="K2" i="2"/>
  <c r="J2" i="2"/>
  <c r="K2" i="3"/>
  <c r="J2" i="3"/>
  <c r="J3" i="1"/>
  <c r="J3" i="12" s="1"/>
  <c r="J3" i="10"/>
  <c r="J9" i="6"/>
  <c r="J12" i="6" s="1"/>
  <c r="J72" i="9" s="1"/>
  <c r="K8" i="6"/>
  <c r="K63" i="6" s="1"/>
  <c r="K3" i="1"/>
  <c r="K3" i="10" s="1"/>
  <c r="J3" i="9"/>
  <c r="J3" i="3"/>
  <c r="J3" i="2"/>
  <c r="J3" i="5"/>
  <c r="J3" i="6"/>
  <c r="K10" i="6"/>
  <c r="K11" i="6" s="1"/>
  <c r="K3" i="5"/>
  <c r="K3" i="6"/>
  <c r="K3" i="9"/>
  <c r="L72" i="9"/>
  <c r="M10" i="6"/>
  <c r="M11" i="6"/>
  <c r="M35" i="6"/>
  <c r="M36" i="6"/>
  <c r="L80" i="9"/>
  <c r="N10" i="6"/>
  <c r="N11" i="6" s="1"/>
  <c r="M72" i="9"/>
  <c r="M123" i="9"/>
  <c r="M62" i="6"/>
  <c r="N62" i="6"/>
  <c r="N35" i="6"/>
  <c r="N36" i="6"/>
  <c r="M80" i="9"/>
  <c r="M125" i="9" s="1"/>
  <c r="N72" i="9"/>
  <c r="N123" i="9" s="1"/>
  <c r="O10" i="6"/>
  <c r="O11" i="6" s="1"/>
  <c r="N80" i="9"/>
  <c r="O35" i="6"/>
  <c r="O36" i="6" s="1"/>
  <c r="O62" i="6"/>
  <c r="P10" i="6"/>
  <c r="O72" i="9"/>
  <c r="O123" i="9" s="1"/>
  <c r="P35" i="6"/>
  <c r="P36" i="6" s="1"/>
  <c r="O80" i="9"/>
  <c r="P62" i="6"/>
  <c r="N35" i="11" l="1"/>
  <c r="L35" i="11"/>
  <c r="K34" i="11"/>
  <c r="M34" i="11"/>
  <c r="N34" i="11"/>
  <c r="K35" i="11"/>
  <c r="M35" i="11"/>
  <c r="T86" i="5"/>
  <c r="AB86" i="5"/>
  <c r="AJ86" i="5"/>
  <c r="AR86" i="5"/>
  <c r="AR88" i="5" s="1"/>
  <c r="AR26" i="5" s="1"/>
  <c r="AR68" i="5" s="1"/>
  <c r="AZ86" i="5"/>
  <c r="L86" i="5"/>
  <c r="J86" i="5"/>
  <c r="J88" i="5" s="1"/>
  <c r="J26" i="5" s="1"/>
  <c r="J68" i="5" s="1"/>
  <c r="J140" i="9" s="1"/>
  <c r="J141" i="9" s="1"/>
  <c r="W86" i="5"/>
  <c r="W88" i="5" s="1"/>
  <c r="W26" i="5" s="1"/>
  <c r="W68" i="5" s="1"/>
  <c r="W140" i="9" s="1"/>
  <c r="AA86" i="5"/>
  <c r="AA88" i="5" s="1"/>
  <c r="AA26" i="5" s="1"/>
  <c r="AA68" i="5" s="1"/>
  <c r="AE86" i="5"/>
  <c r="AI86" i="5"/>
  <c r="AI88" i="5" s="1"/>
  <c r="AI26" i="5" s="1"/>
  <c r="AI68" i="5" s="1"/>
  <c r="AI140" i="9" s="1"/>
  <c r="AI141" i="9" s="1"/>
  <c r="AM86" i="5"/>
  <c r="AM88" i="5" s="1"/>
  <c r="AM26" i="5" s="1"/>
  <c r="AM68" i="5" s="1"/>
  <c r="AM140" i="9" s="1"/>
  <c r="AM141" i="9" s="1"/>
  <c r="AQ86" i="5"/>
  <c r="V23" i="9"/>
  <c r="V50" i="10"/>
  <c r="V24" i="9" s="1"/>
  <c r="V52" i="10"/>
  <c r="V53" i="10"/>
  <c r="V51" i="10"/>
  <c r="V25" i="9" s="1"/>
  <c r="Z47" i="10"/>
  <c r="AG47" i="10"/>
  <c r="AC23" i="9"/>
  <c r="AC53" i="10"/>
  <c r="AC51" i="10"/>
  <c r="AC25" i="9" s="1"/>
  <c r="AC50" i="10"/>
  <c r="AC52" i="10"/>
  <c r="AD51" i="10"/>
  <c r="AD25" i="9" s="1"/>
  <c r="AD50" i="10"/>
  <c r="AD53" i="10"/>
  <c r="AD52" i="10"/>
  <c r="X47" i="10"/>
  <c r="X53" i="10" s="1"/>
  <c r="AB47" i="10"/>
  <c r="AB23" i="9" s="1"/>
  <c r="AE47" i="10"/>
  <c r="BJ25" i="6"/>
  <c r="BK16" i="6"/>
  <c r="BK18" i="6" s="1"/>
  <c r="BJ15" i="5"/>
  <c r="BK9" i="5"/>
  <c r="BK12" i="5" s="1"/>
  <c r="BJ59" i="5"/>
  <c r="BK53" i="5"/>
  <c r="BK56" i="5" s="1"/>
  <c r="BI49" i="5"/>
  <c r="BI58" i="5"/>
  <c r="BI61" i="5" s="1"/>
  <c r="BH63" i="5"/>
  <c r="BI19" i="5"/>
  <c r="BJ17" i="5"/>
  <c r="BK14" i="5" s="1"/>
  <c r="BJ45" i="5"/>
  <c r="BJ47" i="5" s="1"/>
  <c r="BK39" i="5"/>
  <c r="BK42" i="5" s="1"/>
  <c r="BK2" i="1"/>
  <c r="BJ3" i="1"/>
  <c r="AG21" i="10"/>
  <c r="AG14" i="9" s="1"/>
  <c r="Z23" i="9"/>
  <c r="Z52" i="10"/>
  <c r="Z50" i="10"/>
  <c r="Z24" i="9" s="1"/>
  <c r="Z51" i="10"/>
  <c r="Z25" i="9" s="1"/>
  <c r="Z53" i="10"/>
  <c r="AG23" i="9"/>
  <c r="AG53" i="10"/>
  <c r="AG52" i="10"/>
  <c r="AG51" i="10"/>
  <c r="AG25" i="9" s="1"/>
  <c r="AG50" i="10"/>
  <c r="AG24" i="9" s="1"/>
  <c r="Y23" i="9"/>
  <c r="Y53" i="10"/>
  <c r="Y51" i="10"/>
  <c r="Y25" i="9" s="1"/>
  <c r="Y50" i="10"/>
  <c r="Y52" i="10"/>
  <c r="P47" i="10"/>
  <c r="R47" i="10"/>
  <c r="T47" i="10"/>
  <c r="AU47" i="10"/>
  <c r="AY47" i="10"/>
  <c r="BC47" i="10"/>
  <c r="AH47" i="10"/>
  <c r="AJ47" i="10"/>
  <c r="AL47" i="10"/>
  <c r="AN47" i="10"/>
  <c r="W23" i="9"/>
  <c r="W51" i="10"/>
  <c r="W25" i="9" s="1"/>
  <c r="W50" i="10"/>
  <c r="W24" i="9" s="1"/>
  <c r="W52" i="10"/>
  <c r="W53" i="10"/>
  <c r="AB52" i="10"/>
  <c r="AE23" i="9"/>
  <c r="AE50" i="10"/>
  <c r="AE24" i="9" s="1"/>
  <c r="AE52" i="10"/>
  <c r="AE51" i="10"/>
  <c r="AE25" i="9" s="1"/>
  <c r="AE53" i="10"/>
  <c r="X23" i="9"/>
  <c r="X52" i="10"/>
  <c r="X50" i="10"/>
  <c r="X24" i="9" s="1"/>
  <c r="AA23" i="9"/>
  <c r="AA52" i="10"/>
  <c r="AA53" i="10"/>
  <c r="AA50" i="10"/>
  <c r="AA24" i="9" s="1"/>
  <c r="AA51" i="10"/>
  <c r="AA25" i="9" s="1"/>
  <c r="AF23" i="9"/>
  <c r="AF50" i="10"/>
  <c r="AF24" i="9" s="1"/>
  <c r="AF51" i="10"/>
  <c r="AF25" i="9" s="1"/>
  <c r="AF52" i="10"/>
  <c r="AF53" i="10"/>
  <c r="K47" i="10"/>
  <c r="K23" i="9" s="1"/>
  <c r="BE47" i="10"/>
  <c r="Q47" i="10"/>
  <c r="S47" i="10"/>
  <c r="U47" i="10"/>
  <c r="N47" i="10"/>
  <c r="N23" i="9" s="1"/>
  <c r="AP47" i="10"/>
  <c r="AR47" i="10"/>
  <c r="AU21" i="10"/>
  <c r="AU26" i="10" s="1"/>
  <c r="BA21" i="10"/>
  <c r="BA25" i="10" s="1"/>
  <c r="BA16" i="9" s="1"/>
  <c r="BC21" i="10"/>
  <c r="BC26" i="10" s="1"/>
  <c r="AB21" i="10"/>
  <c r="AB14" i="9" s="1"/>
  <c r="AF21" i="10"/>
  <c r="AF24" i="10" s="1"/>
  <c r="BA14" i="9"/>
  <c r="BC14" i="9"/>
  <c r="BC24" i="10"/>
  <c r="BC15" i="9" s="1"/>
  <c r="BC27" i="10"/>
  <c r="BC25" i="10"/>
  <c r="BC16" i="9" s="1"/>
  <c r="AU14" i="9"/>
  <c r="AU24" i="10"/>
  <c r="AU15" i="9" s="1"/>
  <c r="AU25" i="10"/>
  <c r="AU16" i="9" s="1"/>
  <c r="AF25" i="10"/>
  <c r="AF16" i="9" s="1"/>
  <c r="X21" i="10"/>
  <c r="AT21" i="10"/>
  <c r="AW21" i="10"/>
  <c r="AY21" i="10"/>
  <c r="AZ21" i="10"/>
  <c r="AZ14" i="9" s="1"/>
  <c r="O27" i="10"/>
  <c r="AF27" i="10"/>
  <c r="M21" i="10"/>
  <c r="M25" i="10" s="1"/>
  <c r="M16" i="9" s="1"/>
  <c r="W21" i="10"/>
  <c r="W14" i="9" s="1"/>
  <c r="AY86" i="5"/>
  <c r="R86" i="5"/>
  <c r="R88" i="5" s="1"/>
  <c r="R26" i="5" s="1"/>
  <c r="R68" i="5" s="1"/>
  <c r="V86" i="5"/>
  <c r="V88" i="5" s="1"/>
  <c r="V26" i="5" s="1"/>
  <c r="V68" i="5" s="1"/>
  <c r="Z86" i="5"/>
  <c r="AD86" i="5"/>
  <c r="AD88" i="5" s="1"/>
  <c r="AD26" i="5" s="1"/>
  <c r="AD68" i="5" s="1"/>
  <c r="AD140" i="9" s="1"/>
  <c r="AD141" i="9" s="1"/>
  <c r="AL86" i="5"/>
  <c r="AT86" i="5"/>
  <c r="AT88" i="5" s="1"/>
  <c r="AT26" i="5" s="1"/>
  <c r="AT68" i="5" s="1"/>
  <c r="AT140" i="9" s="1"/>
  <c r="AT141" i="9" s="1"/>
  <c r="BB86" i="5"/>
  <c r="BB88" i="5" s="1"/>
  <c r="BB26" i="5" s="1"/>
  <c r="BB68" i="5" s="1"/>
  <c r="BB31" i="6" s="1"/>
  <c r="AU15" i="12"/>
  <c r="BA15" i="12"/>
  <c r="BC15" i="12"/>
  <c r="AS15" i="12"/>
  <c r="AN15" i="12"/>
  <c r="Y86" i="5"/>
  <c r="Y88" i="5" s="1"/>
  <c r="Y26" i="5" s="1"/>
  <c r="Y68" i="5" s="1"/>
  <c r="Y31" i="6" s="1"/>
  <c r="BC86" i="5"/>
  <c r="BC88" i="5" s="1"/>
  <c r="BC26" i="5" s="1"/>
  <c r="BC68" i="5" s="1"/>
  <c r="BC31" i="6" s="1"/>
  <c r="U15" i="3"/>
  <c r="U7" i="9" s="1"/>
  <c r="S86" i="5"/>
  <c r="S88" i="5" s="1"/>
  <c r="S26" i="5" s="1"/>
  <c r="O125" i="9"/>
  <c r="L25" i="10"/>
  <c r="L16" i="9" s="1"/>
  <c r="L24" i="10"/>
  <c r="L15" i="9" s="1"/>
  <c r="L27" i="10"/>
  <c r="L26" i="10"/>
  <c r="L14" i="9"/>
  <c r="W25" i="10"/>
  <c r="W16" i="9" s="1"/>
  <c r="AG26" i="10"/>
  <c r="K21" i="10"/>
  <c r="K25" i="10" s="1"/>
  <c r="K16" i="9" s="1"/>
  <c r="N28" i="10"/>
  <c r="N85" i="10" s="1"/>
  <c r="N88" i="10" s="1"/>
  <c r="N57" i="6" s="1"/>
  <c r="O58" i="6" s="1"/>
  <c r="M24" i="10"/>
  <c r="M26" i="10"/>
  <c r="M27" i="10"/>
  <c r="AG25" i="10"/>
  <c r="AG16" i="9" s="1"/>
  <c r="AC25" i="10"/>
  <c r="AC16" i="9" s="1"/>
  <c r="AG27" i="10"/>
  <c r="AC24" i="10"/>
  <c r="AC15" i="9" s="1"/>
  <c r="J21" i="10"/>
  <c r="AG24" i="10"/>
  <c r="AG15" i="9" s="1"/>
  <c r="W24" i="10"/>
  <c r="AK21" i="10"/>
  <c r="W26" i="10"/>
  <c r="W27" i="10"/>
  <c r="AC27" i="10"/>
  <c r="O25" i="10"/>
  <c r="O16" i="9" s="1"/>
  <c r="AX21" i="10"/>
  <c r="BB21" i="10"/>
  <c r="BE21" i="10"/>
  <c r="AS21" i="10"/>
  <c r="AJ21" i="10"/>
  <c r="AN21" i="10"/>
  <c r="AR21" i="10"/>
  <c r="AO21" i="10"/>
  <c r="L15" i="3"/>
  <c r="L7" i="9" s="1"/>
  <c r="BB80" i="10"/>
  <c r="BB87" i="10" s="1"/>
  <c r="Q80" i="10"/>
  <c r="Q87" i="10" s="1"/>
  <c r="AL26" i="9"/>
  <c r="T26" i="9"/>
  <c r="AD80" i="10"/>
  <c r="AD87" i="10" s="1"/>
  <c r="AS80" i="10"/>
  <c r="AS87" i="10" s="1"/>
  <c r="AM80" i="10"/>
  <c r="AM87" i="10" s="1"/>
  <c r="AK80" i="10"/>
  <c r="AK87" i="10" s="1"/>
  <c r="AZ80" i="10"/>
  <c r="AZ87" i="10" s="1"/>
  <c r="AC80" i="10"/>
  <c r="AC87" i="10" s="1"/>
  <c r="AR26" i="9"/>
  <c r="AG26" i="9"/>
  <c r="AN26" i="9"/>
  <c r="AI26" i="9"/>
  <c r="BE26" i="9"/>
  <c r="T88" i="5"/>
  <c r="T26" i="5" s="1"/>
  <c r="T68" i="5" s="1"/>
  <c r="T140" i="9" s="1"/>
  <c r="T141" i="9" s="1"/>
  <c r="AB88" i="5"/>
  <c r="AB26" i="5" s="1"/>
  <c r="AB68" i="5" s="1"/>
  <c r="AB140" i="9" s="1"/>
  <c r="AB141" i="9" s="1"/>
  <c r="AJ88" i="5"/>
  <c r="AJ26" i="5" s="1"/>
  <c r="AJ68" i="5" s="1"/>
  <c r="AJ140" i="9" s="1"/>
  <c r="AJ141" i="9" s="1"/>
  <c r="AZ88" i="5"/>
  <c r="AZ26" i="5" s="1"/>
  <c r="AZ68" i="5" s="1"/>
  <c r="AZ140" i="9" s="1"/>
  <c r="AZ141" i="9" s="1"/>
  <c r="AC86" i="5"/>
  <c r="AC88" i="5" s="1"/>
  <c r="AC26" i="5" s="1"/>
  <c r="AC68" i="5" s="1"/>
  <c r="AC31" i="6" s="1"/>
  <c r="AS86" i="5"/>
  <c r="AS88" i="5" s="1"/>
  <c r="AS26" i="5" s="1"/>
  <c r="AS68" i="5" s="1"/>
  <c r="AS140" i="9" s="1"/>
  <c r="AS141" i="9" s="1"/>
  <c r="AW86" i="5"/>
  <c r="AW88" i="5" s="1"/>
  <c r="AW26" i="5" s="1"/>
  <c r="AW68" i="5" s="1"/>
  <c r="AW140" i="9" s="1"/>
  <c r="AW141" i="9" s="1"/>
  <c r="J26" i="11"/>
  <c r="Q82" i="4"/>
  <c r="Q84" i="4" s="1"/>
  <c r="Q12" i="4" s="1"/>
  <c r="P72" i="3"/>
  <c r="P20" i="3" s="1"/>
  <c r="BA26" i="9"/>
  <c r="AS26" i="9"/>
  <c r="AK26" i="9"/>
  <c r="AX80" i="10"/>
  <c r="AX87" i="10" s="1"/>
  <c r="BE80" i="10"/>
  <c r="BE87" i="10" s="1"/>
  <c r="AR15" i="3"/>
  <c r="AR7" i="9" s="1"/>
  <c r="Q66" i="3"/>
  <c r="Q19" i="3" s="1"/>
  <c r="AL80" i="10"/>
  <c r="AL87" i="10" s="1"/>
  <c r="AH26" i="9"/>
  <c r="Q74" i="3"/>
  <c r="Q76" i="3" s="1"/>
  <c r="Q21" i="3" s="1"/>
  <c r="Q69" i="3"/>
  <c r="K9" i="6"/>
  <c r="K12" i="6" s="1"/>
  <c r="Q70" i="3"/>
  <c r="Q33" i="2"/>
  <c r="Q7" i="12" s="1"/>
  <c r="AD26" i="9"/>
  <c r="AM26" i="9"/>
  <c r="M15" i="3"/>
  <c r="M7" i="9" s="1"/>
  <c r="L88" i="5"/>
  <c r="L26" i="5" s="1"/>
  <c r="L68" i="5" s="1"/>
  <c r="L140" i="9" s="1"/>
  <c r="L141" i="9" s="1"/>
  <c r="J15" i="12"/>
  <c r="W80" i="10"/>
  <c r="W87" i="10" s="1"/>
  <c r="AV26" i="9"/>
  <c r="Z88" i="5"/>
  <c r="Z26" i="5" s="1"/>
  <c r="Z68" i="5" s="1"/>
  <c r="Z140" i="9" s="1"/>
  <c r="Z141" i="9" s="1"/>
  <c r="AL88" i="5"/>
  <c r="AL26" i="5" s="1"/>
  <c r="AL68" i="5" s="1"/>
  <c r="AL31" i="6" s="1"/>
  <c r="AE88" i="5"/>
  <c r="AE26" i="5" s="1"/>
  <c r="AE68" i="5" s="1"/>
  <c r="AE31" i="6" s="1"/>
  <c r="AQ88" i="5"/>
  <c r="AQ26" i="5" s="1"/>
  <c r="AQ68" i="5" s="1"/>
  <c r="AQ140" i="9" s="1"/>
  <c r="AQ141" i="9" s="1"/>
  <c r="AY88" i="5"/>
  <c r="AY26" i="5" s="1"/>
  <c r="AY68" i="5" s="1"/>
  <c r="AY140" i="9" s="1"/>
  <c r="AY141" i="9" s="1"/>
  <c r="BC80" i="10"/>
  <c r="BC87" i="10" s="1"/>
  <c r="AU80" i="10"/>
  <c r="AU87" i="10" s="1"/>
  <c r="AZ26" i="9"/>
  <c r="AH15" i="3"/>
  <c r="AH7" i="9" s="1"/>
  <c r="AA15" i="3"/>
  <c r="AA7" i="9" s="1"/>
  <c r="Q72" i="3"/>
  <c r="Q20" i="3" s="1"/>
  <c r="P15" i="3"/>
  <c r="P7" i="9" s="1"/>
  <c r="Q86" i="5"/>
  <c r="Q88" i="5" s="1"/>
  <c r="Q26" i="5" s="1"/>
  <c r="Q68" i="5" s="1"/>
  <c r="Q140" i="9" s="1"/>
  <c r="Q141" i="9" s="1"/>
  <c r="AG86" i="5"/>
  <c r="AG88" i="5" s="1"/>
  <c r="AG26" i="5" s="1"/>
  <c r="AG68" i="5" s="1"/>
  <c r="AG31" i="6" s="1"/>
  <c r="AO86" i="5"/>
  <c r="AO88" i="5" s="1"/>
  <c r="AO26" i="5" s="1"/>
  <c r="AO68" i="5" s="1"/>
  <c r="AO31" i="6" s="1"/>
  <c r="L90" i="3"/>
  <c r="L92" i="3" s="1"/>
  <c r="L26" i="3" s="1"/>
  <c r="AM15" i="3"/>
  <c r="AM7" i="9" s="1"/>
  <c r="BE15" i="3"/>
  <c r="BE7" i="9" s="1"/>
  <c r="L33" i="2"/>
  <c r="U86" i="5"/>
  <c r="U88" i="5" s="1"/>
  <c r="U26" i="5" s="1"/>
  <c r="U68" i="5" s="1"/>
  <c r="AD15" i="3"/>
  <c r="AD7" i="9" s="1"/>
  <c r="AU86" i="5"/>
  <c r="AU88" i="5" s="1"/>
  <c r="AU26" i="5" s="1"/>
  <c r="AU68" i="5" s="1"/>
  <c r="AU140" i="9" s="1"/>
  <c r="AV86" i="5"/>
  <c r="AV88" i="5" s="1"/>
  <c r="AV26" i="5" s="1"/>
  <c r="AV68" i="5" s="1"/>
  <c r="AV140" i="9" s="1"/>
  <c r="AV141" i="9" s="1"/>
  <c r="AH86" i="5"/>
  <c r="AH88" i="5" s="1"/>
  <c r="AH26" i="5" s="1"/>
  <c r="AH68" i="5" s="1"/>
  <c r="AH140" i="9" s="1"/>
  <c r="AH141" i="9" s="1"/>
  <c r="AX86" i="5"/>
  <c r="AX88" i="5" s="1"/>
  <c r="AX26" i="5" s="1"/>
  <c r="AX68" i="5" s="1"/>
  <c r="AX140" i="9" s="1"/>
  <c r="AX141" i="9" s="1"/>
  <c r="AK86" i="5"/>
  <c r="AK88" i="5" s="1"/>
  <c r="AK26" i="5" s="1"/>
  <c r="AK68" i="5" s="1"/>
  <c r="AK31" i="6" s="1"/>
  <c r="AG15" i="3"/>
  <c r="AY15" i="3"/>
  <c r="AY7" i="9" s="1"/>
  <c r="K112" i="4"/>
  <c r="K114" i="4" s="1"/>
  <c r="K18" i="4" s="1"/>
  <c r="K119" i="4"/>
  <c r="K19" i="4" s="1"/>
  <c r="P86" i="5"/>
  <c r="P88" i="5" s="1"/>
  <c r="P26" i="5" s="1"/>
  <c r="P68" i="5" s="1"/>
  <c r="P31" i="6" s="1"/>
  <c r="X86" i="5"/>
  <c r="X88" i="5" s="1"/>
  <c r="X26" i="5" s="1"/>
  <c r="X68" i="5" s="1"/>
  <c r="X140" i="9" s="1"/>
  <c r="X141" i="9" s="1"/>
  <c r="AF86" i="5"/>
  <c r="AF88" i="5" s="1"/>
  <c r="AF26" i="5" s="1"/>
  <c r="AF68" i="5" s="1"/>
  <c r="AF140" i="9" s="1"/>
  <c r="AF141" i="9" s="1"/>
  <c r="AN86" i="5"/>
  <c r="AN88" i="5" s="1"/>
  <c r="AN26" i="5" s="1"/>
  <c r="AN68" i="5" s="1"/>
  <c r="AN140" i="9" s="1"/>
  <c r="AN141" i="9" s="1"/>
  <c r="O15" i="3"/>
  <c r="O7" i="9" s="1"/>
  <c r="K107" i="4"/>
  <c r="K109" i="4" s="1"/>
  <c r="K17" i="4" s="1"/>
  <c r="AW15" i="3"/>
  <c r="AW7" i="9" s="1"/>
  <c r="N15" i="3"/>
  <c r="N7" i="9" s="1"/>
  <c r="AS15" i="3"/>
  <c r="AS7" i="9" s="1"/>
  <c r="BC15" i="3"/>
  <c r="BC7" i="9" s="1"/>
  <c r="AY15" i="12"/>
  <c r="R15" i="3"/>
  <c r="R7" i="9" s="1"/>
  <c r="AF15" i="3"/>
  <c r="AF7" i="9" s="1"/>
  <c r="O31" i="6"/>
  <c r="AC15" i="3"/>
  <c r="AC7" i="9" s="1"/>
  <c r="M86" i="5"/>
  <c r="M88" i="5" s="1"/>
  <c r="M26" i="5" s="1"/>
  <c r="M68" i="5" s="1"/>
  <c r="M140" i="9" s="1"/>
  <c r="M141" i="9" s="1"/>
  <c r="AT15" i="3"/>
  <c r="AT7" i="9" s="1"/>
  <c r="K102" i="4"/>
  <c r="K104" i="4" s="1"/>
  <c r="K16" i="4" s="1"/>
  <c r="AU15" i="3"/>
  <c r="AU7" i="9" s="1"/>
  <c r="AP15" i="3"/>
  <c r="AP7" i="9" s="1"/>
  <c r="BD15" i="3"/>
  <c r="BD7" i="9" s="1"/>
  <c r="K15" i="3"/>
  <c r="K7" i="9" s="1"/>
  <c r="AK15" i="3"/>
  <c r="AK7" i="9" s="1"/>
  <c r="Y15" i="3"/>
  <c r="Y7" i="9" s="1"/>
  <c r="Z15" i="3"/>
  <c r="Z7" i="9" s="1"/>
  <c r="AX15" i="3"/>
  <c r="AX7" i="9" s="1"/>
  <c r="K86" i="5"/>
  <c r="K88" i="5" s="1"/>
  <c r="K26" i="5" s="1"/>
  <c r="K68" i="5" s="1"/>
  <c r="K31" i="6" s="1"/>
  <c r="AN31" i="6"/>
  <c r="AV15" i="3"/>
  <c r="AV7" i="9" s="1"/>
  <c r="AA15" i="12"/>
  <c r="AH15" i="12"/>
  <c r="AO15" i="3"/>
  <c r="AO7" i="9" s="1"/>
  <c r="K92" i="4"/>
  <c r="K94" i="4" s="1"/>
  <c r="K14" i="4" s="1"/>
  <c r="K78" i="3"/>
  <c r="K80" i="3" s="1"/>
  <c r="K23" i="3" s="1"/>
  <c r="K31" i="3" s="1"/>
  <c r="K8" i="9" s="1"/>
  <c r="AQ15" i="3"/>
  <c r="AQ7" i="9" s="1"/>
  <c r="K97" i="4"/>
  <c r="K99" i="4" s="1"/>
  <c r="K15" i="4" s="1"/>
  <c r="L82" i="3"/>
  <c r="L84" i="3" s="1"/>
  <c r="L24" i="3" s="1"/>
  <c r="L94" i="3"/>
  <c r="L96" i="3" s="1"/>
  <c r="L27" i="3" s="1"/>
  <c r="V15" i="3"/>
  <c r="V7" i="9" s="1"/>
  <c r="N15" i="12"/>
  <c r="Q15" i="12"/>
  <c r="AL15" i="3"/>
  <c r="AL7" i="9" s="1"/>
  <c r="L37" i="2"/>
  <c r="L78" i="3" s="1"/>
  <c r="L80" i="3" s="1"/>
  <c r="L23" i="3" s="1"/>
  <c r="J15" i="3"/>
  <c r="J7" i="9" s="1"/>
  <c r="BA86" i="5"/>
  <c r="BA88" i="5" s="1"/>
  <c r="BA26" i="5" s="1"/>
  <c r="BA68" i="5" s="1"/>
  <c r="BA31" i="6" s="1"/>
  <c r="BD86" i="5"/>
  <c r="BD88" i="5" s="1"/>
  <c r="BD26" i="5" s="1"/>
  <c r="BD68" i="5" s="1"/>
  <c r="X15" i="3"/>
  <c r="X7" i="9" s="1"/>
  <c r="AN15" i="3"/>
  <c r="AN7" i="9" s="1"/>
  <c r="AZ15" i="3"/>
  <c r="AZ7" i="9" s="1"/>
  <c r="AE15" i="3"/>
  <c r="AE7" i="9" s="1"/>
  <c r="BE86" i="5"/>
  <c r="BE88" i="5" s="1"/>
  <c r="BE26" i="5" s="1"/>
  <c r="BE68" i="5" s="1"/>
  <c r="Y140" i="9"/>
  <c r="Y141" i="9" s="1"/>
  <c r="S15" i="3"/>
  <c r="S7" i="9" s="1"/>
  <c r="AI15" i="3"/>
  <c r="AI7" i="9" s="1"/>
  <c r="BA15" i="3"/>
  <c r="BA7" i="9" s="1"/>
  <c r="BB15" i="12"/>
  <c r="BE15" i="12"/>
  <c r="J25" i="4"/>
  <c r="J13" i="9" s="1"/>
  <c r="M94" i="3"/>
  <c r="M96" i="3" s="1"/>
  <c r="M27" i="3" s="1"/>
  <c r="M45" i="2"/>
  <c r="N94" i="3" s="1"/>
  <c r="N96" i="3" s="1"/>
  <c r="N27" i="3" s="1"/>
  <c r="L119" i="4"/>
  <c r="L19" i="4" s="1"/>
  <c r="L112" i="4"/>
  <c r="L114" i="4" s="1"/>
  <c r="L18" i="4" s="1"/>
  <c r="L107" i="4"/>
  <c r="L109" i="4" s="1"/>
  <c r="L17" i="4" s="1"/>
  <c r="W15" i="3"/>
  <c r="W7" i="9" s="1"/>
  <c r="T15" i="3"/>
  <c r="T7" i="9" s="1"/>
  <c r="BB15" i="3"/>
  <c r="BB7" i="9" s="1"/>
  <c r="R64" i="3"/>
  <c r="R66" i="3" s="1"/>
  <c r="R19" i="3" s="1"/>
  <c r="K15" i="12"/>
  <c r="AL15" i="12"/>
  <c r="AO15" i="12"/>
  <c r="Q15" i="3"/>
  <c r="Q7" i="9" s="1"/>
  <c r="J31" i="3"/>
  <c r="J8" i="9" s="1"/>
  <c r="R82" i="4"/>
  <c r="R84" i="4" s="1"/>
  <c r="R12" i="4" s="1"/>
  <c r="R15" i="12"/>
  <c r="AI15" i="12"/>
  <c r="R69" i="3"/>
  <c r="J9" i="12"/>
  <c r="V15" i="12"/>
  <c r="Y15" i="12"/>
  <c r="AP15" i="12"/>
  <c r="AB15" i="3"/>
  <c r="AB7" i="9" s="1"/>
  <c r="Q74" i="4"/>
  <c r="Q10" i="4" s="1"/>
  <c r="S15" i="12"/>
  <c r="AT15" i="12"/>
  <c r="AW15" i="12"/>
  <c r="J46" i="4"/>
  <c r="J27" i="9" s="1"/>
  <c r="J28" i="9" s="1"/>
  <c r="R70" i="3"/>
  <c r="L41" i="2"/>
  <c r="N31" i="6"/>
  <c r="Z15" i="12"/>
  <c r="AQ15" i="12"/>
  <c r="R33" i="2"/>
  <c r="S64" i="3" s="1"/>
  <c r="S66" i="3" s="1"/>
  <c r="S19" i="3" s="1"/>
  <c r="AD15" i="12"/>
  <c r="AG15" i="12"/>
  <c r="AX15" i="12"/>
  <c r="AJ15" i="3"/>
  <c r="AJ7" i="9" s="1"/>
  <c r="J123" i="9"/>
  <c r="N125" i="9"/>
  <c r="AG7" i="9"/>
  <c r="K3" i="12"/>
  <c r="K3" i="2"/>
  <c r="K3" i="3"/>
  <c r="K3" i="4"/>
  <c r="J35" i="11"/>
  <c r="J34" i="11"/>
  <c r="J3" i="4"/>
  <c r="L34" i="11"/>
  <c r="O41" i="6"/>
  <c r="O43" i="6" s="1"/>
  <c r="N81" i="9"/>
  <c r="R74" i="3"/>
  <c r="R76" i="3" s="1"/>
  <c r="R21" i="3" s="1"/>
  <c r="AW31" i="6"/>
  <c r="AA140" i="9"/>
  <c r="AA141" i="9" s="1"/>
  <c r="AA31" i="6"/>
  <c r="AP140" i="9"/>
  <c r="AP141" i="9" s="1"/>
  <c r="AP31" i="6"/>
  <c r="R140" i="9"/>
  <c r="R141" i="9" s="1"/>
  <c r="R31" i="6"/>
  <c r="AF80" i="10"/>
  <c r="AF87" i="10" s="1"/>
  <c r="AF26" i="9"/>
  <c r="S70" i="3"/>
  <c r="Y80" i="10"/>
  <c r="Y87" i="10" s="1"/>
  <c r="Y26" i="9"/>
  <c r="AJ31" i="6"/>
  <c r="V54" i="10"/>
  <c r="V86" i="10" s="1"/>
  <c r="M16" i="6"/>
  <c r="M18" i="6" s="1"/>
  <c r="L25" i="6"/>
  <c r="L73" i="9" s="1"/>
  <c r="K59" i="5"/>
  <c r="K61" i="5" s="1"/>
  <c r="L53" i="5"/>
  <c r="L56" i="5" s="1"/>
  <c r="AW77" i="10"/>
  <c r="AW26" i="9" s="1"/>
  <c r="X77" i="10"/>
  <c r="AW79" i="10"/>
  <c r="W79" i="6"/>
  <c r="W81" i="6" s="1"/>
  <c r="V95" i="9"/>
  <c r="M9" i="5"/>
  <c r="M12" i="5" s="1"/>
  <c r="L15" i="5"/>
  <c r="L17" i="5" s="1"/>
  <c r="BD77" i="10"/>
  <c r="BD78" i="10"/>
  <c r="AQ76" i="10"/>
  <c r="K84" i="9"/>
  <c r="L39" i="5"/>
  <c r="L42" i="5" s="1"/>
  <c r="K45" i="5"/>
  <c r="L84" i="9"/>
  <c r="M73" i="6"/>
  <c r="M75" i="6" s="1"/>
  <c r="K2" i="10"/>
  <c r="J45" i="5"/>
  <c r="L2" i="1"/>
  <c r="AY73" i="10"/>
  <c r="AV21" i="10"/>
  <c r="BD21" i="10"/>
  <c r="Y21" i="10"/>
  <c r="AA21" i="10"/>
  <c r="AE21" i="10"/>
  <c r="K8" i="12"/>
  <c r="K153" i="4" s="1"/>
  <c r="K155" i="4" s="1"/>
  <c r="K32" i="4" s="1"/>
  <c r="K46" i="4" s="1"/>
  <c r="P21" i="10"/>
  <c r="T21" i="10"/>
  <c r="AM47" i="10"/>
  <c r="AT47" i="10"/>
  <c r="AX47" i="10"/>
  <c r="BB47" i="10"/>
  <c r="S21" i="10"/>
  <c r="AK47" i="10"/>
  <c r="AS47" i="10"/>
  <c r="Z21" i="10"/>
  <c r="V21" i="10"/>
  <c r="AD21" i="10"/>
  <c r="AI21" i="10"/>
  <c r="AM21" i="10"/>
  <c r="AQ21" i="10"/>
  <c r="AW47" i="10"/>
  <c r="BA47" i="10"/>
  <c r="R21" i="10"/>
  <c r="AI47" i="10"/>
  <c r="AQ47" i="10"/>
  <c r="AH21" i="10"/>
  <c r="AL21" i="10"/>
  <c r="AP21" i="10"/>
  <c r="AV47" i="10"/>
  <c r="AZ47" i="10"/>
  <c r="BD47" i="10"/>
  <c r="Q21" i="10"/>
  <c r="U21" i="10"/>
  <c r="AO47" i="10"/>
  <c r="K146" i="11"/>
  <c r="L146" i="11"/>
  <c r="L133" i="11"/>
  <c r="AR140" i="9" l="1"/>
  <c r="AR141" i="9" s="1"/>
  <c r="AR31" i="6"/>
  <c r="J10" i="9"/>
  <c r="AG140" i="9"/>
  <c r="AG141" i="9" s="1"/>
  <c r="AE140" i="9"/>
  <c r="AE141" i="9" s="1"/>
  <c r="BE140" i="9"/>
  <c r="BE141" i="9" s="1"/>
  <c r="BE31" i="6"/>
  <c r="BD140" i="9"/>
  <c r="BD141" i="9" s="1"/>
  <c r="BD31" i="6"/>
  <c r="AY31" i="6"/>
  <c r="K23" i="11"/>
  <c r="AD24" i="9"/>
  <c r="AD54" i="10"/>
  <c r="AD86" i="10" s="1"/>
  <c r="AB50" i="10"/>
  <c r="AB24" i="9" s="1"/>
  <c r="K24" i="11" s="1"/>
  <c r="X51" i="10"/>
  <c r="X25" i="9" s="1"/>
  <c r="AE54" i="10"/>
  <c r="AE86" i="10" s="1"/>
  <c r="AB53" i="10"/>
  <c r="AG54" i="10"/>
  <c r="AG86" i="10" s="1"/>
  <c r="AC24" i="9"/>
  <c r="AC54" i="10"/>
  <c r="AC86" i="10" s="1"/>
  <c r="AB51" i="10"/>
  <c r="AB25" i="9" s="1"/>
  <c r="BK25" i="6"/>
  <c r="BL16" i="6"/>
  <c r="BL18" i="6" s="1"/>
  <c r="BK44" i="5"/>
  <c r="BJ49" i="5"/>
  <c r="BJ58" i="5"/>
  <c r="BJ61" i="5" s="1"/>
  <c r="BI63" i="5"/>
  <c r="BK15" i="5"/>
  <c r="BK17" i="5" s="1"/>
  <c r="BL9" i="5"/>
  <c r="BL12" i="5" s="1"/>
  <c r="BJ19" i="5"/>
  <c r="BK45" i="5"/>
  <c r="BL39" i="5"/>
  <c r="BL42" i="5" s="1"/>
  <c r="BK59" i="5"/>
  <c r="BL53" i="5"/>
  <c r="BL56" i="5" s="1"/>
  <c r="BL2" i="1"/>
  <c r="BK3" i="1"/>
  <c r="Z54" i="10"/>
  <c r="Z86" i="10" s="1"/>
  <c r="AJ23" i="9"/>
  <c r="AJ53" i="10"/>
  <c r="AJ51" i="10"/>
  <c r="AJ25" i="9" s="1"/>
  <c r="AJ50" i="10"/>
  <c r="AJ52" i="10"/>
  <c r="AU23" i="9"/>
  <c r="AU53" i="10"/>
  <c r="AU50" i="10"/>
  <c r="AU51" i="10"/>
  <c r="AU25" i="9" s="1"/>
  <c r="AU52" i="10"/>
  <c r="AY23" i="9"/>
  <c r="AY50" i="10"/>
  <c r="AY24" i="9" s="1"/>
  <c r="AY53" i="10"/>
  <c r="AY51" i="10"/>
  <c r="AY25" i="9" s="1"/>
  <c r="AY52" i="10"/>
  <c r="P23" i="9"/>
  <c r="P50" i="10"/>
  <c r="P51" i="10"/>
  <c r="P25" i="9" s="1"/>
  <c r="P52" i="10"/>
  <c r="P53" i="10"/>
  <c r="W54" i="10"/>
  <c r="W86" i="10" s="1"/>
  <c r="X54" i="10"/>
  <c r="X86" i="10" s="1"/>
  <c r="AF54" i="10"/>
  <c r="AF86" i="10" s="1"/>
  <c r="AH23" i="9"/>
  <c r="AH50" i="10"/>
  <c r="AH51" i="10"/>
  <c r="AH25" i="9" s="1"/>
  <c r="AH52" i="10"/>
  <c r="AH53" i="10"/>
  <c r="T23" i="9"/>
  <c r="T50" i="10"/>
  <c r="T52" i="10"/>
  <c r="T53" i="10"/>
  <c r="T51" i="10"/>
  <c r="T25" i="9" s="1"/>
  <c r="Y24" i="9"/>
  <c r="Y54" i="10"/>
  <c r="Y86" i="10" s="1"/>
  <c r="AL23" i="9"/>
  <c r="AL50" i="10"/>
  <c r="AL51" i="10"/>
  <c r="AL25" i="9" s="1"/>
  <c r="AL52" i="10"/>
  <c r="AL53" i="10"/>
  <c r="AN23" i="9"/>
  <c r="AN51" i="10"/>
  <c r="AN25" i="9" s="1"/>
  <c r="AN52" i="10"/>
  <c r="AN53" i="10"/>
  <c r="AN50" i="10"/>
  <c r="BC23" i="9"/>
  <c r="BC50" i="10"/>
  <c r="BC51" i="10"/>
  <c r="BC25" i="9" s="1"/>
  <c r="BC52" i="10"/>
  <c r="BC53" i="10"/>
  <c r="R23" i="9"/>
  <c r="R50" i="10"/>
  <c r="R51" i="10"/>
  <c r="R25" i="9" s="1"/>
  <c r="R52" i="10"/>
  <c r="R53" i="10"/>
  <c r="AR23" i="9"/>
  <c r="AR52" i="10"/>
  <c r="AR51" i="10"/>
  <c r="AR25" i="9" s="1"/>
  <c r="AR50" i="10"/>
  <c r="AR24" i="9" s="1"/>
  <c r="AR53" i="10"/>
  <c r="S23" i="9"/>
  <c r="S53" i="10"/>
  <c r="S50" i="10"/>
  <c r="S52" i="10"/>
  <c r="S51" i="10"/>
  <c r="S25" i="9" s="1"/>
  <c r="AP50" i="10"/>
  <c r="AP51" i="10"/>
  <c r="AP25" i="9" s="1"/>
  <c r="AP23" i="9"/>
  <c r="AP53" i="10"/>
  <c r="AP52" i="10"/>
  <c r="Q23" i="9"/>
  <c r="Q51" i="10"/>
  <c r="Q25" i="9" s="1"/>
  <c r="Q53" i="10"/>
  <c r="Q52" i="10"/>
  <c r="Q50" i="10"/>
  <c r="AA54" i="10"/>
  <c r="AA86" i="10" s="1"/>
  <c r="U23" i="9"/>
  <c r="U51" i="10"/>
  <c r="U25" i="9" s="1"/>
  <c r="U50" i="10"/>
  <c r="U53" i="10"/>
  <c r="U52" i="10"/>
  <c r="BE23" i="9"/>
  <c r="BE51" i="10"/>
  <c r="BE25" i="9" s="1"/>
  <c r="BE53" i="10"/>
  <c r="BE52" i="10"/>
  <c r="BE50" i="10"/>
  <c r="BC28" i="10"/>
  <c r="BC85" i="10" s="1"/>
  <c r="BA24" i="10"/>
  <c r="BA15" i="9" s="1"/>
  <c r="BA27" i="10"/>
  <c r="AF15" i="9"/>
  <c r="AC28" i="10"/>
  <c r="AC85" i="10" s="1"/>
  <c r="AZ24" i="10"/>
  <c r="AZ15" i="9" s="1"/>
  <c r="M14" i="9"/>
  <c r="BA26" i="10"/>
  <c r="AB24" i="10"/>
  <c r="AU27" i="10"/>
  <c r="AU28" i="10" s="1"/>
  <c r="AU85" i="10" s="1"/>
  <c r="AB25" i="10"/>
  <c r="AB16" i="9" s="1"/>
  <c r="AB26" i="10"/>
  <c r="AB27" i="10"/>
  <c r="AF14" i="9"/>
  <c r="AF26" i="10"/>
  <c r="AF28" i="10" s="1"/>
  <c r="AF85" i="10" s="1"/>
  <c r="AF88" i="10" s="1"/>
  <c r="AF57" i="6" s="1"/>
  <c r="AG58" i="6" s="1"/>
  <c r="AZ27" i="10"/>
  <c r="AZ25" i="10"/>
  <c r="AZ16" i="9" s="1"/>
  <c r="AZ26" i="10"/>
  <c r="AW14" i="9"/>
  <c r="AW27" i="10"/>
  <c r="AW25" i="10"/>
  <c r="AW16" i="9" s="1"/>
  <c r="AW24" i="10"/>
  <c r="AW26" i="10"/>
  <c r="AT14" i="9"/>
  <c r="AT27" i="10"/>
  <c r="AT24" i="10"/>
  <c r="AT26" i="10"/>
  <c r="AT25" i="10"/>
  <c r="AT16" i="9" s="1"/>
  <c r="L28" i="10"/>
  <c r="L85" i="10" s="1"/>
  <c r="L88" i="10" s="1"/>
  <c r="L57" i="6" s="1"/>
  <c r="M58" i="6" s="1"/>
  <c r="X14" i="9"/>
  <c r="X27" i="10"/>
  <c r="X24" i="10"/>
  <c r="X15" i="9" s="1"/>
  <c r="X26" i="10"/>
  <c r="X25" i="10"/>
  <c r="X16" i="9" s="1"/>
  <c r="AY14" i="9"/>
  <c r="AY24" i="10"/>
  <c r="AY25" i="10"/>
  <c r="AY16" i="9" s="1"/>
  <c r="AY26" i="10"/>
  <c r="AY27" i="10"/>
  <c r="AQ31" i="6"/>
  <c r="AL140" i="9"/>
  <c r="AL141" i="9" s="1"/>
  <c r="W31" i="6"/>
  <c r="J31" i="6"/>
  <c r="J32" i="6" s="1"/>
  <c r="AT31" i="6"/>
  <c r="AZ31" i="6"/>
  <c r="J28" i="5"/>
  <c r="K25" i="5" s="1"/>
  <c r="J70" i="5"/>
  <c r="AK140" i="9"/>
  <c r="AK141" i="9" s="1"/>
  <c r="AU31" i="6"/>
  <c r="AC140" i="9"/>
  <c r="AC141" i="9" s="1"/>
  <c r="BC140" i="9"/>
  <c r="BC141" i="9" s="1"/>
  <c r="K140" i="9"/>
  <c r="AB31" i="6"/>
  <c r="V31" i="6"/>
  <c r="V140" i="9"/>
  <c r="V141" i="9" s="1"/>
  <c r="U31" i="6"/>
  <c r="U140" i="9"/>
  <c r="U141" i="9" s="1"/>
  <c r="T31" i="6"/>
  <c r="S68" i="5"/>
  <c r="S140" i="9" s="1"/>
  <c r="S141" i="9" s="1"/>
  <c r="K24" i="10"/>
  <c r="K27" i="10"/>
  <c r="K26" i="10"/>
  <c r="K14" i="9"/>
  <c r="O28" i="10"/>
  <c r="O85" i="10" s="1"/>
  <c r="O88" i="10" s="1"/>
  <c r="O57" i="6" s="1"/>
  <c r="P58" i="6" s="1"/>
  <c r="J14" i="9"/>
  <c r="J26" i="10"/>
  <c r="J25" i="10"/>
  <c r="J16" i="9" s="1"/>
  <c r="J27" i="10"/>
  <c r="J24" i="10"/>
  <c r="AG28" i="10"/>
  <c r="AG85" i="10" s="1"/>
  <c r="AK14" i="9"/>
  <c r="AK27" i="10"/>
  <c r="AK24" i="10"/>
  <c r="AK25" i="10"/>
  <c r="AK16" i="9" s="1"/>
  <c r="AK26" i="10"/>
  <c r="M28" i="10"/>
  <c r="M85" i="10" s="1"/>
  <c r="M88" i="10" s="1"/>
  <c r="M57" i="6" s="1"/>
  <c r="N58" i="6" s="1"/>
  <c r="M15" i="9"/>
  <c r="W15" i="9"/>
  <c r="W28" i="10"/>
  <c r="W85" i="10" s="1"/>
  <c r="BE14" i="9"/>
  <c r="BE26" i="10"/>
  <c r="BE27" i="10"/>
  <c r="BE25" i="10"/>
  <c r="BE16" i="9" s="1"/>
  <c r="BE24" i="10"/>
  <c r="BB14" i="9"/>
  <c r="BB26" i="10"/>
  <c r="BB27" i="10"/>
  <c r="BB24" i="10"/>
  <c r="BB25" i="10"/>
  <c r="BB16" i="9" s="1"/>
  <c r="AS14" i="9"/>
  <c r="AS25" i="10"/>
  <c r="AS16" i="9" s="1"/>
  <c r="AS27" i="10"/>
  <c r="AS24" i="10"/>
  <c r="AS26" i="10"/>
  <c r="AX14" i="9"/>
  <c r="AX25" i="10"/>
  <c r="AX16" i="9" s="1"/>
  <c r="AX27" i="10"/>
  <c r="AX26" i="10"/>
  <c r="AX24" i="10"/>
  <c r="AX15" i="9" s="1"/>
  <c r="AO14" i="9"/>
  <c r="AO27" i="10"/>
  <c r="AO26" i="10"/>
  <c r="AO24" i="10"/>
  <c r="AO25" i="10"/>
  <c r="AO16" i="9" s="1"/>
  <c r="AR14" i="9"/>
  <c r="AR27" i="10"/>
  <c r="AR24" i="10"/>
  <c r="AR25" i="10"/>
  <c r="AR16" i="9" s="1"/>
  <c r="AR26" i="10"/>
  <c r="AN14" i="9"/>
  <c r="AN24" i="10"/>
  <c r="AN25" i="10"/>
  <c r="AN16" i="9" s="1"/>
  <c r="AN26" i="10"/>
  <c r="AN27" i="10"/>
  <c r="AJ14" i="9"/>
  <c r="AJ25" i="10"/>
  <c r="AJ16" i="9" s="1"/>
  <c r="AJ26" i="10"/>
  <c r="AJ27" i="10"/>
  <c r="AJ24" i="10"/>
  <c r="M31" i="6"/>
  <c r="BD80" i="10"/>
  <c r="BD87" i="10" s="1"/>
  <c r="AD31" i="6"/>
  <c r="AM31" i="6"/>
  <c r="BB140" i="9"/>
  <c r="BB141" i="9" s="1"/>
  <c r="P140" i="9"/>
  <c r="P141" i="9" s="1"/>
  <c r="AS31" i="6"/>
  <c r="AV31" i="6"/>
  <c r="L31" i="6"/>
  <c r="AF31" i="6"/>
  <c r="AW80" i="10"/>
  <c r="AW87" i="10" s="1"/>
  <c r="AI31" i="6"/>
  <c r="BA140" i="9"/>
  <c r="BA141" i="9" s="1"/>
  <c r="Z31" i="6"/>
  <c r="BD26" i="9"/>
  <c r="S69" i="3"/>
  <c r="S72" i="3" s="1"/>
  <c r="S20" i="3" s="1"/>
  <c r="Q31" i="6"/>
  <c r="AX31" i="6"/>
  <c r="AO140" i="9"/>
  <c r="AO141" i="9" s="1"/>
  <c r="L141" i="11" s="1"/>
  <c r="R72" i="3"/>
  <c r="R20" i="3" s="1"/>
  <c r="AH31" i="6"/>
  <c r="K10" i="9"/>
  <c r="L8" i="12"/>
  <c r="L153" i="4" s="1"/>
  <c r="L155" i="4" s="1"/>
  <c r="L32" i="4" s="1"/>
  <c r="L46" i="4" s="1"/>
  <c r="L30" i="6" s="1"/>
  <c r="L7" i="12"/>
  <c r="M33" i="2"/>
  <c r="K25" i="4"/>
  <c r="K13" i="9" s="1"/>
  <c r="X31" i="6"/>
  <c r="M82" i="3"/>
  <c r="M84" i="3" s="1"/>
  <c r="M24" i="3" s="1"/>
  <c r="M37" i="2"/>
  <c r="L92" i="4"/>
  <c r="L94" i="4" s="1"/>
  <c r="L14" i="4" s="1"/>
  <c r="L87" i="4"/>
  <c r="L89" i="4" s="1"/>
  <c r="L13" i="4" s="1"/>
  <c r="J33" i="6"/>
  <c r="J64" i="6" s="1"/>
  <c r="J65" i="6" s="1"/>
  <c r="J67" i="6" s="1"/>
  <c r="K62" i="6" s="1"/>
  <c r="M112" i="4"/>
  <c r="M114" i="4" s="1"/>
  <c r="M18" i="4" s="1"/>
  <c r="N45" i="2"/>
  <c r="M107" i="4"/>
  <c r="M109" i="4" s="1"/>
  <c r="M17" i="4" s="1"/>
  <c r="M119" i="4"/>
  <c r="M19" i="4" s="1"/>
  <c r="S84" i="4"/>
  <c r="S12" i="4" s="1"/>
  <c r="R7" i="12"/>
  <c r="S33" i="2"/>
  <c r="Y98" i="3" s="1"/>
  <c r="Y100" i="3" s="1"/>
  <c r="Y22" i="3" s="1"/>
  <c r="S74" i="3"/>
  <c r="S76" i="3" s="1"/>
  <c r="S21" i="3" s="1"/>
  <c r="R72" i="4"/>
  <c r="R74" i="4" s="1"/>
  <c r="R10" i="4" s="1"/>
  <c r="M41" i="2"/>
  <c r="L102" i="4"/>
  <c r="L104" i="4" s="1"/>
  <c r="L16" i="4" s="1"/>
  <c r="L97" i="4"/>
  <c r="L99" i="4" s="1"/>
  <c r="L15" i="4" s="1"/>
  <c r="L86" i="3"/>
  <c r="L88" i="3" s="1"/>
  <c r="L25" i="3" s="1"/>
  <c r="L31" i="3" s="1"/>
  <c r="M90" i="3"/>
  <c r="M92" i="3" s="1"/>
  <c r="M26" i="3" s="1"/>
  <c r="M14" i="5"/>
  <c r="L19" i="5"/>
  <c r="L67" i="9" s="1"/>
  <c r="K30" i="6"/>
  <c r="K32" i="6" s="1"/>
  <c r="K27" i="9"/>
  <c r="L2" i="12"/>
  <c r="M2" i="1"/>
  <c r="L2" i="10"/>
  <c r="L3" i="1"/>
  <c r="L2" i="9"/>
  <c r="L2" i="6"/>
  <c r="L2" i="3"/>
  <c r="L2" i="2"/>
  <c r="L2" i="4"/>
  <c r="L2" i="5"/>
  <c r="AV23" i="9"/>
  <c r="AV50" i="10"/>
  <c r="AV52" i="10"/>
  <c r="AV53" i="10"/>
  <c r="AV51" i="10"/>
  <c r="AV25" i="9" s="1"/>
  <c r="AW23" i="9"/>
  <c r="AW50" i="10"/>
  <c r="AW51" i="10"/>
  <c r="AW25" i="9" s="1"/>
  <c r="AW52" i="10"/>
  <c r="AW53" i="10"/>
  <c r="AK23" i="9"/>
  <c r="AK51" i="10"/>
  <c r="AK25" i="9" s="1"/>
  <c r="AK50" i="10"/>
  <c r="AK53" i="10"/>
  <c r="AK52" i="10"/>
  <c r="K9" i="12"/>
  <c r="K141" i="9"/>
  <c r="K63" i="5"/>
  <c r="L58" i="5"/>
  <c r="W141" i="9"/>
  <c r="K7" i="11"/>
  <c r="D8" i="13" s="1"/>
  <c r="AP14" i="9"/>
  <c r="AP24" i="10"/>
  <c r="AP26" i="10"/>
  <c r="AP27" i="10"/>
  <c r="AP25" i="10"/>
  <c r="AP16" i="9" s="1"/>
  <c r="AQ14" i="9"/>
  <c r="AQ24" i="10"/>
  <c r="AQ25" i="10"/>
  <c r="AQ16" i="9" s="1"/>
  <c r="AQ27" i="10"/>
  <c r="AQ26" i="10"/>
  <c r="S14" i="9"/>
  <c r="S24" i="10"/>
  <c r="S25" i="10"/>
  <c r="S16" i="9" s="1"/>
  <c r="S27" i="10"/>
  <c r="S26" i="10"/>
  <c r="AY77" i="10"/>
  <c r="AY76" i="10"/>
  <c r="AY79" i="10"/>
  <c r="AY78" i="10"/>
  <c r="M39" i="5"/>
  <c r="M42" i="5" s="1"/>
  <c r="L45" i="5"/>
  <c r="AL14" i="9"/>
  <c r="AL26" i="10"/>
  <c r="AL24" i="10"/>
  <c r="AL27" i="10"/>
  <c r="AL25" i="10"/>
  <c r="AL16" i="9" s="1"/>
  <c r="AE14" i="9"/>
  <c r="AE24" i="10"/>
  <c r="AE27" i="10"/>
  <c r="AE25" i="10"/>
  <c r="AE16" i="9" s="1"/>
  <c r="AE26" i="10"/>
  <c r="L10" i="6"/>
  <c r="K72" i="9"/>
  <c r="AX23" i="9"/>
  <c r="AX53" i="10"/>
  <c r="AX50" i="10"/>
  <c r="AX51" i="10"/>
  <c r="AX25" i="9" s="1"/>
  <c r="AX52" i="10"/>
  <c r="J47" i="5"/>
  <c r="L7" i="11"/>
  <c r="E8" i="13" s="1"/>
  <c r="BB23" i="9"/>
  <c r="BB51" i="10"/>
  <c r="BB25" i="9" s="1"/>
  <c r="BB52" i="10"/>
  <c r="BB53" i="10"/>
  <c r="BB50" i="10"/>
  <c r="N9" i="5"/>
  <c r="N12" i="5" s="1"/>
  <c r="M15" i="5"/>
  <c r="AO23" i="9"/>
  <c r="AO50" i="10"/>
  <c r="AO51" i="10"/>
  <c r="AO25" i="9" s="1"/>
  <c r="AO52" i="10"/>
  <c r="AO53" i="10"/>
  <c r="U14" i="9"/>
  <c r="U26" i="10"/>
  <c r="U27" i="10"/>
  <c r="U24" i="10"/>
  <c r="U25" i="10"/>
  <c r="U16" i="9" s="1"/>
  <c r="AD14" i="9"/>
  <c r="AD27" i="10"/>
  <c r="AD24" i="10"/>
  <c r="AD25" i="10"/>
  <c r="AD16" i="9" s="1"/>
  <c r="AD26" i="10"/>
  <c r="AT23" i="9"/>
  <c r="AT51" i="10"/>
  <c r="AT25" i="9" s="1"/>
  <c r="AT52" i="10"/>
  <c r="AT53" i="10"/>
  <c r="AT50" i="10"/>
  <c r="Y14" i="9"/>
  <c r="Y24" i="10"/>
  <c r="Y26" i="10"/>
  <c r="Y27" i="10"/>
  <c r="Y25" i="10"/>
  <c r="Y16" i="9" s="1"/>
  <c r="AQ80" i="10"/>
  <c r="AQ87" i="10" s="1"/>
  <c r="AQ26" i="9"/>
  <c r="L26" i="11" s="1"/>
  <c r="X80" i="10"/>
  <c r="X87" i="10" s="1"/>
  <c r="X26" i="9"/>
  <c r="K26" i="11" s="1"/>
  <c r="M7" i="11"/>
  <c r="F8" i="13" s="1"/>
  <c r="AH14" i="9"/>
  <c r="AH25" i="10"/>
  <c r="AH16" i="9" s="1"/>
  <c r="AH26" i="10"/>
  <c r="AH24" i="10"/>
  <c r="AH27" i="10"/>
  <c r="AM14" i="9"/>
  <c r="AM26" i="10"/>
  <c r="AM27" i="10"/>
  <c r="AM24" i="10"/>
  <c r="AM25" i="10"/>
  <c r="AM16" i="9" s="1"/>
  <c r="AI14" i="9"/>
  <c r="AI24" i="10"/>
  <c r="AI26" i="10"/>
  <c r="AI25" i="10"/>
  <c r="AI16" i="9" s="1"/>
  <c r="AI27" i="10"/>
  <c r="AQ23" i="9"/>
  <c r="AQ50" i="10"/>
  <c r="AQ53" i="10"/>
  <c r="AQ52" i="10"/>
  <c r="AQ51" i="10"/>
  <c r="AQ25" i="9" s="1"/>
  <c r="L124" i="9"/>
  <c r="BD23" i="9"/>
  <c r="BD52" i="10"/>
  <c r="BD50" i="10"/>
  <c r="BD51" i="10"/>
  <c r="BD25" i="9" s="1"/>
  <c r="BD53" i="10"/>
  <c r="R14" i="9"/>
  <c r="R25" i="10"/>
  <c r="R16" i="9" s="1"/>
  <c r="R26" i="10"/>
  <c r="R24" i="10"/>
  <c r="R27" i="10"/>
  <c r="Z14" i="9"/>
  <c r="Z24" i="10"/>
  <c r="Z25" i="10"/>
  <c r="Z16" i="9" s="1"/>
  <c r="Z26" i="10"/>
  <c r="Z27" i="10"/>
  <c r="T14" i="9"/>
  <c r="T26" i="10"/>
  <c r="T27" i="10"/>
  <c r="T24" i="10"/>
  <c r="T25" i="10"/>
  <c r="T16" i="9" s="1"/>
  <c r="N73" i="6"/>
  <c r="N75" i="6" s="1"/>
  <c r="M84" i="9"/>
  <c r="N16" i="6"/>
  <c r="N18" i="6" s="1"/>
  <c r="M25" i="6"/>
  <c r="M73" i="9" s="1"/>
  <c r="AU141" i="9"/>
  <c r="P41" i="6"/>
  <c r="P43" i="6" s="1"/>
  <c r="O81" i="9"/>
  <c r="J7" i="11"/>
  <c r="C8" i="13" s="1"/>
  <c r="AA14" i="9"/>
  <c r="AA24" i="10"/>
  <c r="AA26" i="10"/>
  <c r="AA25" i="10"/>
  <c r="AA16" i="9" s="1"/>
  <c r="AA27" i="10"/>
  <c r="X79" i="6"/>
  <c r="X81" i="6" s="1"/>
  <c r="W95" i="9"/>
  <c r="Q14" i="9"/>
  <c r="Q24" i="10"/>
  <c r="Q25" i="10"/>
  <c r="Q16" i="9" s="1"/>
  <c r="Q26" i="10"/>
  <c r="Q27" i="10"/>
  <c r="AI23" i="9"/>
  <c r="AI50" i="10"/>
  <c r="AI53" i="10"/>
  <c r="AI52" i="10"/>
  <c r="AI51" i="10"/>
  <c r="AI25" i="9" s="1"/>
  <c r="V14" i="9"/>
  <c r="V27" i="10"/>
  <c r="V24" i="10"/>
  <c r="V25" i="10"/>
  <c r="V16" i="9" s="1"/>
  <c r="V26" i="10"/>
  <c r="AM23" i="9"/>
  <c r="AM53" i="10"/>
  <c r="AM51" i="10"/>
  <c r="AM25" i="9" s="1"/>
  <c r="AM50" i="10"/>
  <c r="AM52" i="10"/>
  <c r="BD14" i="9"/>
  <c r="BD25" i="10"/>
  <c r="BD16" i="9" s="1"/>
  <c r="BD26" i="10"/>
  <c r="BD27" i="10"/>
  <c r="BD24" i="10"/>
  <c r="AZ23" i="9"/>
  <c r="AZ50" i="10"/>
  <c r="AZ53" i="10"/>
  <c r="AZ52" i="10"/>
  <c r="AZ51" i="10"/>
  <c r="AZ25" i="9" s="1"/>
  <c r="BA23" i="9"/>
  <c r="BA51" i="10"/>
  <c r="BA25" i="9" s="1"/>
  <c r="BA50" i="10"/>
  <c r="BA53" i="10"/>
  <c r="BA52" i="10"/>
  <c r="AS23" i="9"/>
  <c r="AS51" i="10"/>
  <c r="AS25" i="9" s="1"/>
  <c r="AS50" i="10"/>
  <c r="AS53" i="10"/>
  <c r="AS52" i="10"/>
  <c r="P14" i="9"/>
  <c r="P24" i="10"/>
  <c r="P25" i="10"/>
  <c r="P16" i="9" s="1"/>
  <c r="P26" i="10"/>
  <c r="P27" i="10"/>
  <c r="AV14" i="9"/>
  <c r="AV25" i="10"/>
  <c r="AV16" i="9" s="1"/>
  <c r="AV24" i="10"/>
  <c r="AV26" i="10"/>
  <c r="AV27" i="10"/>
  <c r="M53" i="5"/>
  <c r="M56" i="5" s="1"/>
  <c r="L59" i="5"/>
  <c r="W88" i="10" l="1"/>
  <c r="W57" i="6" s="1"/>
  <c r="X58" i="6" s="1"/>
  <c r="AB54" i="10"/>
  <c r="AB86" i="10" s="1"/>
  <c r="AG88" i="10"/>
  <c r="AG57" i="6" s="1"/>
  <c r="AH58" i="6" s="1"/>
  <c r="K25" i="11"/>
  <c r="AC88" i="10"/>
  <c r="AC57" i="6" s="1"/>
  <c r="AD58" i="6" s="1"/>
  <c r="BL25" i="6"/>
  <c r="BM16" i="6"/>
  <c r="BM18" i="6" s="1"/>
  <c r="BL14" i="5"/>
  <c r="BK19" i="5"/>
  <c r="BK58" i="5"/>
  <c r="BK61" i="5" s="1"/>
  <c r="BJ63" i="5"/>
  <c r="BL45" i="5"/>
  <c r="BM39" i="5"/>
  <c r="BM42" i="5" s="1"/>
  <c r="BL15" i="5"/>
  <c r="BM9" i="5"/>
  <c r="BM12" i="5" s="1"/>
  <c r="BL59" i="5"/>
  <c r="BM53" i="5"/>
  <c r="BM56" i="5" s="1"/>
  <c r="BK47" i="5"/>
  <c r="BL3" i="1"/>
  <c r="BM2" i="1"/>
  <c r="BC24" i="9"/>
  <c r="BC54" i="10"/>
  <c r="BC86" i="10" s="1"/>
  <c r="BC88" i="10" s="1"/>
  <c r="BC57" i="6" s="1"/>
  <c r="BD58" i="6" s="1"/>
  <c r="AY54" i="10"/>
  <c r="AY86" i="10" s="1"/>
  <c r="T24" i="9"/>
  <c r="T54" i="10"/>
  <c r="T86" i="10" s="1"/>
  <c r="J23" i="11"/>
  <c r="AN24" i="9"/>
  <c r="AN54" i="10"/>
  <c r="AN86" i="10" s="1"/>
  <c r="AL24" i="9"/>
  <c r="AL54" i="10"/>
  <c r="AL86" i="10" s="1"/>
  <c r="AH24" i="9"/>
  <c r="AH54" i="10"/>
  <c r="AH86" i="10" s="1"/>
  <c r="P24" i="9"/>
  <c r="P54" i="10"/>
  <c r="P86" i="10" s="1"/>
  <c r="R24" i="9"/>
  <c r="R54" i="10"/>
  <c r="R86" i="10" s="1"/>
  <c r="AU24" i="9"/>
  <c r="AU54" i="10"/>
  <c r="AU86" i="10" s="1"/>
  <c r="AU88" i="10" s="1"/>
  <c r="AU57" i="6" s="1"/>
  <c r="AV58" i="6" s="1"/>
  <c r="AJ24" i="9"/>
  <c r="AJ54" i="10"/>
  <c r="AJ86" i="10" s="1"/>
  <c r="U24" i="9"/>
  <c r="U54" i="10"/>
  <c r="U86" i="10" s="1"/>
  <c r="Q24" i="9"/>
  <c r="Q54" i="10"/>
  <c r="Q86" i="10" s="1"/>
  <c r="J25" i="11"/>
  <c r="BE24" i="9"/>
  <c r="BE54" i="10"/>
  <c r="BE86" i="10" s="1"/>
  <c r="AP24" i="9"/>
  <c r="AP54" i="10"/>
  <c r="AP86" i="10" s="1"/>
  <c r="AR54" i="10"/>
  <c r="AR86" i="10" s="1"/>
  <c r="S24" i="9"/>
  <c r="S54" i="10"/>
  <c r="S86" i="10" s="1"/>
  <c r="BA28" i="10"/>
  <c r="BA85" i="10" s="1"/>
  <c r="AB15" i="9"/>
  <c r="AB28" i="10"/>
  <c r="AB85" i="10" s="1"/>
  <c r="AB88" i="10" s="1"/>
  <c r="AB57" i="6" s="1"/>
  <c r="AC58" i="6" s="1"/>
  <c r="X28" i="10"/>
  <c r="X85" i="10" s="1"/>
  <c r="X88" i="10" s="1"/>
  <c r="X57" i="6" s="1"/>
  <c r="Y58" i="6" s="1"/>
  <c r="M14" i="11"/>
  <c r="AZ28" i="10"/>
  <c r="AZ85" i="10" s="1"/>
  <c r="AT15" i="9"/>
  <c r="AT28" i="10"/>
  <c r="AT85" i="10" s="1"/>
  <c r="AW15" i="9"/>
  <c r="AW28" i="10"/>
  <c r="AW85" i="10" s="1"/>
  <c r="AY15" i="9"/>
  <c r="AY28" i="10"/>
  <c r="AY85" i="10" s="1"/>
  <c r="J31" i="5"/>
  <c r="J33" i="5" s="1"/>
  <c r="K30" i="5" s="1"/>
  <c r="K141" i="11"/>
  <c r="J140" i="11"/>
  <c r="M140" i="11"/>
  <c r="M141" i="11"/>
  <c r="K140" i="11"/>
  <c r="J34" i="6"/>
  <c r="J37" i="6" s="1"/>
  <c r="S31" i="6"/>
  <c r="J141" i="11"/>
  <c r="K15" i="9"/>
  <c r="K17" i="9" s="1"/>
  <c r="K19" i="9" s="1"/>
  <c r="K20" i="9" s="1"/>
  <c r="K28" i="10"/>
  <c r="K85" i="10" s="1"/>
  <c r="K88" i="10" s="1"/>
  <c r="K57" i="6" s="1"/>
  <c r="L58" i="6" s="1"/>
  <c r="AK15" i="9"/>
  <c r="AK28" i="10"/>
  <c r="AK85" i="10" s="1"/>
  <c r="J15" i="9"/>
  <c r="J17" i="9" s="1"/>
  <c r="J19" i="9" s="1"/>
  <c r="J28" i="10"/>
  <c r="J85" i="10" s="1"/>
  <c r="J88" i="10" s="1"/>
  <c r="J57" i="6" s="1"/>
  <c r="AS15" i="9"/>
  <c r="AS28" i="10"/>
  <c r="AS85" i="10" s="1"/>
  <c r="BB15" i="9"/>
  <c r="BB28" i="10"/>
  <c r="BB85" i="10" s="1"/>
  <c r="BE15" i="9"/>
  <c r="BE28" i="10"/>
  <c r="BE85" i="10" s="1"/>
  <c r="AX28" i="10"/>
  <c r="AX85" i="10" s="1"/>
  <c r="AJ15" i="9"/>
  <c r="AJ28" i="10"/>
  <c r="AJ85" i="10" s="1"/>
  <c r="AJ88" i="10" s="1"/>
  <c r="AJ57" i="6" s="1"/>
  <c r="AK58" i="6" s="1"/>
  <c r="AN15" i="9"/>
  <c r="AN28" i="10"/>
  <c r="AN85" i="10" s="1"/>
  <c r="AR15" i="9"/>
  <c r="AR28" i="10"/>
  <c r="AR85" i="10" s="1"/>
  <c r="AO15" i="9"/>
  <c r="AO28" i="10"/>
  <c r="AO85" i="10" s="1"/>
  <c r="L140" i="11"/>
  <c r="M17" i="5"/>
  <c r="N14" i="5" s="1"/>
  <c r="L27" i="9"/>
  <c r="L28" i="9" s="1"/>
  <c r="L9" i="12"/>
  <c r="M7" i="12"/>
  <c r="N33" i="2"/>
  <c r="N7" i="12" s="1"/>
  <c r="K35" i="6"/>
  <c r="N82" i="3"/>
  <c r="N84" i="3" s="1"/>
  <c r="N24" i="3" s="1"/>
  <c r="M78" i="3"/>
  <c r="M80" i="3" s="1"/>
  <c r="M23" i="3" s="1"/>
  <c r="N37" i="2"/>
  <c r="M87" i="4"/>
  <c r="M89" i="4" s="1"/>
  <c r="M13" i="4" s="1"/>
  <c r="M92" i="4"/>
  <c r="M94" i="4" s="1"/>
  <c r="M14" i="4" s="1"/>
  <c r="N41" i="2"/>
  <c r="M86" i="3"/>
  <c r="M88" i="3" s="1"/>
  <c r="M25" i="3" s="1"/>
  <c r="M102" i="4"/>
  <c r="M104" i="4" s="1"/>
  <c r="M16" i="4" s="1"/>
  <c r="M97" i="4"/>
  <c r="M99" i="4" s="1"/>
  <c r="M15" i="4" s="1"/>
  <c r="N90" i="3"/>
  <c r="N92" i="3" s="1"/>
  <c r="N26" i="3" s="1"/>
  <c r="M8" i="12"/>
  <c r="S7" i="12"/>
  <c r="T33" i="2"/>
  <c r="Z98" i="3" s="1"/>
  <c r="Z100" i="3" s="1"/>
  <c r="Z22" i="3" s="1"/>
  <c r="T69" i="3"/>
  <c r="T74" i="3"/>
  <c r="T76" i="3" s="1"/>
  <c r="T21" i="3" s="1"/>
  <c r="S72" i="4"/>
  <c r="S74" i="4" s="1"/>
  <c r="S10" i="4" s="1"/>
  <c r="T84" i="4"/>
  <c r="T12" i="4" s="1"/>
  <c r="T64" i="3"/>
  <c r="T66" i="3" s="1"/>
  <c r="T19" i="3" s="1"/>
  <c r="T70" i="3"/>
  <c r="N107" i="4"/>
  <c r="N109" i="4" s="1"/>
  <c r="N17" i="4" s="1"/>
  <c r="O94" i="3"/>
  <c r="O96" i="3" s="1"/>
  <c r="O27" i="3" s="1"/>
  <c r="N119" i="4"/>
  <c r="N19" i="4" s="1"/>
  <c r="O45" i="2"/>
  <c r="N112" i="4"/>
  <c r="N114" i="4" s="1"/>
  <c r="N18" i="4" s="1"/>
  <c r="K28" i="5"/>
  <c r="K67" i="5"/>
  <c r="K70" i="5" s="1"/>
  <c r="L8" i="9"/>
  <c r="L10" i="9" s="1"/>
  <c r="L7" i="6"/>
  <c r="L25" i="4"/>
  <c r="O9" i="5"/>
  <c r="O12" i="5" s="1"/>
  <c r="N15" i="5"/>
  <c r="AI24" i="9"/>
  <c r="AI54" i="10"/>
  <c r="AI86" i="10" s="1"/>
  <c r="X95" i="9"/>
  <c r="Y79" i="6"/>
  <c r="Y81" i="6" s="1"/>
  <c r="O73" i="6"/>
  <c r="O75" i="6" s="1"/>
  <c r="N84" i="9"/>
  <c r="AI15" i="9"/>
  <c r="AI28" i="10"/>
  <c r="AI85" i="10" s="1"/>
  <c r="L16" i="11"/>
  <c r="BB24" i="9"/>
  <c r="BB54" i="10"/>
  <c r="BB86" i="10" s="1"/>
  <c r="N53" i="5"/>
  <c r="N56" i="5" s="1"/>
  <c r="M59" i="5"/>
  <c r="L23" i="11"/>
  <c r="Z28" i="10"/>
  <c r="Z85" i="10" s="1"/>
  <c r="Z88" i="10" s="1"/>
  <c r="Z57" i="6" s="1"/>
  <c r="AA58" i="6" s="1"/>
  <c r="Z15" i="9"/>
  <c r="L14" i="11"/>
  <c r="AO54" i="10"/>
  <c r="AO86" i="10" s="1"/>
  <c r="AO24" i="9"/>
  <c r="AQ24" i="9"/>
  <c r="AQ54" i="10"/>
  <c r="AQ86" i="10" s="1"/>
  <c r="K123" i="9"/>
  <c r="L123" i="9"/>
  <c r="AE15" i="9"/>
  <c r="AE28" i="10"/>
  <c r="AE85" i="10" s="1"/>
  <c r="AE88" i="10" s="1"/>
  <c r="AE57" i="6" s="1"/>
  <c r="AF58" i="6" s="1"/>
  <c r="N39" i="5"/>
  <c r="N42" i="5" s="1"/>
  <c r="M45" i="5"/>
  <c r="AK54" i="10"/>
  <c r="AK86" i="10" s="1"/>
  <c r="AK24" i="9"/>
  <c r="P15" i="9"/>
  <c r="P28" i="10"/>
  <c r="P85" i="10" s="1"/>
  <c r="P88" i="10" s="1"/>
  <c r="P57" i="6" s="1"/>
  <c r="Q58" i="6" s="1"/>
  <c r="AM28" i="10"/>
  <c r="AM85" i="10" s="1"/>
  <c r="AM15" i="9"/>
  <c r="M23" i="11"/>
  <c r="K44" i="5"/>
  <c r="J49" i="5"/>
  <c r="J14" i="11"/>
  <c r="BA24" i="9"/>
  <c r="BA54" i="10"/>
  <c r="BA86" i="10" s="1"/>
  <c r="BA88" i="10" s="1"/>
  <c r="BA57" i="6" s="1"/>
  <c r="BB58" i="6" s="1"/>
  <c r="AM54" i="10"/>
  <c r="AM86" i="10" s="1"/>
  <c r="AM24" i="9"/>
  <c r="M124" i="9"/>
  <c r="R15" i="9"/>
  <c r="R28" i="10"/>
  <c r="R85" i="10" s="1"/>
  <c r="K28" i="9"/>
  <c r="AV15" i="9"/>
  <c r="AV28" i="10"/>
  <c r="AV85" i="10" s="1"/>
  <c r="L25" i="11"/>
  <c r="Q15" i="9"/>
  <c r="Q28" i="10"/>
  <c r="Q85" i="10" s="1"/>
  <c r="Q88" i="10" s="1"/>
  <c r="Q57" i="6" s="1"/>
  <c r="R58" i="6" s="1"/>
  <c r="N25" i="6"/>
  <c r="N73" i="9" s="1"/>
  <c r="O16" i="6"/>
  <c r="O18" i="6" s="1"/>
  <c r="Y15" i="9"/>
  <c r="Y28" i="10"/>
  <c r="Y85" i="10" s="1"/>
  <c r="Y88" i="10" s="1"/>
  <c r="Y57" i="6" s="1"/>
  <c r="Z58" i="6" s="1"/>
  <c r="M19" i="5"/>
  <c r="M67" i="9" s="1"/>
  <c r="AY80" i="10"/>
  <c r="AY87" i="10" s="1"/>
  <c r="AP15" i="9"/>
  <c r="AP28" i="10"/>
  <c r="AP85" i="10" s="1"/>
  <c r="AP88" i="10" s="1"/>
  <c r="AP57" i="6" s="1"/>
  <c r="AQ58" i="6" s="1"/>
  <c r="AV24" i="9"/>
  <c r="AV54" i="10"/>
  <c r="AV86" i="10" s="1"/>
  <c r="L3" i="12"/>
  <c r="L3" i="9"/>
  <c r="L3" i="3"/>
  <c r="L3" i="10"/>
  <c r="L3" i="6"/>
  <c r="L3" i="2"/>
  <c r="L3" i="4"/>
  <c r="L3" i="5"/>
  <c r="K33" i="6"/>
  <c r="K64" i="6" s="1"/>
  <c r="K65" i="6" s="1"/>
  <c r="K67" i="6" s="1"/>
  <c r="L62" i="6" s="1"/>
  <c r="AQ15" i="9"/>
  <c r="AQ28" i="10"/>
  <c r="AQ85" i="10" s="1"/>
  <c r="AW24" i="9"/>
  <c r="AW54" i="10"/>
  <c r="AW86" i="10" s="1"/>
  <c r="K16" i="11"/>
  <c r="J16" i="11"/>
  <c r="AZ24" i="9"/>
  <c r="AZ54" i="10"/>
  <c r="AZ86" i="10" s="1"/>
  <c r="AZ88" i="10" s="1"/>
  <c r="AZ57" i="6" s="1"/>
  <c r="BA58" i="6" s="1"/>
  <c r="V28" i="10"/>
  <c r="V85" i="10" s="1"/>
  <c r="V88" i="10" s="1"/>
  <c r="V57" i="6" s="1"/>
  <c r="W58" i="6" s="1"/>
  <c r="V15" i="9"/>
  <c r="T28" i="10"/>
  <c r="T85" i="10" s="1"/>
  <c r="T88" i="10" s="1"/>
  <c r="T57" i="6" s="1"/>
  <c r="U58" i="6" s="1"/>
  <c r="T15" i="9"/>
  <c r="BD24" i="9"/>
  <c r="BD54" i="10"/>
  <c r="BD86" i="10" s="1"/>
  <c r="M25" i="11"/>
  <c r="U15" i="9"/>
  <c r="U28" i="10"/>
  <c r="U85" i="10" s="1"/>
  <c r="U88" i="10" s="1"/>
  <c r="U57" i="6" s="1"/>
  <c r="V58" i="6" s="1"/>
  <c r="S15" i="9"/>
  <c r="S28" i="10"/>
  <c r="S85" i="10" s="1"/>
  <c r="L61" i="5"/>
  <c r="K14" i="11"/>
  <c r="AA15" i="9"/>
  <c r="AA28" i="10"/>
  <c r="AA85" i="10" s="1"/>
  <c r="AA88" i="10" s="1"/>
  <c r="AA57" i="6" s="1"/>
  <c r="AB58" i="6" s="1"/>
  <c r="P81" i="9"/>
  <c r="Q41" i="6"/>
  <c r="Q43" i="6" s="1"/>
  <c r="M16" i="11"/>
  <c r="BD28" i="10"/>
  <c r="BD85" i="10" s="1"/>
  <c r="BD15" i="9"/>
  <c r="AH15" i="9"/>
  <c r="AH28" i="10"/>
  <c r="AH85" i="10" s="1"/>
  <c r="AD15" i="9"/>
  <c r="AD28" i="10"/>
  <c r="AD85" i="10" s="1"/>
  <c r="AD88" i="10" s="1"/>
  <c r="AD57" i="6" s="1"/>
  <c r="AE58" i="6" s="1"/>
  <c r="AX24" i="9"/>
  <c r="AX54" i="10"/>
  <c r="AX86" i="10" s="1"/>
  <c r="AL28" i="10"/>
  <c r="AL85" i="10" s="1"/>
  <c r="AL88" i="10" s="1"/>
  <c r="AL57" i="6" s="1"/>
  <c r="AM58" i="6" s="1"/>
  <c r="AL15" i="9"/>
  <c r="AY26" i="9"/>
  <c r="M2" i="12"/>
  <c r="N2" i="1"/>
  <c r="M2" i="10"/>
  <c r="M2" i="9"/>
  <c r="M2" i="6"/>
  <c r="M2" i="3"/>
  <c r="M2" i="2"/>
  <c r="M3" i="1"/>
  <c r="M2" i="4"/>
  <c r="M2" i="5"/>
  <c r="N17" i="5"/>
  <c r="O14" i="5" s="1"/>
  <c r="AS24" i="9"/>
  <c r="AS54" i="10"/>
  <c r="AS86" i="10" s="1"/>
  <c r="AT54" i="10"/>
  <c r="AT86" i="10" s="1"/>
  <c r="AT24" i="9"/>
  <c r="R29" i="14" l="1"/>
  <c r="J73" i="5"/>
  <c r="J39" i="9" s="1"/>
  <c r="J35" i="5"/>
  <c r="R88" i="10"/>
  <c r="R57" i="6" s="1"/>
  <c r="S58" i="6" s="1"/>
  <c r="AN88" i="10"/>
  <c r="AN57" i="6" s="1"/>
  <c r="AO58" i="6" s="1"/>
  <c r="AH88" i="10"/>
  <c r="AH57" i="6" s="1"/>
  <c r="AI58" i="6" s="1"/>
  <c r="S88" i="10"/>
  <c r="S57" i="6" s="1"/>
  <c r="T58" i="6" s="1"/>
  <c r="BN16" i="6"/>
  <c r="BN18" i="6" s="1"/>
  <c r="BM25" i="6"/>
  <c r="BL44" i="5"/>
  <c r="BL47" i="5" s="1"/>
  <c r="BK49" i="5"/>
  <c r="BN39" i="5"/>
  <c r="BN42" i="5" s="1"/>
  <c r="BM45" i="5"/>
  <c r="BL58" i="5"/>
  <c r="BL61" i="5" s="1"/>
  <c r="BK63" i="5"/>
  <c r="BN9" i="5"/>
  <c r="BN12" i="5" s="1"/>
  <c r="BM15" i="5"/>
  <c r="BN53" i="5"/>
  <c r="BN56" i="5" s="1"/>
  <c r="BM59" i="5"/>
  <c r="BL17" i="5"/>
  <c r="BN2" i="1"/>
  <c r="BM3" i="1"/>
  <c r="AR88" i="10"/>
  <c r="AR57" i="6" s="1"/>
  <c r="AS58" i="6" s="1"/>
  <c r="BE88" i="10"/>
  <c r="BE57" i="6" s="1"/>
  <c r="BF58" i="6" s="1"/>
  <c r="J24" i="11"/>
  <c r="AT88" i="10"/>
  <c r="AT57" i="6" s="1"/>
  <c r="AU58" i="6" s="1"/>
  <c r="AO88" i="10"/>
  <c r="AO57" i="6" s="1"/>
  <c r="AP58" i="6" s="1"/>
  <c r="AS88" i="10"/>
  <c r="AS57" i="6" s="1"/>
  <c r="AT58" i="6" s="1"/>
  <c r="AW88" i="10"/>
  <c r="AW57" i="6" s="1"/>
  <c r="AX58" i="6" s="1"/>
  <c r="AY88" i="10"/>
  <c r="AY57" i="6" s="1"/>
  <c r="AZ58" i="6" s="1"/>
  <c r="AK88" i="10"/>
  <c r="AK57" i="6" s="1"/>
  <c r="AL58" i="6" s="1"/>
  <c r="BB88" i="10"/>
  <c r="BB57" i="6" s="1"/>
  <c r="BC58" i="6" s="1"/>
  <c r="J30" i="9"/>
  <c r="J36" i="9" s="1"/>
  <c r="J20" i="9"/>
  <c r="J59" i="6"/>
  <c r="K58" i="6"/>
  <c r="AX88" i="10"/>
  <c r="AX57" i="6" s="1"/>
  <c r="AY58" i="6" s="1"/>
  <c r="J80" i="9"/>
  <c r="J125" i="9" s="1"/>
  <c r="L15" i="11"/>
  <c r="AM88" i="10"/>
  <c r="AM57" i="6" s="1"/>
  <c r="AN58" i="6" s="1"/>
  <c r="AI88" i="10"/>
  <c r="AI57" i="6" s="1"/>
  <c r="AJ58" i="6" s="1"/>
  <c r="T72" i="3"/>
  <c r="T20" i="3" s="1"/>
  <c r="O82" i="3"/>
  <c r="O84" i="3" s="1"/>
  <c r="O24" i="3" s="1"/>
  <c r="N87" i="4"/>
  <c r="N89" i="4" s="1"/>
  <c r="N13" i="4" s="1"/>
  <c r="N78" i="3"/>
  <c r="N80" i="3" s="1"/>
  <c r="N23" i="3" s="1"/>
  <c r="N92" i="4"/>
  <c r="N94" i="4" s="1"/>
  <c r="N14" i="4" s="1"/>
  <c r="O37" i="2"/>
  <c r="M31" i="3"/>
  <c r="M7" i="6" s="1"/>
  <c r="M8" i="6" s="1"/>
  <c r="L8" i="6"/>
  <c r="L63" i="6" s="1"/>
  <c r="M153" i="4"/>
  <c r="M155" i="4" s="1"/>
  <c r="M32" i="4" s="1"/>
  <c r="M46" i="4" s="1"/>
  <c r="M9" i="12"/>
  <c r="M25" i="4"/>
  <c r="L25" i="5"/>
  <c r="K31" i="5"/>
  <c r="L13" i="9"/>
  <c r="L17" i="9" s="1"/>
  <c r="L19" i="9" s="1"/>
  <c r="L29" i="6"/>
  <c r="L32" i="6" s="1"/>
  <c r="O112" i="4"/>
  <c r="O114" i="4" s="1"/>
  <c r="O18" i="4" s="1"/>
  <c r="O107" i="4"/>
  <c r="O109" i="4" s="1"/>
  <c r="O17" i="4" s="1"/>
  <c r="P94" i="3"/>
  <c r="P96" i="3" s="1"/>
  <c r="P27" i="3" s="1"/>
  <c r="P45" i="2"/>
  <c r="O119" i="4"/>
  <c r="O19" i="4" s="1"/>
  <c r="O41" i="2"/>
  <c r="N102" i="4"/>
  <c r="N104" i="4" s="1"/>
  <c r="N16" i="4" s="1"/>
  <c r="N97" i="4"/>
  <c r="N99" i="4" s="1"/>
  <c r="N15" i="4" s="1"/>
  <c r="O90" i="3"/>
  <c r="O92" i="3" s="1"/>
  <c r="O26" i="3" s="1"/>
  <c r="N86" i="3"/>
  <c r="N88" i="3" s="1"/>
  <c r="N25" i="3" s="1"/>
  <c r="N8" i="12"/>
  <c r="T7" i="12"/>
  <c r="U33" i="2"/>
  <c r="AA98" i="3" s="1"/>
  <c r="AA100" i="3" s="1"/>
  <c r="AA22" i="3" s="1"/>
  <c r="T72" i="4"/>
  <c r="T74" i="4" s="1"/>
  <c r="T10" i="4" s="1"/>
  <c r="U70" i="3"/>
  <c r="U64" i="3"/>
  <c r="U66" i="3" s="1"/>
  <c r="U19" i="3" s="1"/>
  <c r="U74" i="3"/>
  <c r="U76" i="3" s="1"/>
  <c r="U21" i="3" s="1"/>
  <c r="U69" i="3"/>
  <c r="U84" i="4"/>
  <c r="U12" i="4" s="1"/>
  <c r="AV88" i="10"/>
  <c r="AV57" i="6" s="1"/>
  <c r="AW58" i="6" s="1"/>
  <c r="M58" i="5"/>
  <c r="M61" i="5" s="1"/>
  <c r="L63" i="5"/>
  <c r="M15" i="11"/>
  <c r="O39" i="5"/>
  <c r="O42" i="5" s="1"/>
  <c r="N45" i="5"/>
  <c r="Q81" i="9"/>
  <c r="R41" i="6"/>
  <c r="R43" i="6" s="1"/>
  <c r="J15" i="11"/>
  <c r="L24" i="11"/>
  <c r="K30" i="9"/>
  <c r="N19" i="5"/>
  <c r="N67" i="9" s="1"/>
  <c r="N124" i="9"/>
  <c r="N2" i="12"/>
  <c r="N2" i="10"/>
  <c r="O2" i="1"/>
  <c r="N3" i="1"/>
  <c r="N2" i="9"/>
  <c r="N2" i="6"/>
  <c r="N2" i="5"/>
  <c r="N2" i="4"/>
  <c r="N2" i="2"/>
  <c r="N2" i="3"/>
  <c r="M26" i="11"/>
  <c r="M3" i="12"/>
  <c r="M3" i="4"/>
  <c r="M3" i="2"/>
  <c r="M3" i="9"/>
  <c r="M3" i="10"/>
  <c r="M3" i="3"/>
  <c r="M3" i="6"/>
  <c r="M3" i="5"/>
  <c r="J117" i="9"/>
  <c r="J40" i="9"/>
  <c r="O15" i="5"/>
  <c r="O17" i="5" s="1"/>
  <c r="P9" i="5"/>
  <c r="P12" i="5" s="1"/>
  <c r="BD88" i="10"/>
  <c r="BD57" i="6" s="1"/>
  <c r="BE58" i="6" s="1"/>
  <c r="P16" i="6"/>
  <c r="P18" i="6" s="1"/>
  <c r="O25" i="6"/>
  <c r="O73" i="9" s="1"/>
  <c r="K47" i="5"/>
  <c r="K72" i="5"/>
  <c r="M24" i="11"/>
  <c r="K15" i="11"/>
  <c r="O53" i="5"/>
  <c r="O56" i="5" s="1"/>
  <c r="N59" i="5"/>
  <c r="P73" i="6"/>
  <c r="P75" i="6" s="1"/>
  <c r="O84" i="9"/>
  <c r="AQ88" i="10"/>
  <c r="AQ57" i="6" s="1"/>
  <c r="AR58" i="6" s="1"/>
  <c r="K34" i="6"/>
  <c r="K37" i="6" s="1"/>
  <c r="Z79" i="6"/>
  <c r="Z81" i="6" s="1"/>
  <c r="Y95" i="9"/>
  <c r="J75" i="5" l="1"/>
  <c r="J77" i="5" s="1"/>
  <c r="J68" i="9" s="1"/>
  <c r="J69" i="9" s="1"/>
  <c r="BN25" i="6"/>
  <c r="BO16" i="6"/>
  <c r="BO18" i="6" s="1"/>
  <c r="BN15" i="5"/>
  <c r="BO9" i="5"/>
  <c r="BO12" i="5" s="1"/>
  <c r="BN59" i="5"/>
  <c r="BO53" i="5"/>
  <c r="BO56" i="5" s="1"/>
  <c r="BN45" i="5"/>
  <c r="BO39" i="5"/>
  <c r="BO42" i="5" s="1"/>
  <c r="BM44" i="5"/>
  <c r="BM47" i="5" s="1"/>
  <c r="BL49" i="5"/>
  <c r="BM14" i="5"/>
  <c r="BM17" i="5" s="1"/>
  <c r="BL19" i="5"/>
  <c r="BM58" i="5"/>
  <c r="BM61" i="5" s="1"/>
  <c r="BL63" i="5"/>
  <c r="BN3" i="1"/>
  <c r="BO2" i="1"/>
  <c r="BO3" i="1" s="1"/>
  <c r="J31" i="9"/>
  <c r="K56" i="6"/>
  <c r="K59" i="6" s="1"/>
  <c r="J69" i="6"/>
  <c r="J83" i="9" s="1"/>
  <c r="M8" i="9"/>
  <c r="M10" i="9" s="1"/>
  <c r="N25" i="4"/>
  <c r="N13" i="9" s="1"/>
  <c r="N17" i="9" s="1"/>
  <c r="L9" i="6"/>
  <c r="O92" i="4"/>
  <c r="O94" i="4" s="1"/>
  <c r="O14" i="4" s="1"/>
  <c r="P82" i="3"/>
  <c r="P84" i="3" s="1"/>
  <c r="P24" i="3" s="1"/>
  <c r="O78" i="3"/>
  <c r="O80" i="3" s="1"/>
  <c r="O23" i="3" s="1"/>
  <c r="O87" i="4"/>
  <c r="O89" i="4" s="1"/>
  <c r="O13" i="4" s="1"/>
  <c r="P37" i="2"/>
  <c r="N31" i="3"/>
  <c r="N7" i="6" s="1"/>
  <c r="L20" i="9"/>
  <c r="L30" i="9"/>
  <c r="N153" i="4"/>
  <c r="N155" i="4" s="1"/>
  <c r="N32" i="4" s="1"/>
  <c r="N46" i="4" s="1"/>
  <c r="N9" i="12"/>
  <c r="M29" i="6"/>
  <c r="M13" i="9"/>
  <c r="M17" i="9" s="1"/>
  <c r="U7" i="12"/>
  <c r="V33" i="2"/>
  <c r="AB98" i="3" s="1"/>
  <c r="AB100" i="3" s="1"/>
  <c r="AB22" i="3" s="1"/>
  <c r="U72" i="4"/>
  <c r="U74" i="4" s="1"/>
  <c r="U10" i="4" s="1"/>
  <c r="V69" i="3"/>
  <c r="V64" i="3"/>
  <c r="V66" i="3" s="1"/>
  <c r="V19" i="3" s="1"/>
  <c r="V82" i="4"/>
  <c r="V84" i="4" s="1"/>
  <c r="V12" i="4" s="1"/>
  <c r="V70" i="3"/>
  <c r="V74" i="3"/>
  <c r="V76" i="3" s="1"/>
  <c r="V21" i="3" s="1"/>
  <c r="L33" i="6"/>
  <c r="L64" i="6" s="1"/>
  <c r="L65" i="6" s="1"/>
  <c r="U72" i="3"/>
  <c r="U20" i="3" s="1"/>
  <c r="P90" i="3"/>
  <c r="P92" i="3" s="1"/>
  <c r="P26" i="3" s="1"/>
  <c r="O97" i="4"/>
  <c r="O99" i="4" s="1"/>
  <c r="O15" i="4" s="1"/>
  <c r="P41" i="2"/>
  <c r="O86" i="3"/>
  <c r="O88" i="3" s="1"/>
  <c r="O25" i="3" s="1"/>
  <c r="O102" i="4"/>
  <c r="O104" i="4" s="1"/>
  <c r="O16" i="4" s="1"/>
  <c r="O8" i="12"/>
  <c r="M27" i="9"/>
  <c r="M28" i="9" s="1"/>
  <c r="M30" i="6"/>
  <c r="M9" i="6"/>
  <c r="M63" i="6"/>
  <c r="K73" i="5"/>
  <c r="K39" i="9" s="1"/>
  <c r="K33" i="5"/>
  <c r="Q45" i="2"/>
  <c r="P119" i="4"/>
  <c r="P19" i="4" s="1"/>
  <c r="P112" i="4"/>
  <c r="P114" i="4" s="1"/>
  <c r="P18" i="4" s="1"/>
  <c r="P107" i="4"/>
  <c r="P109" i="4" s="1"/>
  <c r="P17" i="4" s="1"/>
  <c r="Q94" i="3"/>
  <c r="Q96" i="3" s="1"/>
  <c r="Q27" i="3" s="1"/>
  <c r="L28" i="5"/>
  <c r="L67" i="5"/>
  <c r="L70" i="5" s="1"/>
  <c r="P14" i="5"/>
  <c r="O19" i="5"/>
  <c r="O67" i="9" s="1"/>
  <c r="L35" i="6"/>
  <c r="L36" i="6" s="1"/>
  <c r="K80" i="9"/>
  <c r="Q16" i="6"/>
  <c r="Q18" i="6" s="1"/>
  <c r="P25" i="6"/>
  <c r="P73" i="9" s="1"/>
  <c r="P124" i="9" s="1"/>
  <c r="N3" i="12"/>
  <c r="N3" i="10"/>
  <c r="N3" i="4"/>
  <c r="N3" i="2"/>
  <c r="N3" i="3"/>
  <c r="N3" i="9"/>
  <c r="N3" i="6"/>
  <c r="N3" i="5"/>
  <c r="O45" i="5"/>
  <c r="P39" i="5"/>
  <c r="P42" i="5" s="1"/>
  <c r="O2" i="12"/>
  <c r="O2" i="10"/>
  <c r="P2" i="1"/>
  <c r="O2" i="9"/>
  <c r="O2" i="6"/>
  <c r="O2" i="5"/>
  <c r="O2" i="4"/>
  <c r="O2" i="2"/>
  <c r="O2" i="3"/>
  <c r="O3" i="1"/>
  <c r="P15" i="5"/>
  <c r="Q9" i="5"/>
  <c r="Q12" i="5" s="1"/>
  <c r="J42" i="9"/>
  <c r="N58" i="5"/>
  <c r="N61" i="5" s="1"/>
  <c r="M63" i="5"/>
  <c r="K31" i="9"/>
  <c r="K36" i="9"/>
  <c r="R81" i="9"/>
  <c r="S41" i="6"/>
  <c r="S43" i="6" s="1"/>
  <c r="AA79" i="6"/>
  <c r="AA81" i="6" s="1"/>
  <c r="Z95" i="9"/>
  <c r="Q73" i="6"/>
  <c r="Q75" i="6" s="1"/>
  <c r="P84" i="9"/>
  <c r="O59" i="5"/>
  <c r="P53" i="5"/>
  <c r="P56" i="5" s="1"/>
  <c r="L44" i="5"/>
  <c r="K49" i="5"/>
  <c r="O124" i="9"/>
  <c r="J78" i="5" l="1"/>
  <c r="BO25" i="6"/>
  <c r="BP16" i="6"/>
  <c r="BP18" i="6" s="1"/>
  <c r="BN14" i="5"/>
  <c r="BN17" i="5" s="1"/>
  <c r="BM19" i="5"/>
  <c r="BO15" i="5"/>
  <c r="BP9" i="5"/>
  <c r="BP12" i="5" s="1"/>
  <c r="BN58" i="5"/>
  <c r="BN61" i="5" s="1"/>
  <c r="BM63" i="5"/>
  <c r="BN44" i="5"/>
  <c r="BN47" i="5" s="1"/>
  <c r="BM49" i="5"/>
  <c r="BO59" i="5"/>
  <c r="BP53" i="5"/>
  <c r="BP56" i="5" s="1"/>
  <c r="BO45" i="5"/>
  <c r="BP39" i="5"/>
  <c r="BP42" i="5" s="1"/>
  <c r="N29" i="6"/>
  <c r="J126" i="9"/>
  <c r="L56" i="6"/>
  <c r="L59" i="6" s="1"/>
  <c r="K69" i="6"/>
  <c r="K83" i="9" s="1"/>
  <c r="K126" i="9" s="1"/>
  <c r="M19" i="9"/>
  <c r="M20" i="9" s="1"/>
  <c r="O31" i="3"/>
  <c r="O7" i="6" s="1"/>
  <c r="M32" i="6"/>
  <c r="M33" i="6" s="1"/>
  <c r="M64" i="6" s="1"/>
  <c r="M65" i="6" s="1"/>
  <c r="O66" i="6" s="1"/>
  <c r="L34" i="6"/>
  <c r="P92" i="4"/>
  <c r="P94" i="4" s="1"/>
  <c r="P14" i="4" s="1"/>
  <c r="Q37" i="2"/>
  <c r="P78" i="3"/>
  <c r="P80" i="3" s="1"/>
  <c r="P23" i="3" s="1"/>
  <c r="P87" i="4"/>
  <c r="P89" i="4" s="1"/>
  <c r="P13" i="4" s="1"/>
  <c r="Q82" i="3"/>
  <c r="Q84" i="3" s="1"/>
  <c r="Q24" i="3" s="1"/>
  <c r="N8" i="9"/>
  <c r="N10" i="9" s="1"/>
  <c r="N19" i="9" s="1"/>
  <c r="N20" i="9" s="1"/>
  <c r="O25" i="4"/>
  <c r="O13" i="9" s="1"/>
  <c r="O17" i="9" s="1"/>
  <c r="V72" i="3"/>
  <c r="V20" i="3" s="1"/>
  <c r="K75" i="5"/>
  <c r="K77" i="5" s="1"/>
  <c r="K68" i="9" s="1"/>
  <c r="K69" i="9" s="1"/>
  <c r="N8" i="6"/>
  <c r="N63" i="6" s="1"/>
  <c r="M25" i="5"/>
  <c r="L31" i="5"/>
  <c r="L73" i="5" s="1"/>
  <c r="L39" i="9" s="1"/>
  <c r="O9" i="12"/>
  <c r="O153" i="4"/>
  <c r="O155" i="4" s="1"/>
  <c r="O32" i="4" s="1"/>
  <c r="O46" i="4" s="1"/>
  <c r="L30" i="5"/>
  <c r="K35" i="5"/>
  <c r="N27" i="9"/>
  <c r="N28" i="9" s="1"/>
  <c r="N30" i="6"/>
  <c r="Q119" i="4"/>
  <c r="Q19" i="4" s="1"/>
  <c r="Q107" i="4"/>
  <c r="Q109" i="4" s="1"/>
  <c r="Q17" i="4" s="1"/>
  <c r="R94" i="3"/>
  <c r="R96" i="3" s="1"/>
  <c r="R27" i="3" s="1"/>
  <c r="Q112" i="4"/>
  <c r="Q114" i="4" s="1"/>
  <c r="Q18" i="4" s="1"/>
  <c r="R45" i="2"/>
  <c r="K117" i="9"/>
  <c r="K40" i="9"/>
  <c r="K42" i="9" s="1"/>
  <c r="V7" i="12"/>
  <c r="W33" i="2"/>
  <c r="AC98" i="3" s="1"/>
  <c r="AC100" i="3" s="1"/>
  <c r="AC22" i="3" s="1"/>
  <c r="W82" i="4"/>
  <c r="W84" i="4" s="1"/>
  <c r="W12" i="4" s="1"/>
  <c r="W74" i="3"/>
  <c r="W76" i="3" s="1"/>
  <c r="W21" i="3" s="1"/>
  <c r="W64" i="3"/>
  <c r="W66" i="3" s="1"/>
  <c r="W19" i="3" s="1"/>
  <c r="W70" i="3"/>
  <c r="W69" i="3"/>
  <c r="V72" i="4"/>
  <c r="V74" i="4" s="1"/>
  <c r="V10" i="4" s="1"/>
  <c r="L31" i="9"/>
  <c r="L36" i="9"/>
  <c r="Q41" i="2"/>
  <c r="P102" i="4"/>
  <c r="P104" i="4" s="1"/>
  <c r="P16" i="4" s="1"/>
  <c r="P97" i="4"/>
  <c r="P99" i="4" s="1"/>
  <c r="P15" i="4" s="1"/>
  <c r="Q90" i="3"/>
  <c r="Q92" i="3" s="1"/>
  <c r="Q26" i="3" s="1"/>
  <c r="P86" i="3"/>
  <c r="P88" i="3" s="1"/>
  <c r="P25" i="3" s="1"/>
  <c r="P8" i="12"/>
  <c r="J48" i="9"/>
  <c r="J114" i="9"/>
  <c r="R16" i="6"/>
  <c r="R18" i="6" s="1"/>
  <c r="Q25" i="6"/>
  <c r="Q73" i="9" s="1"/>
  <c r="Q124" i="9" s="1"/>
  <c r="Q53" i="5"/>
  <c r="Q56" i="5" s="1"/>
  <c r="P59" i="5"/>
  <c r="T41" i="6"/>
  <c r="T43" i="6" s="1"/>
  <c r="S81" i="9"/>
  <c r="P2" i="12"/>
  <c r="Q2" i="1"/>
  <c r="P2" i="10"/>
  <c r="P2" i="9"/>
  <c r="P3" i="1"/>
  <c r="P2" i="6"/>
  <c r="P2" i="5"/>
  <c r="P2" i="4"/>
  <c r="P2" i="2"/>
  <c r="P2" i="3"/>
  <c r="R9" i="5"/>
  <c r="R12" i="5" s="1"/>
  <c r="Q15" i="5"/>
  <c r="O3" i="12"/>
  <c r="O3" i="2"/>
  <c r="O3" i="9"/>
  <c r="O3" i="10"/>
  <c r="O3" i="4"/>
  <c r="O3" i="3"/>
  <c r="O3" i="6"/>
  <c r="O3" i="5"/>
  <c r="K125" i="9"/>
  <c r="L125" i="9"/>
  <c r="R73" i="6"/>
  <c r="R75" i="6" s="1"/>
  <c r="Q84" i="9"/>
  <c r="L47" i="5"/>
  <c r="AB79" i="6"/>
  <c r="AB81" i="6" s="1"/>
  <c r="AA95" i="9"/>
  <c r="O58" i="5"/>
  <c r="O61" i="5" s="1"/>
  <c r="N63" i="5"/>
  <c r="Q39" i="5"/>
  <c r="Q42" i="5" s="1"/>
  <c r="P45" i="5"/>
  <c r="P17" i="5"/>
  <c r="N32" i="6" l="1"/>
  <c r="BP25" i="6"/>
  <c r="BQ16" i="6"/>
  <c r="BQ18" i="6" s="1"/>
  <c r="BQ25" i="6" s="1"/>
  <c r="BO58" i="5"/>
  <c r="BO61" i="5" s="1"/>
  <c r="BN63" i="5"/>
  <c r="BP45" i="5"/>
  <c r="BQ39" i="5"/>
  <c r="BQ42" i="5" s="1"/>
  <c r="BP15" i="5"/>
  <c r="BQ9" i="5"/>
  <c r="BQ12" i="5" s="1"/>
  <c r="BP59" i="5"/>
  <c r="BQ53" i="5"/>
  <c r="BQ56" i="5" s="1"/>
  <c r="BO44" i="5"/>
  <c r="BO47" i="5" s="1"/>
  <c r="BN49" i="5"/>
  <c r="BO14" i="5"/>
  <c r="BO17" i="5" s="1"/>
  <c r="BN19" i="5"/>
  <c r="M30" i="9"/>
  <c r="M36" i="9" s="1"/>
  <c r="O8" i="6"/>
  <c r="O9" i="6" s="1"/>
  <c r="M56" i="6"/>
  <c r="M59" i="6" s="1"/>
  <c r="M69" i="6" s="1"/>
  <c r="L69" i="6"/>
  <c r="L83" i="9" s="1"/>
  <c r="O8" i="9"/>
  <c r="O10" i="9" s="1"/>
  <c r="K78" i="5"/>
  <c r="P25" i="4"/>
  <c r="P13" i="9" s="1"/>
  <c r="P17" i="9" s="1"/>
  <c r="N30" i="9"/>
  <c r="N36" i="9" s="1"/>
  <c r="P31" i="3"/>
  <c r="P8" i="9" s="1"/>
  <c r="P10" i="9" s="1"/>
  <c r="O29" i="6"/>
  <c r="Q78" i="3"/>
  <c r="Q80" i="3" s="1"/>
  <c r="Q23" i="3" s="1"/>
  <c r="Q87" i="4"/>
  <c r="Q89" i="4" s="1"/>
  <c r="Q13" i="4" s="1"/>
  <c r="Q92" i="4"/>
  <c r="Q94" i="4" s="1"/>
  <c r="Q14" i="4" s="1"/>
  <c r="R37" i="2"/>
  <c r="R82" i="3"/>
  <c r="R84" i="3" s="1"/>
  <c r="R24" i="3" s="1"/>
  <c r="O19" i="9"/>
  <c r="O20" i="9" s="1"/>
  <c r="M34" i="6"/>
  <c r="K114" i="9"/>
  <c r="K120" i="9" s="1"/>
  <c r="K127" i="9" s="1"/>
  <c r="K135" i="9" s="1"/>
  <c r="K148" i="9" s="1"/>
  <c r="K48" i="9"/>
  <c r="K50" i="9" s="1"/>
  <c r="N33" i="6"/>
  <c r="N64" i="6" s="1"/>
  <c r="N65" i="6" s="1"/>
  <c r="S94" i="3"/>
  <c r="S96" i="3" s="1"/>
  <c r="S27" i="3" s="1"/>
  <c r="S45" i="2"/>
  <c r="R107" i="4"/>
  <c r="R109" i="4" s="1"/>
  <c r="R17" i="4" s="1"/>
  <c r="R112" i="4"/>
  <c r="R114" i="4" s="1"/>
  <c r="R18" i="4" s="1"/>
  <c r="R119" i="4"/>
  <c r="R19" i="4" s="1"/>
  <c r="L117" i="9"/>
  <c r="L40" i="9"/>
  <c r="L42" i="9" s="1"/>
  <c r="P153" i="4"/>
  <c r="P155" i="4" s="1"/>
  <c r="P32" i="4" s="1"/>
  <c r="P46" i="4" s="1"/>
  <c r="P27" i="9" s="1"/>
  <c r="P9" i="12"/>
  <c r="M28" i="5"/>
  <c r="M67" i="5"/>
  <c r="M70" i="5" s="1"/>
  <c r="W7" i="12"/>
  <c r="W72" i="4"/>
  <c r="W74" i="4" s="1"/>
  <c r="W10" i="4" s="1"/>
  <c r="X33" i="2"/>
  <c r="AD98" i="3" s="1"/>
  <c r="AD100" i="3" s="1"/>
  <c r="AD22" i="3" s="1"/>
  <c r="X70" i="3"/>
  <c r="X82" i="4"/>
  <c r="X84" i="4" s="1"/>
  <c r="X12" i="4" s="1"/>
  <c r="X69" i="3"/>
  <c r="X74" i="3"/>
  <c r="X76" i="3" s="1"/>
  <c r="X21" i="3" s="1"/>
  <c r="X64" i="3"/>
  <c r="X66" i="3" s="1"/>
  <c r="X19" i="3" s="1"/>
  <c r="O63" i="6"/>
  <c r="L33" i="5"/>
  <c r="N9" i="6"/>
  <c r="W72" i="3"/>
  <c r="W20" i="3" s="1"/>
  <c r="O27" i="9"/>
  <c r="O28" i="9" s="1"/>
  <c r="O30" i="6"/>
  <c r="O32" i="6" s="1"/>
  <c r="L72" i="5"/>
  <c r="L75" i="5" s="1"/>
  <c r="L77" i="5" s="1"/>
  <c r="L68" i="9" s="1"/>
  <c r="L69" i="9" s="1"/>
  <c r="R41" i="2"/>
  <c r="Q102" i="4"/>
  <c r="Q104" i="4" s="1"/>
  <c r="Q16" i="4" s="1"/>
  <c r="Q86" i="3"/>
  <c r="Q88" i="3" s="1"/>
  <c r="Q25" i="3" s="1"/>
  <c r="Q97" i="4"/>
  <c r="Q99" i="4" s="1"/>
  <c r="Q15" i="4" s="1"/>
  <c r="R90" i="3"/>
  <c r="R92" i="3" s="1"/>
  <c r="R26" i="3" s="1"/>
  <c r="Q8" i="12"/>
  <c r="AB95" i="9"/>
  <c r="AC79" i="6"/>
  <c r="AC81" i="6" s="1"/>
  <c r="M44" i="5"/>
  <c r="L49" i="5"/>
  <c r="S9" i="5"/>
  <c r="S12" i="5" s="1"/>
  <c r="R15" i="5"/>
  <c r="P3" i="12"/>
  <c r="P3" i="4"/>
  <c r="P3" i="9"/>
  <c r="P3" i="10"/>
  <c r="P3" i="3"/>
  <c r="P3" i="5"/>
  <c r="P3" i="2"/>
  <c r="P3" i="6"/>
  <c r="U41" i="6"/>
  <c r="U43" i="6" s="1"/>
  <c r="T81" i="9"/>
  <c r="S16" i="6"/>
  <c r="S18" i="6" s="1"/>
  <c r="R25" i="6"/>
  <c r="R73" i="9" s="1"/>
  <c r="R124" i="9" s="1"/>
  <c r="R39" i="5"/>
  <c r="R42" i="5" s="1"/>
  <c r="Q45" i="5"/>
  <c r="J120" i="9"/>
  <c r="S73" i="6"/>
  <c r="S75" i="6" s="1"/>
  <c r="R84" i="9"/>
  <c r="J50" i="9"/>
  <c r="J6" i="14" s="1"/>
  <c r="Q14" i="5"/>
  <c r="Q17" i="5" s="1"/>
  <c r="P19" i="5"/>
  <c r="P67" i="9" s="1"/>
  <c r="P58" i="5"/>
  <c r="P61" i="5" s="1"/>
  <c r="O63" i="5"/>
  <c r="Q2" i="12"/>
  <c r="R2" i="1"/>
  <c r="Q2" i="10"/>
  <c r="Q2" i="6"/>
  <c r="Q2" i="5"/>
  <c r="Q2" i="4"/>
  <c r="Q2" i="2"/>
  <c r="Q2" i="3"/>
  <c r="Q2" i="9"/>
  <c r="Q3" i="1"/>
  <c r="R53" i="5"/>
  <c r="R56" i="5" s="1"/>
  <c r="Q59" i="5"/>
  <c r="N31" i="9" l="1"/>
  <c r="K55" i="9"/>
  <c r="K59" i="9" s="1"/>
  <c r="K6" i="14"/>
  <c r="J8" i="14"/>
  <c r="J23" i="14"/>
  <c r="BP14" i="5"/>
  <c r="BP17" i="5" s="1"/>
  <c r="BO19" i="5"/>
  <c r="BP44" i="5"/>
  <c r="BP47" i="5" s="1"/>
  <c r="BO49" i="5"/>
  <c r="BQ15" i="5"/>
  <c r="BQ59" i="5"/>
  <c r="BQ45" i="5"/>
  <c r="BP58" i="5"/>
  <c r="BP61" i="5" s="1"/>
  <c r="BO63" i="5"/>
  <c r="M31" i="9"/>
  <c r="P29" i="6"/>
  <c r="L126" i="9"/>
  <c r="M83" i="9"/>
  <c r="N56" i="6"/>
  <c r="N59" i="6" s="1"/>
  <c r="P7" i="6"/>
  <c r="P8" i="6" s="1"/>
  <c r="P63" i="6" s="1"/>
  <c r="Q31" i="3"/>
  <c r="Q7" i="6" s="1"/>
  <c r="N34" i="6"/>
  <c r="R87" i="4"/>
  <c r="R89" i="4" s="1"/>
  <c r="R13" i="4" s="1"/>
  <c r="R78" i="3"/>
  <c r="R80" i="3" s="1"/>
  <c r="R23" i="3" s="1"/>
  <c r="R92" i="4"/>
  <c r="R94" i="4" s="1"/>
  <c r="R14" i="4" s="1"/>
  <c r="S82" i="3"/>
  <c r="S84" i="3" s="1"/>
  <c r="S24" i="3" s="1"/>
  <c r="S37" i="2"/>
  <c r="P19" i="9"/>
  <c r="P20" i="9" s="1"/>
  <c r="Q25" i="4"/>
  <c r="Q13" i="9" s="1"/>
  <c r="Q17" i="9" s="1"/>
  <c r="O30" i="9"/>
  <c r="O31" i="9" s="1"/>
  <c r="O33" i="6"/>
  <c r="O64" i="6" s="1"/>
  <c r="O65" i="6" s="1"/>
  <c r="Q9" i="12"/>
  <c r="Q153" i="4"/>
  <c r="Q155" i="4" s="1"/>
  <c r="Q32" i="4" s="1"/>
  <c r="Q46" i="4" s="1"/>
  <c r="M31" i="5"/>
  <c r="M73" i="5" s="1"/>
  <c r="M39" i="9" s="1"/>
  <c r="N25" i="5"/>
  <c r="P28" i="9"/>
  <c r="P30" i="6"/>
  <c r="L114" i="9"/>
  <c r="L120" i="9" s="1"/>
  <c r="L48" i="9"/>
  <c r="L50" i="9" s="1"/>
  <c r="X72" i="3"/>
  <c r="X20" i="3" s="1"/>
  <c r="X7" i="12"/>
  <c r="Y74" i="3"/>
  <c r="Y76" i="3" s="1"/>
  <c r="Y21" i="3" s="1"/>
  <c r="Y70" i="3"/>
  <c r="Y33" i="2"/>
  <c r="AE98" i="3" s="1"/>
  <c r="AE100" i="3" s="1"/>
  <c r="AE22" i="3" s="1"/>
  <c r="Y82" i="4"/>
  <c r="Y84" i="4" s="1"/>
  <c r="Y12" i="4" s="1"/>
  <c r="Y69" i="3"/>
  <c r="Y64" i="3"/>
  <c r="Y66" i="3" s="1"/>
  <c r="Y19" i="3" s="1"/>
  <c r="X72" i="4"/>
  <c r="X74" i="4" s="1"/>
  <c r="X10" i="4" s="1"/>
  <c r="S90" i="3"/>
  <c r="S92" i="3" s="1"/>
  <c r="S26" i="3" s="1"/>
  <c r="R86" i="3"/>
  <c r="R88" i="3" s="1"/>
  <c r="R25" i="3" s="1"/>
  <c r="R97" i="4"/>
  <c r="R99" i="4" s="1"/>
  <c r="R15" i="4" s="1"/>
  <c r="R102" i="4"/>
  <c r="R104" i="4" s="1"/>
  <c r="R16" i="4" s="1"/>
  <c r="S41" i="2"/>
  <c r="Y102" i="3" s="1"/>
  <c r="Y104" i="3" s="1"/>
  <c r="Y28" i="3" s="1"/>
  <c r="R8" i="12"/>
  <c r="M30" i="5"/>
  <c r="M72" i="5" s="1"/>
  <c r="L35" i="5"/>
  <c r="L78" i="5" s="1"/>
  <c r="S119" i="4"/>
  <c r="S19" i="4" s="1"/>
  <c r="T45" i="2"/>
  <c r="S112" i="4"/>
  <c r="S114" i="4" s="1"/>
  <c r="S18" i="4" s="1"/>
  <c r="T94" i="3"/>
  <c r="T96" i="3" s="1"/>
  <c r="T27" i="3" s="1"/>
  <c r="S107" i="4"/>
  <c r="S109" i="4" s="1"/>
  <c r="S17" i="4" s="1"/>
  <c r="S53" i="5"/>
  <c r="S56" i="5" s="1"/>
  <c r="R59" i="5"/>
  <c r="Q3" i="12"/>
  <c r="Q3" i="6"/>
  <c r="Q3" i="2"/>
  <c r="Q3" i="9"/>
  <c r="Q3" i="10"/>
  <c r="Q3" i="4"/>
  <c r="Q3" i="3"/>
  <c r="Q3" i="5"/>
  <c r="R2" i="12"/>
  <c r="R2" i="10"/>
  <c r="S2" i="1"/>
  <c r="R2" i="6"/>
  <c r="R2" i="5"/>
  <c r="R2" i="4"/>
  <c r="R2" i="2"/>
  <c r="R2" i="3"/>
  <c r="R2" i="9"/>
  <c r="R3" i="1"/>
  <c r="V41" i="6"/>
  <c r="V43" i="6" s="1"/>
  <c r="U81" i="9"/>
  <c r="S39" i="5"/>
  <c r="S42" i="5" s="1"/>
  <c r="R45" i="5"/>
  <c r="M47" i="5"/>
  <c r="S15" i="5"/>
  <c r="T9" i="5"/>
  <c r="T12" i="5" s="1"/>
  <c r="AD79" i="6"/>
  <c r="AD81" i="6" s="1"/>
  <c r="AC95" i="9"/>
  <c r="Q58" i="5"/>
  <c r="Q61" i="5" s="1"/>
  <c r="P63" i="5"/>
  <c r="T16" i="6"/>
  <c r="T18" i="6" s="1"/>
  <c r="S25" i="6"/>
  <c r="S73" i="9" s="1"/>
  <c r="S124" i="9" s="1"/>
  <c r="R14" i="5"/>
  <c r="R17" i="5" s="1"/>
  <c r="Q19" i="5"/>
  <c r="Q67" i="9" s="1"/>
  <c r="T73" i="6"/>
  <c r="T75" i="6" s="1"/>
  <c r="S84" i="9"/>
  <c r="J127" i="9"/>
  <c r="L55" i="9" l="1"/>
  <c r="L59" i="9" s="1"/>
  <c r="L6" i="14"/>
  <c r="K8" i="14"/>
  <c r="K23" i="14"/>
  <c r="J25" i="14"/>
  <c r="J19" i="14" s="1"/>
  <c r="J24" i="14"/>
  <c r="P32" i="6"/>
  <c r="P33" i="6" s="1"/>
  <c r="P64" i="6" s="1"/>
  <c r="P65" i="6" s="1"/>
  <c r="R66" i="6" s="1"/>
  <c r="BQ58" i="5"/>
  <c r="BQ61" i="5" s="1"/>
  <c r="BQ63" i="5" s="1"/>
  <c r="BP63" i="5"/>
  <c r="BQ44" i="5"/>
  <c r="BQ47" i="5" s="1"/>
  <c r="BQ49" i="5" s="1"/>
  <c r="BP49" i="5"/>
  <c r="BQ14" i="5"/>
  <c r="BQ17" i="5" s="1"/>
  <c r="BQ19" i="5" s="1"/>
  <c r="BP19" i="5"/>
  <c r="L127" i="9"/>
  <c r="L135" i="9" s="1"/>
  <c r="L148" i="9" s="1"/>
  <c r="O56" i="6"/>
  <c r="O59" i="6" s="1"/>
  <c r="N69" i="6"/>
  <c r="N83" i="9" s="1"/>
  <c r="M126" i="9"/>
  <c r="Q8" i="9"/>
  <c r="Q10" i="9" s="1"/>
  <c r="Q19" i="9" s="1"/>
  <c r="Y72" i="3"/>
  <c r="Y20" i="3" s="1"/>
  <c r="R31" i="3"/>
  <c r="R8" i="9" s="1"/>
  <c r="Q29" i="6"/>
  <c r="R25" i="4"/>
  <c r="R13" i="9" s="1"/>
  <c r="O34" i="6"/>
  <c r="S92" i="4"/>
  <c r="S94" i="4" s="1"/>
  <c r="S14" i="4" s="1"/>
  <c r="T82" i="3"/>
  <c r="T84" i="3" s="1"/>
  <c r="T24" i="3" s="1"/>
  <c r="T37" i="2"/>
  <c r="S78" i="3"/>
  <c r="S80" i="3" s="1"/>
  <c r="S23" i="3" s="1"/>
  <c r="S87" i="4"/>
  <c r="S89" i="4" s="1"/>
  <c r="S13" i="4" s="1"/>
  <c r="M75" i="5"/>
  <c r="M77" i="5" s="1"/>
  <c r="M68" i="9" s="1"/>
  <c r="M69" i="9" s="1"/>
  <c r="O36" i="9"/>
  <c r="P30" i="9"/>
  <c r="P31" i="9" s="1"/>
  <c r="M33" i="5"/>
  <c r="N30" i="5" s="1"/>
  <c r="Q8" i="6"/>
  <c r="Q63" i="6" s="1"/>
  <c r="Y7" i="12"/>
  <c r="Z74" i="3"/>
  <c r="Z76" i="3" s="1"/>
  <c r="Z21" i="3" s="1"/>
  <c r="Z64" i="3"/>
  <c r="Z66" i="3" s="1"/>
  <c r="Z19" i="3" s="1"/>
  <c r="Z33" i="2"/>
  <c r="AF98" i="3" s="1"/>
  <c r="AF100" i="3" s="1"/>
  <c r="AF22" i="3" s="1"/>
  <c r="Y72" i="4"/>
  <c r="Y74" i="4" s="1"/>
  <c r="Y10" i="4" s="1"/>
  <c r="Z70" i="3"/>
  <c r="Z69" i="3"/>
  <c r="Z82" i="4"/>
  <c r="Z84" i="4" s="1"/>
  <c r="Z12" i="4" s="1"/>
  <c r="Q27" i="9"/>
  <c r="Q30" i="6"/>
  <c r="R153" i="4"/>
  <c r="R155" i="4" s="1"/>
  <c r="R32" i="4" s="1"/>
  <c r="R46" i="4" s="1"/>
  <c r="R9" i="12"/>
  <c r="P9" i="6"/>
  <c r="T41" i="2"/>
  <c r="Z102" i="3" s="1"/>
  <c r="Z104" i="3" s="1"/>
  <c r="Z28" i="3" s="1"/>
  <c r="S102" i="4"/>
  <c r="S104" i="4" s="1"/>
  <c r="S16" i="4" s="1"/>
  <c r="S97" i="4"/>
  <c r="S99" i="4" s="1"/>
  <c r="S15" i="4" s="1"/>
  <c r="T90" i="3"/>
  <c r="T92" i="3" s="1"/>
  <c r="T26" i="3" s="1"/>
  <c r="S86" i="3"/>
  <c r="S88" i="3" s="1"/>
  <c r="S25" i="3" s="1"/>
  <c r="S8" i="12"/>
  <c r="T112" i="4"/>
  <c r="T114" i="4" s="1"/>
  <c r="T18" i="4" s="1"/>
  <c r="U45" i="2"/>
  <c r="T119" i="4"/>
  <c r="T19" i="4" s="1"/>
  <c r="T107" i="4"/>
  <c r="T109" i="4" s="1"/>
  <c r="T17" i="4" s="1"/>
  <c r="U94" i="3"/>
  <c r="U96" i="3" s="1"/>
  <c r="U27" i="3" s="1"/>
  <c r="N67" i="5"/>
  <c r="N70" i="5" s="1"/>
  <c r="N28" i="5"/>
  <c r="M117" i="9"/>
  <c r="M40" i="9"/>
  <c r="M42" i="9" s="1"/>
  <c r="U73" i="6"/>
  <c r="U75" i="6" s="1"/>
  <c r="T84" i="9"/>
  <c r="U16" i="6"/>
  <c r="U18" i="6" s="1"/>
  <c r="T25" i="6"/>
  <c r="T73" i="9" s="1"/>
  <c r="T124" i="9" s="1"/>
  <c r="J81" i="11"/>
  <c r="R58" i="5"/>
  <c r="R61" i="5" s="1"/>
  <c r="Q63" i="5"/>
  <c r="U9" i="5"/>
  <c r="U12" i="5" s="1"/>
  <c r="T15" i="5"/>
  <c r="V81" i="9"/>
  <c r="W41" i="6"/>
  <c r="W43" i="6" s="1"/>
  <c r="T39" i="5"/>
  <c r="T42" i="5" s="1"/>
  <c r="S45" i="5"/>
  <c r="S2" i="12"/>
  <c r="T2" i="1"/>
  <c r="S2" i="10"/>
  <c r="S2" i="6"/>
  <c r="S2" i="5"/>
  <c r="S2" i="4"/>
  <c r="S2" i="2"/>
  <c r="S2" i="3"/>
  <c r="S2" i="9"/>
  <c r="S3" i="1"/>
  <c r="S59" i="5"/>
  <c r="T53" i="5"/>
  <c r="T56" i="5" s="1"/>
  <c r="R3" i="12"/>
  <c r="R3" i="4"/>
  <c r="R3" i="2"/>
  <c r="R3" i="3"/>
  <c r="R3" i="9"/>
  <c r="R3" i="10"/>
  <c r="R3" i="6"/>
  <c r="R3" i="5"/>
  <c r="S14" i="5"/>
  <c r="S17" i="5" s="1"/>
  <c r="R19" i="5"/>
  <c r="R67" i="9" s="1"/>
  <c r="J135" i="9"/>
  <c r="AE79" i="6"/>
  <c r="AE81" i="6" s="1"/>
  <c r="AD95" i="9"/>
  <c r="N44" i="5"/>
  <c r="M49" i="5"/>
  <c r="K24" i="14" l="1"/>
  <c r="K25" i="14"/>
  <c r="K19" i="14" s="1"/>
  <c r="L8" i="14"/>
  <c r="L23" i="14"/>
  <c r="R29" i="6"/>
  <c r="J10" i="14"/>
  <c r="J28" i="14"/>
  <c r="N126" i="9"/>
  <c r="P56" i="6"/>
  <c r="P59" i="6" s="1"/>
  <c r="Q56" i="6" s="1"/>
  <c r="Q59" i="6" s="1"/>
  <c r="R56" i="6" s="1"/>
  <c r="R59" i="6" s="1"/>
  <c r="S56" i="6" s="1"/>
  <c r="S59" i="6" s="1"/>
  <c r="O69" i="6"/>
  <c r="O83" i="9" s="1"/>
  <c r="Q32" i="6"/>
  <c r="Q33" i="6" s="1"/>
  <c r="Q64" i="6" s="1"/>
  <c r="M35" i="5"/>
  <c r="R7" i="6"/>
  <c r="R8" i="6" s="1"/>
  <c r="R63" i="6" s="1"/>
  <c r="P34" i="6"/>
  <c r="Q35" i="6" s="1"/>
  <c r="Q36" i="6" s="1"/>
  <c r="Q9" i="6"/>
  <c r="Z72" i="3"/>
  <c r="Z20" i="3" s="1"/>
  <c r="S25" i="4"/>
  <c r="S29" i="6" s="1"/>
  <c r="T78" i="3"/>
  <c r="T80" i="3" s="1"/>
  <c r="T23" i="3" s="1"/>
  <c r="T87" i="4"/>
  <c r="T89" i="4" s="1"/>
  <c r="T13" i="4" s="1"/>
  <c r="U37" i="2"/>
  <c r="T92" i="4"/>
  <c r="T94" i="4" s="1"/>
  <c r="T14" i="4" s="1"/>
  <c r="U82" i="3"/>
  <c r="U84" i="3" s="1"/>
  <c r="U24" i="3" s="1"/>
  <c r="P36" i="9"/>
  <c r="S31" i="3"/>
  <c r="S8" i="9" s="1"/>
  <c r="S10" i="9" s="1"/>
  <c r="O25" i="5"/>
  <c r="N31" i="5"/>
  <c r="V94" i="3"/>
  <c r="V96" i="3" s="1"/>
  <c r="V27" i="3" s="1"/>
  <c r="U119" i="4"/>
  <c r="U19" i="4" s="1"/>
  <c r="U112" i="4"/>
  <c r="U114" i="4" s="1"/>
  <c r="U18" i="4" s="1"/>
  <c r="V45" i="2"/>
  <c r="U107" i="4"/>
  <c r="U109" i="4" s="1"/>
  <c r="U17" i="4" s="1"/>
  <c r="R17" i="9"/>
  <c r="U41" i="2"/>
  <c r="AA102" i="3" s="1"/>
  <c r="AA104" i="3" s="1"/>
  <c r="AA28" i="3" s="1"/>
  <c r="U90" i="3"/>
  <c r="U92" i="3" s="1"/>
  <c r="U26" i="3" s="1"/>
  <c r="T97" i="4"/>
  <c r="T99" i="4" s="1"/>
  <c r="T15" i="4" s="1"/>
  <c r="T86" i="3"/>
  <c r="T88" i="3" s="1"/>
  <c r="T25" i="3" s="1"/>
  <c r="T102" i="4"/>
  <c r="T104" i="4" s="1"/>
  <c r="T16" i="4" s="1"/>
  <c r="T8" i="12"/>
  <c r="Q10" i="6"/>
  <c r="Q11" i="6" s="1"/>
  <c r="P72" i="9"/>
  <c r="P123" i="9" s="1"/>
  <c r="R10" i="9"/>
  <c r="R27" i="9"/>
  <c r="R28" i="9" s="1"/>
  <c r="R30" i="6"/>
  <c r="Z7" i="12"/>
  <c r="AA69" i="3"/>
  <c r="AA70" i="3"/>
  <c r="Z72" i="4"/>
  <c r="Z74" i="4" s="1"/>
  <c r="Z10" i="4" s="1"/>
  <c r="AA33" i="2"/>
  <c r="AG98" i="3" s="1"/>
  <c r="AG100" i="3" s="1"/>
  <c r="AG22" i="3" s="1"/>
  <c r="AA82" i="4"/>
  <c r="AA84" i="4" s="1"/>
  <c r="AA12" i="4" s="1"/>
  <c r="AA64" i="3"/>
  <c r="AA66" i="3" s="1"/>
  <c r="AA19" i="3" s="1"/>
  <c r="AA74" i="3"/>
  <c r="AA76" i="3" s="1"/>
  <c r="AA21" i="3" s="1"/>
  <c r="M78" i="5"/>
  <c r="S153" i="4"/>
  <c r="S155" i="4" s="1"/>
  <c r="S32" i="4" s="1"/>
  <c r="S46" i="4" s="1"/>
  <c r="S9" i="12"/>
  <c r="Q20" i="9"/>
  <c r="M114" i="9"/>
  <c r="M120" i="9" s="1"/>
  <c r="M127" i="9" s="1"/>
  <c r="M135" i="9" s="1"/>
  <c r="M148" i="9" s="1"/>
  <c r="M48" i="9"/>
  <c r="M50" i="9" s="1"/>
  <c r="Q28" i="9"/>
  <c r="Q30" i="9" s="1"/>
  <c r="T14" i="5"/>
  <c r="T17" i="5" s="1"/>
  <c r="S19" i="5"/>
  <c r="S67" i="9" s="1"/>
  <c r="U39" i="5"/>
  <c r="U42" i="5" s="1"/>
  <c r="T45" i="5"/>
  <c r="V16" i="6"/>
  <c r="V18" i="6" s="1"/>
  <c r="U25" i="6"/>
  <c r="U73" i="9" s="1"/>
  <c r="U53" i="5"/>
  <c r="U56" i="5" s="1"/>
  <c r="T59" i="5"/>
  <c r="V73" i="6"/>
  <c r="V75" i="6" s="1"/>
  <c r="U84" i="9"/>
  <c r="J84" i="11" s="1"/>
  <c r="V9" i="5"/>
  <c r="V12" i="5" s="1"/>
  <c r="U15" i="5"/>
  <c r="N47" i="5"/>
  <c r="N72" i="5"/>
  <c r="AF79" i="6"/>
  <c r="AF81" i="6" s="1"/>
  <c r="AE95" i="9"/>
  <c r="S3" i="12"/>
  <c r="S3" i="9"/>
  <c r="S3" i="10"/>
  <c r="S3" i="6"/>
  <c r="S3" i="5"/>
  <c r="S3" i="4"/>
  <c r="S3" i="2"/>
  <c r="S3" i="3"/>
  <c r="T2" i="12"/>
  <c r="U2" i="1"/>
  <c r="T2" i="10"/>
  <c r="T2" i="9"/>
  <c r="T3" i="1"/>
  <c r="T2" i="2"/>
  <c r="T2" i="4"/>
  <c r="T2" i="5"/>
  <c r="T2" i="6"/>
  <c r="T2" i="3"/>
  <c r="X41" i="6"/>
  <c r="X43" i="6" s="1"/>
  <c r="W81" i="9"/>
  <c r="S58" i="5"/>
  <c r="S61" i="5" s="1"/>
  <c r="R63" i="5"/>
  <c r="J148" i="9"/>
  <c r="R32" i="6" l="1"/>
  <c r="L24" i="14"/>
  <c r="L25" i="14"/>
  <c r="L19" i="14" s="1"/>
  <c r="M55" i="9"/>
  <c r="M59" i="9" s="1"/>
  <c r="M6" i="14"/>
  <c r="K10" i="14"/>
  <c r="K28" i="14"/>
  <c r="J12" i="14"/>
  <c r="J20" i="14" s="1"/>
  <c r="O126" i="9"/>
  <c r="P80" i="9"/>
  <c r="P125" i="9" s="1"/>
  <c r="T31" i="3"/>
  <c r="T8" i="9" s="1"/>
  <c r="T10" i="9" s="1"/>
  <c r="S13" i="9"/>
  <c r="S17" i="9" s="1"/>
  <c r="S19" i="9" s="1"/>
  <c r="S7" i="6"/>
  <c r="S8" i="6" s="1"/>
  <c r="S63" i="6" s="1"/>
  <c r="V37" i="2"/>
  <c r="U92" i="4"/>
  <c r="U94" i="4" s="1"/>
  <c r="U14" i="4" s="1"/>
  <c r="V82" i="3"/>
  <c r="V84" i="3" s="1"/>
  <c r="V24" i="3" s="1"/>
  <c r="U78" i="3"/>
  <c r="U80" i="3" s="1"/>
  <c r="U23" i="3" s="1"/>
  <c r="U87" i="4"/>
  <c r="U89" i="4" s="1"/>
  <c r="U13" i="4" s="1"/>
  <c r="Q34" i="6"/>
  <c r="U102" i="4"/>
  <c r="U104" i="4" s="1"/>
  <c r="U16" i="4" s="1"/>
  <c r="V41" i="2"/>
  <c r="AB102" i="3" s="1"/>
  <c r="AB104" i="3" s="1"/>
  <c r="AB28" i="3" s="1"/>
  <c r="V90" i="3"/>
  <c r="V92" i="3" s="1"/>
  <c r="V26" i="3" s="1"/>
  <c r="U97" i="4"/>
  <c r="U99" i="4" s="1"/>
  <c r="U15" i="4" s="1"/>
  <c r="U86" i="3"/>
  <c r="U88" i="3" s="1"/>
  <c r="U25" i="3" s="1"/>
  <c r="U8" i="12"/>
  <c r="Q31" i="9"/>
  <c r="Q36" i="9"/>
  <c r="AA72" i="3"/>
  <c r="AA20" i="3" s="1"/>
  <c r="N73" i="5"/>
  <c r="N39" i="9" s="1"/>
  <c r="N33" i="5"/>
  <c r="R33" i="6"/>
  <c r="R64" i="6" s="1"/>
  <c r="T153" i="4"/>
  <c r="T155" i="4" s="1"/>
  <c r="T32" i="4" s="1"/>
  <c r="T46" i="4" s="1"/>
  <c r="T9" i="12"/>
  <c r="O67" i="5"/>
  <c r="O70" i="5" s="1"/>
  <c r="O28" i="5"/>
  <c r="S30" i="6"/>
  <c r="S32" i="6" s="1"/>
  <c r="S27" i="9"/>
  <c r="Q62" i="6"/>
  <c r="Q65" i="6" s="1"/>
  <c r="P69" i="6"/>
  <c r="P83" i="9" s="1"/>
  <c r="P126" i="9" s="1"/>
  <c r="V119" i="4"/>
  <c r="V19" i="4" s="1"/>
  <c r="V107" i="4"/>
  <c r="V109" i="4" s="1"/>
  <c r="V17" i="4" s="1"/>
  <c r="W45" i="2"/>
  <c r="V112" i="4"/>
  <c r="V114" i="4" s="1"/>
  <c r="V18" i="4" s="1"/>
  <c r="W94" i="3"/>
  <c r="W96" i="3" s="1"/>
  <c r="W27" i="3" s="1"/>
  <c r="R9" i="6"/>
  <c r="AA7" i="12"/>
  <c r="AB74" i="3"/>
  <c r="AB76" i="3" s="1"/>
  <c r="AB21" i="3" s="1"/>
  <c r="AA72" i="4"/>
  <c r="AA74" i="4" s="1"/>
  <c r="AA10" i="4" s="1"/>
  <c r="AB70" i="3"/>
  <c r="AB69" i="3"/>
  <c r="AB33" i="2"/>
  <c r="AH98" i="3" s="1"/>
  <c r="AH100" i="3" s="1"/>
  <c r="AH22" i="3" s="1"/>
  <c r="AB64" i="3"/>
  <c r="AB66" i="3" s="1"/>
  <c r="AB19" i="3" s="1"/>
  <c r="AB82" i="4"/>
  <c r="AB84" i="4" s="1"/>
  <c r="AB12" i="4" s="1"/>
  <c r="R19" i="9"/>
  <c r="T25" i="4"/>
  <c r="X81" i="9"/>
  <c r="Y41" i="6"/>
  <c r="Y43" i="6" s="1"/>
  <c r="AF95" i="9"/>
  <c r="AG79" i="6"/>
  <c r="AG81" i="6" s="1"/>
  <c r="V39" i="5"/>
  <c r="V42" i="5" s="1"/>
  <c r="U45" i="5"/>
  <c r="T3" i="12"/>
  <c r="T3" i="6"/>
  <c r="T3" i="5"/>
  <c r="T3" i="4"/>
  <c r="T3" i="2"/>
  <c r="T3" i="3"/>
  <c r="T3" i="9"/>
  <c r="T3" i="10"/>
  <c r="J73" i="11"/>
  <c r="U124" i="9"/>
  <c r="J124" i="11" s="1"/>
  <c r="J150" i="9"/>
  <c r="W16" i="6"/>
  <c r="W18" i="6" s="1"/>
  <c r="V25" i="6"/>
  <c r="V73" i="9" s="1"/>
  <c r="V124" i="9" s="1"/>
  <c r="U2" i="12"/>
  <c r="V2" i="1"/>
  <c r="U2" i="10"/>
  <c r="U2" i="9"/>
  <c r="U2" i="2"/>
  <c r="U2" i="4"/>
  <c r="U2" i="5"/>
  <c r="U3" i="1"/>
  <c r="U2" i="6"/>
  <c r="U2" i="3"/>
  <c r="O44" i="5"/>
  <c r="N49" i="5"/>
  <c r="V84" i="9"/>
  <c r="W73" i="6"/>
  <c r="W75" i="6" s="1"/>
  <c r="V53" i="5"/>
  <c r="V56" i="5" s="1"/>
  <c r="U59" i="5"/>
  <c r="U14" i="5"/>
  <c r="U17" i="5" s="1"/>
  <c r="T67" i="9"/>
  <c r="T56" i="6"/>
  <c r="T59" i="6" s="1"/>
  <c r="T58" i="5"/>
  <c r="T61" i="5" s="1"/>
  <c r="S63" i="5"/>
  <c r="W9" i="5"/>
  <c r="W12" i="5" s="1"/>
  <c r="V15" i="5"/>
  <c r="M8" i="14" l="1"/>
  <c r="M23" i="14"/>
  <c r="L10" i="14"/>
  <c r="L28" i="14"/>
  <c r="L30" i="14" s="1"/>
  <c r="L33" i="14" s="1"/>
  <c r="L34" i="14" s="1"/>
  <c r="J29" i="14"/>
  <c r="J30" i="14" s="1"/>
  <c r="J33" i="14" s="1"/>
  <c r="J34" i="14" s="1"/>
  <c r="J21" i="14"/>
  <c r="K18" i="14" s="1"/>
  <c r="U31" i="3"/>
  <c r="U8" i="9" s="1"/>
  <c r="T7" i="6"/>
  <c r="S9" i="6"/>
  <c r="U25" i="4"/>
  <c r="U29" i="6" s="1"/>
  <c r="R34" i="6"/>
  <c r="V92" i="4"/>
  <c r="V94" i="4" s="1"/>
  <c r="V14" i="4" s="1"/>
  <c r="W37" i="2"/>
  <c r="V87" i="4"/>
  <c r="V89" i="4" s="1"/>
  <c r="V13" i="4" s="1"/>
  <c r="V78" i="3"/>
  <c r="V80" i="3" s="1"/>
  <c r="V23" i="3" s="1"/>
  <c r="W82" i="3"/>
  <c r="W84" i="3" s="1"/>
  <c r="W24" i="3" s="1"/>
  <c r="N117" i="9"/>
  <c r="N40" i="9"/>
  <c r="N42" i="9" s="1"/>
  <c r="U7" i="6"/>
  <c r="S20" i="9"/>
  <c r="Q72" i="9"/>
  <c r="Q123" i="9" s="1"/>
  <c r="R10" i="6"/>
  <c r="R11" i="6" s="1"/>
  <c r="R62" i="6"/>
  <c r="R65" i="6" s="1"/>
  <c r="R67" i="6" s="1"/>
  <c r="Q69" i="6"/>
  <c r="Q83" i="9" s="1"/>
  <c r="Q126" i="9" s="1"/>
  <c r="AB7" i="12"/>
  <c r="AC74" i="3"/>
  <c r="AC76" i="3" s="1"/>
  <c r="AC21" i="3" s="1"/>
  <c r="AC33" i="2"/>
  <c r="AI98" i="3" s="1"/>
  <c r="AI100" i="3" s="1"/>
  <c r="AI22" i="3" s="1"/>
  <c r="AC69" i="3"/>
  <c r="AB72" i="4"/>
  <c r="AB74" i="4" s="1"/>
  <c r="AB10" i="4" s="1"/>
  <c r="AC64" i="3"/>
  <c r="AC66" i="3" s="1"/>
  <c r="AC19" i="3" s="1"/>
  <c r="AC70" i="3"/>
  <c r="AC82" i="4"/>
  <c r="AC84" i="4" s="1"/>
  <c r="AC12" i="4" s="1"/>
  <c r="T30" i="6"/>
  <c r="T27" i="9"/>
  <c r="T28" i="9" s="1"/>
  <c r="R35" i="6"/>
  <c r="R36" i="6" s="1"/>
  <c r="Q80" i="9"/>
  <c r="V86" i="3"/>
  <c r="V88" i="3" s="1"/>
  <c r="V25" i="3" s="1"/>
  <c r="W41" i="2"/>
  <c r="AC102" i="3" s="1"/>
  <c r="AC104" i="3" s="1"/>
  <c r="AC28" i="3" s="1"/>
  <c r="V102" i="4"/>
  <c r="V104" i="4" s="1"/>
  <c r="V16" i="4" s="1"/>
  <c r="W90" i="3"/>
  <c r="W92" i="3" s="1"/>
  <c r="W26" i="3" s="1"/>
  <c r="V97" i="4"/>
  <c r="V99" i="4" s="1"/>
  <c r="V15" i="4" s="1"/>
  <c r="V8" i="12"/>
  <c r="AB72" i="3"/>
  <c r="AB20" i="3" s="1"/>
  <c r="W112" i="4"/>
  <c r="W114" i="4" s="1"/>
  <c r="W18" i="4" s="1"/>
  <c r="X94" i="3"/>
  <c r="X96" i="3" s="1"/>
  <c r="X27" i="3" s="1"/>
  <c r="W107" i="4"/>
  <c r="W109" i="4" s="1"/>
  <c r="W17" i="4" s="1"/>
  <c r="W119" i="4"/>
  <c r="W19" i="4" s="1"/>
  <c r="X45" i="2"/>
  <c r="S33" i="6"/>
  <c r="S64" i="6" s="1"/>
  <c r="T29" i="6"/>
  <c r="T13" i="9"/>
  <c r="S28" i="9"/>
  <c r="S30" i="9" s="1"/>
  <c r="N75" i="5"/>
  <c r="N77" i="5" s="1"/>
  <c r="N68" i="9" s="1"/>
  <c r="N69" i="9" s="1"/>
  <c r="R20" i="9"/>
  <c r="R30" i="9"/>
  <c r="T8" i="6"/>
  <c r="T63" i="6" s="1"/>
  <c r="O31" i="5"/>
  <c r="O73" i="5" s="1"/>
  <c r="O39" i="9" s="1"/>
  <c r="P25" i="5"/>
  <c r="O30" i="5"/>
  <c r="O72" i="5" s="1"/>
  <c r="N35" i="5"/>
  <c r="U153" i="4"/>
  <c r="U155" i="4" s="1"/>
  <c r="U32" i="4" s="1"/>
  <c r="U46" i="4" s="1"/>
  <c r="U9" i="12"/>
  <c r="O47" i="5"/>
  <c r="W53" i="5"/>
  <c r="W56" i="5" s="1"/>
  <c r="V59" i="5"/>
  <c r="V2" i="12"/>
  <c r="V2" i="10"/>
  <c r="W2" i="1"/>
  <c r="V2" i="9"/>
  <c r="V2" i="6"/>
  <c r="V2" i="5"/>
  <c r="V2" i="4"/>
  <c r="V2" i="2"/>
  <c r="V2" i="3"/>
  <c r="V3" i="1"/>
  <c r="AH79" i="6"/>
  <c r="AH81" i="6" s="1"/>
  <c r="AG95" i="9"/>
  <c r="K95" i="11" s="1"/>
  <c r="U56" i="6"/>
  <c r="U59" i="6" s="1"/>
  <c r="K149" i="9"/>
  <c r="K150" i="9" s="1"/>
  <c r="J74" i="9"/>
  <c r="J75" i="9" s="1"/>
  <c r="J77" i="9" s="1"/>
  <c r="W15" i="5"/>
  <c r="X9" i="5"/>
  <c r="X12" i="5" s="1"/>
  <c r="W84" i="9"/>
  <c r="X73" i="6"/>
  <c r="X75" i="6" s="1"/>
  <c r="U3" i="12"/>
  <c r="U3" i="6"/>
  <c r="U3" i="5"/>
  <c r="U3" i="4"/>
  <c r="U3" i="2"/>
  <c r="U3" i="9"/>
  <c r="U3" i="10"/>
  <c r="U3" i="3"/>
  <c r="W39" i="5"/>
  <c r="W42" i="5" s="1"/>
  <c r="V45" i="5"/>
  <c r="Z41" i="6"/>
  <c r="Z43" i="6" s="1"/>
  <c r="Y81" i="9"/>
  <c r="X16" i="6"/>
  <c r="X18" i="6" s="1"/>
  <c r="W25" i="6"/>
  <c r="W73" i="9" s="1"/>
  <c r="W124" i="9" s="1"/>
  <c r="V14" i="5"/>
  <c r="V17" i="5" s="1"/>
  <c r="U19" i="5"/>
  <c r="U67" i="9" s="1"/>
  <c r="U58" i="5"/>
  <c r="U61" i="5" s="1"/>
  <c r="T63" i="5"/>
  <c r="J48" i="6" l="1"/>
  <c r="J50" i="6" s="1"/>
  <c r="J53" i="9"/>
  <c r="J55" i="9" s="1"/>
  <c r="J59" i="9" s="1"/>
  <c r="J61" i="9" s="1"/>
  <c r="M25" i="14"/>
  <c r="M19" i="14" s="1"/>
  <c r="M24" i="14"/>
  <c r="K11" i="14"/>
  <c r="K12" i="14" s="1"/>
  <c r="K20" i="14" s="1"/>
  <c r="K29" i="14" s="1"/>
  <c r="K30" i="14" s="1"/>
  <c r="K33" i="14" s="1"/>
  <c r="K34" i="14" s="1"/>
  <c r="N78" i="5"/>
  <c r="U13" i="9"/>
  <c r="U17" i="9" s="1"/>
  <c r="V31" i="3"/>
  <c r="V8" i="9" s="1"/>
  <c r="V10" i="9" s="1"/>
  <c r="R37" i="6"/>
  <c r="R80" i="9" s="1"/>
  <c r="X37" i="2"/>
  <c r="W78" i="3"/>
  <c r="W80" i="3" s="1"/>
  <c r="W23" i="3" s="1"/>
  <c r="W87" i="4"/>
  <c r="W89" i="4" s="1"/>
  <c r="W13" i="4" s="1"/>
  <c r="X82" i="3"/>
  <c r="X84" i="3" s="1"/>
  <c r="X24" i="3" s="1"/>
  <c r="W92" i="4"/>
  <c r="W94" i="4" s="1"/>
  <c r="W14" i="4" s="1"/>
  <c r="S36" i="9"/>
  <c r="S31" i="9"/>
  <c r="P28" i="5"/>
  <c r="P67" i="5"/>
  <c r="P70" i="5" s="1"/>
  <c r="S34" i="6"/>
  <c r="AC7" i="12"/>
  <c r="AD64" i="3"/>
  <c r="AD66" i="3" s="1"/>
  <c r="AD19" i="3" s="1"/>
  <c r="AD74" i="3"/>
  <c r="AD76" i="3" s="1"/>
  <c r="AD21" i="3" s="1"/>
  <c r="AD33" i="2"/>
  <c r="AJ98" i="3" s="1"/>
  <c r="AJ100" i="3" s="1"/>
  <c r="AJ22" i="3" s="1"/>
  <c r="AD70" i="3"/>
  <c r="AD82" i="4"/>
  <c r="AD84" i="4" s="1"/>
  <c r="AD12" i="4" s="1"/>
  <c r="AD69" i="3"/>
  <c r="AC72" i="4"/>
  <c r="AC74" i="4" s="1"/>
  <c r="AC10" i="4" s="1"/>
  <c r="O40" i="9"/>
  <c r="O42" i="9" s="1"/>
  <c r="O117" i="9"/>
  <c r="V153" i="4"/>
  <c r="V155" i="4" s="1"/>
  <c r="V32" i="4" s="1"/>
  <c r="V46" i="4" s="1"/>
  <c r="V9" i="12"/>
  <c r="T9" i="6"/>
  <c r="X119" i="4"/>
  <c r="X19" i="4" s="1"/>
  <c r="Y94" i="3"/>
  <c r="Y96" i="3" s="1"/>
  <c r="Y27" i="3" s="1"/>
  <c r="X112" i="4"/>
  <c r="X114" i="4" s="1"/>
  <c r="X18" i="4" s="1"/>
  <c r="X107" i="4"/>
  <c r="X109" i="4" s="1"/>
  <c r="X17" i="4" s="1"/>
  <c r="Y45" i="2"/>
  <c r="V25" i="4"/>
  <c r="U8" i="6"/>
  <c r="U63" i="6" s="1"/>
  <c r="U10" i="9"/>
  <c r="J8" i="11"/>
  <c r="C9" i="13" s="1"/>
  <c r="C10" i="13" s="1"/>
  <c r="U30" i="6"/>
  <c r="U32" i="6" s="1"/>
  <c r="U27" i="9"/>
  <c r="U28" i="9" s="1"/>
  <c r="J28" i="11" s="1"/>
  <c r="C15" i="13" s="1"/>
  <c r="R31" i="9"/>
  <c r="R36" i="9"/>
  <c r="S62" i="6"/>
  <c r="S65" i="6" s="1"/>
  <c r="R69" i="6"/>
  <c r="R83" i="9" s="1"/>
  <c r="R126" i="9" s="1"/>
  <c r="N48" i="9"/>
  <c r="N50" i="9" s="1"/>
  <c r="N114" i="9"/>
  <c r="N120" i="9" s="1"/>
  <c r="N127" i="9" s="1"/>
  <c r="N135" i="9" s="1"/>
  <c r="N148" i="9" s="1"/>
  <c r="O75" i="5"/>
  <c r="O77" i="5" s="1"/>
  <c r="O68" i="9" s="1"/>
  <c r="O69" i="9" s="1"/>
  <c r="T17" i="9"/>
  <c r="T19" i="9" s="1"/>
  <c r="W86" i="3"/>
  <c r="W88" i="3" s="1"/>
  <c r="W25" i="3" s="1"/>
  <c r="X41" i="2"/>
  <c r="AD102" i="3" s="1"/>
  <c r="AD104" i="3" s="1"/>
  <c r="AD28" i="3" s="1"/>
  <c r="X90" i="3"/>
  <c r="X92" i="3" s="1"/>
  <c r="X26" i="3" s="1"/>
  <c r="W97" i="4"/>
  <c r="W99" i="4" s="1"/>
  <c r="W15" i="4" s="1"/>
  <c r="W102" i="4"/>
  <c r="W104" i="4" s="1"/>
  <c r="W16" i="4" s="1"/>
  <c r="W8" i="12"/>
  <c r="O33" i="5"/>
  <c r="T32" i="6"/>
  <c r="AC72" i="3"/>
  <c r="AC20" i="3" s="1"/>
  <c r="R12" i="6"/>
  <c r="V58" i="5"/>
  <c r="V61" i="5" s="1"/>
  <c r="U63" i="5"/>
  <c r="Y16" i="6"/>
  <c r="Y18" i="6" s="1"/>
  <c r="X25" i="6"/>
  <c r="X73" i="9" s="1"/>
  <c r="X124" i="9" s="1"/>
  <c r="W59" i="5"/>
  <c r="X53" i="5"/>
  <c r="X56" i="5" s="1"/>
  <c r="P44" i="5"/>
  <c r="O49" i="5"/>
  <c r="K74" i="9"/>
  <c r="K75" i="9" s="1"/>
  <c r="K77" i="9" s="1"/>
  <c r="L149" i="9"/>
  <c r="L150" i="9" s="1"/>
  <c r="W2" i="12"/>
  <c r="W2" i="10"/>
  <c r="X2" i="1"/>
  <c r="W2" i="9"/>
  <c r="W2" i="6"/>
  <c r="W2" i="5"/>
  <c r="W2" i="4"/>
  <c r="W2" i="2"/>
  <c r="W2" i="3"/>
  <c r="W3" i="1"/>
  <c r="V3" i="12"/>
  <c r="V3" i="2"/>
  <c r="V3" i="3"/>
  <c r="V3" i="9"/>
  <c r="V3" i="10"/>
  <c r="V3" i="6"/>
  <c r="V3" i="5"/>
  <c r="V3" i="4"/>
  <c r="Y9" i="5"/>
  <c r="Y12" i="5" s="1"/>
  <c r="X15" i="5"/>
  <c r="AA41" i="6"/>
  <c r="AA43" i="6" s="1"/>
  <c r="Z81" i="9"/>
  <c r="J67" i="11"/>
  <c r="V56" i="6"/>
  <c r="V59" i="6" s="1"/>
  <c r="W14" i="5"/>
  <c r="W17" i="5" s="1"/>
  <c r="V19" i="5"/>
  <c r="V67" i="9" s="1"/>
  <c r="W45" i="5"/>
  <c r="X39" i="5"/>
  <c r="X42" i="5" s="1"/>
  <c r="Y73" i="6"/>
  <c r="Y75" i="6" s="1"/>
  <c r="X84" i="9"/>
  <c r="AI79" i="6"/>
  <c r="AI81" i="6" s="1"/>
  <c r="AH95" i="9"/>
  <c r="K58" i="9" l="1"/>
  <c r="K61" i="9" s="1"/>
  <c r="J103" i="9"/>
  <c r="J105" i="9" s="1"/>
  <c r="K47" i="6"/>
  <c r="K50" i="6" s="1"/>
  <c r="J82" i="9"/>
  <c r="J88" i="9" s="1"/>
  <c r="J97" i="9" s="1"/>
  <c r="J99" i="9" s="1"/>
  <c r="J107" i="9" s="1"/>
  <c r="N55" i="9"/>
  <c r="N59" i="9" s="1"/>
  <c r="N6" i="14"/>
  <c r="K21" i="14"/>
  <c r="L18" i="14" s="1"/>
  <c r="M10" i="14"/>
  <c r="M28" i="14"/>
  <c r="M33" i="14" s="1"/>
  <c r="M34" i="14" s="1"/>
  <c r="J13" i="11"/>
  <c r="L11" i="14"/>
  <c r="L12" i="14" s="1"/>
  <c r="L21" i="14"/>
  <c r="M18" i="14" s="1"/>
  <c r="M11" i="14" s="1"/>
  <c r="M12" i="14" s="1"/>
  <c r="M21" i="14" s="1"/>
  <c r="N18" i="14" s="1"/>
  <c r="N11" i="14" s="1"/>
  <c r="S35" i="6"/>
  <c r="S36" i="6" s="1"/>
  <c r="S37" i="6" s="1"/>
  <c r="T35" i="6" s="1"/>
  <c r="T36" i="6" s="1"/>
  <c r="W31" i="3"/>
  <c r="W7" i="6" s="1"/>
  <c r="V7" i="6"/>
  <c r="V8" i="6" s="1"/>
  <c r="V63" i="6" s="1"/>
  <c r="U9" i="6"/>
  <c r="J27" i="11"/>
  <c r="X78" i="3"/>
  <c r="X80" i="3" s="1"/>
  <c r="X23" i="3" s="1"/>
  <c r="X92" i="4"/>
  <c r="X94" i="4" s="1"/>
  <c r="X14" i="4" s="1"/>
  <c r="Y37" i="2"/>
  <c r="X87" i="4"/>
  <c r="X89" i="4" s="1"/>
  <c r="X13" i="4" s="1"/>
  <c r="Y82" i="3"/>
  <c r="Y84" i="3" s="1"/>
  <c r="Y24" i="3" s="1"/>
  <c r="U66" i="6"/>
  <c r="S67" i="6"/>
  <c r="W25" i="4"/>
  <c r="U33" i="6"/>
  <c r="U64" i="6" s="1"/>
  <c r="X102" i="4"/>
  <c r="X104" i="4" s="1"/>
  <c r="X16" i="4" s="1"/>
  <c r="X86" i="3"/>
  <c r="X88" i="3" s="1"/>
  <c r="X25" i="3" s="1"/>
  <c r="Y90" i="3"/>
  <c r="Y92" i="3" s="1"/>
  <c r="Y26" i="3" s="1"/>
  <c r="X97" i="4"/>
  <c r="X99" i="4" s="1"/>
  <c r="X15" i="4" s="1"/>
  <c r="Y41" i="2"/>
  <c r="AE102" i="3" s="1"/>
  <c r="AE104" i="3" s="1"/>
  <c r="AE28" i="3" s="1"/>
  <c r="X8" i="12"/>
  <c r="U19" i="9"/>
  <c r="J10" i="11"/>
  <c r="O48" i="9"/>
  <c r="O50" i="9" s="1"/>
  <c r="O114" i="9"/>
  <c r="O120" i="9" s="1"/>
  <c r="O127" i="9" s="1"/>
  <c r="O135" i="9" s="1"/>
  <c r="W8" i="9"/>
  <c r="W10" i="9" s="1"/>
  <c r="R125" i="9"/>
  <c r="T33" i="6"/>
  <c r="T64" i="6" s="1"/>
  <c r="J17" i="11"/>
  <c r="S10" i="6"/>
  <c r="R72" i="9"/>
  <c r="R123" i="9" s="1"/>
  <c r="T30" i="9"/>
  <c r="T20" i="9"/>
  <c r="V13" i="9"/>
  <c r="V17" i="9" s="1"/>
  <c r="V19" i="9" s="1"/>
  <c r="V29" i="6"/>
  <c r="Q25" i="5"/>
  <c r="P31" i="5"/>
  <c r="P73" i="5" s="1"/>
  <c r="P39" i="9" s="1"/>
  <c r="P30" i="5"/>
  <c r="O35" i="5"/>
  <c r="O78" i="5" s="1"/>
  <c r="W9" i="12"/>
  <c r="W153" i="4"/>
  <c r="W155" i="4" s="1"/>
  <c r="W32" i="4" s="1"/>
  <c r="W46" i="4" s="1"/>
  <c r="Y119" i="4"/>
  <c r="Y19" i="4" s="1"/>
  <c r="Z94" i="3"/>
  <c r="Z96" i="3" s="1"/>
  <c r="Z27" i="3" s="1"/>
  <c r="Z45" i="2"/>
  <c r="Y112" i="4"/>
  <c r="Y114" i="4" s="1"/>
  <c r="Y18" i="4" s="1"/>
  <c r="Y107" i="4"/>
  <c r="Y109" i="4" s="1"/>
  <c r="Y17" i="4" s="1"/>
  <c r="AD72" i="3"/>
  <c r="AD20" i="3" s="1"/>
  <c r="V30" i="6"/>
  <c r="V27" i="9"/>
  <c r="V28" i="9" s="1"/>
  <c r="AD7" i="12"/>
  <c r="AD72" i="4"/>
  <c r="AD74" i="4" s="1"/>
  <c r="AD10" i="4" s="1"/>
  <c r="AE70" i="3"/>
  <c r="AE69" i="3"/>
  <c r="AE64" i="3"/>
  <c r="AE66" i="3" s="1"/>
  <c r="AE19" i="3" s="1"/>
  <c r="AE82" i="4"/>
  <c r="AE84" i="4" s="1"/>
  <c r="AE12" i="4" s="1"/>
  <c r="AE74" i="3"/>
  <c r="AE76" i="3" s="1"/>
  <c r="AE21" i="3" s="1"/>
  <c r="AE33" i="2"/>
  <c r="AK98" i="3" s="1"/>
  <c r="AK100" i="3" s="1"/>
  <c r="AK22" i="3" s="1"/>
  <c r="W3" i="12"/>
  <c r="W3" i="5"/>
  <c r="W3" i="9"/>
  <c r="W3" i="10"/>
  <c r="W3" i="3"/>
  <c r="W3" i="2"/>
  <c r="W3" i="4"/>
  <c r="W3" i="6"/>
  <c r="Y53" i="5"/>
  <c r="Y56" i="5" s="1"/>
  <c r="X59" i="5"/>
  <c r="Z73" i="6"/>
  <c r="Z75" i="6" s="1"/>
  <c r="Y84" i="9"/>
  <c r="X14" i="5"/>
  <c r="X17" i="5" s="1"/>
  <c r="W19" i="5"/>
  <c r="W67" i="9" s="1"/>
  <c r="W56" i="6"/>
  <c r="W59" i="6" s="1"/>
  <c r="L74" i="9"/>
  <c r="L75" i="9" s="1"/>
  <c r="L77" i="9" s="1"/>
  <c r="M149" i="9"/>
  <c r="M150" i="9" s="1"/>
  <c r="AA81" i="9"/>
  <c r="AB41" i="6"/>
  <c r="AB43" i="6" s="1"/>
  <c r="Y39" i="5"/>
  <c r="Y42" i="5" s="1"/>
  <c r="X45" i="5"/>
  <c r="Z16" i="6"/>
  <c r="Z18" i="6" s="1"/>
  <c r="Y25" i="6"/>
  <c r="Y73" i="9" s="1"/>
  <c r="Y124" i="9" s="1"/>
  <c r="AI95" i="9"/>
  <c r="AJ79" i="6"/>
  <c r="AJ81" i="6" s="1"/>
  <c r="Z9" i="5"/>
  <c r="Z12" i="5" s="1"/>
  <c r="Y15" i="5"/>
  <c r="X2" i="12"/>
  <c r="Y2" i="1"/>
  <c r="X2" i="10"/>
  <c r="X2" i="9"/>
  <c r="X2" i="6"/>
  <c r="X2" i="5"/>
  <c r="X2" i="4"/>
  <c r="X2" i="2"/>
  <c r="X2" i="3"/>
  <c r="X3" i="1"/>
  <c r="P47" i="5"/>
  <c r="W58" i="5"/>
  <c r="W61" i="5" s="1"/>
  <c r="V63" i="5"/>
  <c r="L47" i="6" l="1"/>
  <c r="L50" i="6" s="1"/>
  <c r="K82" i="9"/>
  <c r="K88" i="9" s="1"/>
  <c r="K97" i="9" s="1"/>
  <c r="K99" i="9" s="1"/>
  <c r="L58" i="9"/>
  <c r="L61" i="9" s="1"/>
  <c r="K103" i="9"/>
  <c r="K105" i="9" s="1"/>
  <c r="K107" i="9" s="1"/>
  <c r="O6" i="14"/>
  <c r="N23" i="14"/>
  <c r="N8" i="14"/>
  <c r="AE72" i="3"/>
  <c r="AE20" i="3" s="1"/>
  <c r="S80" i="9"/>
  <c r="S125" i="9" s="1"/>
  <c r="T34" i="6"/>
  <c r="T37" i="6" s="1"/>
  <c r="X31" i="3"/>
  <c r="X8" i="9" s="1"/>
  <c r="X10" i="9" s="1"/>
  <c r="X25" i="4"/>
  <c r="X29" i="6" s="1"/>
  <c r="P33" i="5"/>
  <c r="Q30" i="5" s="1"/>
  <c r="Y92" i="4"/>
  <c r="Y94" i="4" s="1"/>
  <c r="Y14" i="4" s="1"/>
  <c r="Y78" i="3"/>
  <c r="Y80" i="3" s="1"/>
  <c r="Y23" i="3" s="1"/>
  <c r="Z82" i="3"/>
  <c r="Z84" i="3" s="1"/>
  <c r="Z24" i="3" s="1"/>
  <c r="Y87" i="4"/>
  <c r="Y89" i="4" s="1"/>
  <c r="Y13" i="4" s="1"/>
  <c r="Z37" i="2"/>
  <c r="J19" i="11"/>
  <c r="V9" i="6"/>
  <c r="Z119" i="4"/>
  <c r="Z19" i="4" s="1"/>
  <c r="AA45" i="2"/>
  <c r="Z112" i="4"/>
  <c r="Z114" i="4" s="1"/>
  <c r="Z18" i="4" s="1"/>
  <c r="AA94" i="3"/>
  <c r="AA96" i="3" s="1"/>
  <c r="AA27" i="3" s="1"/>
  <c r="Z107" i="4"/>
  <c r="Z109" i="4" s="1"/>
  <c r="Z17" i="4" s="1"/>
  <c r="T31" i="9"/>
  <c r="T36" i="9"/>
  <c r="U30" i="9"/>
  <c r="J30" i="11" s="1"/>
  <c r="J31" i="11" s="1"/>
  <c r="U20" i="9"/>
  <c r="P40" i="9"/>
  <c r="P42" i="9" s="1"/>
  <c r="P117" i="9"/>
  <c r="W8" i="6"/>
  <c r="W63" i="6" s="1"/>
  <c r="X153" i="4"/>
  <c r="X155" i="4" s="1"/>
  <c r="X32" i="4" s="1"/>
  <c r="X46" i="4" s="1"/>
  <c r="X9" i="12"/>
  <c r="Q28" i="5"/>
  <c r="Q67" i="5"/>
  <c r="Q70" i="5" s="1"/>
  <c r="S11" i="6"/>
  <c r="S12" i="6" s="1"/>
  <c r="Z41" i="2"/>
  <c r="AF102" i="3" s="1"/>
  <c r="AF104" i="3" s="1"/>
  <c r="AF28" i="3" s="1"/>
  <c r="Y102" i="4"/>
  <c r="Y104" i="4" s="1"/>
  <c r="Y16" i="4" s="1"/>
  <c r="Y97" i="4"/>
  <c r="Y99" i="4" s="1"/>
  <c r="Y15" i="4" s="1"/>
  <c r="Z90" i="3"/>
  <c r="Z92" i="3" s="1"/>
  <c r="Z26" i="3" s="1"/>
  <c r="Y86" i="3"/>
  <c r="Y88" i="3" s="1"/>
  <c r="Y25" i="3" s="1"/>
  <c r="Y8" i="12"/>
  <c r="U34" i="6"/>
  <c r="AF74" i="3"/>
  <c r="AF76" i="3" s="1"/>
  <c r="AF21" i="3" s="1"/>
  <c r="AF33" i="2"/>
  <c r="AL98" i="3" s="1"/>
  <c r="AL100" i="3" s="1"/>
  <c r="AL22" i="3" s="1"/>
  <c r="AF69" i="3"/>
  <c r="AE7" i="12"/>
  <c r="AF82" i="4"/>
  <c r="AF84" i="4" s="1"/>
  <c r="AF12" i="4" s="1"/>
  <c r="AE72" i="4"/>
  <c r="AE74" i="4" s="1"/>
  <c r="AE10" i="4" s="1"/>
  <c r="AF64" i="3"/>
  <c r="AF66" i="3" s="1"/>
  <c r="AF19" i="3" s="1"/>
  <c r="AF70" i="3"/>
  <c r="V30" i="9"/>
  <c r="V20" i="9"/>
  <c r="X13" i="9"/>
  <c r="X17" i="9" s="1"/>
  <c r="W29" i="6"/>
  <c r="W13" i="9"/>
  <c r="W17" i="9" s="1"/>
  <c r="W19" i="9" s="1"/>
  <c r="W20" i="9" s="1"/>
  <c r="W27" i="9"/>
  <c r="W28" i="9" s="1"/>
  <c r="W30" i="6"/>
  <c r="T62" i="6"/>
  <c r="T65" i="6" s="1"/>
  <c r="T67" i="6" s="1"/>
  <c r="S69" i="6"/>
  <c r="S83" i="9" s="1"/>
  <c r="S126" i="9" s="1"/>
  <c r="V32" i="6"/>
  <c r="P72" i="5"/>
  <c r="P75" i="5" s="1"/>
  <c r="P77" i="5" s="1"/>
  <c r="P68" i="9" s="1"/>
  <c r="P69" i="9" s="1"/>
  <c r="AA16" i="6"/>
  <c r="AA18" i="6" s="1"/>
  <c r="Z25" i="6"/>
  <c r="Z73" i="9" s="1"/>
  <c r="Z124" i="9" s="1"/>
  <c r="Z53" i="5"/>
  <c r="Z56" i="5" s="1"/>
  <c r="Y59" i="5"/>
  <c r="X56" i="6"/>
  <c r="X59" i="6" s="1"/>
  <c r="X58" i="5"/>
  <c r="X61" i="5" s="1"/>
  <c r="W63" i="5"/>
  <c r="AC41" i="6"/>
  <c r="AC43" i="6" s="1"/>
  <c r="AB81" i="9"/>
  <c r="Y14" i="5"/>
  <c r="Y17" i="5" s="1"/>
  <c r="X19" i="5"/>
  <c r="X67" i="9" s="1"/>
  <c r="Q44" i="5"/>
  <c r="P49" i="5"/>
  <c r="M74" i="9"/>
  <c r="M75" i="9" s="1"/>
  <c r="M77" i="9" s="1"/>
  <c r="N149" i="9"/>
  <c r="N150" i="9" s="1"/>
  <c r="Z84" i="9"/>
  <c r="AA73" i="6"/>
  <c r="AA75" i="6" s="1"/>
  <c r="O148" i="9"/>
  <c r="AK79" i="6"/>
  <c r="AK81" i="6" s="1"/>
  <c r="AJ95" i="9"/>
  <c r="AA9" i="5"/>
  <c r="AA12" i="5" s="1"/>
  <c r="Z15" i="5"/>
  <c r="X3" i="12"/>
  <c r="X3" i="10"/>
  <c r="X3" i="4"/>
  <c r="X3" i="3"/>
  <c r="X3" i="6"/>
  <c r="X3" i="5"/>
  <c r="X3" i="2"/>
  <c r="X3" i="9"/>
  <c r="Y2" i="12"/>
  <c r="Z2" i="1"/>
  <c r="Y2" i="10"/>
  <c r="Y2" i="6"/>
  <c r="Y2" i="5"/>
  <c r="Y2" i="4"/>
  <c r="Y2" i="2"/>
  <c r="Y2" i="3"/>
  <c r="Y2" i="9"/>
  <c r="Y3" i="1"/>
  <c r="Z39" i="5"/>
  <c r="Z42" i="5" s="1"/>
  <c r="Y45" i="5"/>
  <c r="M58" i="9"/>
  <c r="M61" i="9" s="1"/>
  <c r="L103" i="9"/>
  <c r="L105" i="9" s="1"/>
  <c r="L82" i="9" l="1"/>
  <c r="L88" i="9" s="1"/>
  <c r="L97" i="9" s="1"/>
  <c r="L99" i="9" s="1"/>
  <c r="L107" i="9" s="1"/>
  <c r="M47" i="6"/>
  <c r="M50" i="6" s="1"/>
  <c r="N25" i="14"/>
  <c r="N19" i="14" s="1"/>
  <c r="N24" i="14"/>
  <c r="O8" i="14"/>
  <c r="O23" i="14"/>
  <c r="J20" i="11"/>
  <c r="C13" i="13" s="1"/>
  <c r="C12" i="13"/>
  <c r="C18" i="13"/>
  <c r="C17" i="13"/>
  <c r="X7" i="6"/>
  <c r="X8" i="6" s="1"/>
  <c r="X63" i="6" s="1"/>
  <c r="P35" i="5"/>
  <c r="Y31" i="3"/>
  <c r="Y7" i="6" s="1"/>
  <c r="Z87" i="4"/>
  <c r="Z89" i="4" s="1"/>
  <c r="Z13" i="4" s="1"/>
  <c r="Z92" i="4"/>
  <c r="Z94" i="4" s="1"/>
  <c r="Z14" i="4" s="1"/>
  <c r="Z78" i="3"/>
  <c r="Z80" i="3" s="1"/>
  <c r="Z23" i="3" s="1"/>
  <c r="AA82" i="3"/>
  <c r="AA84" i="3" s="1"/>
  <c r="AA24" i="3" s="1"/>
  <c r="AA37" i="2"/>
  <c r="Y25" i="4"/>
  <c r="Y13" i="9" s="1"/>
  <c r="Y17" i="9" s="1"/>
  <c r="P78" i="5"/>
  <c r="W30" i="9"/>
  <c r="S72" i="9"/>
  <c r="S123" i="9" s="1"/>
  <c r="T10" i="6"/>
  <c r="Y9" i="12"/>
  <c r="Y153" i="4"/>
  <c r="Y155" i="4" s="1"/>
  <c r="Y32" i="4" s="1"/>
  <c r="Y46" i="4" s="1"/>
  <c r="P48" i="9"/>
  <c r="P50" i="9" s="1"/>
  <c r="P114" i="9"/>
  <c r="P120" i="9" s="1"/>
  <c r="P127" i="9" s="1"/>
  <c r="P135" i="9" s="1"/>
  <c r="P148" i="9" s="1"/>
  <c r="AA119" i="4"/>
  <c r="AA19" i="4" s="1"/>
  <c r="AA112" i="4"/>
  <c r="AA114" i="4" s="1"/>
  <c r="AA18" i="4" s="1"/>
  <c r="AB45" i="2"/>
  <c r="AB94" i="3"/>
  <c r="AB96" i="3" s="1"/>
  <c r="AB27" i="3" s="1"/>
  <c r="AA107" i="4"/>
  <c r="AA109" i="4" s="1"/>
  <c r="AA17" i="4" s="1"/>
  <c r="R25" i="5"/>
  <c r="Q31" i="5"/>
  <c r="U31" i="9"/>
  <c r="U36" i="9"/>
  <c r="J36" i="11" s="1"/>
  <c r="U62" i="6"/>
  <c r="U65" i="6" s="1"/>
  <c r="U67" i="6" s="1"/>
  <c r="T69" i="6"/>
  <c r="T83" i="9" s="1"/>
  <c r="T126" i="9" s="1"/>
  <c r="AF72" i="3"/>
  <c r="AF20" i="3" s="1"/>
  <c r="V33" i="6"/>
  <c r="V64" i="6" s="1"/>
  <c r="X27" i="9"/>
  <c r="X28" i="9" s="1"/>
  <c r="X30" i="6"/>
  <c r="X32" i="6" s="1"/>
  <c r="X19" i="9"/>
  <c r="AF72" i="4"/>
  <c r="AF74" i="4" s="1"/>
  <c r="AF10" i="4" s="1"/>
  <c r="AF7" i="12"/>
  <c r="AG33" i="2"/>
  <c r="AM98" i="3" s="1"/>
  <c r="AM100" i="3" s="1"/>
  <c r="AM22" i="3" s="1"/>
  <c r="AG69" i="3"/>
  <c r="AG82" i="4"/>
  <c r="AG84" i="4" s="1"/>
  <c r="AG12" i="4" s="1"/>
  <c r="AG64" i="3"/>
  <c r="AG66" i="3" s="1"/>
  <c r="AG19" i="3" s="1"/>
  <c r="AG74" i="3"/>
  <c r="AG76" i="3" s="1"/>
  <c r="AG21" i="3" s="1"/>
  <c r="AG70" i="3"/>
  <c r="Z97" i="4"/>
  <c r="Z99" i="4" s="1"/>
  <c r="Z15" i="4" s="1"/>
  <c r="AA90" i="3"/>
  <c r="AA92" i="3" s="1"/>
  <c r="AA26" i="3" s="1"/>
  <c r="AA41" i="2"/>
  <c r="AG102" i="3" s="1"/>
  <c r="AG104" i="3" s="1"/>
  <c r="AG28" i="3" s="1"/>
  <c r="Z86" i="3"/>
  <c r="Z88" i="3" s="1"/>
  <c r="Z25" i="3" s="1"/>
  <c r="Z31" i="3" s="1"/>
  <c r="Z102" i="4"/>
  <c r="Z104" i="4" s="1"/>
  <c r="Z16" i="4" s="1"/>
  <c r="Z8" i="12"/>
  <c r="T80" i="9"/>
  <c r="U35" i="6"/>
  <c r="U36" i="6" s="1"/>
  <c r="U37" i="6" s="1"/>
  <c r="W32" i="6"/>
  <c r="V36" i="9"/>
  <c r="V31" i="9"/>
  <c r="W9" i="6"/>
  <c r="AA39" i="5"/>
  <c r="AA42" i="5" s="1"/>
  <c r="Z45" i="5"/>
  <c r="AL79" i="6"/>
  <c r="AL81" i="6" s="1"/>
  <c r="AK95" i="9"/>
  <c r="AB73" i="6"/>
  <c r="AB75" i="6" s="1"/>
  <c r="AA84" i="9"/>
  <c r="AA53" i="5"/>
  <c r="AA56" i="5" s="1"/>
  <c r="Z59" i="5"/>
  <c r="Q47" i="5"/>
  <c r="Q72" i="5"/>
  <c r="Y58" i="5"/>
  <c r="Y61" i="5" s="1"/>
  <c r="X63" i="5"/>
  <c r="N74" i="9"/>
  <c r="N75" i="9" s="1"/>
  <c r="N77" i="9" s="1"/>
  <c r="O149" i="9"/>
  <c r="O150" i="9" s="1"/>
  <c r="AD41" i="6"/>
  <c r="AD43" i="6" s="1"/>
  <c r="AC81" i="9"/>
  <c r="Z2" i="12"/>
  <c r="Z2" i="10"/>
  <c r="AA2" i="1"/>
  <c r="Z2" i="6"/>
  <c r="Z2" i="5"/>
  <c r="Z2" i="4"/>
  <c r="Z2" i="2"/>
  <c r="Z2" i="3"/>
  <c r="Z2" i="9"/>
  <c r="Z3" i="1"/>
  <c r="AA15" i="5"/>
  <c r="AB9" i="5"/>
  <c r="AB12" i="5" s="1"/>
  <c r="Y56" i="6"/>
  <c r="Y59" i="6" s="1"/>
  <c r="Y3" i="12"/>
  <c r="Y3" i="9"/>
  <c r="Y3" i="10"/>
  <c r="Y3" i="5"/>
  <c r="Y3" i="2"/>
  <c r="Y3" i="6"/>
  <c r="Y3" i="4"/>
  <c r="Y3" i="3"/>
  <c r="Z14" i="5"/>
  <c r="Z17" i="5" s="1"/>
  <c r="Y19" i="5"/>
  <c r="Y67" i="9" s="1"/>
  <c r="AB16" i="6"/>
  <c r="AB18" i="6" s="1"/>
  <c r="AA25" i="6"/>
  <c r="AA73" i="9" s="1"/>
  <c r="AA124" i="9" s="1"/>
  <c r="N47" i="6" l="1"/>
  <c r="N50" i="6" s="1"/>
  <c r="M82" i="9"/>
  <c r="M88" i="9" s="1"/>
  <c r="M97" i="9" s="1"/>
  <c r="M99" i="9" s="1"/>
  <c r="O24" i="14"/>
  <c r="O25" i="14"/>
  <c r="O19" i="14" s="1"/>
  <c r="P6" i="14"/>
  <c r="N10" i="14"/>
  <c r="N12" i="14" s="1"/>
  <c r="N21" i="14" s="1"/>
  <c r="O18" i="14" s="1"/>
  <c r="N28" i="14"/>
  <c r="N30" i="14" s="1"/>
  <c r="N33" i="14" s="1"/>
  <c r="N34" i="14" s="1"/>
  <c r="Y8" i="9"/>
  <c r="Y10" i="9" s="1"/>
  <c r="Y29" i="6"/>
  <c r="V34" i="6"/>
  <c r="AB37" i="2"/>
  <c r="AA78" i="3"/>
  <c r="AA80" i="3" s="1"/>
  <c r="AA23" i="3" s="1"/>
  <c r="AA87" i="4"/>
  <c r="AA89" i="4" s="1"/>
  <c r="AA13" i="4" s="1"/>
  <c r="AA92" i="4"/>
  <c r="AA94" i="4" s="1"/>
  <c r="AA14" i="4" s="1"/>
  <c r="AB82" i="3"/>
  <c r="AB84" i="3" s="1"/>
  <c r="AB24" i="3" s="1"/>
  <c r="Z25" i="4"/>
  <c r="Z29" i="6" s="1"/>
  <c r="X33" i="6"/>
  <c r="X64" i="6" s="1"/>
  <c r="AB112" i="4"/>
  <c r="AB114" i="4" s="1"/>
  <c r="AB18" i="4" s="1"/>
  <c r="AB119" i="4"/>
  <c r="AB19" i="4" s="1"/>
  <c r="AC94" i="3"/>
  <c r="AC96" i="3" s="1"/>
  <c r="AC27" i="3" s="1"/>
  <c r="AC45" i="2"/>
  <c r="AB107" i="4"/>
  <c r="AB109" i="4" s="1"/>
  <c r="AB17" i="4" s="1"/>
  <c r="X30" i="9"/>
  <c r="X20" i="9"/>
  <c r="Q73" i="5"/>
  <c r="Q39" i="9" s="1"/>
  <c r="Q33" i="5"/>
  <c r="V35" i="6"/>
  <c r="V36" i="6" s="1"/>
  <c r="U80" i="9"/>
  <c r="Z153" i="4"/>
  <c r="Z155" i="4" s="1"/>
  <c r="Z32" i="4" s="1"/>
  <c r="Z46" i="4" s="1"/>
  <c r="Z9" i="12"/>
  <c r="Y27" i="9"/>
  <c r="Y28" i="9" s="1"/>
  <c r="Y30" i="6"/>
  <c r="V62" i="6"/>
  <c r="V65" i="6" s="1"/>
  <c r="U69" i="6"/>
  <c r="U83" i="9" s="1"/>
  <c r="AG72" i="3"/>
  <c r="AG20" i="3" s="1"/>
  <c r="R28" i="5"/>
  <c r="R67" i="5"/>
  <c r="R70" i="5" s="1"/>
  <c r="W33" i="6"/>
  <c r="W64" i="6" s="1"/>
  <c r="AB41" i="2"/>
  <c r="AH102" i="3" s="1"/>
  <c r="AH104" i="3" s="1"/>
  <c r="AH28" i="3" s="1"/>
  <c r="AA86" i="3"/>
  <c r="AA88" i="3" s="1"/>
  <c r="AA25" i="3" s="1"/>
  <c r="AA31" i="3" s="1"/>
  <c r="AA97" i="4"/>
  <c r="AA99" i="4" s="1"/>
  <c r="AA15" i="4" s="1"/>
  <c r="AB90" i="3"/>
  <c r="AB92" i="3" s="1"/>
  <c r="AB26" i="3" s="1"/>
  <c r="AA102" i="4"/>
  <c r="AA104" i="4" s="1"/>
  <c r="AA16" i="4" s="1"/>
  <c r="AA8" i="12"/>
  <c r="AH69" i="3"/>
  <c r="AH74" i="3"/>
  <c r="AH76" i="3" s="1"/>
  <c r="AH21" i="3" s="1"/>
  <c r="AG72" i="4"/>
  <c r="AG74" i="4" s="1"/>
  <c r="AG10" i="4" s="1"/>
  <c r="AG7" i="12"/>
  <c r="AH64" i="3"/>
  <c r="AH66" i="3" s="1"/>
  <c r="AH19" i="3" s="1"/>
  <c r="AH82" i="4"/>
  <c r="AH84" i="4" s="1"/>
  <c r="AH12" i="4" s="1"/>
  <c r="AH33" i="2"/>
  <c r="AN98" i="3" s="1"/>
  <c r="AN100" i="3" s="1"/>
  <c r="AN22" i="3" s="1"/>
  <c r="AH70" i="3"/>
  <c r="T125" i="9"/>
  <c r="Y8" i="6"/>
  <c r="Y63" i="6" s="1"/>
  <c r="Z8" i="9"/>
  <c r="Z10" i="9" s="1"/>
  <c r="Z7" i="6"/>
  <c r="Y19" i="9"/>
  <c r="T11" i="6"/>
  <c r="T12" i="6" s="1"/>
  <c r="X9" i="6"/>
  <c r="W31" i="9"/>
  <c r="W36" i="9"/>
  <c r="P149" i="9"/>
  <c r="P150" i="9" s="1"/>
  <c r="P74" i="9" s="1"/>
  <c r="O74" i="9"/>
  <c r="O75" i="9" s="1"/>
  <c r="O77" i="9" s="1"/>
  <c r="Z58" i="5"/>
  <c r="Z61" i="5" s="1"/>
  <c r="Y63" i="5"/>
  <c r="AM79" i="6"/>
  <c r="AM81" i="6" s="1"/>
  <c r="AL95" i="9"/>
  <c r="AC16" i="6"/>
  <c r="AC18" i="6" s="1"/>
  <c r="AB25" i="6"/>
  <c r="AB73" i="9" s="1"/>
  <c r="AB124" i="9" s="1"/>
  <c r="AC9" i="5"/>
  <c r="AC12" i="5" s="1"/>
  <c r="AB15" i="5"/>
  <c r="AE41" i="6"/>
  <c r="AE43" i="6" s="1"/>
  <c r="AD81" i="9"/>
  <c r="M103" i="9"/>
  <c r="M105" i="9" s="1"/>
  <c r="M107" i="9" s="1"/>
  <c r="N58" i="9"/>
  <c r="Z56" i="6"/>
  <c r="Z59" i="6" s="1"/>
  <c r="AA2" i="12"/>
  <c r="AB2" i="1"/>
  <c r="AA2" i="10"/>
  <c r="AA2" i="6"/>
  <c r="AA2" i="5"/>
  <c r="AA2" i="4"/>
  <c r="AA2" i="2"/>
  <c r="AA2" i="3"/>
  <c r="AA2" i="9"/>
  <c r="AA3" i="1"/>
  <c r="AB39" i="5"/>
  <c r="AB42" i="5" s="1"/>
  <c r="AA45" i="5"/>
  <c r="Z3" i="12"/>
  <c r="Z3" i="4"/>
  <c r="Z3" i="2"/>
  <c r="Z3" i="3"/>
  <c r="Z3" i="9"/>
  <c r="Z3" i="10"/>
  <c r="Z3" i="6"/>
  <c r="Z3" i="5"/>
  <c r="AA14" i="5"/>
  <c r="AA17" i="5" s="1"/>
  <c r="Z19" i="5"/>
  <c r="Z67" i="9" s="1"/>
  <c r="R44" i="5"/>
  <c r="Q49" i="5"/>
  <c r="AA59" i="5"/>
  <c r="AB53" i="5"/>
  <c r="AB56" i="5" s="1"/>
  <c r="AC73" i="6"/>
  <c r="AC75" i="6" s="1"/>
  <c r="AB84" i="9"/>
  <c r="O47" i="6" l="1"/>
  <c r="O50" i="6" s="1"/>
  <c r="N82" i="9"/>
  <c r="N88" i="9" s="1"/>
  <c r="N97" i="9" s="1"/>
  <c r="N99" i="9" s="1"/>
  <c r="P8" i="14"/>
  <c r="P23" i="14"/>
  <c r="O10" i="14"/>
  <c r="O28" i="14"/>
  <c r="Y32" i="6"/>
  <c r="Q75" i="5"/>
  <c r="Q77" i="5" s="1"/>
  <c r="Q68" i="9" s="1"/>
  <c r="Q69" i="9" s="1"/>
  <c r="Z13" i="9"/>
  <c r="Z17" i="9" s="1"/>
  <c r="Z19" i="9" s="1"/>
  <c r="Z20" i="9" s="1"/>
  <c r="V37" i="6"/>
  <c r="V80" i="9" s="1"/>
  <c r="AH72" i="3"/>
  <c r="AH20" i="3" s="1"/>
  <c r="W34" i="6"/>
  <c r="X34" i="6"/>
  <c r="AC37" i="2"/>
  <c r="AB92" i="4"/>
  <c r="AB94" i="4" s="1"/>
  <c r="AB14" i="4" s="1"/>
  <c r="AB78" i="3"/>
  <c r="AB80" i="3" s="1"/>
  <c r="AB23" i="3" s="1"/>
  <c r="AC82" i="3"/>
  <c r="AC84" i="3" s="1"/>
  <c r="AC24" i="3" s="1"/>
  <c r="AB87" i="4"/>
  <c r="AB89" i="4" s="1"/>
  <c r="AB13" i="4" s="1"/>
  <c r="Y33" i="6"/>
  <c r="Y64" i="6" s="1"/>
  <c r="T72" i="9"/>
  <c r="T123" i="9" s="1"/>
  <c r="U10" i="6"/>
  <c r="AC41" i="2"/>
  <c r="AI102" i="3" s="1"/>
  <c r="AI104" i="3" s="1"/>
  <c r="AI28" i="3" s="1"/>
  <c r="AB102" i="4"/>
  <c r="AB104" i="4" s="1"/>
  <c r="AB16" i="4" s="1"/>
  <c r="AC90" i="3"/>
  <c r="AC92" i="3" s="1"/>
  <c r="AC26" i="3" s="1"/>
  <c r="AB97" i="4"/>
  <c r="AB99" i="4" s="1"/>
  <c r="AB15" i="4" s="1"/>
  <c r="AB86" i="3"/>
  <c r="AB88" i="3" s="1"/>
  <c r="AB25" i="3" s="1"/>
  <c r="AB8" i="12"/>
  <c r="J80" i="11"/>
  <c r="U125" i="9"/>
  <c r="J125" i="11" s="1"/>
  <c r="X31" i="9"/>
  <c r="X36" i="9"/>
  <c r="Y9" i="6"/>
  <c r="AD94" i="3"/>
  <c r="AD96" i="3" s="1"/>
  <c r="AD27" i="3" s="1"/>
  <c r="AC119" i="4"/>
  <c r="AC19" i="4" s="1"/>
  <c r="AC112" i="4"/>
  <c r="AC114" i="4" s="1"/>
  <c r="AC18" i="4" s="1"/>
  <c r="AD45" i="2"/>
  <c r="AC107" i="4"/>
  <c r="AC109" i="4" s="1"/>
  <c r="AC17" i="4" s="1"/>
  <c r="AA153" i="4"/>
  <c r="AA155" i="4" s="1"/>
  <c r="AA32" i="4" s="1"/>
  <c r="AA46" i="4" s="1"/>
  <c r="AA9" i="12"/>
  <c r="V67" i="6"/>
  <c r="X66" i="6"/>
  <c r="J83" i="11"/>
  <c r="U126" i="9"/>
  <c r="J126" i="11" s="1"/>
  <c r="AI64" i="3"/>
  <c r="AI66" i="3" s="1"/>
  <c r="AI19" i="3" s="1"/>
  <c r="AI74" i="3"/>
  <c r="AI76" i="3" s="1"/>
  <c r="AI21" i="3" s="1"/>
  <c r="AI82" i="4"/>
  <c r="AI84" i="4" s="1"/>
  <c r="AI12" i="4" s="1"/>
  <c r="AI33" i="2"/>
  <c r="AO98" i="3" s="1"/>
  <c r="AO100" i="3" s="1"/>
  <c r="AO22" i="3" s="1"/>
  <c r="AH7" i="12"/>
  <c r="AI69" i="3"/>
  <c r="AH72" i="4"/>
  <c r="AH74" i="4" s="1"/>
  <c r="AH10" i="4" s="1"/>
  <c r="AI70" i="3"/>
  <c r="R30" i="5"/>
  <c r="R72" i="5" s="1"/>
  <c r="Q35" i="5"/>
  <c r="Q40" i="9"/>
  <c r="Q42" i="9" s="1"/>
  <c r="Q117" i="9"/>
  <c r="Y20" i="9"/>
  <c r="Y30" i="9"/>
  <c r="AA25" i="4"/>
  <c r="Z8" i="6"/>
  <c r="Z63" i="6" s="1"/>
  <c r="AA7" i="6"/>
  <c r="AA8" i="9"/>
  <c r="AA10" i="9" s="1"/>
  <c r="R31" i="5"/>
  <c r="R73" i="5" s="1"/>
  <c r="R39" i="9" s="1"/>
  <c r="S25" i="5"/>
  <c r="Z27" i="9"/>
  <c r="Z28" i="9" s="1"/>
  <c r="Z30" i="6"/>
  <c r="Z32" i="6" s="1"/>
  <c r="N61" i="9"/>
  <c r="AD9" i="5"/>
  <c r="AD12" i="5" s="1"/>
  <c r="AC15" i="5"/>
  <c r="AC39" i="5"/>
  <c r="AC42" i="5" s="1"/>
  <c r="AB45" i="5"/>
  <c r="AC53" i="5"/>
  <c r="AC56" i="5" s="1"/>
  <c r="AB59" i="5"/>
  <c r="AA56" i="6"/>
  <c r="AA59" i="6" s="1"/>
  <c r="AD16" i="6"/>
  <c r="AD18" i="6" s="1"/>
  <c r="AC25" i="6"/>
  <c r="AC73" i="9" s="1"/>
  <c r="AC124" i="9" s="1"/>
  <c r="AN79" i="6"/>
  <c r="AN81" i="6" s="1"/>
  <c r="AM95" i="9"/>
  <c r="R47" i="5"/>
  <c r="AF41" i="6"/>
  <c r="AF43" i="6" s="1"/>
  <c r="AE81" i="9"/>
  <c r="AD73" i="6"/>
  <c r="AD75" i="6" s="1"/>
  <c r="AC84" i="9"/>
  <c r="AB14" i="5"/>
  <c r="AB17" i="5" s="1"/>
  <c r="AA19" i="5"/>
  <c r="AA67" i="9" s="1"/>
  <c r="AA3" i="12"/>
  <c r="AA3" i="5"/>
  <c r="AA3" i="4"/>
  <c r="AA3" i="2"/>
  <c r="AA3" i="3"/>
  <c r="AA3" i="9"/>
  <c r="AA3" i="10"/>
  <c r="AA3" i="6"/>
  <c r="AB2" i="12"/>
  <c r="AC2" i="1"/>
  <c r="AB2" i="10"/>
  <c r="AB2" i="9"/>
  <c r="AB2" i="4"/>
  <c r="AB2" i="5"/>
  <c r="AB3" i="1"/>
  <c r="AB2" i="6"/>
  <c r="AB2" i="3"/>
  <c r="AB2" i="2"/>
  <c r="AA58" i="5"/>
  <c r="AA61" i="5" s="1"/>
  <c r="Z63" i="5"/>
  <c r="P75" i="9"/>
  <c r="P77" i="9" s="1"/>
  <c r="Q149" i="9"/>
  <c r="P47" i="6" l="1"/>
  <c r="P50" i="6" s="1"/>
  <c r="O82" i="9"/>
  <c r="O88" i="9" s="1"/>
  <c r="O97" i="9" s="1"/>
  <c r="O99" i="9" s="1"/>
  <c r="P24" i="14"/>
  <c r="P25" i="14"/>
  <c r="P19" i="14" s="1"/>
  <c r="O20" i="14"/>
  <c r="Q78" i="5"/>
  <c r="W35" i="6"/>
  <c r="Z30" i="9"/>
  <c r="Z36" i="9" s="1"/>
  <c r="AB31" i="3"/>
  <c r="AB8" i="9" s="1"/>
  <c r="AB10" i="9" s="1"/>
  <c r="AI72" i="3"/>
  <c r="AI20" i="3" s="1"/>
  <c r="R75" i="5"/>
  <c r="R77" i="5" s="1"/>
  <c r="R68" i="9" s="1"/>
  <c r="R69" i="9" s="1"/>
  <c r="AD37" i="2"/>
  <c r="AC78" i="3"/>
  <c r="AC80" i="3" s="1"/>
  <c r="AC23" i="3" s="1"/>
  <c r="AC87" i="4"/>
  <c r="AC89" i="4" s="1"/>
  <c r="AC13" i="4" s="1"/>
  <c r="AC92" i="4"/>
  <c r="AC94" i="4" s="1"/>
  <c r="AC14" i="4" s="1"/>
  <c r="AD82" i="3"/>
  <c r="AD84" i="3" s="1"/>
  <c r="AD24" i="3" s="1"/>
  <c r="R33" i="5"/>
  <c r="AA27" i="9"/>
  <c r="AA28" i="9" s="1"/>
  <c r="AA30" i="6"/>
  <c r="AB25" i="4"/>
  <c r="AA29" i="6"/>
  <c r="AA13" i="9"/>
  <c r="AA17" i="9" s="1"/>
  <c r="AA19" i="9" s="1"/>
  <c r="AD119" i="4"/>
  <c r="AD19" i="4" s="1"/>
  <c r="AD112" i="4"/>
  <c r="AD114" i="4" s="1"/>
  <c r="AD18" i="4" s="1"/>
  <c r="AE45" i="2"/>
  <c r="AD107" i="4"/>
  <c r="AD109" i="4" s="1"/>
  <c r="AD17" i="4" s="1"/>
  <c r="AE94" i="3"/>
  <c r="AE96" i="3" s="1"/>
  <c r="AE27" i="3" s="1"/>
  <c r="S28" i="5"/>
  <c r="S67" i="5"/>
  <c r="S70" i="5" s="1"/>
  <c r="Y31" i="9"/>
  <c r="Y36" i="9"/>
  <c r="R117" i="9"/>
  <c r="R40" i="9"/>
  <c r="R42" i="9" s="1"/>
  <c r="AC102" i="4"/>
  <c r="AC104" i="4" s="1"/>
  <c r="AC16" i="4" s="1"/>
  <c r="AC97" i="4"/>
  <c r="AC99" i="4" s="1"/>
  <c r="AC15" i="4" s="1"/>
  <c r="AC86" i="3"/>
  <c r="AC88" i="3" s="1"/>
  <c r="AC25" i="3" s="1"/>
  <c r="AD90" i="3"/>
  <c r="AD92" i="3" s="1"/>
  <c r="AD26" i="3" s="1"/>
  <c r="AD41" i="2"/>
  <c r="AJ102" i="3" s="1"/>
  <c r="AJ104" i="3" s="1"/>
  <c r="AJ28" i="3" s="1"/>
  <c r="AC8" i="12"/>
  <c r="Z33" i="6"/>
  <c r="Z64" i="6" s="1"/>
  <c r="U11" i="6"/>
  <c r="U12" i="6" s="1"/>
  <c r="AA8" i="6"/>
  <c r="AA63" i="6" s="1"/>
  <c r="Q48" i="9"/>
  <c r="Q50" i="9" s="1"/>
  <c r="Q114" i="9"/>
  <c r="Q120" i="9" s="1"/>
  <c r="Q127" i="9" s="1"/>
  <c r="Q135" i="9" s="1"/>
  <c r="AJ74" i="3"/>
  <c r="AJ76" i="3" s="1"/>
  <c r="AJ21" i="3" s="1"/>
  <c r="AJ64" i="3"/>
  <c r="AJ66" i="3" s="1"/>
  <c r="AJ19" i="3" s="1"/>
  <c r="AI72" i="4"/>
  <c r="AI74" i="4" s="1"/>
  <c r="AI10" i="4" s="1"/>
  <c r="AJ33" i="2"/>
  <c r="AP98" i="3" s="1"/>
  <c r="AP100" i="3" s="1"/>
  <c r="AP22" i="3" s="1"/>
  <c r="AJ82" i="4"/>
  <c r="AJ84" i="4" s="1"/>
  <c r="AJ12" i="4" s="1"/>
  <c r="AJ69" i="3"/>
  <c r="AI7" i="12"/>
  <c r="AJ70" i="3"/>
  <c r="W62" i="6"/>
  <c r="W65" i="6" s="1"/>
  <c r="W67" i="6" s="1"/>
  <c r="V69" i="6"/>
  <c r="V83" i="9" s="1"/>
  <c r="V126" i="9" s="1"/>
  <c r="V125" i="9"/>
  <c r="AB9" i="12"/>
  <c r="AB153" i="4"/>
  <c r="AB155" i="4" s="1"/>
  <c r="AB32" i="4" s="1"/>
  <c r="AB46" i="4" s="1"/>
  <c r="Y34" i="6"/>
  <c r="Z9" i="6"/>
  <c r="W36" i="6"/>
  <c r="W37" i="6" s="1"/>
  <c r="AE16" i="6"/>
  <c r="AE18" i="6" s="1"/>
  <c r="AD25" i="6"/>
  <c r="AD73" i="9" s="1"/>
  <c r="AD124" i="9" s="1"/>
  <c r="AB3" i="12"/>
  <c r="AB3" i="4"/>
  <c r="AB3" i="2"/>
  <c r="AB3" i="3"/>
  <c r="AB3" i="9"/>
  <c r="AB3" i="10"/>
  <c r="AB3" i="6"/>
  <c r="AB3" i="5"/>
  <c r="AC14" i="5"/>
  <c r="AC17" i="5" s="1"/>
  <c r="AB19" i="5"/>
  <c r="AB67" i="9" s="1"/>
  <c r="AB58" i="5"/>
  <c r="AB61" i="5" s="1"/>
  <c r="AA63" i="5"/>
  <c r="AE9" i="5"/>
  <c r="AE12" i="5" s="1"/>
  <c r="AD15" i="5"/>
  <c r="AE73" i="6"/>
  <c r="AE75" i="6" s="1"/>
  <c r="AD84" i="9"/>
  <c r="S44" i="5"/>
  <c r="R49" i="5"/>
  <c r="AN95" i="9"/>
  <c r="AO79" i="6"/>
  <c r="AO81" i="6" s="1"/>
  <c r="AB56" i="6"/>
  <c r="AB59" i="6" s="1"/>
  <c r="AD39" i="5"/>
  <c r="AD42" i="5" s="1"/>
  <c r="AC45" i="5"/>
  <c r="N103" i="9"/>
  <c r="N105" i="9" s="1"/>
  <c r="N107" i="9" s="1"/>
  <c r="O58" i="9"/>
  <c r="AC2" i="12"/>
  <c r="AD2" i="1"/>
  <c r="AC2" i="10"/>
  <c r="AC2" i="9"/>
  <c r="AC2" i="4"/>
  <c r="AC2" i="5"/>
  <c r="AC3" i="1"/>
  <c r="AC2" i="6"/>
  <c r="AC2" i="3"/>
  <c r="AC2" i="2"/>
  <c r="AG41" i="6"/>
  <c r="AG43" i="6" s="1"/>
  <c r="AF81" i="9"/>
  <c r="AD53" i="5"/>
  <c r="AD56" i="5" s="1"/>
  <c r="AC59" i="5"/>
  <c r="Q47" i="6" l="1"/>
  <c r="Q50" i="6" s="1"/>
  <c r="P82" i="9"/>
  <c r="P88" i="9" s="1"/>
  <c r="P97" i="9" s="1"/>
  <c r="P99" i="9" s="1"/>
  <c r="Q55" i="9"/>
  <c r="Q59" i="9" s="1"/>
  <c r="Q6" i="14"/>
  <c r="O29" i="14"/>
  <c r="O30" i="14" s="1"/>
  <c r="O33" i="14" s="1"/>
  <c r="O34" i="14" s="1"/>
  <c r="O53" i="9" s="1"/>
  <c r="O21" i="14"/>
  <c r="P18" i="14" s="1"/>
  <c r="P28" i="14"/>
  <c r="P10" i="14"/>
  <c r="AB7" i="6"/>
  <c r="Q148" i="9"/>
  <c r="Q150" i="9" s="1"/>
  <c r="AC31" i="3"/>
  <c r="AC8" i="9" s="1"/>
  <c r="AC10" i="9" s="1"/>
  <c r="Z31" i="9"/>
  <c r="Z34" i="6"/>
  <c r="S30" i="5"/>
  <c r="R35" i="5"/>
  <c r="R78" i="5" s="1"/>
  <c r="AJ72" i="3"/>
  <c r="AJ20" i="3" s="1"/>
  <c r="AA9" i="6"/>
  <c r="AA32" i="6"/>
  <c r="AA33" i="6" s="1"/>
  <c r="AA64" i="6" s="1"/>
  <c r="AE82" i="3"/>
  <c r="AE84" i="3" s="1"/>
  <c r="AE24" i="3" s="1"/>
  <c r="AD78" i="3"/>
  <c r="AD80" i="3" s="1"/>
  <c r="AD23" i="3" s="1"/>
  <c r="AD92" i="4"/>
  <c r="AD94" i="4" s="1"/>
  <c r="AD14" i="4" s="1"/>
  <c r="AD87" i="4"/>
  <c r="AD89" i="4" s="1"/>
  <c r="AD13" i="4" s="1"/>
  <c r="AE37" i="2"/>
  <c r="AC153" i="4"/>
  <c r="AC155" i="4" s="1"/>
  <c r="AC32" i="4" s="1"/>
  <c r="AC46" i="4" s="1"/>
  <c r="AC9" i="12"/>
  <c r="AB8" i="6"/>
  <c r="AB63" i="6" s="1"/>
  <c r="AJ72" i="4"/>
  <c r="AJ74" i="4" s="1"/>
  <c r="AJ10" i="4" s="1"/>
  <c r="AK69" i="3"/>
  <c r="AK74" i="3"/>
  <c r="AK76" i="3" s="1"/>
  <c r="AK21" i="3" s="1"/>
  <c r="AK33" i="2"/>
  <c r="AQ98" i="3" s="1"/>
  <c r="AQ100" i="3" s="1"/>
  <c r="AQ22" i="3" s="1"/>
  <c r="AJ7" i="12"/>
  <c r="AK64" i="3"/>
  <c r="AK66" i="3" s="1"/>
  <c r="AK19" i="3" s="1"/>
  <c r="AK82" i="4"/>
  <c r="AK84" i="4" s="1"/>
  <c r="AK12" i="4" s="1"/>
  <c r="AK70" i="3"/>
  <c r="AA30" i="9"/>
  <c r="AA20" i="9"/>
  <c r="AD97" i="4"/>
  <c r="AD99" i="4" s="1"/>
  <c r="AD15" i="4" s="1"/>
  <c r="AE41" i="2"/>
  <c r="AK102" i="3" s="1"/>
  <c r="AK104" i="3" s="1"/>
  <c r="AK28" i="3" s="1"/>
  <c r="AE90" i="3"/>
  <c r="AE92" i="3" s="1"/>
  <c r="AE26" i="3" s="1"/>
  <c r="AD102" i="4"/>
  <c r="AD104" i="4" s="1"/>
  <c r="AD16" i="4" s="1"/>
  <c r="AD86" i="3"/>
  <c r="AD88" i="3" s="1"/>
  <c r="AD25" i="3" s="1"/>
  <c r="AD31" i="3" s="1"/>
  <c r="AD8" i="12"/>
  <c r="U72" i="9"/>
  <c r="V10" i="6"/>
  <c r="X35" i="6"/>
  <c r="W80" i="9"/>
  <c r="T25" i="5"/>
  <c r="S31" i="5"/>
  <c r="AB29" i="6"/>
  <c r="AB13" i="9"/>
  <c r="AB17" i="9" s="1"/>
  <c r="AB19" i="9" s="1"/>
  <c r="X62" i="6"/>
  <c r="X65" i="6" s="1"/>
  <c r="X67" i="6" s="1"/>
  <c r="W69" i="6"/>
  <c r="W83" i="9" s="1"/>
  <c r="W126" i="9" s="1"/>
  <c r="AC25" i="4"/>
  <c r="R114" i="9"/>
  <c r="R120" i="9" s="1"/>
  <c r="R127" i="9" s="1"/>
  <c r="R135" i="9" s="1"/>
  <c r="R148" i="9" s="1"/>
  <c r="R48" i="9"/>
  <c r="R50" i="9" s="1"/>
  <c r="AE107" i="4"/>
  <c r="AE109" i="4" s="1"/>
  <c r="AE17" i="4" s="1"/>
  <c r="AF45" i="2"/>
  <c r="AE112" i="4"/>
  <c r="AE114" i="4" s="1"/>
  <c r="AE18" i="4" s="1"/>
  <c r="AE119" i="4"/>
  <c r="AE19" i="4" s="1"/>
  <c r="AF94" i="3"/>
  <c r="AF96" i="3" s="1"/>
  <c r="AF27" i="3" s="1"/>
  <c r="AB30" i="6"/>
  <c r="AB27" i="9"/>
  <c r="AB28" i="9" s="1"/>
  <c r="AH41" i="6"/>
  <c r="AH43" i="6" s="1"/>
  <c r="AG81" i="9"/>
  <c r="AC56" i="6"/>
  <c r="AC59" i="6" s="1"/>
  <c r="AD14" i="5"/>
  <c r="AD17" i="5" s="1"/>
  <c r="AC19" i="5"/>
  <c r="AC67" i="9" s="1"/>
  <c r="AD2" i="12"/>
  <c r="AD2" i="10"/>
  <c r="AE2" i="1"/>
  <c r="AD2" i="9"/>
  <c r="AD2" i="6"/>
  <c r="AD2" i="5"/>
  <c r="AD2" i="4"/>
  <c r="AD2" i="2"/>
  <c r="AD2" i="3"/>
  <c r="AD3" i="1"/>
  <c r="AP79" i="6"/>
  <c r="AP81" i="6" s="1"/>
  <c r="AO95" i="9"/>
  <c r="AE53" i="5"/>
  <c r="AE56" i="5" s="1"/>
  <c r="AD59" i="5"/>
  <c r="AE15" i="5"/>
  <c r="AF9" i="5"/>
  <c r="AF12" i="5" s="1"/>
  <c r="AC58" i="5"/>
  <c r="AC61" i="5" s="1"/>
  <c r="AB63" i="5"/>
  <c r="AC3" i="12"/>
  <c r="AC3" i="5"/>
  <c r="AC3" i="4"/>
  <c r="AC3" i="2"/>
  <c r="AC3" i="3"/>
  <c r="AC3" i="9"/>
  <c r="AC3" i="10"/>
  <c r="AC3" i="6"/>
  <c r="AF16" i="6"/>
  <c r="AF18" i="6" s="1"/>
  <c r="AE25" i="6"/>
  <c r="AE73" i="9" s="1"/>
  <c r="AE124" i="9" s="1"/>
  <c r="AE39" i="5"/>
  <c r="AE42" i="5" s="1"/>
  <c r="AD45" i="5"/>
  <c r="S47" i="5"/>
  <c r="S72" i="5"/>
  <c r="AF73" i="6"/>
  <c r="AF75" i="6" s="1"/>
  <c r="AE84" i="9"/>
  <c r="R47" i="6" l="1"/>
  <c r="R50" i="6" s="1"/>
  <c r="Q82" i="9"/>
  <c r="Q88" i="9" s="1"/>
  <c r="Q97" i="9" s="1"/>
  <c r="O55" i="9"/>
  <c r="O59" i="9" s="1"/>
  <c r="O61" i="9" s="1"/>
  <c r="R55" i="9"/>
  <c r="R59" i="9" s="1"/>
  <c r="R6" i="14"/>
  <c r="P11" i="14"/>
  <c r="P12" i="14" s="1"/>
  <c r="P20" i="14" s="1"/>
  <c r="P29" i="14" s="1"/>
  <c r="P30" i="14" s="1"/>
  <c r="P33" i="14" s="1"/>
  <c r="P34" i="14" s="1"/>
  <c r="P53" i="9" s="1"/>
  <c r="P55" i="9" s="1"/>
  <c r="P59" i="9" s="1"/>
  <c r="Q8" i="14"/>
  <c r="Q23" i="14"/>
  <c r="AC7" i="6"/>
  <c r="Q74" i="9"/>
  <c r="Q75" i="9" s="1"/>
  <c r="Q77" i="9" s="1"/>
  <c r="Q99" i="9" s="1"/>
  <c r="R149" i="9"/>
  <c r="R150" i="9" s="1"/>
  <c r="S149" i="9" s="1"/>
  <c r="AB32" i="6"/>
  <c r="AB33" i="6" s="1"/>
  <c r="AB64" i="6" s="1"/>
  <c r="AB9" i="6"/>
  <c r="AD25" i="4"/>
  <c r="AD29" i="6" s="1"/>
  <c r="AE78" i="3"/>
  <c r="AE80" i="3" s="1"/>
  <c r="AE23" i="3" s="1"/>
  <c r="AF37" i="2"/>
  <c r="AE87" i="4"/>
  <c r="AE89" i="4" s="1"/>
  <c r="AE13" i="4" s="1"/>
  <c r="AF82" i="3"/>
  <c r="AF84" i="3" s="1"/>
  <c r="AF24" i="3" s="1"/>
  <c r="AE92" i="4"/>
  <c r="AE94" i="4" s="1"/>
  <c r="AE14" i="4" s="1"/>
  <c r="AB20" i="9"/>
  <c r="AB30" i="9"/>
  <c r="AF119" i="4"/>
  <c r="AF19" i="4" s="1"/>
  <c r="AF112" i="4"/>
  <c r="AF114" i="4" s="1"/>
  <c r="AF18" i="4" s="1"/>
  <c r="AG94" i="3"/>
  <c r="AG96" i="3" s="1"/>
  <c r="AG27" i="3" s="1"/>
  <c r="AG45" i="2"/>
  <c r="AF107" i="4"/>
  <c r="AF109" i="4" s="1"/>
  <c r="AF17" i="4" s="1"/>
  <c r="V11" i="6"/>
  <c r="V12" i="6" s="1"/>
  <c r="U123" i="9"/>
  <c r="J123" i="11" s="1"/>
  <c r="J72" i="11"/>
  <c r="AK72" i="3"/>
  <c r="AK20" i="3" s="1"/>
  <c r="AA34" i="6"/>
  <c r="S73" i="5"/>
  <c r="S39" i="9" s="1"/>
  <c r="S33" i="5"/>
  <c r="AA36" i="9"/>
  <c r="AA31" i="9"/>
  <c r="T28" i="5"/>
  <c r="T67" i="5"/>
  <c r="T70" i="5" s="1"/>
  <c r="AD153" i="4"/>
  <c r="AD155" i="4" s="1"/>
  <c r="AD32" i="4" s="1"/>
  <c r="AD46" i="4" s="1"/>
  <c r="AD9" i="12"/>
  <c r="AC13" i="9"/>
  <c r="AC29" i="6"/>
  <c r="AC8" i="6"/>
  <c r="AC63" i="6" s="1"/>
  <c r="AD8" i="9"/>
  <c r="AD7" i="6"/>
  <c r="Y62" i="6"/>
  <c r="Y65" i="6" s="1"/>
  <c r="X69" i="6"/>
  <c r="X83" i="9" s="1"/>
  <c r="X126" i="9" s="1"/>
  <c r="W125" i="9"/>
  <c r="X36" i="6"/>
  <c r="X37" i="6" s="1"/>
  <c r="AE102" i="4"/>
  <c r="AE104" i="4" s="1"/>
  <c r="AE16" i="4" s="1"/>
  <c r="AE97" i="4"/>
  <c r="AE99" i="4" s="1"/>
  <c r="AE15" i="4" s="1"/>
  <c r="AF90" i="3"/>
  <c r="AF92" i="3" s="1"/>
  <c r="AF26" i="3" s="1"/>
  <c r="AE86" i="3"/>
  <c r="AE88" i="3" s="1"/>
  <c r="AE25" i="3" s="1"/>
  <c r="AF41" i="2"/>
  <c r="AL102" i="3" s="1"/>
  <c r="AL104" i="3" s="1"/>
  <c r="AL28" i="3" s="1"/>
  <c r="AE8" i="12"/>
  <c r="AL69" i="3"/>
  <c r="AL33" i="2"/>
  <c r="AR98" i="3" s="1"/>
  <c r="AR100" i="3" s="1"/>
  <c r="AR22" i="3" s="1"/>
  <c r="AL64" i="3"/>
  <c r="AL66" i="3" s="1"/>
  <c r="AL19" i="3" s="1"/>
  <c r="AL82" i="4"/>
  <c r="AL84" i="4" s="1"/>
  <c r="AL12" i="4" s="1"/>
  <c r="AK7" i="12"/>
  <c r="AL70" i="3"/>
  <c r="AL74" i="3"/>
  <c r="AL76" i="3" s="1"/>
  <c r="AL21" i="3" s="1"/>
  <c r="AK72" i="4"/>
  <c r="AK74" i="4" s="1"/>
  <c r="AK10" i="4" s="1"/>
  <c r="AC30" i="6"/>
  <c r="AC27" i="9"/>
  <c r="AC28" i="9" s="1"/>
  <c r="T44" i="5"/>
  <c r="S49" i="5"/>
  <c r="AG73" i="6"/>
  <c r="AG75" i="6" s="1"/>
  <c r="AF84" i="9"/>
  <c r="AG16" i="6"/>
  <c r="AG18" i="6" s="1"/>
  <c r="AF25" i="6"/>
  <c r="AF73" i="9" s="1"/>
  <c r="AF124" i="9" s="1"/>
  <c r="K81" i="11"/>
  <c r="AD58" i="5"/>
  <c r="AD61" i="5" s="1"/>
  <c r="AC63" i="5"/>
  <c r="AI41" i="6"/>
  <c r="AI43" i="6" s="1"/>
  <c r="AH81" i="9"/>
  <c r="AE59" i="5"/>
  <c r="AF53" i="5"/>
  <c r="AF56" i="5" s="1"/>
  <c r="AE14" i="5"/>
  <c r="AE17" i="5" s="1"/>
  <c r="AD19" i="5"/>
  <c r="AD67" i="9" s="1"/>
  <c r="AG9" i="5"/>
  <c r="AG12" i="5" s="1"/>
  <c r="AF15" i="5"/>
  <c r="AE45" i="5"/>
  <c r="AF39" i="5"/>
  <c r="AF42" i="5" s="1"/>
  <c r="AQ79" i="6"/>
  <c r="AQ81" i="6" s="1"/>
  <c r="AP95" i="9"/>
  <c r="AE2" i="12"/>
  <c r="AE2" i="10"/>
  <c r="AF2" i="1"/>
  <c r="AE2" i="9"/>
  <c r="AE2" i="6"/>
  <c r="AE2" i="5"/>
  <c r="AE2" i="4"/>
  <c r="AE2" i="2"/>
  <c r="AE2" i="3"/>
  <c r="AE3" i="1"/>
  <c r="AD56" i="6"/>
  <c r="AD59" i="6" s="1"/>
  <c r="AD3" i="12"/>
  <c r="AD3" i="9"/>
  <c r="AD3" i="10"/>
  <c r="AD3" i="6"/>
  <c r="AD3" i="5"/>
  <c r="AD3" i="4"/>
  <c r="AD3" i="2"/>
  <c r="AD3" i="3"/>
  <c r="O103" i="9"/>
  <c r="O105" i="9" s="1"/>
  <c r="O107" i="9" s="1"/>
  <c r="P58" i="9"/>
  <c r="S47" i="6" l="1"/>
  <c r="S50" i="6" s="1"/>
  <c r="R82" i="9"/>
  <c r="R88" i="9" s="1"/>
  <c r="R97" i="9" s="1"/>
  <c r="P21" i="14"/>
  <c r="Q18" i="14" s="1"/>
  <c r="Q11" i="14" s="1"/>
  <c r="P61" i="9"/>
  <c r="Q58" i="9" s="1"/>
  <c r="Q61" i="9" s="1"/>
  <c r="Q24" i="14"/>
  <c r="Q25" i="14"/>
  <c r="Q19" i="14" s="1"/>
  <c r="R8" i="14"/>
  <c r="R23" i="14"/>
  <c r="AE31" i="3"/>
  <c r="AE8" i="9" s="1"/>
  <c r="AE10" i="9" s="1"/>
  <c r="R74" i="9"/>
  <c r="R75" i="9" s="1"/>
  <c r="R77" i="9" s="1"/>
  <c r="R99" i="9" s="1"/>
  <c r="AD13" i="9"/>
  <c r="AD17" i="9" s="1"/>
  <c r="AB34" i="6"/>
  <c r="AC9" i="6"/>
  <c r="AF92" i="4"/>
  <c r="AF94" i="4" s="1"/>
  <c r="AF14" i="4" s="1"/>
  <c r="AF78" i="3"/>
  <c r="AF80" i="3" s="1"/>
  <c r="AF23" i="3" s="1"/>
  <c r="AF87" i="4"/>
  <c r="AF89" i="4" s="1"/>
  <c r="AF13" i="4" s="1"/>
  <c r="AG82" i="3"/>
  <c r="AG84" i="3" s="1"/>
  <c r="AG24" i="3" s="1"/>
  <c r="AG37" i="2"/>
  <c r="X80" i="9"/>
  <c r="Y35" i="6"/>
  <c r="AD10" i="9"/>
  <c r="AD27" i="9"/>
  <c r="AD30" i="6"/>
  <c r="AD32" i="6" s="1"/>
  <c r="AM64" i="3"/>
  <c r="AM66" i="3" s="1"/>
  <c r="AM19" i="3" s="1"/>
  <c r="AL7" i="12"/>
  <c r="AL72" i="4"/>
  <c r="AL74" i="4" s="1"/>
  <c r="AL10" i="4" s="1"/>
  <c r="AM74" i="3"/>
  <c r="AM76" i="3" s="1"/>
  <c r="AM21" i="3" s="1"/>
  <c r="AM33" i="2"/>
  <c r="AS98" i="3" s="1"/>
  <c r="AS100" i="3" s="1"/>
  <c r="AS22" i="3" s="1"/>
  <c r="AM82" i="4"/>
  <c r="AM84" i="4" s="1"/>
  <c r="AM12" i="4" s="1"/>
  <c r="AM69" i="3"/>
  <c r="AM70" i="3"/>
  <c r="AG107" i="4"/>
  <c r="AG109" i="4" s="1"/>
  <c r="AG17" i="4" s="1"/>
  <c r="AG119" i="4"/>
  <c r="AG19" i="4" s="1"/>
  <c r="AH45" i="2"/>
  <c r="AG112" i="4"/>
  <c r="AG114" i="4" s="1"/>
  <c r="AG18" i="4" s="1"/>
  <c r="AH94" i="3"/>
  <c r="AH96" i="3" s="1"/>
  <c r="AH27" i="3" s="1"/>
  <c r="AL72" i="3"/>
  <c r="AL20" i="3" s="1"/>
  <c r="U25" i="5"/>
  <c r="T31" i="5"/>
  <c r="T73" i="5" s="1"/>
  <c r="T39" i="9" s="1"/>
  <c r="AE153" i="4"/>
  <c r="AE155" i="4" s="1"/>
  <c r="AE32" i="4" s="1"/>
  <c r="AE46" i="4" s="1"/>
  <c r="AE9" i="12"/>
  <c r="AC32" i="6"/>
  <c r="AG41" i="2"/>
  <c r="AM102" i="3" s="1"/>
  <c r="AM104" i="3" s="1"/>
  <c r="AM28" i="3" s="1"/>
  <c r="AF102" i="4"/>
  <c r="AF104" i="4" s="1"/>
  <c r="AF16" i="4" s="1"/>
  <c r="AG90" i="3"/>
  <c r="AG92" i="3" s="1"/>
  <c r="AG26" i="3" s="1"/>
  <c r="AF97" i="4"/>
  <c r="AF99" i="4" s="1"/>
  <c r="AF15" i="4" s="1"/>
  <c r="AF86" i="3"/>
  <c r="AF88" i="3" s="1"/>
  <c r="AF25" i="3" s="1"/>
  <c r="AF31" i="3" s="1"/>
  <c r="AF8" i="12"/>
  <c r="AC17" i="9"/>
  <c r="T30" i="5"/>
  <c r="S35" i="5"/>
  <c r="W10" i="6"/>
  <c r="W11" i="6" s="1"/>
  <c r="W12" i="6" s="1"/>
  <c r="V72" i="9"/>
  <c r="V123" i="9" s="1"/>
  <c r="S75" i="5"/>
  <c r="S77" i="5" s="1"/>
  <c r="S68" i="9" s="1"/>
  <c r="S69" i="9" s="1"/>
  <c r="S40" i="9"/>
  <c r="S42" i="9" s="1"/>
  <c r="S117" i="9"/>
  <c r="AB31" i="9"/>
  <c r="AB36" i="9"/>
  <c r="AE25" i="4"/>
  <c r="AA66" i="6"/>
  <c r="Y67" i="6"/>
  <c r="AD8" i="6"/>
  <c r="AD63" i="6" s="1"/>
  <c r="AG39" i="5"/>
  <c r="AG42" i="5" s="1"/>
  <c r="AF45" i="5"/>
  <c r="AH9" i="5"/>
  <c r="AH12" i="5" s="1"/>
  <c r="AG15" i="5"/>
  <c r="AG53" i="5"/>
  <c r="AG56" i="5" s="1"/>
  <c r="AF59" i="5"/>
  <c r="AQ95" i="9"/>
  <c r="AR79" i="6"/>
  <c r="AR81" i="6" s="1"/>
  <c r="AF14" i="5"/>
  <c r="AF17" i="5" s="1"/>
  <c r="AE19" i="5"/>
  <c r="AE67" i="9" s="1"/>
  <c r="AE58" i="5"/>
  <c r="AE61" i="5" s="1"/>
  <c r="AD63" i="5"/>
  <c r="AE56" i="6"/>
  <c r="AE59" i="6" s="1"/>
  <c r="AJ41" i="6"/>
  <c r="AJ43" i="6" s="1"/>
  <c r="AI81" i="9"/>
  <c r="AH16" i="6"/>
  <c r="AH18" i="6" s="1"/>
  <c r="AG25" i="6"/>
  <c r="AG73" i="9" s="1"/>
  <c r="AF2" i="12"/>
  <c r="AG2" i="1"/>
  <c r="AF2" i="10"/>
  <c r="AF2" i="9"/>
  <c r="AF2" i="6"/>
  <c r="AF2" i="5"/>
  <c r="AF2" i="4"/>
  <c r="AF2" i="2"/>
  <c r="AF2" i="3"/>
  <c r="AF3" i="1"/>
  <c r="T47" i="5"/>
  <c r="P103" i="9"/>
  <c r="P105" i="9" s="1"/>
  <c r="P107" i="9" s="1"/>
  <c r="AE3" i="12"/>
  <c r="AE3" i="2"/>
  <c r="AE3" i="3"/>
  <c r="AE3" i="6"/>
  <c r="AE3" i="4"/>
  <c r="AE3" i="10"/>
  <c r="AE3" i="9"/>
  <c r="AE3" i="5"/>
  <c r="AH73" i="6"/>
  <c r="AH75" i="6" s="1"/>
  <c r="AG84" i="9"/>
  <c r="K84" i="11" s="1"/>
  <c r="S82" i="9" l="1"/>
  <c r="S88" i="9" s="1"/>
  <c r="S97" i="9" s="1"/>
  <c r="T47" i="6"/>
  <c r="T50" i="6" s="1"/>
  <c r="R24" i="14"/>
  <c r="R25" i="14"/>
  <c r="R19" i="14" s="1"/>
  <c r="Q10" i="14"/>
  <c r="Q12" i="14" s="1"/>
  <c r="Q21" i="14" s="1"/>
  <c r="R18" i="14" s="1"/>
  <c r="Q28" i="14"/>
  <c r="Q30" i="14" s="1"/>
  <c r="Q33" i="14" s="1"/>
  <c r="Q34" i="14" s="1"/>
  <c r="AE7" i="6"/>
  <c r="AD19" i="9"/>
  <c r="AD20" i="9" s="1"/>
  <c r="T33" i="5"/>
  <c r="U30" i="5" s="1"/>
  <c r="S78" i="5"/>
  <c r="AH37" i="2"/>
  <c r="AG92" i="4"/>
  <c r="AG94" i="4" s="1"/>
  <c r="AG14" i="4" s="1"/>
  <c r="AH82" i="3"/>
  <c r="AH84" i="3" s="1"/>
  <c r="AH24" i="3" s="1"/>
  <c r="AG78" i="3"/>
  <c r="AG80" i="3" s="1"/>
  <c r="AG23" i="3" s="1"/>
  <c r="AG87" i="4"/>
  <c r="AG89" i="4" s="1"/>
  <c r="AG13" i="4" s="1"/>
  <c r="T72" i="5"/>
  <c r="T75" i="5" s="1"/>
  <c r="T77" i="5" s="1"/>
  <c r="T68" i="9" s="1"/>
  <c r="T69" i="9" s="1"/>
  <c r="AD9" i="6"/>
  <c r="T40" i="9"/>
  <c r="T117" i="9"/>
  <c r="W72" i="9"/>
  <c r="W123" i="9" s="1"/>
  <c r="X10" i="6"/>
  <c r="U67" i="5"/>
  <c r="U70" i="5" s="1"/>
  <c r="U28" i="5"/>
  <c r="AG102" i="4"/>
  <c r="AG104" i="4" s="1"/>
  <c r="AG16" i="4" s="1"/>
  <c r="AH41" i="2"/>
  <c r="AN102" i="3" s="1"/>
  <c r="AN104" i="3" s="1"/>
  <c r="AN28" i="3" s="1"/>
  <c r="AG97" i="4"/>
  <c r="AG99" i="4" s="1"/>
  <c r="AG15" i="4" s="1"/>
  <c r="AG86" i="3"/>
  <c r="AG88" i="3" s="1"/>
  <c r="AG25" i="3" s="1"/>
  <c r="AH90" i="3"/>
  <c r="AH92" i="3" s="1"/>
  <c r="AH26" i="3" s="1"/>
  <c r="AG8" i="12"/>
  <c r="AM72" i="3"/>
  <c r="AM20" i="3" s="1"/>
  <c r="AD28" i="9"/>
  <c r="S114" i="9"/>
  <c r="S120" i="9" s="1"/>
  <c r="S127" i="9" s="1"/>
  <c r="S135" i="9" s="1"/>
  <c r="S148" i="9" s="1"/>
  <c r="S150" i="9" s="1"/>
  <c r="S74" i="9" s="1"/>
  <c r="S48" i="9"/>
  <c r="S50" i="9" s="1"/>
  <c r="Z62" i="6"/>
  <c r="Z65" i="6" s="1"/>
  <c r="Z67" i="6" s="1"/>
  <c r="Y69" i="6"/>
  <c r="Y83" i="9" s="1"/>
  <c r="Y126" i="9" s="1"/>
  <c r="AD33" i="6"/>
  <c r="AD64" i="6" s="1"/>
  <c r="AC33" i="6"/>
  <c r="AC64" i="6" s="1"/>
  <c r="AM7" i="12"/>
  <c r="AM72" i="4"/>
  <c r="AM74" i="4" s="1"/>
  <c r="AM10" i="4" s="1"/>
  <c r="AN74" i="3"/>
  <c r="AN76" i="3" s="1"/>
  <c r="AN21" i="3" s="1"/>
  <c r="AN69" i="3"/>
  <c r="AN33" i="2"/>
  <c r="AT98" i="3" s="1"/>
  <c r="AT100" i="3" s="1"/>
  <c r="AT22" i="3" s="1"/>
  <c r="AN70" i="3"/>
  <c r="AN82" i="4"/>
  <c r="AN84" i="4" s="1"/>
  <c r="AN12" i="4" s="1"/>
  <c r="AN64" i="3"/>
  <c r="AN66" i="3" s="1"/>
  <c r="AN19" i="3" s="1"/>
  <c r="AF153" i="4"/>
  <c r="AF155" i="4" s="1"/>
  <c r="AF32" i="4" s="1"/>
  <c r="AF46" i="4" s="1"/>
  <c r="AF9" i="12"/>
  <c r="AI94" i="3"/>
  <c r="AI96" i="3" s="1"/>
  <c r="AI27" i="3" s="1"/>
  <c r="AH112" i="4"/>
  <c r="AH114" i="4" s="1"/>
  <c r="AH18" i="4" s="1"/>
  <c r="AH107" i="4"/>
  <c r="AH109" i="4" s="1"/>
  <c r="AH17" i="4" s="1"/>
  <c r="AI45" i="2"/>
  <c r="AH119" i="4"/>
  <c r="AH19" i="4" s="1"/>
  <c r="AE29" i="6"/>
  <c r="AE13" i="9"/>
  <c r="AE8" i="6"/>
  <c r="AE63" i="6" s="1"/>
  <c r="AC19" i="9"/>
  <c r="AF8" i="9"/>
  <c r="AF10" i="9" s="1"/>
  <c r="AF7" i="6"/>
  <c r="AE30" i="6"/>
  <c r="AE27" i="9"/>
  <c r="AE28" i="9" s="1"/>
  <c r="Y36" i="6"/>
  <c r="Y37" i="6" s="1"/>
  <c r="AF25" i="4"/>
  <c r="X125" i="9"/>
  <c r="AK41" i="6"/>
  <c r="AK43" i="6" s="1"/>
  <c r="AJ81" i="9"/>
  <c r="AH84" i="9"/>
  <c r="AI73" i="6"/>
  <c r="AI75" i="6" s="1"/>
  <c r="R58" i="9"/>
  <c r="R61" i="9" s="1"/>
  <c r="S58" i="9" s="1"/>
  <c r="Q103" i="9"/>
  <c r="Q105" i="9" s="1"/>
  <c r="Q107" i="9" s="1"/>
  <c r="AF56" i="6"/>
  <c r="AF59" i="6" s="1"/>
  <c r="AS79" i="6"/>
  <c r="AS81" i="6" s="1"/>
  <c r="AR95" i="9"/>
  <c r="AH39" i="5"/>
  <c r="AH42" i="5" s="1"/>
  <c r="AG45" i="5"/>
  <c r="AH53" i="5"/>
  <c r="AH56" i="5" s="1"/>
  <c r="AG59" i="5"/>
  <c r="AF3" i="12"/>
  <c r="AF3" i="2"/>
  <c r="AF3" i="5"/>
  <c r="AF3" i="9"/>
  <c r="AF3" i="4"/>
  <c r="AF3" i="10"/>
  <c r="AF3" i="6"/>
  <c r="AF3" i="3"/>
  <c r="AG2" i="12"/>
  <c r="AH2" i="1"/>
  <c r="AG2" i="10"/>
  <c r="AG2" i="6"/>
  <c r="AG2" i="5"/>
  <c r="AG2" i="4"/>
  <c r="AG2" i="2"/>
  <c r="AG2" i="3"/>
  <c r="AG2" i="9"/>
  <c r="AG3" i="1"/>
  <c r="AG124" i="9"/>
  <c r="K124" i="11" s="1"/>
  <c r="K73" i="11"/>
  <c r="AI16" i="6"/>
  <c r="AI18" i="6" s="1"/>
  <c r="AH25" i="6"/>
  <c r="AH73" i="9" s="1"/>
  <c r="AH124" i="9" s="1"/>
  <c r="AG14" i="5"/>
  <c r="AG17" i="5" s="1"/>
  <c r="AF19" i="5"/>
  <c r="AF67" i="9" s="1"/>
  <c r="U44" i="5"/>
  <c r="T49" i="5"/>
  <c r="AF58" i="5"/>
  <c r="AF61" i="5" s="1"/>
  <c r="AE63" i="5"/>
  <c r="AI9" i="5"/>
  <c r="AI12" i="5" s="1"/>
  <c r="AH15" i="5"/>
  <c r="U47" i="6" l="1"/>
  <c r="U50" i="6" s="1"/>
  <c r="T82" i="9"/>
  <c r="T88" i="9" s="1"/>
  <c r="T97" i="9" s="1"/>
  <c r="S6" i="14"/>
  <c r="R11" i="14"/>
  <c r="R21" i="14"/>
  <c r="S18" i="14" s="1"/>
  <c r="R10" i="14"/>
  <c r="R28" i="14"/>
  <c r="R30" i="14" s="1"/>
  <c r="R33" i="14" s="1"/>
  <c r="R34" i="14" s="1"/>
  <c r="T35" i="5"/>
  <c r="T78" i="5" s="1"/>
  <c r="AD30" i="9"/>
  <c r="AD36" i="9" s="1"/>
  <c r="S75" i="9"/>
  <c r="S77" i="9" s="1"/>
  <c r="S99" i="9" s="1"/>
  <c r="T149" i="9"/>
  <c r="AG31" i="3"/>
  <c r="AG7" i="6" s="1"/>
  <c r="AE32" i="6"/>
  <c r="AE33" i="6" s="1"/>
  <c r="AE64" i="6" s="1"/>
  <c r="AD34" i="6"/>
  <c r="AG25" i="4"/>
  <c r="AG29" i="6" s="1"/>
  <c r="AE9" i="6"/>
  <c r="AH87" i="4"/>
  <c r="AH89" i="4" s="1"/>
  <c r="AH13" i="4" s="1"/>
  <c r="AH78" i="3"/>
  <c r="AH80" i="3" s="1"/>
  <c r="AH23" i="3" s="1"/>
  <c r="AI82" i="3"/>
  <c r="AI84" i="3" s="1"/>
  <c r="AI24" i="3" s="1"/>
  <c r="AI37" i="2"/>
  <c r="AH92" i="4"/>
  <c r="AH94" i="4" s="1"/>
  <c r="AH14" i="4" s="1"/>
  <c r="V25" i="5"/>
  <c r="U31" i="5"/>
  <c r="AF8" i="6"/>
  <c r="AF63" i="6" s="1"/>
  <c r="AJ94" i="3"/>
  <c r="AJ96" i="3" s="1"/>
  <c r="AJ27" i="3" s="1"/>
  <c r="AI107" i="4"/>
  <c r="AI109" i="4" s="1"/>
  <c r="AI17" i="4" s="1"/>
  <c r="AI112" i="4"/>
  <c r="AI114" i="4" s="1"/>
  <c r="AI18" i="4" s="1"/>
  <c r="AJ45" i="2"/>
  <c r="AI119" i="4"/>
  <c r="AI19" i="4" s="1"/>
  <c r="AC34" i="6"/>
  <c r="AG9" i="12"/>
  <c r="AG153" i="4"/>
  <c r="AG155" i="4" s="1"/>
  <c r="AG32" i="4" s="1"/>
  <c r="AG46" i="4" s="1"/>
  <c r="X11" i="6"/>
  <c r="X12" i="6" s="1"/>
  <c r="AC30" i="9"/>
  <c r="AC20" i="9"/>
  <c r="Z35" i="6"/>
  <c r="Z36" i="6" s="1"/>
  <c r="Z37" i="6" s="1"/>
  <c r="AA35" i="6" s="1"/>
  <c r="Y80" i="9"/>
  <c r="AO74" i="3"/>
  <c r="AO76" i="3" s="1"/>
  <c r="AO21" i="3" s="1"/>
  <c r="AO33" i="2"/>
  <c r="AU98" i="3" s="1"/>
  <c r="AU100" i="3" s="1"/>
  <c r="AU22" i="3" s="1"/>
  <c r="AO82" i="4"/>
  <c r="AO84" i="4" s="1"/>
  <c r="AO12" i="4" s="1"/>
  <c r="AO64" i="3"/>
  <c r="AO66" i="3" s="1"/>
  <c r="AO19" i="3" s="1"/>
  <c r="AN72" i="4"/>
  <c r="AN74" i="4" s="1"/>
  <c r="AN10" i="4" s="1"/>
  <c r="AN7" i="12"/>
  <c r="AO70" i="3"/>
  <c r="AO69" i="3"/>
  <c r="AF29" i="6"/>
  <c r="AF13" i="9"/>
  <c r="AF17" i="9" s="1"/>
  <c r="AF19" i="9" s="1"/>
  <c r="AN72" i="3"/>
  <c r="AN20" i="3" s="1"/>
  <c r="AH86" i="3"/>
  <c r="AH88" i="3" s="1"/>
  <c r="AH25" i="3" s="1"/>
  <c r="AI90" i="3"/>
  <c r="AI92" i="3" s="1"/>
  <c r="AI26" i="3" s="1"/>
  <c r="AH97" i="4"/>
  <c r="AH99" i="4" s="1"/>
  <c r="AH15" i="4" s="1"/>
  <c r="AI41" i="2"/>
  <c r="AO102" i="3" s="1"/>
  <c r="AO104" i="3" s="1"/>
  <c r="AO28" i="3" s="1"/>
  <c r="AH102" i="4"/>
  <c r="AH104" i="4" s="1"/>
  <c r="AH16" i="4" s="1"/>
  <c r="AH8" i="12"/>
  <c r="T42" i="9"/>
  <c r="AE17" i="9"/>
  <c r="AF30" i="6"/>
  <c r="AF27" i="9"/>
  <c r="AF28" i="9" s="1"/>
  <c r="AA62" i="6"/>
  <c r="AA65" i="6" s="1"/>
  <c r="AA67" i="6" s="1"/>
  <c r="Z69" i="6"/>
  <c r="Z83" i="9" s="1"/>
  <c r="Z126" i="9" s="1"/>
  <c r="AI39" i="5"/>
  <c r="AI42" i="5" s="1"/>
  <c r="AH45" i="5"/>
  <c r="R103" i="9"/>
  <c r="R105" i="9" s="1"/>
  <c r="R107" i="9" s="1"/>
  <c r="AI84" i="9"/>
  <c r="AJ73" i="6"/>
  <c r="AJ75" i="6" s="1"/>
  <c r="AL41" i="6"/>
  <c r="AL43" i="6" s="1"/>
  <c r="AK81" i="9"/>
  <c r="AJ9" i="5"/>
  <c r="AJ12" i="5" s="1"/>
  <c r="AI15" i="5"/>
  <c r="AG56" i="6"/>
  <c r="AG59" i="6" s="1"/>
  <c r="AJ16" i="6"/>
  <c r="AJ18" i="6" s="1"/>
  <c r="AI25" i="6"/>
  <c r="AI73" i="9" s="1"/>
  <c r="AI124" i="9" s="1"/>
  <c r="AG3" i="12"/>
  <c r="AG3" i="6"/>
  <c r="AG3" i="2"/>
  <c r="AG3" i="9"/>
  <c r="AG3" i="10"/>
  <c r="AG3" i="3"/>
  <c r="AG3" i="4"/>
  <c r="AG3" i="5"/>
  <c r="AH2" i="12"/>
  <c r="AH2" i="10"/>
  <c r="AI2" i="1"/>
  <c r="AH2" i="6"/>
  <c r="AH2" i="5"/>
  <c r="AH2" i="4"/>
  <c r="AH2" i="2"/>
  <c r="AH2" i="3"/>
  <c r="AH2" i="9"/>
  <c r="AH3" i="1"/>
  <c r="U47" i="5"/>
  <c r="U72" i="5"/>
  <c r="AI53" i="5"/>
  <c r="AI56" i="5" s="1"/>
  <c r="AH59" i="5"/>
  <c r="AH14" i="5"/>
  <c r="AH17" i="5" s="1"/>
  <c r="AG19" i="5"/>
  <c r="AG67" i="9" s="1"/>
  <c r="AG58" i="5"/>
  <c r="AG61" i="5" s="1"/>
  <c r="AF63" i="5"/>
  <c r="AT79" i="6"/>
  <c r="AT81" i="6" s="1"/>
  <c r="AS95" i="9"/>
  <c r="L95" i="11" s="1"/>
  <c r="V47" i="6" l="1"/>
  <c r="V50" i="6" s="1"/>
  <c r="U82" i="9"/>
  <c r="S11" i="14"/>
  <c r="R12" i="14"/>
  <c r="S8" i="14"/>
  <c r="S23" i="14"/>
  <c r="AD31" i="9"/>
  <c r="AH31" i="3"/>
  <c r="AH7" i="6" s="1"/>
  <c r="AG13" i="9"/>
  <c r="AG17" i="9" s="1"/>
  <c r="AG8" i="9"/>
  <c r="AG10" i="9" s="1"/>
  <c r="K10" i="11" s="1"/>
  <c r="AF9" i="6"/>
  <c r="AJ82" i="3"/>
  <c r="AJ84" i="3" s="1"/>
  <c r="AJ24" i="3" s="1"/>
  <c r="AI78" i="3"/>
  <c r="AI80" i="3" s="1"/>
  <c r="AI23" i="3" s="1"/>
  <c r="AJ37" i="2"/>
  <c r="AI92" i="4"/>
  <c r="AI94" i="4" s="1"/>
  <c r="AI14" i="4" s="1"/>
  <c r="AI87" i="4"/>
  <c r="AI89" i="4" s="1"/>
  <c r="AI13" i="4" s="1"/>
  <c r="Z80" i="9"/>
  <c r="AO72" i="3"/>
  <c r="AO20" i="3" s="1"/>
  <c r="X72" i="9"/>
  <c r="X123" i="9" s="1"/>
  <c r="Y10" i="6"/>
  <c r="AG8" i="6"/>
  <c r="AG63" i="6" s="1"/>
  <c r="U73" i="5"/>
  <c r="U39" i="9" s="1"/>
  <c r="U33" i="5"/>
  <c r="V28" i="5"/>
  <c r="V67" i="5"/>
  <c r="V70" i="5" s="1"/>
  <c r="T114" i="9"/>
  <c r="T48" i="9"/>
  <c r="AF30" i="9"/>
  <c r="AF20" i="9"/>
  <c r="AB62" i="6"/>
  <c r="AB65" i="6" s="1"/>
  <c r="AA69" i="6"/>
  <c r="AA83" i="9" s="1"/>
  <c r="AA126" i="9" s="1"/>
  <c r="AH153" i="4"/>
  <c r="AH155" i="4" s="1"/>
  <c r="AH32" i="4" s="1"/>
  <c r="AH46" i="4" s="1"/>
  <c r="AH9" i="12"/>
  <c r="AF32" i="6"/>
  <c r="AC36" i="9"/>
  <c r="AC31" i="9"/>
  <c r="AJ107" i="4"/>
  <c r="AJ109" i="4" s="1"/>
  <c r="AJ17" i="4" s="1"/>
  <c r="AK45" i="2"/>
  <c r="AJ119" i="4"/>
  <c r="AJ19" i="4" s="1"/>
  <c r="AK94" i="3"/>
  <c r="AK96" i="3" s="1"/>
  <c r="AK27" i="3" s="1"/>
  <c r="AJ112" i="4"/>
  <c r="AJ114" i="4" s="1"/>
  <c r="AJ18" i="4" s="1"/>
  <c r="AE34" i="6"/>
  <c r="AP69" i="3"/>
  <c r="AP64" i="3"/>
  <c r="AP66" i="3" s="1"/>
  <c r="AP19" i="3" s="1"/>
  <c r="AP33" i="2"/>
  <c r="AV98" i="3" s="1"/>
  <c r="AV100" i="3" s="1"/>
  <c r="AV22" i="3" s="1"/>
  <c r="AO72" i="4"/>
  <c r="AO74" i="4" s="1"/>
  <c r="AO10" i="4" s="1"/>
  <c r="AP82" i="4"/>
  <c r="AP84" i="4" s="1"/>
  <c r="AP12" i="4" s="1"/>
  <c r="AO7" i="12"/>
  <c r="AP74" i="3"/>
  <c r="AP76" i="3" s="1"/>
  <c r="AP21" i="3" s="1"/>
  <c r="AP70" i="3"/>
  <c r="AJ90" i="3"/>
  <c r="AJ92" i="3" s="1"/>
  <c r="AJ26" i="3" s="1"/>
  <c r="AJ41" i="2"/>
  <c r="AP102" i="3" s="1"/>
  <c r="AP104" i="3" s="1"/>
  <c r="AP28" i="3" s="1"/>
  <c r="AI97" i="4"/>
  <c r="AI99" i="4" s="1"/>
  <c r="AI15" i="4" s="1"/>
  <c r="AI102" i="4"/>
  <c r="AI104" i="4" s="1"/>
  <c r="AI16" i="4" s="1"/>
  <c r="AI86" i="3"/>
  <c r="AI88" i="3" s="1"/>
  <c r="AI25" i="3" s="1"/>
  <c r="AI8" i="12"/>
  <c r="K13" i="11"/>
  <c r="AH25" i="4"/>
  <c r="Y125" i="9"/>
  <c r="K17" i="11"/>
  <c r="AE19" i="9"/>
  <c r="AG27" i="9"/>
  <c r="AG28" i="9" s="1"/>
  <c r="K28" i="11" s="1"/>
  <c r="D15" i="13" s="1"/>
  <c r="AG30" i="6"/>
  <c r="AG32" i="6" s="1"/>
  <c r="AU79" i="6"/>
  <c r="AU81" i="6" s="1"/>
  <c r="AT95" i="9"/>
  <c r="V44" i="5"/>
  <c r="U49" i="5"/>
  <c r="AK16" i="6"/>
  <c r="AK18" i="6" s="1"/>
  <c r="AJ25" i="6"/>
  <c r="AJ73" i="9" s="1"/>
  <c r="AJ124" i="9" s="1"/>
  <c r="K67" i="11"/>
  <c r="AI59" i="5"/>
  <c r="AJ53" i="5"/>
  <c r="AJ56" i="5" s="1"/>
  <c r="AH56" i="6"/>
  <c r="AH59" i="6" s="1"/>
  <c r="AH58" i="5"/>
  <c r="AH61" i="5" s="1"/>
  <c r="AG63" i="5"/>
  <c r="AI14" i="5"/>
  <c r="AI17" i="5" s="1"/>
  <c r="AH19" i="5"/>
  <c r="AH67" i="9" s="1"/>
  <c r="AL81" i="9"/>
  <c r="AM41" i="6"/>
  <c r="AM43" i="6" s="1"/>
  <c r="AI2" i="12"/>
  <c r="AJ2" i="1"/>
  <c r="AI2" i="10"/>
  <c r="AI2" i="6"/>
  <c r="AI2" i="5"/>
  <c r="AI2" i="4"/>
  <c r="AI2" i="2"/>
  <c r="AI2" i="3"/>
  <c r="AI2" i="9"/>
  <c r="AI3" i="1"/>
  <c r="AK73" i="6"/>
  <c r="AK75" i="6" s="1"/>
  <c r="AJ84" i="9"/>
  <c r="AH3" i="12"/>
  <c r="AH3" i="9"/>
  <c r="AH3" i="6"/>
  <c r="AH3" i="10"/>
  <c r="AH3" i="5"/>
  <c r="AH3" i="4"/>
  <c r="AH3" i="2"/>
  <c r="AH3" i="3"/>
  <c r="AI45" i="5"/>
  <c r="AJ39" i="5"/>
  <c r="AJ42" i="5" s="1"/>
  <c r="AA36" i="6"/>
  <c r="AA37" i="6" s="1"/>
  <c r="AJ15" i="5"/>
  <c r="AK9" i="5"/>
  <c r="AK12" i="5" s="1"/>
  <c r="J82" i="11" l="1"/>
  <c r="U88" i="9"/>
  <c r="V82" i="9"/>
  <c r="V88" i="9" s="1"/>
  <c r="V97" i="9" s="1"/>
  <c r="W47" i="6"/>
  <c r="W50" i="6" s="1"/>
  <c r="S24" i="14"/>
  <c r="S25" i="14"/>
  <c r="S19" i="14" s="1"/>
  <c r="AH8" i="9"/>
  <c r="AH10" i="9" s="1"/>
  <c r="K8" i="11"/>
  <c r="D9" i="13" s="1"/>
  <c r="D10" i="13" s="1"/>
  <c r="AG19" i="9"/>
  <c r="AG20" i="9" s="1"/>
  <c r="Z125" i="9"/>
  <c r="AI31" i="3"/>
  <c r="AI8" i="9" s="1"/>
  <c r="AI10" i="9" s="1"/>
  <c r="AP72" i="3"/>
  <c r="AP20" i="3" s="1"/>
  <c r="AK37" i="2"/>
  <c r="AJ92" i="4"/>
  <c r="AJ94" i="4" s="1"/>
  <c r="AJ14" i="4" s="1"/>
  <c r="AK82" i="3"/>
  <c r="AK84" i="3" s="1"/>
  <c r="AK24" i="3" s="1"/>
  <c r="AJ78" i="3"/>
  <c r="AJ80" i="3" s="1"/>
  <c r="AJ23" i="3" s="1"/>
  <c r="AJ87" i="4"/>
  <c r="AJ89" i="4" s="1"/>
  <c r="AJ13" i="4" s="1"/>
  <c r="AG33" i="6"/>
  <c r="AG64" i="6" s="1"/>
  <c r="T50" i="9"/>
  <c r="T6" i="14" s="1"/>
  <c r="V30" i="5"/>
  <c r="V72" i="5" s="1"/>
  <c r="U35" i="5"/>
  <c r="AI153" i="4"/>
  <c r="AI155" i="4" s="1"/>
  <c r="AI32" i="4" s="1"/>
  <c r="AI46" i="4" s="1"/>
  <c r="AI9" i="12"/>
  <c r="AH27" i="9"/>
  <c r="AH28" i="9" s="1"/>
  <c r="AH30" i="6"/>
  <c r="T120" i="9"/>
  <c r="U117" i="9"/>
  <c r="J117" i="11" s="1"/>
  <c r="U40" i="9"/>
  <c r="J39" i="11"/>
  <c r="AE20" i="9"/>
  <c r="AE30" i="9"/>
  <c r="AQ69" i="3"/>
  <c r="AP72" i="4"/>
  <c r="AP74" i="4" s="1"/>
  <c r="AP10" i="4" s="1"/>
  <c r="AQ64" i="3"/>
  <c r="AQ66" i="3" s="1"/>
  <c r="AQ19" i="3" s="1"/>
  <c r="AQ82" i="4"/>
  <c r="AQ84" i="4" s="1"/>
  <c r="AQ12" i="4" s="1"/>
  <c r="AQ74" i="3"/>
  <c r="AQ76" i="3" s="1"/>
  <c r="AQ21" i="3" s="1"/>
  <c r="AP7" i="12"/>
  <c r="AQ70" i="3"/>
  <c r="AQ33" i="2"/>
  <c r="AW98" i="3" s="1"/>
  <c r="AW100" i="3" s="1"/>
  <c r="AW22" i="3" s="1"/>
  <c r="AL94" i="3"/>
  <c r="AL96" i="3" s="1"/>
  <c r="AL27" i="3" s="1"/>
  <c r="AK107" i="4"/>
  <c r="AK109" i="4" s="1"/>
  <c r="AK17" i="4" s="1"/>
  <c r="AL45" i="2"/>
  <c r="AK112" i="4"/>
  <c r="AK114" i="4" s="1"/>
  <c r="AK18" i="4" s="1"/>
  <c r="AK119" i="4"/>
  <c r="AK19" i="4" s="1"/>
  <c r="AB67" i="6"/>
  <c r="AD66" i="6"/>
  <c r="V31" i="5"/>
  <c r="V73" i="5" s="1"/>
  <c r="V39" i="9" s="1"/>
  <c r="W25" i="5"/>
  <c r="AG9" i="6"/>
  <c r="AI25" i="4"/>
  <c r="K19" i="11"/>
  <c r="AJ97" i="4"/>
  <c r="AJ99" i="4" s="1"/>
  <c r="AJ15" i="4" s="1"/>
  <c r="AJ102" i="4"/>
  <c r="AJ104" i="4" s="1"/>
  <c r="AJ16" i="4" s="1"/>
  <c r="AK41" i="2"/>
  <c r="AQ102" i="3" s="1"/>
  <c r="AQ104" i="3" s="1"/>
  <c r="AQ28" i="3" s="1"/>
  <c r="AJ86" i="3"/>
  <c r="AJ88" i="3" s="1"/>
  <c r="AJ25" i="3" s="1"/>
  <c r="AK90" i="3"/>
  <c r="AK92" i="3" s="1"/>
  <c r="AK26" i="3" s="1"/>
  <c r="AJ8" i="12"/>
  <c r="AG30" i="9"/>
  <c r="AH8" i="6"/>
  <c r="AH63" i="6" s="1"/>
  <c r="AH13" i="9"/>
  <c r="AH17" i="9" s="1"/>
  <c r="AH29" i="6"/>
  <c r="AF31" i="9"/>
  <c r="AF36" i="9"/>
  <c r="K27" i="11"/>
  <c r="Y11" i="6"/>
  <c r="Y12" i="6" s="1"/>
  <c r="AF33" i="6"/>
  <c r="AF64" i="6" s="1"/>
  <c r="U75" i="5"/>
  <c r="U77" i="5" s="1"/>
  <c r="U68" i="9" s="1"/>
  <c r="AA80" i="9"/>
  <c r="AB35" i="6"/>
  <c r="AI56" i="6"/>
  <c r="AI59" i="6" s="1"/>
  <c r="AL16" i="6"/>
  <c r="AL18" i="6" s="1"/>
  <c r="AK25" i="6"/>
  <c r="AK73" i="9" s="1"/>
  <c r="AK124" i="9" s="1"/>
  <c r="V47" i="5"/>
  <c r="AI3" i="12"/>
  <c r="AI3" i="2"/>
  <c r="AI3" i="3"/>
  <c r="AI3" i="9"/>
  <c r="AI3" i="10"/>
  <c r="AI3" i="6"/>
  <c r="AI3" i="5"/>
  <c r="AI3" i="4"/>
  <c r="AJ2" i="12"/>
  <c r="AK2" i="1"/>
  <c r="AJ2" i="10"/>
  <c r="AJ2" i="9"/>
  <c r="AJ2" i="5"/>
  <c r="AJ3" i="1"/>
  <c r="AJ2" i="6"/>
  <c r="AJ2" i="3"/>
  <c r="AJ2" i="2"/>
  <c r="AJ2" i="4"/>
  <c r="AK53" i="5"/>
  <c r="AK56" i="5" s="1"/>
  <c r="AJ59" i="5"/>
  <c r="AK39" i="5"/>
  <c r="AK42" i="5" s="1"/>
  <c r="AJ45" i="5"/>
  <c r="AJ14" i="5"/>
  <c r="AJ17" i="5" s="1"/>
  <c r="AI19" i="5"/>
  <c r="AI67" i="9" s="1"/>
  <c r="AL73" i="6"/>
  <c r="AL75" i="6" s="1"/>
  <c r="AK84" i="9"/>
  <c r="AM81" i="9"/>
  <c r="AN41" i="6"/>
  <c r="AN43" i="6" s="1"/>
  <c r="AU95" i="9"/>
  <c r="AV79" i="6"/>
  <c r="AV81" i="6" s="1"/>
  <c r="AL9" i="5"/>
  <c r="AL12" i="5" s="1"/>
  <c r="AK15" i="5"/>
  <c r="AI58" i="5"/>
  <c r="AI61" i="5" s="1"/>
  <c r="AH63" i="5"/>
  <c r="J88" i="11" l="1"/>
  <c r="U97" i="9"/>
  <c r="J97" i="11" s="1"/>
  <c r="X47" i="6"/>
  <c r="X50" i="6" s="1"/>
  <c r="W82" i="9"/>
  <c r="W88" i="9" s="1"/>
  <c r="W97" i="9" s="1"/>
  <c r="T8" i="14"/>
  <c r="T23" i="14"/>
  <c r="S10" i="14"/>
  <c r="S12" i="14" s="1"/>
  <c r="S20" i="14" s="1"/>
  <c r="S29" i="14" s="1"/>
  <c r="S30" i="14" s="1"/>
  <c r="S33" i="14" s="1"/>
  <c r="S34" i="14" s="1"/>
  <c r="S53" i="9" s="1"/>
  <c r="S28" i="14"/>
  <c r="K20" i="11"/>
  <c r="D13" i="13" s="1"/>
  <c r="D12" i="13"/>
  <c r="AH19" i="9"/>
  <c r="AH30" i="9" s="1"/>
  <c r="AJ31" i="3"/>
  <c r="AJ8" i="9" s="1"/>
  <c r="AJ10" i="9" s="1"/>
  <c r="AI7" i="6"/>
  <c r="AI8" i="6" s="1"/>
  <c r="AI63" i="6" s="1"/>
  <c r="AQ72" i="3"/>
  <c r="AQ20" i="3" s="1"/>
  <c r="AH32" i="6"/>
  <c r="AH33" i="6" s="1"/>
  <c r="AH64" i="6" s="1"/>
  <c r="AJ25" i="4"/>
  <c r="AJ13" i="9" s="1"/>
  <c r="AJ17" i="9" s="1"/>
  <c r="V75" i="5"/>
  <c r="V77" i="5" s="1"/>
  <c r="V68" i="9" s="1"/>
  <c r="V69" i="9" s="1"/>
  <c r="U78" i="5"/>
  <c r="AG34" i="6"/>
  <c r="AK78" i="3"/>
  <c r="AK80" i="3" s="1"/>
  <c r="AK23" i="3" s="1"/>
  <c r="AL82" i="3"/>
  <c r="AL84" i="3" s="1"/>
  <c r="AL24" i="3" s="1"/>
  <c r="AK92" i="4"/>
  <c r="AK94" i="4" s="1"/>
  <c r="AK14" i="4" s="1"/>
  <c r="AK87" i="4"/>
  <c r="AK89" i="4" s="1"/>
  <c r="AK13" i="4" s="1"/>
  <c r="AL37" i="2"/>
  <c r="Y72" i="9"/>
  <c r="Y123" i="9" s="1"/>
  <c r="Z10" i="6"/>
  <c r="J68" i="11"/>
  <c r="U69" i="9"/>
  <c r="J69" i="11" s="1"/>
  <c r="AJ153" i="4"/>
  <c r="AJ155" i="4" s="1"/>
  <c r="AJ32" i="4" s="1"/>
  <c r="AJ46" i="4" s="1"/>
  <c r="AJ9" i="12"/>
  <c r="AF34" i="6"/>
  <c r="AI29" i="6"/>
  <c r="AI13" i="9"/>
  <c r="AI17" i="9" s="1"/>
  <c r="AI19" i="9" s="1"/>
  <c r="AI27" i="9"/>
  <c r="AI28" i="9" s="1"/>
  <c r="AI30" i="6"/>
  <c r="AL107" i="4"/>
  <c r="AL109" i="4" s="1"/>
  <c r="AL17" i="4" s="1"/>
  <c r="AL112" i="4"/>
  <c r="AL114" i="4" s="1"/>
  <c r="AL18" i="4" s="1"/>
  <c r="AL119" i="4"/>
  <c r="AL19" i="4" s="1"/>
  <c r="AM94" i="3"/>
  <c r="AM96" i="3" s="1"/>
  <c r="AM27" i="3" s="1"/>
  <c r="AM45" i="2"/>
  <c r="U42" i="9"/>
  <c r="J40" i="11"/>
  <c r="AL41" i="2"/>
  <c r="AR102" i="3" s="1"/>
  <c r="AR104" i="3" s="1"/>
  <c r="AR28" i="3" s="1"/>
  <c r="AK86" i="3"/>
  <c r="AK88" i="3" s="1"/>
  <c r="AK25" i="3" s="1"/>
  <c r="AK97" i="4"/>
  <c r="AK99" i="4" s="1"/>
  <c r="AK15" i="4" s="1"/>
  <c r="AL90" i="3"/>
  <c r="AL92" i="3" s="1"/>
  <c r="AL26" i="3" s="1"/>
  <c r="AK102" i="4"/>
  <c r="AK104" i="4" s="1"/>
  <c r="AK16" i="4" s="1"/>
  <c r="AK8" i="12"/>
  <c r="AH9" i="6"/>
  <c r="W67" i="5"/>
  <c r="W70" i="5" s="1"/>
  <c r="W28" i="5"/>
  <c r="V33" i="5"/>
  <c r="V40" i="9"/>
  <c r="V42" i="9" s="1"/>
  <c r="V117" i="9"/>
  <c r="AR70" i="3"/>
  <c r="AQ72" i="4"/>
  <c r="AQ74" i="4" s="1"/>
  <c r="AQ10" i="4" s="1"/>
  <c r="AR74" i="3"/>
  <c r="AR76" i="3" s="1"/>
  <c r="AR21" i="3" s="1"/>
  <c r="AR33" i="2"/>
  <c r="AX98" i="3" s="1"/>
  <c r="AX100" i="3" s="1"/>
  <c r="AX22" i="3" s="1"/>
  <c r="AR64" i="3"/>
  <c r="AR66" i="3" s="1"/>
  <c r="AR19" i="3" s="1"/>
  <c r="AR69" i="3"/>
  <c r="AQ7" i="12"/>
  <c r="AR82" i="4"/>
  <c r="AR84" i="4" s="1"/>
  <c r="AR12" i="4" s="1"/>
  <c r="T127" i="9"/>
  <c r="AG31" i="9"/>
  <c r="AG36" i="9"/>
  <c r="AC62" i="6"/>
  <c r="AC65" i="6" s="1"/>
  <c r="AC67" i="6" s="1"/>
  <c r="AB69" i="6"/>
  <c r="AB83" i="9" s="1"/>
  <c r="AB126" i="9" s="1"/>
  <c r="AE36" i="9"/>
  <c r="AE31" i="9"/>
  <c r="K30" i="11"/>
  <c r="AM9" i="5"/>
  <c r="AM12" i="5" s="1"/>
  <c r="AL15" i="5"/>
  <c r="AK2" i="12"/>
  <c r="AL2" i="1"/>
  <c r="AK2" i="10"/>
  <c r="AK2" i="9"/>
  <c r="AK2" i="5"/>
  <c r="AK2" i="6"/>
  <c r="AK2" i="3"/>
  <c r="AK3" i="1"/>
  <c r="AK2" i="2"/>
  <c r="AK2" i="4"/>
  <c r="AJ56" i="6"/>
  <c r="AJ59" i="6" s="1"/>
  <c r="AV95" i="9"/>
  <c r="AW79" i="6"/>
  <c r="AW81" i="6" s="1"/>
  <c r="AK14" i="5"/>
  <c r="AK17" i="5" s="1"/>
  <c r="AJ19" i="5"/>
  <c r="AJ67" i="9" s="1"/>
  <c r="AB36" i="6"/>
  <c r="AB37" i="6" s="1"/>
  <c r="AJ58" i="5"/>
  <c r="AJ61" i="5" s="1"/>
  <c r="AI63" i="5"/>
  <c r="AL84" i="9"/>
  <c r="AM73" i="6"/>
  <c r="AM75" i="6" s="1"/>
  <c r="AJ3" i="12"/>
  <c r="AJ3" i="6"/>
  <c r="AJ3" i="5"/>
  <c r="AJ3" i="4"/>
  <c r="AJ3" i="2"/>
  <c r="AJ3" i="3"/>
  <c r="AJ3" i="9"/>
  <c r="AJ3" i="10"/>
  <c r="AA125" i="9"/>
  <c r="AO41" i="6"/>
  <c r="AO43" i="6" s="1"/>
  <c r="AN81" i="9"/>
  <c r="AL39" i="5"/>
  <c r="AL42" i="5" s="1"/>
  <c r="AK45" i="5"/>
  <c r="AL53" i="5"/>
  <c r="AL56" i="5" s="1"/>
  <c r="AK59" i="5"/>
  <c r="W44" i="5"/>
  <c r="V49" i="5"/>
  <c r="AM16" i="6"/>
  <c r="AM18" i="6" s="1"/>
  <c r="AL25" i="6"/>
  <c r="AL73" i="9" s="1"/>
  <c r="AL124" i="9" s="1"/>
  <c r="Y47" i="6" l="1"/>
  <c r="Y50" i="6" s="1"/>
  <c r="X82" i="9"/>
  <c r="X88" i="9" s="1"/>
  <c r="X97" i="9" s="1"/>
  <c r="S55" i="9"/>
  <c r="S59" i="9" s="1"/>
  <c r="S61" i="9" s="1"/>
  <c r="T25" i="14"/>
  <c r="T19" i="14" s="1"/>
  <c r="T24" i="14"/>
  <c r="S21" i="14"/>
  <c r="T18" i="14" s="1"/>
  <c r="K31" i="11"/>
  <c r="D18" i="13" s="1"/>
  <c r="D17" i="13"/>
  <c r="AH20" i="9"/>
  <c r="AK31" i="3"/>
  <c r="AK8" i="9" s="1"/>
  <c r="AK10" i="9" s="1"/>
  <c r="AJ7" i="6"/>
  <c r="AJ8" i="6" s="1"/>
  <c r="AJ63" i="6" s="1"/>
  <c r="AJ29" i="6"/>
  <c r="AI9" i="6"/>
  <c r="AR72" i="3"/>
  <c r="AR20" i="3" s="1"/>
  <c r="AK25" i="4"/>
  <c r="AK13" i="9" s="1"/>
  <c r="AK17" i="9" s="1"/>
  <c r="K36" i="11"/>
  <c r="AL87" i="4"/>
  <c r="AL89" i="4" s="1"/>
  <c r="AL13" i="4" s="1"/>
  <c r="AM82" i="3"/>
  <c r="AM84" i="3" s="1"/>
  <c r="AM24" i="3" s="1"/>
  <c r="AL78" i="3"/>
  <c r="AL80" i="3" s="1"/>
  <c r="AL23" i="3" s="1"/>
  <c r="AL92" i="4"/>
  <c r="AL94" i="4" s="1"/>
  <c r="AL14" i="4" s="1"/>
  <c r="AM37" i="2"/>
  <c r="AI32" i="6"/>
  <c r="AI33" i="6" s="1"/>
  <c r="AI64" i="6" s="1"/>
  <c r="AN45" i="2"/>
  <c r="AM119" i="4"/>
  <c r="AM19" i="4" s="1"/>
  <c r="AN94" i="3"/>
  <c r="AN96" i="3" s="1"/>
  <c r="AN27" i="3" s="1"/>
  <c r="AM107" i="4"/>
  <c r="AM109" i="4" s="1"/>
  <c r="AM17" i="4" s="1"/>
  <c r="AM112" i="4"/>
  <c r="AM114" i="4" s="1"/>
  <c r="AM18" i="4" s="1"/>
  <c r="AH34" i="6"/>
  <c r="AD62" i="6"/>
  <c r="AD65" i="6" s="1"/>
  <c r="AD67" i="6" s="1"/>
  <c r="AC69" i="6"/>
  <c r="AC83" i="9" s="1"/>
  <c r="AC126" i="9" s="1"/>
  <c r="AJ27" i="9"/>
  <c r="AJ28" i="9" s="1"/>
  <c r="AJ30" i="6"/>
  <c r="AJ32" i="6" s="1"/>
  <c r="AK153" i="4"/>
  <c r="AK155" i="4" s="1"/>
  <c r="AK32" i="4" s="1"/>
  <c r="AK46" i="4" s="1"/>
  <c r="AK9" i="12"/>
  <c r="V48" i="9"/>
  <c r="V50" i="9" s="1"/>
  <c r="V114" i="9"/>
  <c r="V120" i="9" s="1"/>
  <c r="V127" i="9" s="1"/>
  <c r="V135" i="9" s="1"/>
  <c r="AI30" i="9"/>
  <c r="AI20" i="9"/>
  <c r="Z11" i="6"/>
  <c r="Z12" i="6" s="1"/>
  <c r="AR72" i="4"/>
  <c r="AR74" i="4" s="1"/>
  <c r="AR10" i="4" s="1"/>
  <c r="AR7" i="12"/>
  <c r="AS69" i="3"/>
  <c r="AS64" i="3"/>
  <c r="AS66" i="3" s="1"/>
  <c r="AS19" i="3" s="1"/>
  <c r="AS82" i="4"/>
  <c r="AS84" i="4" s="1"/>
  <c r="AS12" i="4" s="1"/>
  <c r="AS70" i="3"/>
  <c r="AS33" i="2"/>
  <c r="AY98" i="3" s="1"/>
  <c r="AY100" i="3" s="1"/>
  <c r="AY22" i="3" s="1"/>
  <c r="AS74" i="3"/>
  <c r="AS76" i="3" s="1"/>
  <c r="AS21" i="3" s="1"/>
  <c r="W30" i="5"/>
  <c r="W72" i="5" s="1"/>
  <c r="V35" i="5"/>
  <c r="V78" i="5" s="1"/>
  <c r="AK7" i="6"/>
  <c r="AJ19" i="9"/>
  <c r="T135" i="9"/>
  <c r="W31" i="5"/>
  <c r="W73" i="5" s="1"/>
  <c r="W39" i="9" s="1"/>
  <c r="X25" i="5"/>
  <c r="AL97" i="4"/>
  <c r="AL99" i="4" s="1"/>
  <c r="AL15" i="4" s="1"/>
  <c r="AM41" i="2"/>
  <c r="AS102" i="3" s="1"/>
  <c r="AS104" i="3" s="1"/>
  <c r="AS28" i="3" s="1"/>
  <c r="AM90" i="3"/>
  <c r="AM92" i="3" s="1"/>
  <c r="AM26" i="3" s="1"/>
  <c r="AL102" i="4"/>
  <c r="AL104" i="4" s="1"/>
  <c r="AL16" i="4" s="1"/>
  <c r="AL86" i="3"/>
  <c r="AL88" i="3" s="1"/>
  <c r="AL25" i="3" s="1"/>
  <c r="AL8" i="12"/>
  <c r="U48" i="9"/>
  <c r="U114" i="9"/>
  <c r="J42" i="11"/>
  <c r="J43" i="11" s="1"/>
  <c r="AH36" i="9"/>
  <c r="AH31" i="9"/>
  <c r="AN73" i="6"/>
  <c r="AN75" i="6" s="1"/>
  <c r="AM84" i="9"/>
  <c r="AK56" i="6"/>
  <c r="AK59" i="6" s="1"/>
  <c r="AM53" i="5"/>
  <c r="AM56" i="5" s="1"/>
  <c r="AL59" i="5"/>
  <c r="AO81" i="9"/>
  <c r="AP41" i="6"/>
  <c r="AP43" i="6" s="1"/>
  <c r="AM39" i="5"/>
  <c r="AM42" i="5" s="1"/>
  <c r="AL45" i="5"/>
  <c r="AL2" i="12"/>
  <c r="AL2" i="10"/>
  <c r="AM2" i="1"/>
  <c r="AL2" i="9"/>
  <c r="AL2" i="6"/>
  <c r="AL2" i="5"/>
  <c r="AL2" i="4"/>
  <c r="AL2" i="2"/>
  <c r="AL2" i="3"/>
  <c r="AL3" i="1"/>
  <c r="AM15" i="5"/>
  <c r="AN9" i="5"/>
  <c r="AN12" i="5" s="1"/>
  <c r="AX79" i="6"/>
  <c r="AX81" i="6" s="1"/>
  <c r="AW95" i="9"/>
  <c r="AN16" i="6"/>
  <c r="AN18" i="6" s="1"/>
  <c r="AM25" i="6"/>
  <c r="AM73" i="9" s="1"/>
  <c r="AM124" i="9" s="1"/>
  <c r="AK58" i="5"/>
  <c r="AK61" i="5" s="1"/>
  <c r="AJ63" i="5"/>
  <c r="AC35" i="6"/>
  <c r="AB80" i="9"/>
  <c r="W47" i="5"/>
  <c r="AL14" i="5"/>
  <c r="AL17" i="5" s="1"/>
  <c r="AK19" i="5"/>
  <c r="AK67" i="9" s="1"/>
  <c r="AK3" i="12"/>
  <c r="AK3" i="9"/>
  <c r="AK3" i="10"/>
  <c r="AK3" i="3"/>
  <c r="AK3" i="6"/>
  <c r="AK3" i="5"/>
  <c r="AK3" i="4"/>
  <c r="AK3" i="2"/>
  <c r="Y82" i="9" l="1"/>
  <c r="Y88" i="9" s="1"/>
  <c r="Y97" i="9" s="1"/>
  <c r="Z47" i="6"/>
  <c r="Z50" i="6" s="1"/>
  <c r="T58" i="9"/>
  <c r="S103" i="9"/>
  <c r="S105" i="9" s="1"/>
  <c r="S107" i="9" s="1"/>
  <c r="T11" i="14"/>
  <c r="T10" i="14"/>
  <c r="T28" i="14"/>
  <c r="V6" i="14"/>
  <c r="AL31" i="3"/>
  <c r="AL8" i="9" s="1"/>
  <c r="AL10" i="9" s="1"/>
  <c r="AK29" i="6"/>
  <c r="W75" i="5"/>
  <c r="W77" i="5" s="1"/>
  <c r="W68" i="9" s="1"/>
  <c r="W69" i="9" s="1"/>
  <c r="AK19" i="9"/>
  <c r="AK20" i="9" s="1"/>
  <c r="AM92" i="4"/>
  <c r="AM94" i="4" s="1"/>
  <c r="AM14" i="4" s="1"/>
  <c r="AN37" i="2"/>
  <c r="AM87" i="4"/>
  <c r="AM89" i="4" s="1"/>
  <c r="AM13" i="4" s="1"/>
  <c r="AM78" i="3"/>
  <c r="AM80" i="3" s="1"/>
  <c r="AM23" i="3" s="1"/>
  <c r="AN82" i="3"/>
  <c r="AN84" i="3" s="1"/>
  <c r="AN24" i="3" s="1"/>
  <c r="AL25" i="4"/>
  <c r="AL13" i="9" s="1"/>
  <c r="AL17" i="9" s="1"/>
  <c r="W33" i="5"/>
  <c r="X30" i="5" s="1"/>
  <c r="AN41" i="2"/>
  <c r="AT102" i="3" s="1"/>
  <c r="AT104" i="3" s="1"/>
  <c r="AT28" i="3" s="1"/>
  <c r="AM102" i="4"/>
  <c r="AM104" i="4" s="1"/>
  <c r="AM16" i="4" s="1"/>
  <c r="AN90" i="3"/>
  <c r="AN92" i="3" s="1"/>
  <c r="AN26" i="3" s="1"/>
  <c r="AM97" i="4"/>
  <c r="AM99" i="4" s="1"/>
  <c r="AM15" i="4" s="1"/>
  <c r="AM86" i="3"/>
  <c r="AM88" i="3" s="1"/>
  <c r="AM25" i="3" s="1"/>
  <c r="AM8" i="12"/>
  <c r="AE62" i="6"/>
  <c r="AE65" i="6" s="1"/>
  <c r="AD69" i="6"/>
  <c r="AD83" i="9" s="1"/>
  <c r="AD126" i="9" s="1"/>
  <c r="AK8" i="6"/>
  <c r="AK63" i="6" s="1"/>
  <c r="AS72" i="3"/>
  <c r="AS20" i="3" s="1"/>
  <c r="AJ33" i="6"/>
  <c r="AJ64" i="6" s="1"/>
  <c r="U120" i="9"/>
  <c r="J114" i="11"/>
  <c r="U50" i="9"/>
  <c r="U6" i="14" s="1"/>
  <c r="J48" i="11"/>
  <c r="X28" i="5"/>
  <c r="X67" i="5"/>
  <c r="X70" i="5" s="1"/>
  <c r="AK30" i="6"/>
  <c r="AK32" i="6" s="1"/>
  <c r="AK27" i="9"/>
  <c r="AK28" i="9" s="1"/>
  <c r="AL153" i="4"/>
  <c r="AL155" i="4" s="1"/>
  <c r="AL32" i="4" s="1"/>
  <c r="AL46" i="4" s="1"/>
  <c r="AL9" i="12"/>
  <c r="W117" i="9"/>
  <c r="W40" i="9"/>
  <c r="W42" i="9" s="1"/>
  <c r="Z72" i="9"/>
  <c r="Z123" i="9" s="1"/>
  <c r="AA10" i="6"/>
  <c r="AT70" i="3"/>
  <c r="AS72" i="4"/>
  <c r="AS74" i="4" s="1"/>
  <c r="AS10" i="4" s="1"/>
  <c r="AT33" i="2"/>
  <c r="AZ98" i="3" s="1"/>
  <c r="AZ100" i="3" s="1"/>
  <c r="AZ22" i="3" s="1"/>
  <c r="AT82" i="4"/>
  <c r="AT84" i="4" s="1"/>
  <c r="AT12" i="4" s="1"/>
  <c r="AT74" i="3"/>
  <c r="AT76" i="3" s="1"/>
  <c r="AT21" i="3" s="1"/>
  <c r="AT64" i="3"/>
  <c r="AT66" i="3" s="1"/>
  <c r="AT19" i="3" s="1"/>
  <c r="AT69" i="3"/>
  <c r="AS7" i="12"/>
  <c r="AI34" i="6"/>
  <c r="T148" i="9"/>
  <c r="AN107" i="4"/>
  <c r="AN109" i="4" s="1"/>
  <c r="AN17" i="4" s="1"/>
  <c r="AO45" i="2"/>
  <c r="AO94" i="3"/>
  <c r="AO96" i="3" s="1"/>
  <c r="AO27" i="3" s="1"/>
  <c r="AN112" i="4"/>
  <c r="AN114" i="4" s="1"/>
  <c r="AN18" i="4" s="1"/>
  <c r="AN119" i="4"/>
  <c r="AN19" i="4" s="1"/>
  <c r="AJ30" i="9"/>
  <c r="AJ20" i="9"/>
  <c r="AJ9" i="6"/>
  <c r="AI31" i="9"/>
  <c r="AI36" i="9"/>
  <c r="AX95" i="9"/>
  <c r="AY79" i="6"/>
  <c r="AY81" i="6" s="1"/>
  <c r="AM45" i="5"/>
  <c r="AN39" i="5"/>
  <c r="AN42" i="5" s="1"/>
  <c r="AM59" i="5"/>
  <c r="AN53" i="5"/>
  <c r="AN56" i="5" s="1"/>
  <c r="X44" i="5"/>
  <c r="W49" i="5"/>
  <c r="AO16" i="6"/>
  <c r="AO18" i="6" s="1"/>
  <c r="AN25" i="6"/>
  <c r="AN73" i="9" s="1"/>
  <c r="AN124" i="9" s="1"/>
  <c r="AQ41" i="6"/>
  <c r="AQ43" i="6" s="1"/>
  <c r="AP81" i="9"/>
  <c r="AC36" i="6"/>
  <c r="AC37" i="6" s="1"/>
  <c r="AM14" i="5"/>
  <c r="AM17" i="5" s="1"/>
  <c r="AL19" i="5"/>
  <c r="AL67" i="9" s="1"/>
  <c r="AL56" i="6"/>
  <c r="AL59" i="6" s="1"/>
  <c r="AN15" i="5"/>
  <c r="AO9" i="5"/>
  <c r="AO12" i="5" s="1"/>
  <c r="AL58" i="5"/>
  <c r="AL61" i="5" s="1"/>
  <c r="AK63" i="5"/>
  <c r="AM2" i="12"/>
  <c r="AM2" i="10"/>
  <c r="AN2" i="1"/>
  <c r="AM2" i="9"/>
  <c r="AM2" i="6"/>
  <c r="AM2" i="5"/>
  <c r="AM2" i="4"/>
  <c r="AM2" i="2"/>
  <c r="AM2" i="3"/>
  <c r="AM3" i="1"/>
  <c r="AB125" i="9"/>
  <c r="AL3" i="12"/>
  <c r="AL3" i="10"/>
  <c r="AL3" i="3"/>
  <c r="AL3" i="9"/>
  <c r="AL3" i="6"/>
  <c r="AL3" i="5"/>
  <c r="AL3" i="4"/>
  <c r="AL3" i="2"/>
  <c r="V148" i="9"/>
  <c r="AO73" i="6"/>
  <c r="AO75" i="6" s="1"/>
  <c r="AN84" i="9"/>
  <c r="Z82" i="9" l="1"/>
  <c r="Z88" i="9" s="1"/>
  <c r="Z97" i="9" s="1"/>
  <c r="AA47" i="6"/>
  <c r="AA50" i="6" s="1"/>
  <c r="V8" i="14"/>
  <c r="V23" i="14"/>
  <c r="U8" i="14"/>
  <c r="U23" i="14"/>
  <c r="T12" i="14"/>
  <c r="T20" i="14" s="1"/>
  <c r="AM31" i="3"/>
  <c r="AK30" i="9"/>
  <c r="AK36" i="9" s="1"/>
  <c r="AL7" i="6"/>
  <c r="AL8" i="6" s="1"/>
  <c r="AL63" i="6" s="1"/>
  <c r="AM25" i="4"/>
  <c r="AM29" i="6" s="1"/>
  <c r="AJ34" i="6"/>
  <c r="AL29" i="6"/>
  <c r="AO82" i="3"/>
  <c r="AO84" i="3" s="1"/>
  <c r="AO24" i="3" s="1"/>
  <c r="AN78" i="3"/>
  <c r="AN80" i="3" s="1"/>
  <c r="AN23" i="3" s="1"/>
  <c r="AN87" i="4"/>
  <c r="AN89" i="4" s="1"/>
  <c r="AN13" i="4" s="1"/>
  <c r="AO37" i="2"/>
  <c r="AN92" i="4"/>
  <c r="AN94" i="4" s="1"/>
  <c r="AN14" i="4" s="1"/>
  <c r="W35" i="5"/>
  <c r="W78" i="5" s="1"/>
  <c r="AL30" i="6"/>
  <c r="AL27" i="9"/>
  <c r="AL28" i="9" s="1"/>
  <c r="X31" i="5"/>
  <c r="Y25" i="5"/>
  <c r="AK33" i="6"/>
  <c r="AK64" i="6" s="1"/>
  <c r="AJ36" i="9"/>
  <c r="AJ31" i="9"/>
  <c r="AT72" i="3"/>
  <c r="AT20" i="3" s="1"/>
  <c r="J50" i="11"/>
  <c r="AK9" i="6"/>
  <c r="AM9" i="12"/>
  <c r="AM153" i="4"/>
  <c r="AM155" i="4" s="1"/>
  <c r="AM32" i="4" s="1"/>
  <c r="AM46" i="4" s="1"/>
  <c r="AA11" i="6"/>
  <c r="AA12" i="6" s="1"/>
  <c r="AM8" i="9"/>
  <c r="AM10" i="9" s="1"/>
  <c r="AM7" i="6"/>
  <c r="W114" i="9"/>
  <c r="W120" i="9" s="1"/>
  <c r="W127" i="9" s="1"/>
  <c r="W135" i="9" s="1"/>
  <c r="W48" i="9"/>
  <c r="W50" i="9" s="1"/>
  <c r="AL19" i="9"/>
  <c r="AP45" i="2"/>
  <c r="AO112" i="4"/>
  <c r="AO114" i="4" s="1"/>
  <c r="AO18" i="4" s="1"/>
  <c r="AP94" i="3"/>
  <c r="AP96" i="3" s="1"/>
  <c r="AP27" i="3" s="1"/>
  <c r="AO107" i="4"/>
  <c r="AO109" i="4" s="1"/>
  <c r="AO17" i="4" s="1"/>
  <c r="AO119" i="4"/>
  <c r="AO19" i="4" s="1"/>
  <c r="AU74" i="3"/>
  <c r="AU76" i="3" s="1"/>
  <c r="AU21" i="3" s="1"/>
  <c r="AU64" i="3"/>
  <c r="AU66" i="3" s="1"/>
  <c r="AU19" i="3" s="1"/>
  <c r="AU69" i="3"/>
  <c r="AT72" i="4"/>
  <c r="AT74" i="4" s="1"/>
  <c r="AT10" i="4" s="1"/>
  <c r="AU82" i="4"/>
  <c r="AU84" i="4" s="1"/>
  <c r="AU12" i="4" s="1"/>
  <c r="AU33" i="2"/>
  <c r="BA98" i="3" s="1"/>
  <c r="BA100" i="3" s="1"/>
  <c r="BA22" i="3" s="1"/>
  <c r="AT7" i="12"/>
  <c r="AU70" i="3"/>
  <c r="U127" i="9"/>
  <c r="J120" i="11"/>
  <c r="T150" i="9"/>
  <c r="AE67" i="6"/>
  <c r="AG66" i="6"/>
  <c r="AO41" i="2"/>
  <c r="AU102" i="3" s="1"/>
  <c r="AU104" i="3" s="1"/>
  <c r="AU28" i="3" s="1"/>
  <c r="AN102" i="4"/>
  <c r="AN104" i="4" s="1"/>
  <c r="AN16" i="4" s="1"/>
  <c r="AO90" i="3"/>
  <c r="AO92" i="3" s="1"/>
  <c r="AO26" i="3" s="1"/>
  <c r="AN86" i="3"/>
  <c r="AN88" i="3" s="1"/>
  <c r="AN25" i="3" s="1"/>
  <c r="AN97" i="4"/>
  <c r="AN99" i="4" s="1"/>
  <c r="AN15" i="4" s="1"/>
  <c r="AN8" i="12"/>
  <c r="AP73" i="6"/>
  <c r="AP75" i="6" s="1"/>
  <c r="AO84" i="9"/>
  <c r="AM58" i="5"/>
  <c r="AM61" i="5" s="1"/>
  <c r="AL63" i="5"/>
  <c r="AM56" i="6"/>
  <c r="AM59" i="6" s="1"/>
  <c r="AP16" i="6"/>
  <c r="AP18" i="6" s="1"/>
  <c r="AO25" i="6"/>
  <c r="AO73" i="9" s="1"/>
  <c r="AO124" i="9" s="1"/>
  <c r="X47" i="5"/>
  <c r="X72" i="5"/>
  <c r="AR41" i="6"/>
  <c r="AR43" i="6" s="1"/>
  <c r="AQ81" i="9"/>
  <c r="AO39" i="5"/>
  <c r="AO42" i="5" s="1"/>
  <c r="AN45" i="5"/>
  <c r="AP9" i="5"/>
  <c r="AP12" i="5" s="1"/>
  <c r="AO15" i="5"/>
  <c r="AO53" i="5"/>
  <c r="AO56" i="5" s="1"/>
  <c r="AN59" i="5"/>
  <c r="AN2" i="12"/>
  <c r="AO2" i="1"/>
  <c r="AN2" i="10"/>
  <c r="AN2" i="9"/>
  <c r="AN2" i="6"/>
  <c r="AN2" i="5"/>
  <c r="AN2" i="4"/>
  <c r="AN2" i="2"/>
  <c r="AN2" i="3"/>
  <c r="AN3" i="1"/>
  <c r="AC80" i="9"/>
  <c r="AD35" i="6"/>
  <c r="AM3" i="12"/>
  <c r="AM3" i="2"/>
  <c r="AM3" i="3"/>
  <c r="AM3" i="6"/>
  <c r="AM3" i="5"/>
  <c r="AM3" i="4"/>
  <c r="AM3" i="9"/>
  <c r="AM3" i="10"/>
  <c r="AN14" i="5"/>
  <c r="AN17" i="5" s="1"/>
  <c r="AM19" i="5"/>
  <c r="AM67" i="9" s="1"/>
  <c r="AZ79" i="6"/>
  <c r="AZ81" i="6" s="1"/>
  <c r="AY95" i="9"/>
  <c r="AB47" i="6" l="1"/>
  <c r="AB50" i="6" s="1"/>
  <c r="AA82" i="9"/>
  <c r="AA88" i="9" s="1"/>
  <c r="AA97" i="9" s="1"/>
  <c r="W6" i="14"/>
  <c r="T29" i="14"/>
  <c r="T30" i="14" s="1"/>
  <c r="T33" i="14" s="1"/>
  <c r="T34" i="14" s="1"/>
  <c r="T53" i="9" s="1"/>
  <c r="T21" i="14"/>
  <c r="U18" i="14" s="1"/>
  <c r="U25" i="14"/>
  <c r="U19" i="14" s="1"/>
  <c r="U24" i="14"/>
  <c r="V24" i="14"/>
  <c r="V25" i="14"/>
  <c r="V19" i="14" s="1"/>
  <c r="AK31" i="9"/>
  <c r="AN31" i="3"/>
  <c r="AN8" i="9" s="1"/>
  <c r="AN10" i="9" s="1"/>
  <c r="AM13" i="9"/>
  <c r="AM17" i="9" s="1"/>
  <c r="AM19" i="9" s="1"/>
  <c r="AL32" i="6"/>
  <c r="AL33" i="6" s="1"/>
  <c r="AL64" i="6" s="1"/>
  <c r="AK34" i="6"/>
  <c r="AP82" i="3"/>
  <c r="AP84" i="3" s="1"/>
  <c r="AP24" i="3" s="1"/>
  <c r="AP37" i="2"/>
  <c r="AO92" i="4"/>
  <c r="AO94" i="4" s="1"/>
  <c r="AO14" i="4" s="1"/>
  <c r="AO78" i="3"/>
  <c r="AO80" i="3" s="1"/>
  <c r="AO23" i="3" s="1"/>
  <c r="AO87" i="4"/>
  <c r="AO89" i="4" s="1"/>
  <c r="AO13" i="4" s="1"/>
  <c r="AN25" i="4"/>
  <c r="T74" i="9"/>
  <c r="T75" i="9" s="1"/>
  <c r="T77" i="9" s="1"/>
  <c r="U149" i="9"/>
  <c r="AU72" i="3"/>
  <c r="AU20" i="3" s="1"/>
  <c r="AL30" i="9"/>
  <c r="AL20" i="9"/>
  <c r="AA72" i="9"/>
  <c r="AA123" i="9" s="1"/>
  <c r="AB10" i="6"/>
  <c r="Y28" i="5"/>
  <c r="Y67" i="5"/>
  <c r="Y70" i="5" s="1"/>
  <c r="U135" i="9"/>
  <c r="J127" i="11"/>
  <c r="X73" i="5"/>
  <c r="X39" i="9" s="1"/>
  <c r="X33" i="5"/>
  <c r="AO86" i="3"/>
  <c r="AO88" i="3" s="1"/>
  <c r="AO25" i="3" s="1"/>
  <c r="AP41" i="2"/>
  <c r="AV102" i="3" s="1"/>
  <c r="AV104" i="3" s="1"/>
  <c r="AV28" i="3" s="1"/>
  <c r="AO102" i="4"/>
  <c r="AO104" i="4" s="1"/>
  <c r="AO16" i="4" s="1"/>
  <c r="AP90" i="3"/>
  <c r="AP92" i="3" s="1"/>
  <c r="AP26" i="3" s="1"/>
  <c r="AO97" i="4"/>
  <c r="AO99" i="4" s="1"/>
  <c r="AO15" i="4" s="1"/>
  <c r="AO8" i="12"/>
  <c r="AM27" i="9"/>
  <c r="AM28" i="9" s="1"/>
  <c r="AM30" i="6"/>
  <c r="AM32" i="6" s="1"/>
  <c r="AV33" i="2"/>
  <c r="BB98" i="3" s="1"/>
  <c r="BB100" i="3" s="1"/>
  <c r="BB22" i="3" s="1"/>
  <c r="AU72" i="4"/>
  <c r="AU74" i="4" s="1"/>
  <c r="AU10" i="4" s="1"/>
  <c r="AV64" i="3"/>
  <c r="AV66" i="3" s="1"/>
  <c r="AV19" i="3" s="1"/>
  <c r="AV69" i="3"/>
  <c r="AV74" i="3"/>
  <c r="AV76" i="3" s="1"/>
  <c r="AV21" i="3" s="1"/>
  <c r="AV82" i="4"/>
  <c r="AV84" i="4" s="1"/>
  <c r="AV12" i="4" s="1"/>
  <c r="AV70" i="3"/>
  <c r="AU7" i="12"/>
  <c r="AM8" i="6"/>
  <c r="AM63" i="6" s="1"/>
  <c r="AL9" i="6"/>
  <c r="AF62" i="6"/>
  <c r="AF65" i="6" s="1"/>
  <c r="AF67" i="6" s="1"/>
  <c r="AE69" i="6"/>
  <c r="AE83" i="9" s="1"/>
  <c r="AE126" i="9" s="1"/>
  <c r="AN153" i="4"/>
  <c r="AN155" i="4" s="1"/>
  <c r="AN32" i="4" s="1"/>
  <c r="AN46" i="4" s="1"/>
  <c r="AN9" i="12"/>
  <c r="AP119" i="4"/>
  <c r="AP19" i="4" s="1"/>
  <c r="AP112" i="4"/>
  <c r="AP114" i="4" s="1"/>
  <c r="AP18" i="4" s="1"/>
  <c r="AQ45" i="2"/>
  <c r="AP107" i="4"/>
  <c r="AP109" i="4" s="1"/>
  <c r="AP17" i="4" s="1"/>
  <c r="AQ94" i="3"/>
  <c r="AQ96" i="3" s="1"/>
  <c r="AQ27" i="3" s="1"/>
  <c r="AN3" i="12"/>
  <c r="AN3" i="4"/>
  <c r="AN3" i="3"/>
  <c r="AN3" i="6"/>
  <c r="AN3" i="5"/>
  <c r="AN3" i="2"/>
  <c r="AN3" i="9"/>
  <c r="AN3" i="10"/>
  <c r="AO2" i="12"/>
  <c r="AP2" i="1"/>
  <c r="AO2" i="10"/>
  <c r="AO2" i="6"/>
  <c r="AO2" i="5"/>
  <c r="AO2" i="4"/>
  <c r="AO2" i="2"/>
  <c r="AO2" i="3"/>
  <c r="AO2" i="9"/>
  <c r="AO3" i="1"/>
  <c r="AO14" i="5"/>
  <c r="AO17" i="5" s="1"/>
  <c r="AN19" i="5"/>
  <c r="AN67" i="9" s="1"/>
  <c r="AD36" i="6"/>
  <c r="AD37" i="6" s="1"/>
  <c r="AQ9" i="5"/>
  <c r="AQ12" i="5" s="1"/>
  <c r="AP15" i="5"/>
  <c r="AC125" i="9"/>
  <c r="AP39" i="5"/>
  <c r="AP42" i="5" s="1"/>
  <c r="AO45" i="5"/>
  <c r="AQ16" i="6"/>
  <c r="AQ18" i="6" s="1"/>
  <c r="AP25" i="6"/>
  <c r="AP73" i="9" s="1"/>
  <c r="AP124" i="9" s="1"/>
  <c r="AP53" i="5"/>
  <c r="AP56" i="5" s="1"/>
  <c r="AO59" i="5"/>
  <c r="Y44" i="5"/>
  <c r="X49" i="5"/>
  <c r="AN56" i="6"/>
  <c r="AN59" i="6" s="1"/>
  <c r="AP84" i="9"/>
  <c r="AQ73" i="6"/>
  <c r="AQ75" i="6" s="1"/>
  <c r="W148" i="9"/>
  <c r="AN58" i="5"/>
  <c r="AN61" i="5" s="1"/>
  <c r="AM63" i="5"/>
  <c r="BA79" i="6"/>
  <c r="BA81" i="6" s="1"/>
  <c r="AZ95" i="9"/>
  <c r="AS41" i="6"/>
  <c r="AS43" i="6" s="1"/>
  <c r="AR81" i="9"/>
  <c r="AB82" i="9" l="1"/>
  <c r="AB88" i="9" s="1"/>
  <c r="AB97" i="9" s="1"/>
  <c r="AC47" i="6"/>
  <c r="AC50" i="6" s="1"/>
  <c r="T55" i="9"/>
  <c r="V10" i="14"/>
  <c r="V28" i="14"/>
  <c r="U10" i="14"/>
  <c r="U28" i="14"/>
  <c r="U11" i="14"/>
  <c r="U12" i="14" s="1"/>
  <c r="U20" i="14" s="1"/>
  <c r="U29" i="14" s="1"/>
  <c r="U30" i="14" s="1"/>
  <c r="U33" i="14" s="1"/>
  <c r="U34" i="14" s="1"/>
  <c r="U53" i="9" s="1"/>
  <c r="U55" i="9" s="1"/>
  <c r="U59" i="9" s="1"/>
  <c r="U21" i="14"/>
  <c r="V18" i="14" s="1"/>
  <c r="W8" i="14"/>
  <c r="W23" i="14"/>
  <c r="AN7" i="6"/>
  <c r="T99" i="9"/>
  <c r="AL34" i="6"/>
  <c r="X75" i="5"/>
  <c r="X77" i="5" s="1"/>
  <c r="X68" i="9" s="1"/>
  <c r="X69" i="9" s="1"/>
  <c r="AO31" i="3"/>
  <c r="AO7" i="6" s="1"/>
  <c r="AQ37" i="2"/>
  <c r="AP87" i="4"/>
  <c r="AP89" i="4" s="1"/>
  <c r="AP13" i="4" s="1"/>
  <c r="AQ82" i="3"/>
  <c r="AQ84" i="3" s="1"/>
  <c r="AQ24" i="3" s="1"/>
  <c r="AP92" i="4"/>
  <c r="AP94" i="4" s="1"/>
  <c r="AP14" i="4" s="1"/>
  <c r="AP78" i="3"/>
  <c r="AP80" i="3" s="1"/>
  <c r="AP23" i="3" s="1"/>
  <c r="AQ112" i="4"/>
  <c r="AQ114" i="4" s="1"/>
  <c r="AQ18" i="4" s="1"/>
  <c r="AR45" i="2"/>
  <c r="AQ107" i="4"/>
  <c r="AQ109" i="4" s="1"/>
  <c r="AQ17" i="4" s="1"/>
  <c r="AQ119" i="4"/>
  <c r="AQ19" i="4" s="1"/>
  <c r="AR94" i="3"/>
  <c r="AR96" i="3" s="1"/>
  <c r="AR27" i="3" s="1"/>
  <c r="AG62" i="6"/>
  <c r="AG65" i="6" s="1"/>
  <c r="AG67" i="6" s="1"/>
  <c r="AF69" i="6"/>
  <c r="AF83" i="9" s="1"/>
  <c r="AF126" i="9" s="1"/>
  <c r="AO9" i="12"/>
  <c r="AO153" i="4"/>
  <c r="AO155" i="4" s="1"/>
  <c r="AO32" i="4" s="1"/>
  <c r="AO46" i="4" s="1"/>
  <c r="Y30" i="5"/>
  <c r="Y72" i="5" s="1"/>
  <c r="X35" i="5"/>
  <c r="AV72" i="3"/>
  <c r="AV20" i="3" s="1"/>
  <c r="AO25" i="4"/>
  <c r="X117" i="9"/>
  <c r="X40" i="9"/>
  <c r="X42" i="9" s="1"/>
  <c r="AL31" i="9"/>
  <c r="AL36" i="9"/>
  <c r="AM9" i="6"/>
  <c r="U148" i="9"/>
  <c r="J135" i="11"/>
  <c r="AN30" i="6"/>
  <c r="AN27" i="9"/>
  <c r="AN28" i="9" s="1"/>
  <c r="AW70" i="3"/>
  <c r="AW82" i="4"/>
  <c r="AW84" i="4" s="1"/>
  <c r="AW12" i="4" s="1"/>
  <c r="AW69" i="3"/>
  <c r="AW74" i="3"/>
  <c r="AW76" i="3" s="1"/>
  <c r="AW21" i="3" s="1"/>
  <c r="AW33" i="2"/>
  <c r="BC98" i="3" s="1"/>
  <c r="BC100" i="3" s="1"/>
  <c r="BC22" i="3" s="1"/>
  <c r="AW64" i="3"/>
  <c r="AW66" i="3" s="1"/>
  <c r="AW19" i="3" s="1"/>
  <c r="AV72" i="4"/>
  <c r="AV74" i="4" s="1"/>
  <c r="AV10" i="4" s="1"/>
  <c r="AV7" i="12"/>
  <c r="AP86" i="3"/>
  <c r="AP88" i="3" s="1"/>
  <c r="AP25" i="3" s="1"/>
  <c r="AP102" i="4"/>
  <c r="AP104" i="4" s="1"/>
  <c r="AP16" i="4" s="1"/>
  <c r="AQ90" i="3"/>
  <c r="AQ92" i="3" s="1"/>
  <c r="AQ26" i="3" s="1"/>
  <c r="AQ41" i="2"/>
  <c r="AW102" i="3" s="1"/>
  <c r="AW104" i="3" s="1"/>
  <c r="AW28" i="3" s="1"/>
  <c r="AP97" i="4"/>
  <c r="AP99" i="4" s="1"/>
  <c r="AP15" i="4" s="1"/>
  <c r="AP8" i="12"/>
  <c r="AM33" i="6"/>
  <c r="AM64" i="6" s="1"/>
  <c r="Z25" i="5"/>
  <c r="Y31" i="5"/>
  <c r="Y73" i="5" s="1"/>
  <c r="Y39" i="9" s="1"/>
  <c r="AN13" i="9"/>
  <c r="AN17" i="9" s="1"/>
  <c r="AN19" i="9" s="1"/>
  <c r="AN29" i="6"/>
  <c r="AM30" i="9"/>
  <c r="AM20" i="9"/>
  <c r="AB11" i="6"/>
  <c r="AB12" i="6" s="1"/>
  <c r="AN8" i="6"/>
  <c r="AN63" i="6" s="1"/>
  <c r="AO56" i="6"/>
  <c r="AO59" i="6" s="1"/>
  <c r="AQ53" i="5"/>
  <c r="AQ56" i="5" s="1"/>
  <c r="AP59" i="5"/>
  <c r="AQ39" i="5"/>
  <c r="AQ42" i="5" s="1"/>
  <c r="AP45" i="5"/>
  <c r="BB79" i="6"/>
  <c r="BB81" i="6" s="1"/>
  <c r="BA95" i="9"/>
  <c r="AP14" i="5"/>
  <c r="AP17" i="5" s="1"/>
  <c r="AO19" i="5"/>
  <c r="AO67" i="9" s="1"/>
  <c r="AT41" i="6"/>
  <c r="AT43" i="6" s="1"/>
  <c r="AS81" i="9"/>
  <c r="Y47" i="5"/>
  <c r="AO3" i="12"/>
  <c r="AO3" i="10"/>
  <c r="AO3" i="6"/>
  <c r="AO3" i="5"/>
  <c r="AO3" i="2"/>
  <c r="AO3" i="4"/>
  <c r="AO3" i="9"/>
  <c r="AO3" i="3"/>
  <c r="AP2" i="12"/>
  <c r="AP2" i="10"/>
  <c r="AQ2" i="1"/>
  <c r="AP2" i="6"/>
  <c r="AP2" i="5"/>
  <c r="AP2" i="4"/>
  <c r="AP2" i="2"/>
  <c r="AP2" i="3"/>
  <c r="AP2" i="9"/>
  <c r="AP3" i="1"/>
  <c r="AR16" i="6"/>
  <c r="AR18" i="6" s="1"/>
  <c r="AQ25" i="6"/>
  <c r="AQ73" i="9" s="1"/>
  <c r="AQ124" i="9" s="1"/>
  <c r="AO58" i="5"/>
  <c r="AO61" i="5" s="1"/>
  <c r="AN63" i="5"/>
  <c r="AQ84" i="9"/>
  <c r="AR73" i="6"/>
  <c r="AR75" i="6" s="1"/>
  <c r="AR9" i="5"/>
  <c r="AR12" i="5" s="1"/>
  <c r="AQ15" i="5"/>
  <c r="AD80" i="9"/>
  <c r="AE35" i="6"/>
  <c r="AD47" i="6" l="1"/>
  <c r="AD50" i="6" s="1"/>
  <c r="AC82" i="9"/>
  <c r="AC88" i="9" s="1"/>
  <c r="AC97" i="9" s="1"/>
  <c r="J53" i="11"/>
  <c r="T59" i="9"/>
  <c r="J55" i="11"/>
  <c r="W24" i="14"/>
  <c r="W25" i="14"/>
  <c r="W19" i="14" s="1"/>
  <c r="V11" i="14"/>
  <c r="V12" i="14" s="1"/>
  <c r="V20" i="14" s="1"/>
  <c r="V29" i="14" s="1"/>
  <c r="V30" i="14" s="1"/>
  <c r="V33" i="14" s="1"/>
  <c r="V34" i="14" s="1"/>
  <c r="V53" i="9" s="1"/>
  <c r="V55" i="9" s="1"/>
  <c r="V59" i="9" s="1"/>
  <c r="AO8" i="9"/>
  <c r="AO10" i="9" s="1"/>
  <c r="X78" i="5"/>
  <c r="AP31" i="3"/>
  <c r="AP8" i="9" s="1"/>
  <c r="AP25" i="4"/>
  <c r="AP13" i="9" s="1"/>
  <c r="AP17" i="9" s="1"/>
  <c r="AN9" i="6"/>
  <c r="AN32" i="6"/>
  <c r="AN33" i="6" s="1"/>
  <c r="AN64" i="6" s="1"/>
  <c r="AM34" i="6"/>
  <c r="AW72" i="3"/>
  <c r="AW20" i="3" s="1"/>
  <c r="AQ87" i="4"/>
  <c r="AQ89" i="4" s="1"/>
  <c r="AQ13" i="4" s="1"/>
  <c r="AR37" i="2"/>
  <c r="AR82" i="3"/>
  <c r="AR84" i="3" s="1"/>
  <c r="AR24" i="3" s="1"/>
  <c r="AQ78" i="3"/>
  <c r="AQ80" i="3" s="1"/>
  <c r="AQ23" i="3" s="1"/>
  <c r="AQ92" i="4"/>
  <c r="AQ94" i="4" s="1"/>
  <c r="AQ14" i="4" s="1"/>
  <c r="AC10" i="6"/>
  <c r="AB72" i="9"/>
  <c r="AB123" i="9" s="1"/>
  <c r="Y75" i="5"/>
  <c r="Y77" i="5" s="1"/>
  <c r="Y68" i="9" s="1"/>
  <c r="Y69" i="9" s="1"/>
  <c r="AN30" i="9"/>
  <c r="AN20" i="9"/>
  <c r="AP153" i="4"/>
  <c r="AP155" i="4" s="1"/>
  <c r="AP32" i="4" s="1"/>
  <c r="AP46" i="4" s="1"/>
  <c r="AP9" i="12"/>
  <c r="X48" i="9"/>
  <c r="X50" i="9" s="1"/>
  <c r="X114" i="9"/>
  <c r="X120" i="9" s="1"/>
  <c r="X127" i="9" s="1"/>
  <c r="X135" i="9" s="1"/>
  <c r="X148" i="9" s="1"/>
  <c r="Y117" i="9"/>
  <c r="Y40" i="9"/>
  <c r="Y42" i="9" s="1"/>
  <c r="AX82" i="4"/>
  <c r="AX84" i="4" s="1"/>
  <c r="AX12" i="4" s="1"/>
  <c r="AX33" i="2"/>
  <c r="BD98" i="3" s="1"/>
  <c r="BD100" i="3" s="1"/>
  <c r="BD22" i="3" s="1"/>
  <c r="AX70" i="3"/>
  <c r="AW72" i="4"/>
  <c r="AW74" i="4" s="1"/>
  <c r="AW10" i="4" s="1"/>
  <c r="AW7" i="12"/>
  <c r="AX64" i="3"/>
  <c r="AX66" i="3" s="1"/>
  <c r="AX19" i="3" s="1"/>
  <c r="AX74" i="3"/>
  <c r="AX76" i="3" s="1"/>
  <c r="AX21" i="3" s="1"/>
  <c r="AX69" i="3"/>
  <c r="AH62" i="6"/>
  <c r="AH65" i="6" s="1"/>
  <c r="AG69" i="6"/>
  <c r="AG83" i="9" s="1"/>
  <c r="Z67" i="5"/>
  <c r="Z70" i="5" s="1"/>
  <c r="Z28" i="5"/>
  <c r="AQ102" i="4"/>
  <c r="AQ104" i="4" s="1"/>
  <c r="AQ16" i="4" s="1"/>
  <c r="AQ97" i="4"/>
  <c r="AQ99" i="4" s="1"/>
  <c r="AQ15" i="4" s="1"/>
  <c r="AR90" i="3"/>
  <c r="AR92" i="3" s="1"/>
  <c r="AR26" i="3" s="1"/>
  <c r="AR41" i="2"/>
  <c r="AX102" i="3" s="1"/>
  <c r="AX104" i="3" s="1"/>
  <c r="AX28" i="3" s="1"/>
  <c r="AQ86" i="3"/>
  <c r="AQ88" i="3" s="1"/>
  <c r="AQ25" i="3" s="1"/>
  <c r="AQ8" i="12"/>
  <c r="U150" i="9"/>
  <c r="J148" i="11"/>
  <c r="C20" i="13" s="1"/>
  <c r="AO13" i="9"/>
  <c r="AO29" i="6"/>
  <c r="AO8" i="6"/>
  <c r="AO63" i="6" s="1"/>
  <c r="AM31" i="9"/>
  <c r="AM36" i="9"/>
  <c r="Y33" i="5"/>
  <c r="AR119" i="4"/>
  <c r="AR19" i="4" s="1"/>
  <c r="AS94" i="3"/>
  <c r="AS96" i="3" s="1"/>
  <c r="AS27" i="3" s="1"/>
  <c r="AR112" i="4"/>
  <c r="AR114" i="4" s="1"/>
  <c r="AR18" i="4" s="1"/>
  <c r="AR107" i="4"/>
  <c r="AR109" i="4" s="1"/>
  <c r="AR17" i="4" s="1"/>
  <c r="AS45" i="2"/>
  <c r="AO30" i="6"/>
  <c r="AO27" i="9"/>
  <c r="AO28" i="9" s="1"/>
  <c r="AS9" i="5"/>
  <c r="AS12" i="5" s="1"/>
  <c r="AR15" i="5"/>
  <c r="AD125" i="9"/>
  <c r="AS73" i="6"/>
  <c r="AS75" i="6" s="1"/>
  <c r="AR84" i="9"/>
  <c r="AQ14" i="5"/>
  <c r="AQ17" i="5" s="1"/>
  <c r="AP19" i="5"/>
  <c r="AP67" i="9" s="1"/>
  <c r="AE36" i="6"/>
  <c r="AE37" i="6" s="1"/>
  <c r="AQ45" i="5"/>
  <c r="AR39" i="5"/>
  <c r="AR42" i="5" s="1"/>
  <c r="AQ2" i="12"/>
  <c r="AR2" i="1"/>
  <c r="AQ2" i="10"/>
  <c r="AQ2" i="6"/>
  <c r="AQ2" i="5"/>
  <c r="AQ2" i="4"/>
  <c r="AQ2" i="2"/>
  <c r="AQ2" i="3"/>
  <c r="AQ2" i="9"/>
  <c r="AQ3" i="1"/>
  <c r="AP3" i="12"/>
  <c r="AP3" i="2"/>
  <c r="AP3" i="5"/>
  <c r="AP3" i="4"/>
  <c r="AP3" i="3"/>
  <c r="AP3" i="9"/>
  <c r="AP3" i="10"/>
  <c r="AP3" i="6"/>
  <c r="AQ59" i="5"/>
  <c r="AR53" i="5"/>
  <c r="AR56" i="5" s="1"/>
  <c r="AP58" i="5"/>
  <c r="AP61" i="5" s="1"/>
  <c r="AO63" i="5"/>
  <c r="AS16" i="6"/>
  <c r="AS18" i="6" s="1"/>
  <c r="AR25" i="6"/>
  <c r="AR73" i="9" s="1"/>
  <c r="AR124" i="9" s="1"/>
  <c r="L81" i="11"/>
  <c r="Z44" i="5"/>
  <c r="Y49" i="5"/>
  <c r="AU41" i="6"/>
  <c r="AU43" i="6" s="1"/>
  <c r="AT81" i="9"/>
  <c r="BC79" i="6"/>
  <c r="BC81" i="6" s="1"/>
  <c r="BB95" i="9"/>
  <c r="AP56" i="6"/>
  <c r="AP59" i="6" s="1"/>
  <c r="AD82" i="9" l="1"/>
  <c r="AD88" i="9" s="1"/>
  <c r="AD97" i="9" s="1"/>
  <c r="AE47" i="6"/>
  <c r="AE50" i="6" s="1"/>
  <c r="T61" i="9"/>
  <c r="J59" i="11"/>
  <c r="J61" i="11" s="1"/>
  <c r="K58" i="11" s="1"/>
  <c r="K61" i="11" s="1"/>
  <c r="L58" i="11" s="1"/>
  <c r="L61" i="11" s="1"/>
  <c r="V21" i="14"/>
  <c r="W18" i="14" s="1"/>
  <c r="X6" i="14"/>
  <c r="W10" i="14"/>
  <c r="W28" i="14"/>
  <c r="AP29" i="6"/>
  <c r="AQ31" i="3"/>
  <c r="AQ7" i="6" s="1"/>
  <c r="AP7" i="6"/>
  <c r="AP8" i="6" s="1"/>
  <c r="AP63" i="6" s="1"/>
  <c r="AO32" i="6"/>
  <c r="AR78" i="3"/>
  <c r="AR80" i="3" s="1"/>
  <c r="AR23" i="3" s="1"/>
  <c r="AR87" i="4"/>
  <c r="AR89" i="4" s="1"/>
  <c r="AR13" i="4" s="1"/>
  <c r="AS82" i="3"/>
  <c r="AS84" i="3" s="1"/>
  <c r="AS24" i="3" s="1"/>
  <c r="AS37" i="2"/>
  <c r="AR92" i="4"/>
  <c r="AR94" i="4" s="1"/>
  <c r="AR14" i="4" s="1"/>
  <c r="AQ25" i="4"/>
  <c r="AQ29" i="6" s="1"/>
  <c r="AP10" i="9"/>
  <c r="J150" i="11"/>
  <c r="V149" i="9"/>
  <c r="U74" i="9"/>
  <c r="AT94" i="3"/>
  <c r="AT96" i="3" s="1"/>
  <c r="AT27" i="3" s="1"/>
  <c r="AS107" i="4"/>
  <c r="AS109" i="4" s="1"/>
  <c r="AS17" i="4" s="1"/>
  <c r="AS119" i="4"/>
  <c r="AS19" i="4" s="1"/>
  <c r="AT45" i="2"/>
  <c r="AS112" i="4"/>
  <c r="AS114" i="4" s="1"/>
  <c r="AS18" i="4" s="1"/>
  <c r="AQ153" i="4"/>
  <c r="AQ155" i="4" s="1"/>
  <c r="AQ32" i="4" s="1"/>
  <c r="AQ46" i="4" s="1"/>
  <c r="AQ9" i="12"/>
  <c r="K83" i="11"/>
  <c r="AG126" i="9"/>
  <c r="K126" i="11" s="1"/>
  <c r="AY64" i="3"/>
  <c r="AY66" i="3" s="1"/>
  <c r="AY19" i="3" s="1"/>
  <c r="AY33" i="2"/>
  <c r="BE98" i="3" s="1"/>
  <c r="BE100" i="3" s="1"/>
  <c r="BE22" i="3" s="1"/>
  <c r="AY74" i="3"/>
  <c r="AY76" i="3" s="1"/>
  <c r="AY21" i="3" s="1"/>
  <c r="AY82" i="4"/>
  <c r="AY84" i="4" s="1"/>
  <c r="AY12" i="4" s="1"/>
  <c r="AY69" i="3"/>
  <c r="AY70" i="3"/>
  <c r="AX7" i="12"/>
  <c r="AX72" i="4"/>
  <c r="AX74" i="4" s="1"/>
  <c r="AX10" i="4" s="1"/>
  <c r="AO33" i="6"/>
  <c r="AO64" i="6" s="1"/>
  <c r="AJ66" i="6"/>
  <c r="AH67" i="6"/>
  <c r="AP30" i="6"/>
  <c r="AP27" i="9"/>
  <c r="AP28" i="9" s="1"/>
  <c r="AO9" i="6"/>
  <c r="AR102" i="4"/>
  <c r="AR104" i="4" s="1"/>
  <c r="AR16" i="4" s="1"/>
  <c r="AS90" i="3"/>
  <c r="AS92" i="3" s="1"/>
  <c r="AS26" i="3" s="1"/>
  <c r="AR97" i="4"/>
  <c r="AR99" i="4" s="1"/>
  <c r="AR15" i="4" s="1"/>
  <c r="AR86" i="3"/>
  <c r="AR88" i="3" s="1"/>
  <c r="AR25" i="3" s="1"/>
  <c r="AS41" i="2"/>
  <c r="AY102" i="3" s="1"/>
  <c r="AY104" i="3" s="1"/>
  <c r="AY28" i="3" s="1"/>
  <c r="AR8" i="12"/>
  <c r="AX72" i="3"/>
  <c r="AX20" i="3" s="1"/>
  <c r="AN31" i="9"/>
  <c r="AN36" i="9"/>
  <c r="Y114" i="9"/>
  <c r="Y120" i="9" s="1"/>
  <c r="Y127" i="9" s="1"/>
  <c r="Y135" i="9" s="1"/>
  <c r="Y48" i="9"/>
  <c r="Y50" i="9" s="1"/>
  <c r="AN34" i="6"/>
  <c r="Z30" i="5"/>
  <c r="Y35" i="5"/>
  <c r="Y78" i="5" s="1"/>
  <c r="AO17" i="9"/>
  <c r="AO19" i="9" s="1"/>
  <c r="AO20" i="9" s="1"/>
  <c r="AA25" i="5"/>
  <c r="Z31" i="5"/>
  <c r="Z73" i="5" s="1"/>
  <c r="Z39" i="9" s="1"/>
  <c r="AC11" i="6"/>
  <c r="AC12" i="6" s="1"/>
  <c r="AT9" i="5"/>
  <c r="AT12" i="5" s="1"/>
  <c r="AS15" i="5"/>
  <c r="AR14" i="5"/>
  <c r="AR17" i="5" s="1"/>
  <c r="AQ19" i="5"/>
  <c r="AQ67" i="9" s="1"/>
  <c r="AQ3" i="12"/>
  <c r="AQ3" i="10"/>
  <c r="AQ3" i="6"/>
  <c r="AQ3" i="5"/>
  <c r="AQ3" i="4"/>
  <c r="AQ3" i="2"/>
  <c r="AQ3" i="3"/>
  <c r="AQ3" i="9"/>
  <c r="AR2" i="12"/>
  <c r="AS2" i="1"/>
  <c r="AR2" i="10"/>
  <c r="AR2" i="9"/>
  <c r="AR2" i="6"/>
  <c r="AR2" i="3"/>
  <c r="AR3" i="1"/>
  <c r="AR2" i="2"/>
  <c r="AR2" i="4"/>
  <c r="AR2" i="5"/>
  <c r="AQ56" i="6"/>
  <c r="AQ59" i="6" s="1"/>
  <c r="AQ58" i="5"/>
  <c r="AQ61" i="5" s="1"/>
  <c r="AP63" i="5"/>
  <c r="AS39" i="5"/>
  <c r="AS42" i="5" s="1"/>
  <c r="AR45" i="5"/>
  <c r="BC95" i="9"/>
  <c r="BD79" i="6"/>
  <c r="BD81" i="6" s="1"/>
  <c r="AT16" i="6"/>
  <c r="AT18" i="6" s="1"/>
  <c r="AS25" i="6"/>
  <c r="AS73" i="9" s="1"/>
  <c r="AS53" i="5"/>
  <c r="AS56" i="5" s="1"/>
  <c r="AR59" i="5"/>
  <c r="AV41" i="6"/>
  <c r="AV43" i="6" s="1"/>
  <c r="AU81" i="9"/>
  <c r="AT73" i="6"/>
  <c r="AT75" i="6" s="1"/>
  <c r="AS84" i="9"/>
  <c r="L84" i="11" s="1"/>
  <c r="Z47" i="5"/>
  <c r="AF35" i="6"/>
  <c r="AE80" i="9"/>
  <c r="M58" i="11" l="1"/>
  <c r="M61" i="11" s="1"/>
  <c r="N58" i="11" s="1"/>
  <c r="N61" i="11" s="1"/>
  <c r="AE82" i="9"/>
  <c r="AF47" i="6"/>
  <c r="AF50" i="6" s="1"/>
  <c r="T103" i="9"/>
  <c r="T105" i="9" s="1"/>
  <c r="T107" i="9" s="1"/>
  <c r="U58" i="9"/>
  <c r="Y6" i="14"/>
  <c r="X8" i="14"/>
  <c r="X23" i="14"/>
  <c r="W11" i="14"/>
  <c r="W12" i="14" s="1"/>
  <c r="W20" i="14" s="1"/>
  <c r="W29" i="14" s="1"/>
  <c r="W30" i="14" s="1"/>
  <c r="W33" i="14" s="1"/>
  <c r="W34" i="14" s="1"/>
  <c r="W53" i="9" s="1"/>
  <c r="W55" i="9" s="1"/>
  <c r="W59" i="9" s="1"/>
  <c r="J151" i="11"/>
  <c r="C21" i="13"/>
  <c r="AP32" i="6"/>
  <c r="AP33" i="6" s="1"/>
  <c r="AP64" i="6" s="1"/>
  <c r="AQ8" i="9"/>
  <c r="AQ10" i="9" s="1"/>
  <c r="AR31" i="3"/>
  <c r="AR8" i="9" s="1"/>
  <c r="AR10" i="9" s="1"/>
  <c r="AQ13" i="9"/>
  <c r="AQ17" i="9" s="1"/>
  <c r="AP9" i="6"/>
  <c r="AR25" i="4"/>
  <c r="AR13" i="9" s="1"/>
  <c r="AS87" i="4"/>
  <c r="AS89" i="4" s="1"/>
  <c r="AS13" i="4" s="1"/>
  <c r="AT82" i="3"/>
  <c r="AT84" i="3" s="1"/>
  <c r="AT24" i="3" s="1"/>
  <c r="AS78" i="3"/>
  <c r="AS80" i="3" s="1"/>
  <c r="AS23" i="3" s="1"/>
  <c r="AT37" i="2"/>
  <c r="AS92" i="4"/>
  <c r="AS94" i="4" s="1"/>
  <c r="AS14" i="4" s="1"/>
  <c r="AC72" i="9"/>
  <c r="AC123" i="9" s="1"/>
  <c r="AD10" i="6"/>
  <c r="AR153" i="4"/>
  <c r="AR155" i="4" s="1"/>
  <c r="AR32" i="4" s="1"/>
  <c r="AR46" i="4" s="1"/>
  <c r="AR9" i="12"/>
  <c r="AS86" i="3"/>
  <c r="AS88" i="3" s="1"/>
  <c r="AS25" i="3" s="1"/>
  <c r="AS97" i="4"/>
  <c r="AS99" i="4" s="1"/>
  <c r="AS15" i="4" s="1"/>
  <c r="AS102" i="4"/>
  <c r="AS104" i="4" s="1"/>
  <c r="AS16" i="4" s="1"/>
  <c r="AT90" i="3"/>
  <c r="AT92" i="3" s="1"/>
  <c r="AT26" i="3" s="1"/>
  <c r="AT41" i="2"/>
  <c r="AZ102" i="3" s="1"/>
  <c r="AZ104" i="3" s="1"/>
  <c r="AZ28" i="3" s="1"/>
  <c r="AS8" i="12"/>
  <c r="AO30" i="9"/>
  <c r="AI62" i="6"/>
  <c r="AI65" i="6" s="1"/>
  <c r="AI67" i="6" s="1"/>
  <c r="AH69" i="6"/>
  <c r="AH83" i="9" s="1"/>
  <c r="AH126" i="9" s="1"/>
  <c r="J74" i="11"/>
  <c r="U75" i="9"/>
  <c r="AA67" i="5"/>
  <c r="AA70" i="5" s="1"/>
  <c r="AA28" i="5"/>
  <c r="Z33" i="5"/>
  <c r="AY72" i="3"/>
  <c r="AY20" i="3" s="1"/>
  <c r="AQ27" i="9"/>
  <c r="AQ28" i="9" s="1"/>
  <c r="AQ30" i="6"/>
  <c r="AQ32" i="6" s="1"/>
  <c r="K149" i="11"/>
  <c r="V150" i="9"/>
  <c r="Z117" i="9"/>
  <c r="Z40" i="9"/>
  <c r="Z42" i="9" s="1"/>
  <c r="Z72" i="5"/>
  <c r="Z75" i="5" s="1"/>
  <c r="Z77" i="5" s="1"/>
  <c r="Z68" i="9" s="1"/>
  <c r="Z69" i="9" s="1"/>
  <c r="AQ8" i="6"/>
  <c r="AQ63" i="6" s="1"/>
  <c r="AU45" i="2"/>
  <c r="AU94" i="3"/>
  <c r="AU96" i="3" s="1"/>
  <c r="AU27" i="3" s="1"/>
  <c r="AT112" i="4"/>
  <c r="AT114" i="4" s="1"/>
  <c r="AT18" i="4" s="1"/>
  <c r="AT107" i="4"/>
  <c r="AT109" i="4" s="1"/>
  <c r="AT17" i="4" s="1"/>
  <c r="AT119" i="4"/>
  <c r="AT19" i="4" s="1"/>
  <c r="AO34" i="6"/>
  <c r="AZ70" i="3"/>
  <c r="AZ74" i="3"/>
  <c r="AZ76" i="3" s="1"/>
  <c r="AZ21" i="3" s="1"/>
  <c r="AY72" i="4"/>
  <c r="AY74" i="4" s="1"/>
  <c r="AY10" i="4" s="1"/>
  <c r="AZ33" i="2"/>
  <c r="BF98" i="3" s="1"/>
  <c r="BF100" i="3" s="1"/>
  <c r="BF22" i="3" s="1"/>
  <c r="AZ69" i="3"/>
  <c r="AZ64" i="3"/>
  <c r="AZ66" i="3" s="1"/>
  <c r="AZ19" i="3" s="1"/>
  <c r="AY7" i="12"/>
  <c r="AZ82" i="4"/>
  <c r="AZ84" i="4" s="1"/>
  <c r="AZ12" i="4" s="1"/>
  <c r="AP19" i="9"/>
  <c r="AS2" i="12"/>
  <c r="AT2" i="1"/>
  <c r="AS2" i="10"/>
  <c r="AS2" i="9"/>
  <c r="AS2" i="6"/>
  <c r="AS2" i="3"/>
  <c r="AS2" i="2"/>
  <c r="AS2" i="4"/>
  <c r="AS2" i="5"/>
  <c r="AS3" i="1"/>
  <c r="AS14" i="5"/>
  <c r="AS17" i="5" s="1"/>
  <c r="AR19" i="5"/>
  <c r="AR67" i="9" s="1"/>
  <c r="AR56" i="6"/>
  <c r="AR59" i="6" s="1"/>
  <c r="AE125" i="9"/>
  <c r="AE88" i="9"/>
  <c r="AE97" i="9" s="1"/>
  <c r="AT53" i="5"/>
  <c r="AT56" i="5" s="1"/>
  <c r="AS59" i="5"/>
  <c r="AT39" i="5"/>
  <c r="AT42" i="5" s="1"/>
  <c r="AS45" i="5"/>
  <c r="AS124" i="9"/>
  <c r="L124" i="11" s="1"/>
  <c r="L73" i="11"/>
  <c r="Y148" i="9"/>
  <c r="AU16" i="6"/>
  <c r="AU18" i="6" s="1"/>
  <c r="AT25" i="6"/>
  <c r="AT73" i="9" s="1"/>
  <c r="AT124" i="9" s="1"/>
  <c r="AR58" i="5"/>
  <c r="AR61" i="5" s="1"/>
  <c r="AQ63" i="5"/>
  <c r="AR3" i="12"/>
  <c r="AR3" i="2"/>
  <c r="AR3" i="5"/>
  <c r="AR3" i="4"/>
  <c r="AR3" i="3"/>
  <c r="AR3" i="9"/>
  <c r="AR3" i="10"/>
  <c r="AR3" i="6"/>
  <c r="AU9" i="5"/>
  <c r="AU12" i="5" s="1"/>
  <c r="AT15" i="5"/>
  <c r="AF36" i="6"/>
  <c r="AF37" i="6" s="1"/>
  <c r="AA44" i="5"/>
  <c r="Z49" i="5"/>
  <c r="BD95" i="9"/>
  <c r="BE79" i="6"/>
  <c r="BE81" i="6" s="1"/>
  <c r="BE95" i="9" s="1"/>
  <c r="M95" i="11" s="1"/>
  <c r="AU73" i="6"/>
  <c r="AU75" i="6" s="1"/>
  <c r="AT84" i="9"/>
  <c r="AW41" i="6"/>
  <c r="AW43" i="6" s="1"/>
  <c r="AV81" i="9"/>
  <c r="AG47" i="6" l="1"/>
  <c r="AG50" i="6" s="1"/>
  <c r="AF82" i="9"/>
  <c r="U61" i="9"/>
  <c r="W21" i="14"/>
  <c r="X18" i="14" s="1"/>
  <c r="X11" i="14" s="1"/>
  <c r="X24" i="14"/>
  <c r="X25" i="14"/>
  <c r="X19" i="14" s="1"/>
  <c r="Y8" i="14"/>
  <c r="Y23" i="14"/>
  <c r="AQ19" i="9"/>
  <c r="AQ20" i="9" s="1"/>
  <c r="AR7" i="6"/>
  <c r="AR8" i="6" s="1"/>
  <c r="AR63" i="6" s="1"/>
  <c r="AR29" i="6"/>
  <c r="AZ72" i="3"/>
  <c r="AZ20" i="3" s="1"/>
  <c r="AT92" i="4"/>
  <c r="AT94" i="4" s="1"/>
  <c r="AT14" i="4" s="1"/>
  <c r="AU37" i="2"/>
  <c r="AT87" i="4"/>
  <c r="AT89" i="4" s="1"/>
  <c r="AT13" i="4" s="1"/>
  <c r="AT78" i="3"/>
  <c r="AT80" i="3" s="1"/>
  <c r="AT23" i="3" s="1"/>
  <c r="AU82" i="3"/>
  <c r="AU84" i="3" s="1"/>
  <c r="AU24" i="3" s="1"/>
  <c r="AS25" i="4"/>
  <c r="AS13" i="9" s="1"/>
  <c r="AS31" i="3"/>
  <c r="AS7" i="6" s="1"/>
  <c r="AQ33" i="6"/>
  <c r="AQ64" i="6" s="1"/>
  <c r="AO36" i="9"/>
  <c r="AO31" i="9"/>
  <c r="AP34" i="6"/>
  <c r="AZ72" i="4"/>
  <c r="AZ74" i="4" s="1"/>
  <c r="AZ10" i="4" s="1"/>
  <c r="BA82" i="4"/>
  <c r="BA84" i="4" s="1"/>
  <c r="BA12" i="4" s="1"/>
  <c r="BA64" i="3"/>
  <c r="BA66" i="3" s="1"/>
  <c r="BA19" i="3" s="1"/>
  <c r="BA70" i="3"/>
  <c r="BA74" i="3"/>
  <c r="BA76" i="3" s="1"/>
  <c r="BA21" i="3" s="1"/>
  <c r="BA33" i="2"/>
  <c r="BG98" i="3" s="1"/>
  <c r="BG100" i="3" s="1"/>
  <c r="BG22" i="3" s="1"/>
  <c r="AZ7" i="12"/>
  <c r="BA69" i="3"/>
  <c r="J75" i="11"/>
  <c r="U77" i="9"/>
  <c r="Z48" i="9"/>
  <c r="Z50" i="9" s="1"/>
  <c r="Z114" i="9"/>
  <c r="Z120" i="9" s="1"/>
  <c r="Z127" i="9" s="1"/>
  <c r="Z135" i="9" s="1"/>
  <c r="AR17" i="9"/>
  <c r="AR19" i="9" s="1"/>
  <c r="AS153" i="4"/>
  <c r="AS155" i="4" s="1"/>
  <c r="AS32" i="4" s="1"/>
  <c r="AS46" i="4" s="1"/>
  <c r="AS9" i="12"/>
  <c r="AV45" i="2"/>
  <c r="AU119" i="4"/>
  <c r="AU19" i="4" s="1"/>
  <c r="AV94" i="3"/>
  <c r="AV96" i="3" s="1"/>
  <c r="AV27" i="3" s="1"/>
  <c r="AU112" i="4"/>
  <c r="AU114" i="4" s="1"/>
  <c r="AU18" i="4" s="1"/>
  <c r="AU107" i="4"/>
  <c r="AU109" i="4" s="1"/>
  <c r="AU17" i="4" s="1"/>
  <c r="AT86" i="3"/>
  <c r="AT88" i="3" s="1"/>
  <c r="AT25" i="3" s="1"/>
  <c r="AU41" i="2"/>
  <c r="BA102" i="3" s="1"/>
  <c r="BA104" i="3" s="1"/>
  <c r="BA28" i="3" s="1"/>
  <c r="AU90" i="3"/>
  <c r="AU92" i="3" s="1"/>
  <c r="AU26" i="3" s="1"/>
  <c r="AT97" i="4"/>
  <c r="AT99" i="4" s="1"/>
  <c r="AT15" i="4" s="1"/>
  <c r="AT102" i="4"/>
  <c r="AT104" i="4" s="1"/>
  <c r="AT16" i="4" s="1"/>
  <c r="AT8" i="12"/>
  <c r="AR30" i="6"/>
  <c r="AR27" i="9"/>
  <c r="AR28" i="9" s="1"/>
  <c r="AP30" i="9"/>
  <c r="AP20" i="9"/>
  <c r="W149" i="9"/>
  <c r="W150" i="9" s="1"/>
  <c r="V74" i="9"/>
  <c r="V75" i="9" s="1"/>
  <c r="V77" i="9" s="1"/>
  <c r="V99" i="9" s="1"/>
  <c r="AA30" i="5"/>
  <c r="AA72" i="5" s="1"/>
  <c r="Z35" i="5"/>
  <c r="Z78" i="5" s="1"/>
  <c r="AJ62" i="6"/>
  <c r="AJ65" i="6" s="1"/>
  <c r="AJ67" i="6" s="1"/>
  <c r="AI69" i="6"/>
  <c r="AI83" i="9" s="1"/>
  <c r="AI126" i="9" s="1"/>
  <c r="AD11" i="6"/>
  <c r="AD12" i="6" s="1"/>
  <c r="AQ9" i="6"/>
  <c r="AA31" i="5"/>
  <c r="AA73" i="5" s="1"/>
  <c r="AA39" i="9" s="1"/>
  <c r="AB25" i="5"/>
  <c r="AA47" i="5"/>
  <c r="AG35" i="6"/>
  <c r="AF80" i="9"/>
  <c r="AS58" i="5"/>
  <c r="AS61" i="5" s="1"/>
  <c r="AR63" i="5"/>
  <c r="AU39" i="5"/>
  <c r="AU42" i="5" s="1"/>
  <c r="AT45" i="5"/>
  <c r="AS56" i="6"/>
  <c r="AS59" i="6" s="1"/>
  <c r="AT14" i="5"/>
  <c r="AT17" i="5" s="1"/>
  <c r="AS19" i="5"/>
  <c r="AS67" i="9" s="1"/>
  <c r="AV73" i="6"/>
  <c r="AV75" i="6" s="1"/>
  <c r="AU84" i="9"/>
  <c r="AV16" i="6"/>
  <c r="AV18" i="6" s="1"/>
  <c r="AU25" i="6"/>
  <c r="AU73" i="9" s="1"/>
  <c r="AU124" i="9" s="1"/>
  <c r="AS3" i="12"/>
  <c r="AS3" i="5"/>
  <c r="AS3" i="4"/>
  <c r="AS3" i="2"/>
  <c r="AS3" i="6"/>
  <c r="AS3" i="3"/>
  <c r="AS3" i="9"/>
  <c r="AS3" i="10"/>
  <c r="AT2" i="12"/>
  <c r="AT2" i="10"/>
  <c r="AU2" i="1"/>
  <c r="AT2" i="9"/>
  <c r="AT2" i="6"/>
  <c r="AT2" i="5"/>
  <c r="AT2" i="4"/>
  <c r="AT2" i="2"/>
  <c r="AT2" i="3"/>
  <c r="AT3" i="1"/>
  <c r="AU53" i="5"/>
  <c r="AU56" i="5" s="1"/>
  <c r="AT59" i="5"/>
  <c r="AU15" i="5"/>
  <c r="AV9" i="5"/>
  <c r="AV12" i="5" s="1"/>
  <c r="AW81" i="9"/>
  <c r="AX41" i="6"/>
  <c r="AX43" i="6" s="1"/>
  <c r="AP49" i="6" l="1"/>
  <c r="AP134" i="9" s="1"/>
  <c r="L134" i="11" s="1"/>
  <c r="AG82" i="9"/>
  <c r="K82" i="11" s="1"/>
  <c r="AH47" i="6"/>
  <c r="AH50" i="6" s="1"/>
  <c r="V58" i="9"/>
  <c r="V61" i="9" s="1"/>
  <c r="U103" i="9"/>
  <c r="Y24" i="14"/>
  <c r="Y25" i="14"/>
  <c r="Y19" i="14" s="1"/>
  <c r="Z6" i="14"/>
  <c r="X28" i="14"/>
  <c r="X10" i="14"/>
  <c r="X12" i="14"/>
  <c r="X20" i="14" s="1"/>
  <c r="X29" i="14" s="1"/>
  <c r="X30" i="14" s="1"/>
  <c r="X33" i="14" s="1"/>
  <c r="X34" i="14" s="1"/>
  <c r="X53" i="9" s="1"/>
  <c r="X55" i="9" s="1"/>
  <c r="X59" i="9" s="1"/>
  <c r="AQ30" i="9"/>
  <c r="AT31" i="3"/>
  <c r="AT8" i="9" s="1"/>
  <c r="AT10" i="9" s="1"/>
  <c r="AR32" i="6"/>
  <c r="AR33" i="6" s="1"/>
  <c r="AR64" i="6" s="1"/>
  <c r="AQ34" i="6"/>
  <c r="AA75" i="5"/>
  <c r="AA77" i="5" s="1"/>
  <c r="AA68" i="9" s="1"/>
  <c r="AA69" i="9" s="1"/>
  <c r="AS29" i="6"/>
  <c r="BA72" i="3"/>
  <c r="BA20" i="3" s="1"/>
  <c r="AS17" i="9"/>
  <c r="L17" i="11" s="1"/>
  <c r="L13" i="11"/>
  <c r="AR9" i="6"/>
  <c r="AT25" i="4"/>
  <c r="AT13" i="9" s="1"/>
  <c r="AT17" i="9" s="1"/>
  <c r="AV82" i="3"/>
  <c r="AV84" i="3" s="1"/>
  <c r="AV24" i="3" s="1"/>
  <c r="AU92" i="4"/>
  <c r="AU94" i="4" s="1"/>
  <c r="AU14" i="4" s="1"/>
  <c r="AU87" i="4"/>
  <c r="AU89" i="4" s="1"/>
  <c r="AU13" i="4" s="1"/>
  <c r="AU78" i="3"/>
  <c r="AU80" i="3" s="1"/>
  <c r="AU23" i="3" s="1"/>
  <c r="AV37" i="2"/>
  <c r="AS8" i="9"/>
  <c r="AS10" i="9" s="1"/>
  <c r="AU86" i="3"/>
  <c r="AU88" i="3" s="1"/>
  <c r="AU25" i="3" s="1"/>
  <c r="AV41" i="2"/>
  <c r="BB102" i="3" s="1"/>
  <c r="BB104" i="3" s="1"/>
  <c r="BB28" i="3" s="1"/>
  <c r="AV90" i="3"/>
  <c r="AV92" i="3" s="1"/>
  <c r="AV26" i="3" s="1"/>
  <c r="AU97" i="4"/>
  <c r="AU99" i="4" s="1"/>
  <c r="AU15" i="4" s="1"/>
  <c r="AU102" i="4"/>
  <c r="AU104" i="4" s="1"/>
  <c r="AU16" i="4" s="1"/>
  <c r="AU8" i="12"/>
  <c r="AE10" i="6"/>
  <c r="AE11" i="6" s="1"/>
  <c r="AE12" i="6" s="1"/>
  <c r="AD72" i="9"/>
  <c r="AD123" i="9" s="1"/>
  <c r="AP36" i="9"/>
  <c r="AP31" i="9"/>
  <c r="AS30" i="6"/>
  <c r="AS27" i="9"/>
  <c r="AS28" i="9" s="1"/>
  <c r="L28" i="11" s="1"/>
  <c r="E15" i="13" s="1"/>
  <c r="BA7" i="12"/>
  <c r="BB82" i="4"/>
  <c r="BB84" i="4" s="1"/>
  <c r="BB12" i="4" s="1"/>
  <c r="BB69" i="3"/>
  <c r="BB33" i="2"/>
  <c r="BH98" i="3" s="1"/>
  <c r="BH100" i="3" s="1"/>
  <c r="BH22" i="3" s="1"/>
  <c r="BB70" i="3"/>
  <c r="BA72" i="4"/>
  <c r="BA74" i="4" s="1"/>
  <c r="BA10" i="4" s="1"/>
  <c r="BB74" i="3"/>
  <c r="BB76" i="3" s="1"/>
  <c r="BB21" i="3" s="1"/>
  <c r="BB64" i="3"/>
  <c r="BB66" i="3" s="1"/>
  <c r="BB19" i="3" s="1"/>
  <c r="AK62" i="6"/>
  <c r="AK65" i="6" s="1"/>
  <c r="AJ69" i="6"/>
  <c r="AJ83" i="9" s="1"/>
  <c r="AJ126" i="9" s="1"/>
  <c r="AR20" i="9"/>
  <c r="AR30" i="9"/>
  <c r="AT153" i="4"/>
  <c r="AT155" i="4" s="1"/>
  <c r="AT32" i="4" s="1"/>
  <c r="AT46" i="4" s="1"/>
  <c r="AT9" i="12"/>
  <c r="U99" i="9"/>
  <c r="J77" i="11"/>
  <c r="AB28" i="5"/>
  <c r="AB67" i="5"/>
  <c r="AB70" i="5" s="1"/>
  <c r="AA33" i="5"/>
  <c r="AA117" i="9"/>
  <c r="AA40" i="9"/>
  <c r="AA42" i="9" s="1"/>
  <c r="AW94" i="3"/>
  <c r="AW96" i="3" s="1"/>
  <c r="AW27" i="3" s="1"/>
  <c r="AV107" i="4"/>
  <c r="AV109" i="4" s="1"/>
  <c r="AV17" i="4" s="1"/>
  <c r="AV119" i="4"/>
  <c r="AV19" i="4" s="1"/>
  <c r="AV112" i="4"/>
  <c r="AV114" i="4" s="1"/>
  <c r="AV18" i="4" s="1"/>
  <c r="AW45" i="2"/>
  <c r="X149" i="9"/>
  <c r="X150" i="9" s="1"/>
  <c r="W74" i="9"/>
  <c r="W75" i="9" s="1"/>
  <c r="W77" i="9" s="1"/>
  <c r="W99" i="9" s="1"/>
  <c r="AS8" i="6"/>
  <c r="AS63" i="6" s="1"/>
  <c r="AU2" i="12"/>
  <c r="AU2" i="10"/>
  <c r="AV2" i="1"/>
  <c r="AU2" i="9"/>
  <c r="AU2" i="6"/>
  <c r="AU2" i="5"/>
  <c r="AU2" i="4"/>
  <c r="AU2" i="2"/>
  <c r="AU2" i="3"/>
  <c r="AU3" i="1"/>
  <c r="AW73" i="6"/>
  <c r="AW75" i="6" s="1"/>
  <c r="AV84" i="9"/>
  <c r="AU45" i="5"/>
  <c r="AV39" i="5"/>
  <c r="AV42" i="5" s="1"/>
  <c r="Z148" i="9"/>
  <c r="AT3" i="12"/>
  <c r="AT3" i="2"/>
  <c r="AT3" i="3"/>
  <c r="AT3" i="9"/>
  <c r="AT3" i="10"/>
  <c r="AT3" i="6"/>
  <c r="AT3" i="5"/>
  <c r="AT3" i="4"/>
  <c r="AX81" i="9"/>
  <c r="AY41" i="6"/>
  <c r="AY43" i="6" s="1"/>
  <c r="AU59" i="5"/>
  <c r="AV53" i="5"/>
  <c r="AV56" i="5" s="1"/>
  <c r="AT58" i="5"/>
  <c r="AT61" i="5" s="1"/>
  <c r="AS63" i="5"/>
  <c r="AB44" i="5"/>
  <c r="AA49" i="5"/>
  <c r="AF125" i="9"/>
  <c r="AF88" i="9"/>
  <c r="AF97" i="9" s="1"/>
  <c r="AW16" i="6"/>
  <c r="AW18" i="6" s="1"/>
  <c r="AV25" i="6"/>
  <c r="AV73" i="9" s="1"/>
  <c r="AV124" i="9" s="1"/>
  <c r="AG36" i="6"/>
  <c r="AG37" i="6" s="1"/>
  <c r="L67" i="11"/>
  <c r="AT56" i="6"/>
  <c r="AT59" i="6" s="1"/>
  <c r="AU14" i="5"/>
  <c r="AU17" i="5" s="1"/>
  <c r="AT19" i="5"/>
  <c r="AT67" i="9" s="1"/>
  <c r="AV15" i="5"/>
  <c r="AW9" i="5"/>
  <c r="AW12" i="5" s="1"/>
  <c r="AI47" i="6" l="1"/>
  <c r="AI50" i="6" s="1"/>
  <c r="AH82" i="9"/>
  <c r="J103" i="11"/>
  <c r="U105" i="9"/>
  <c r="J105" i="11" s="1"/>
  <c r="V103" i="9"/>
  <c r="V105" i="9" s="1"/>
  <c r="V107" i="9" s="1"/>
  <c r="W58" i="9"/>
  <c r="W61" i="9" s="1"/>
  <c r="Z8" i="14"/>
  <c r="Z23" i="14"/>
  <c r="Y10" i="14"/>
  <c r="Y28" i="14"/>
  <c r="X21" i="14"/>
  <c r="Y18" i="14" s="1"/>
  <c r="AT7" i="6"/>
  <c r="AT8" i="6" s="1"/>
  <c r="AT63" i="6" s="1"/>
  <c r="AQ36" i="9"/>
  <c r="AQ31" i="9"/>
  <c r="L8" i="11"/>
  <c r="E9" i="13" s="1"/>
  <c r="E10" i="13" s="1"/>
  <c r="AT29" i="6"/>
  <c r="AS32" i="6"/>
  <c r="AS33" i="6" s="1"/>
  <c r="AS64" i="6" s="1"/>
  <c r="L27" i="11"/>
  <c r="AT19" i="9"/>
  <c r="AT20" i="9" s="1"/>
  <c r="AU31" i="3"/>
  <c r="AU7" i="6" s="1"/>
  <c r="AR34" i="6"/>
  <c r="AW82" i="3"/>
  <c r="AW84" i="3" s="1"/>
  <c r="AW24" i="3" s="1"/>
  <c r="AV78" i="3"/>
  <c r="AV80" i="3" s="1"/>
  <c r="AV23" i="3" s="1"/>
  <c r="AW37" i="2"/>
  <c r="AV87" i="4"/>
  <c r="AV89" i="4" s="1"/>
  <c r="AV13" i="4" s="1"/>
  <c r="AV92" i="4"/>
  <c r="AV94" i="4" s="1"/>
  <c r="AV14" i="4" s="1"/>
  <c r="AX94" i="3"/>
  <c r="AX96" i="3" s="1"/>
  <c r="AX27" i="3" s="1"/>
  <c r="AW107" i="4"/>
  <c r="AW109" i="4" s="1"/>
  <c r="AW17" i="4" s="1"/>
  <c r="AX45" i="2"/>
  <c r="AW112" i="4"/>
  <c r="AW114" i="4" s="1"/>
  <c r="AW18" i="4" s="1"/>
  <c r="AW119" i="4"/>
  <c r="AW19" i="4" s="1"/>
  <c r="AT30" i="6"/>
  <c r="AT32" i="6" s="1"/>
  <c r="AT27" i="9"/>
  <c r="AT28" i="9" s="1"/>
  <c r="AR36" i="9"/>
  <c r="AR31" i="9"/>
  <c r="AU153" i="4"/>
  <c r="AU155" i="4" s="1"/>
  <c r="AU32" i="4" s="1"/>
  <c r="AU46" i="4" s="1"/>
  <c r="AU9" i="12"/>
  <c r="BB72" i="4"/>
  <c r="BB74" i="4" s="1"/>
  <c r="BB10" i="4" s="1"/>
  <c r="BC64" i="3"/>
  <c r="BC66" i="3" s="1"/>
  <c r="BC19" i="3" s="1"/>
  <c r="BC74" i="3"/>
  <c r="BC76" i="3" s="1"/>
  <c r="BC21" i="3" s="1"/>
  <c r="BB7" i="12"/>
  <c r="BC70" i="3"/>
  <c r="BC33" i="2"/>
  <c r="BI98" i="3" s="1"/>
  <c r="BI100" i="3" s="1"/>
  <c r="BI22" i="3" s="1"/>
  <c r="BC69" i="3"/>
  <c r="BC82" i="4"/>
  <c r="BC84" i="4" s="1"/>
  <c r="BC12" i="4" s="1"/>
  <c r="AS9" i="6"/>
  <c r="AB30" i="5"/>
  <c r="AB72" i="5" s="1"/>
  <c r="AA35" i="5"/>
  <c r="AA78" i="5" s="1"/>
  <c r="BB72" i="3"/>
  <c r="BB20" i="3" s="1"/>
  <c r="AU25" i="4"/>
  <c r="AM66" i="6"/>
  <c r="AK67" i="6"/>
  <c r="AB31" i="5"/>
  <c r="AB73" i="5" s="1"/>
  <c r="AB39" i="9" s="1"/>
  <c r="AC25" i="5"/>
  <c r="AV86" i="3"/>
  <c r="AV88" i="3" s="1"/>
  <c r="AV25" i="3" s="1"/>
  <c r="AV102" i="4"/>
  <c r="AV104" i="4" s="1"/>
  <c r="AV16" i="4" s="1"/>
  <c r="AW41" i="2"/>
  <c r="BC102" i="3" s="1"/>
  <c r="BC104" i="3" s="1"/>
  <c r="BC28" i="3" s="1"/>
  <c r="AW90" i="3"/>
  <c r="AW92" i="3" s="1"/>
  <c r="AW26" i="3" s="1"/>
  <c r="AV97" i="4"/>
  <c r="AV99" i="4" s="1"/>
  <c r="AV15" i="4" s="1"/>
  <c r="AV8" i="12"/>
  <c r="X74" i="9"/>
  <c r="X75" i="9" s="1"/>
  <c r="X77" i="9" s="1"/>
  <c r="X99" i="9" s="1"/>
  <c r="Y149" i="9"/>
  <c r="Y150" i="9" s="1"/>
  <c r="J99" i="11"/>
  <c r="J107" i="11" s="1"/>
  <c r="U107" i="9"/>
  <c r="AE72" i="9"/>
  <c r="AE123" i="9" s="1"/>
  <c r="AF10" i="6"/>
  <c r="AS19" i="9"/>
  <c r="L10" i="11"/>
  <c r="L19" i="11" s="1"/>
  <c r="AA114" i="9"/>
  <c r="AA120" i="9" s="1"/>
  <c r="AA127" i="9" s="1"/>
  <c r="AA135" i="9" s="1"/>
  <c r="AA148" i="9" s="1"/>
  <c r="AA48" i="9"/>
  <c r="AA50" i="9" s="1"/>
  <c r="AW53" i="5"/>
  <c r="AW56" i="5" s="1"/>
  <c r="AV59" i="5"/>
  <c r="AB47" i="5"/>
  <c r="AX9" i="5"/>
  <c r="AX12" i="5" s="1"/>
  <c r="AW15" i="5"/>
  <c r="AV14" i="5"/>
  <c r="AV17" i="5" s="1"/>
  <c r="AU19" i="5"/>
  <c r="AU67" i="9" s="1"/>
  <c r="AX16" i="6"/>
  <c r="AX18" i="6" s="1"/>
  <c r="AW25" i="6"/>
  <c r="AW73" i="9" s="1"/>
  <c r="AW124" i="9" s="1"/>
  <c r="AW39" i="5"/>
  <c r="AW42" i="5" s="1"/>
  <c r="AV45" i="5"/>
  <c r="AU58" i="5"/>
  <c r="AU61" i="5" s="1"/>
  <c r="AT63" i="5"/>
  <c r="AZ41" i="6"/>
  <c r="AZ43" i="6" s="1"/>
  <c r="AY81" i="9"/>
  <c r="AX73" i="6"/>
  <c r="AX75" i="6" s="1"/>
  <c r="AW84" i="9"/>
  <c r="AV2" i="12"/>
  <c r="AW2" i="1"/>
  <c r="AV2" i="10"/>
  <c r="AV2" i="9"/>
  <c r="AV2" i="6"/>
  <c r="AV2" i="5"/>
  <c r="AV2" i="4"/>
  <c r="AV2" i="2"/>
  <c r="AV2" i="3"/>
  <c r="AV3" i="1"/>
  <c r="AG80" i="9"/>
  <c r="AH35" i="6"/>
  <c r="AU56" i="6"/>
  <c r="AU59" i="6" s="1"/>
  <c r="AU3" i="12"/>
  <c r="AU3" i="6"/>
  <c r="AU3" i="5"/>
  <c r="AU3" i="3"/>
  <c r="AU3" i="9"/>
  <c r="AU3" i="10"/>
  <c r="AU3" i="4"/>
  <c r="AU3" i="2"/>
  <c r="AI82" i="9" l="1"/>
  <c r="AJ47" i="6"/>
  <c r="AJ50" i="6" s="1"/>
  <c r="X58" i="9"/>
  <c r="X61" i="9" s="1"/>
  <c r="W103" i="9"/>
  <c r="W105" i="9" s="1"/>
  <c r="W107" i="9" s="1"/>
  <c r="Y11" i="14"/>
  <c r="Y12" i="14" s="1"/>
  <c r="Y20" i="14" s="1"/>
  <c r="Y29" i="14" s="1"/>
  <c r="Y30" i="14" s="1"/>
  <c r="Y33" i="14" s="1"/>
  <c r="Y34" i="14" s="1"/>
  <c r="Y53" i="9" s="1"/>
  <c r="Y55" i="9" s="1"/>
  <c r="Y59" i="9" s="1"/>
  <c r="AA6" i="14"/>
  <c r="Z25" i="14"/>
  <c r="Z19" i="14" s="1"/>
  <c r="L20" i="11"/>
  <c r="E13" i="13" s="1"/>
  <c r="E12" i="13"/>
  <c r="AU8" i="9"/>
  <c r="AU10" i="9" s="1"/>
  <c r="AT30" i="9"/>
  <c r="AT31" i="9" s="1"/>
  <c r="BC72" i="3"/>
  <c r="BC20" i="3" s="1"/>
  <c r="AT9" i="6"/>
  <c r="AV31" i="3"/>
  <c r="AV8" i="9" s="1"/>
  <c r="AV10" i="9" s="1"/>
  <c r="AB75" i="5"/>
  <c r="AB77" i="5" s="1"/>
  <c r="AB68" i="9" s="1"/>
  <c r="AB69" i="9" s="1"/>
  <c r="AX82" i="3"/>
  <c r="AX84" i="3" s="1"/>
  <c r="AX24" i="3" s="1"/>
  <c r="AW78" i="3"/>
  <c r="AW80" i="3" s="1"/>
  <c r="AW23" i="3" s="1"/>
  <c r="AW87" i="4"/>
  <c r="AW89" i="4" s="1"/>
  <c r="AW13" i="4" s="1"/>
  <c r="AW92" i="4"/>
  <c r="AW94" i="4" s="1"/>
  <c r="AW14" i="4" s="1"/>
  <c r="AX37" i="2"/>
  <c r="AV25" i="4"/>
  <c r="AV13" i="9" s="1"/>
  <c r="AV17" i="9" s="1"/>
  <c r="AS34" i="6"/>
  <c r="AC67" i="5"/>
  <c r="AC70" i="5" s="1"/>
  <c r="AC28" i="5"/>
  <c r="AB40" i="9"/>
  <c r="AB42" i="9" s="1"/>
  <c r="AB117" i="9"/>
  <c r="AW86" i="3"/>
  <c r="AW88" i="3" s="1"/>
  <c r="AW25" i="3" s="1"/>
  <c r="AX90" i="3"/>
  <c r="AX92" i="3" s="1"/>
  <c r="AX26" i="3" s="1"/>
  <c r="AW102" i="4"/>
  <c r="AW104" i="4" s="1"/>
  <c r="AW16" i="4" s="1"/>
  <c r="AX41" i="2"/>
  <c r="BD102" i="3" s="1"/>
  <c r="BD104" i="3" s="1"/>
  <c r="BD28" i="3" s="1"/>
  <c r="AW97" i="4"/>
  <c r="AW99" i="4" s="1"/>
  <c r="AW15" i="4" s="1"/>
  <c r="AW8" i="12"/>
  <c r="AT33" i="6"/>
  <c r="AT64" i="6" s="1"/>
  <c r="AU8" i="6"/>
  <c r="AU63" i="6" s="1"/>
  <c r="AL62" i="6"/>
  <c r="AL65" i="6" s="1"/>
  <c r="AL67" i="6" s="1"/>
  <c r="AK69" i="6"/>
  <c r="AK83" i="9" s="1"/>
  <c r="AK126" i="9" s="1"/>
  <c r="AU29" i="6"/>
  <c r="AU13" i="9"/>
  <c r="AU17" i="9" s="1"/>
  <c r="AU30" i="6"/>
  <c r="AU27" i="9"/>
  <c r="AU28" i="9" s="1"/>
  <c r="AS30" i="9"/>
  <c r="AS20" i="9"/>
  <c r="Y74" i="9"/>
  <c r="Y75" i="9" s="1"/>
  <c r="Y77" i="9" s="1"/>
  <c r="Y99" i="9" s="1"/>
  <c r="Z149" i="9"/>
  <c r="Z150" i="9" s="1"/>
  <c r="AA149" i="9" s="1"/>
  <c r="AA150" i="9" s="1"/>
  <c r="BD70" i="3"/>
  <c r="BD69" i="3"/>
  <c r="BD82" i="4"/>
  <c r="BD84" i="4" s="1"/>
  <c r="BD12" i="4" s="1"/>
  <c r="BC7" i="12"/>
  <c r="BD33" i="2"/>
  <c r="BJ98" i="3" s="1"/>
  <c r="BJ100" i="3" s="1"/>
  <c r="BJ22" i="3" s="1"/>
  <c r="BD64" i="3"/>
  <c r="BD66" i="3" s="1"/>
  <c r="BD19" i="3" s="1"/>
  <c r="BD74" i="3"/>
  <c r="BD76" i="3" s="1"/>
  <c r="BD21" i="3" s="1"/>
  <c r="BC72" i="4"/>
  <c r="BC74" i="4" s="1"/>
  <c r="BC10" i="4" s="1"/>
  <c r="AX119" i="4"/>
  <c r="AX19" i="4" s="1"/>
  <c r="AX112" i="4"/>
  <c r="AX114" i="4" s="1"/>
  <c r="AX18" i="4" s="1"/>
  <c r="AY94" i="3"/>
  <c r="AY96" i="3" s="1"/>
  <c r="AY27" i="3" s="1"/>
  <c r="AY45" i="2"/>
  <c r="AX107" i="4"/>
  <c r="AX109" i="4" s="1"/>
  <c r="AX17" i="4" s="1"/>
  <c r="AF11" i="6"/>
  <c r="AF12" i="6" s="1"/>
  <c r="AV153" i="4"/>
  <c r="AV155" i="4" s="1"/>
  <c r="AV32" i="4" s="1"/>
  <c r="AV46" i="4" s="1"/>
  <c r="AV9" i="12"/>
  <c r="AB33" i="5"/>
  <c r="AY73" i="6"/>
  <c r="AY75" i="6" s="1"/>
  <c r="AX84" i="9"/>
  <c r="AC44" i="5"/>
  <c r="AB49" i="5"/>
  <c r="AX39" i="5"/>
  <c r="AX42" i="5" s="1"/>
  <c r="AW45" i="5"/>
  <c r="AX53" i="5"/>
  <c r="AX56" i="5" s="1"/>
  <c r="AW59" i="5"/>
  <c r="BA41" i="6"/>
  <c r="BA43" i="6" s="1"/>
  <c r="AZ81" i="9"/>
  <c r="AV56" i="6"/>
  <c r="AV59" i="6" s="1"/>
  <c r="AH36" i="6"/>
  <c r="AH37" i="6" s="1"/>
  <c r="AV58" i="5"/>
  <c r="AV61" i="5" s="1"/>
  <c r="AU63" i="5"/>
  <c r="AW14" i="5"/>
  <c r="AW17" i="5" s="1"/>
  <c r="AV19" i="5"/>
  <c r="AV67" i="9" s="1"/>
  <c r="AG88" i="9"/>
  <c r="AG125" i="9"/>
  <c r="K125" i="11" s="1"/>
  <c r="K80" i="11"/>
  <c r="AV3" i="12"/>
  <c r="AV3" i="10"/>
  <c r="AV3" i="4"/>
  <c r="AV3" i="2"/>
  <c r="AV3" i="3"/>
  <c r="AV3" i="6"/>
  <c r="AV3" i="5"/>
  <c r="AV3" i="9"/>
  <c r="AY9" i="5"/>
  <c r="AY12" i="5" s="1"/>
  <c r="AX15" i="5"/>
  <c r="AW2" i="12"/>
  <c r="AX2" i="1"/>
  <c r="AW2" i="10"/>
  <c r="AW2" i="6"/>
  <c r="AW2" i="5"/>
  <c r="AW2" i="4"/>
  <c r="AW2" i="2"/>
  <c r="AW2" i="3"/>
  <c r="AW2" i="9"/>
  <c r="AW3" i="1"/>
  <c r="AY16" i="6"/>
  <c r="AY18" i="6" s="1"/>
  <c r="AX25" i="6"/>
  <c r="AX73" i="9" s="1"/>
  <c r="AX124" i="9" s="1"/>
  <c r="AJ82" i="9" l="1"/>
  <c r="AK47" i="6"/>
  <c r="AK50" i="6" s="1"/>
  <c r="Y21" i="14"/>
  <c r="Z18" i="14" s="1"/>
  <c r="X103" i="9"/>
  <c r="X105" i="9" s="1"/>
  <c r="X107" i="9" s="1"/>
  <c r="Y58" i="9"/>
  <c r="Y61" i="9" s="1"/>
  <c r="Z10" i="14"/>
  <c r="Z28" i="14"/>
  <c r="AA8" i="14"/>
  <c r="AA23" i="14"/>
  <c r="Z11" i="14"/>
  <c r="Z12" i="14" s="1"/>
  <c r="AT36" i="9"/>
  <c r="AU19" i="9"/>
  <c r="AU30" i="9" s="1"/>
  <c r="AV7" i="6"/>
  <c r="AV8" i="6" s="1"/>
  <c r="AV63" i="6" s="1"/>
  <c r="Z74" i="9"/>
  <c r="Z75" i="9" s="1"/>
  <c r="Z77" i="9" s="1"/>
  <c r="Z99" i="9" s="1"/>
  <c r="AW31" i="3"/>
  <c r="AW7" i="6" s="1"/>
  <c r="BD72" i="3"/>
  <c r="BD20" i="3" s="1"/>
  <c r="AT34" i="6"/>
  <c r="AX78" i="3"/>
  <c r="AX80" i="3" s="1"/>
  <c r="AX23" i="3" s="1"/>
  <c r="AX87" i="4"/>
  <c r="AX89" i="4" s="1"/>
  <c r="AX13" i="4" s="1"/>
  <c r="AY82" i="3"/>
  <c r="AY84" i="3" s="1"/>
  <c r="AY24" i="3" s="1"/>
  <c r="AY37" i="2"/>
  <c r="AX92" i="4"/>
  <c r="AX94" i="4" s="1"/>
  <c r="AX14" i="4" s="1"/>
  <c r="AU32" i="6"/>
  <c r="AU33" i="6" s="1"/>
  <c r="AU64" i="6" s="1"/>
  <c r="AV29" i="6"/>
  <c r="AF72" i="9"/>
  <c r="AF123" i="9" s="1"/>
  <c r="AG10" i="6"/>
  <c r="AG11" i="6" s="1"/>
  <c r="AG12" i="6" s="1"/>
  <c r="BE33" i="2"/>
  <c r="BE70" i="3"/>
  <c r="BE64" i="3"/>
  <c r="BE66" i="3" s="1"/>
  <c r="BE19" i="3" s="1"/>
  <c r="BE82" i="4"/>
  <c r="BE84" i="4" s="1"/>
  <c r="BE12" i="4" s="1"/>
  <c r="BE69" i="3"/>
  <c r="BD7" i="12"/>
  <c r="BD72" i="4"/>
  <c r="BD74" i="4" s="1"/>
  <c r="BD10" i="4" s="1"/>
  <c r="BE74" i="3"/>
  <c r="BE76" i="3" s="1"/>
  <c r="BE21" i="3" s="1"/>
  <c r="AS31" i="9"/>
  <c r="AS36" i="9"/>
  <c r="L36" i="11" s="1"/>
  <c r="L30" i="11"/>
  <c r="AW25" i="4"/>
  <c r="AY112" i="4"/>
  <c r="AY114" i="4" s="1"/>
  <c r="AY18" i="4" s="1"/>
  <c r="AY107" i="4"/>
  <c r="AY109" i="4" s="1"/>
  <c r="AY17" i="4" s="1"/>
  <c r="AZ94" i="3"/>
  <c r="AZ96" i="3" s="1"/>
  <c r="AZ27" i="3" s="1"/>
  <c r="AZ45" i="2"/>
  <c r="AY119" i="4"/>
  <c r="AY19" i="4" s="1"/>
  <c r="AX97" i="4"/>
  <c r="AX99" i="4" s="1"/>
  <c r="AX15" i="4" s="1"/>
  <c r="AX102" i="4"/>
  <c r="AX104" i="4" s="1"/>
  <c r="AX16" i="4" s="1"/>
  <c r="AX86" i="3"/>
  <c r="AX88" i="3" s="1"/>
  <c r="AX25" i="3" s="1"/>
  <c r="AY41" i="2"/>
  <c r="BE102" i="3" s="1"/>
  <c r="BE104" i="3" s="1"/>
  <c r="BE28" i="3" s="1"/>
  <c r="AY90" i="3"/>
  <c r="AY92" i="3" s="1"/>
  <c r="AY26" i="3" s="1"/>
  <c r="AX8" i="12"/>
  <c r="AC31" i="5"/>
  <c r="AC73" i="5" s="1"/>
  <c r="AC39" i="9" s="1"/>
  <c r="AD25" i="5"/>
  <c r="AM62" i="6"/>
  <c r="AM65" i="6" s="1"/>
  <c r="AM67" i="6" s="1"/>
  <c r="AL69" i="6"/>
  <c r="AL83" i="9" s="1"/>
  <c r="AL126" i="9" s="1"/>
  <c r="AU9" i="6"/>
  <c r="AV19" i="9"/>
  <c r="AC30" i="5"/>
  <c r="AB35" i="5"/>
  <c r="AB78" i="5" s="1"/>
  <c r="AV27" i="9"/>
  <c r="AV28" i="9" s="1"/>
  <c r="AV30" i="6"/>
  <c r="AB48" i="9"/>
  <c r="AB50" i="9" s="1"/>
  <c r="AB114" i="9"/>
  <c r="AB120" i="9" s="1"/>
  <c r="AB127" i="9" s="1"/>
  <c r="AB135" i="9" s="1"/>
  <c r="AB148" i="9" s="1"/>
  <c r="AW9" i="12"/>
  <c r="AW153" i="4"/>
  <c r="AW155" i="4" s="1"/>
  <c r="AW32" i="4" s="1"/>
  <c r="AW46" i="4" s="1"/>
  <c r="AI35" i="6"/>
  <c r="AH80" i="9"/>
  <c r="AX14" i="5"/>
  <c r="AX17" i="5" s="1"/>
  <c r="AW19" i="5"/>
  <c r="AW67" i="9" s="1"/>
  <c r="BB41" i="6"/>
  <c r="BB43" i="6" s="1"/>
  <c r="BA81" i="9"/>
  <c r="AW3" i="12"/>
  <c r="AW3" i="3"/>
  <c r="AW3" i="9"/>
  <c r="AW3" i="10"/>
  <c r="AW3" i="4"/>
  <c r="AW3" i="6"/>
  <c r="AW3" i="5"/>
  <c r="AW3" i="2"/>
  <c r="AY15" i="5"/>
  <c r="AZ9" i="5"/>
  <c r="AZ12" i="5" s="1"/>
  <c r="AY39" i="5"/>
  <c r="AY42" i="5" s="1"/>
  <c r="AX45" i="5"/>
  <c r="AY84" i="9"/>
  <c r="AZ73" i="6"/>
  <c r="AZ75" i="6" s="1"/>
  <c r="AC47" i="5"/>
  <c r="AX2" i="12"/>
  <c r="AX2" i="10"/>
  <c r="AY2" i="1"/>
  <c r="AX2" i="6"/>
  <c r="AX2" i="5"/>
  <c r="AX2" i="4"/>
  <c r="AX2" i="2"/>
  <c r="AX2" i="3"/>
  <c r="AX2" i="9"/>
  <c r="AX3" i="1"/>
  <c r="AY53" i="5"/>
  <c r="AY56" i="5" s="1"/>
  <c r="AX59" i="5"/>
  <c r="AG97" i="9"/>
  <c r="K97" i="11" s="1"/>
  <c r="K88" i="11"/>
  <c r="AW58" i="5"/>
  <c r="AW61" i="5" s="1"/>
  <c r="AV63" i="5"/>
  <c r="AW56" i="6"/>
  <c r="AW59" i="6" s="1"/>
  <c r="AZ16" i="6"/>
  <c r="AZ18" i="6" s="1"/>
  <c r="AY25" i="6"/>
  <c r="AY73" i="9" s="1"/>
  <c r="AY124" i="9" s="1"/>
  <c r="AA74" i="9"/>
  <c r="AA75" i="9" s="1"/>
  <c r="AA77" i="9" s="1"/>
  <c r="AA99" i="9" s="1"/>
  <c r="AB149" i="9"/>
  <c r="AK82" i="9" l="1"/>
  <c r="AL47" i="6"/>
  <c r="AL50" i="6" s="1"/>
  <c r="Z58" i="9"/>
  <c r="Y103" i="9"/>
  <c r="Y105" i="9" s="1"/>
  <c r="Y107" i="9" s="1"/>
  <c r="Z20" i="14"/>
  <c r="Z21" i="14" s="1"/>
  <c r="AA18" i="14" s="1"/>
  <c r="AB6" i="14"/>
  <c r="AA11" i="14"/>
  <c r="AA25" i="14"/>
  <c r="AA19" i="14" s="1"/>
  <c r="L31" i="11"/>
  <c r="E18" i="13" s="1"/>
  <c r="E17" i="13"/>
  <c r="BF69" i="3"/>
  <c r="BF33" i="2"/>
  <c r="BF64" i="3"/>
  <c r="BF66" i="3" s="1"/>
  <c r="BF19" i="3" s="1"/>
  <c r="BF74" i="3"/>
  <c r="BF76" i="3" s="1"/>
  <c r="BF21" i="3" s="1"/>
  <c r="BK98" i="3"/>
  <c r="BK100" i="3" s="1"/>
  <c r="BK22" i="3" s="1"/>
  <c r="BF82" i="4"/>
  <c r="BF84" i="4" s="1"/>
  <c r="BF12" i="4" s="1"/>
  <c r="BF70" i="3"/>
  <c r="AU20" i="9"/>
  <c r="AW8" i="9"/>
  <c r="AW10" i="9" s="1"/>
  <c r="AB150" i="9"/>
  <c r="AC149" i="9" s="1"/>
  <c r="AV32" i="6"/>
  <c r="AV33" i="6" s="1"/>
  <c r="AV64" i="6" s="1"/>
  <c r="AC33" i="5"/>
  <c r="AD30" i="5" s="1"/>
  <c r="AX31" i="3"/>
  <c r="AX7" i="6" s="1"/>
  <c r="AY78" i="3"/>
  <c r="AY80" i="3" s="1"/>
  <c r="AY23" i="3" s="1"/>
  <c r="AY87" i="4"/>
  <c r="AY89" i="4" s="1"/>
  <c r="AY13" i="4" s="1"/>
  <c r="AZ37" i="2"/>
  <c r="AZ82" i="3"/>
  <c r="AZ84" i="3" s="1"/>
  <c r="AZ24" i="3" s="1"/>
  <c r="AY92" i="4"/>
  <c r="AY94" i="4" s="1"/>
  <c r="AY14" i="4" s="1"/>
  <c r="AD67" i="5"/>
  <c r="AD70" i="5" s="1"/>
  <c r="AD28" i="5"/>
  <c r="AC72" i="5"/>
  <c r="AC75" i="5" s="1"/>
  <c r="AC77" i="5" s="1"/>
  <c r="AC68" i="9" s="1"/>
  <c r="AC69" i="9" s="1"/>
  <c r="AC117" i="9"/>
  <c r="AC40" i="9"/>
  <c r="AC42" i="9" s="1"/>
  <c r="AZ107" i="4"/>
  <c r="AZ109" i="4" s="1"/>
  <c r="AZ17" i="4" s="1"/>
  <c r="BA45" i="2"/>
  <c r="AZ119" i="4"/>
  <c r="AZ19" i="4" s="1"/>
  <c r="AZ112" i="4"/>
  <c r="AZ114" i="4" s="1"/>
  <c r="AZ18" i="4" s="1"/>
  <c r="BA94" i="3"/>
  <c r="BA96" i="3" s="1"/>
  <c r="BA27" i="3" s="1"/>
  <c r="AV20" i="9"/>
  <c r="AV30" i="9"/>
  <c r="BE7" i="12"/>
  <c r="BE72" i="4"/>
  <c r="BE74" i="4" s="1"/>
  <c r="BE10" i="4" s="1"/>
  <c r="AY86" i="3"/>
  <c r="AY88" i="3" s="1"/>
  <c r="AY25" i="3" s="1"/>
  <c r="AZ90" i="3"/>
  <c r="AZ92" i="3" s="1"/>
  <c r="AZ26" i="3" s="1"/>
  <c r="AY97" i="4"/>
  <c r="AY99" i="4" s="1"/>
  <c r="AY15" i="4" s="1"/>
  <c r="AY102" i="4"/>
  <c r="AY104" i="4" s="1"/>
  <c r="AY16" i="4" s="1"/>
  <c r="AZ41" i="2"/>
  <c r="BF102" i="3" s="1"/>
  <c r="BF104" i="3" s="1"/>
  <c r="BF28" i="3" s="1"/>
  <c r="AY8" i="12"/>
  <c r="AG72" i="9"/>
  <c r="AH10" i="6"/>
  <c r="AW27" i="9"/>
  <c r="AW28" i="9" s="1"/>
  <c r="AW30" i="6"/>
  <c r="AW8" i="6"/>
  <c r="AW63" i="6" s="1"/>
  <c r="AN62" i="6"/>
  <c r="AN65" i="6" s="1"/>
  <c r="AM69" i="6"/>
  <c r="AM83" i="9" s="1"/>
  <c r="AM126" i="9" s="1"/>
  <c r="AW13" i="9"/>
  <c r="AW17" i="9" s="1"/>
  <c r="AW29" i="6"/>
  <c r="AU36" i="9"/>
  <c r="AU31" i="9"/>
  <c r="AX9" i="12"/>
  <c r="AX153" i="4"/>
  <c r="AX155" i="4" s="1"/>
  <c r="AX32" i="4" s="1"/>
  <c r="AX46" i="4" s="1"/>
  <c r="AV9" i="6"/>
  <c r="AX25" i="4"/>
  <c r="AU34" i="6"/>
  <c r="BE72" i="3"/>
  <c r="BE20" i="3" s="1"/>
  <c r="AX3" i="12"/>
  <c r="AX3" i="10"/>
  <c r="AX3" i="6"/>
  <c r="AX3" i="5"/>
  <c r="AX3" i="4"/>
  <c r="AX3" i="2"/>
  <c r="AX3" i="3"/>
  <c r="AX3" i="9"/>
  <c r="AX58" i="5"/>
  <c r="AX61" i="5" s="1"/>
  <c r="AW63" i="5"/>
  <c r="AD44" i="5"/>
  <c r="AC49" i="5"/>
  <c r="BC41" i="6"/>
  <c r="BC43" i="6" s="1"/>
  <c r="BB81" i="9"/>
  <c r="BA16" i="6"/>
  <c r="BA18" i="6" s="1"/>
  <c r="AZ25" i="6"/>
  <c r="AZ73" i="9" s="1"/>
  <c r="AZ124" i="9" s="1"/>
  <c r="BA73" i="6"/>
  <c r="BA75" i="6" s="1"/>
  <c r="AZ84" i="9"/>
  <c r="AX56" i="6"/>
  <c r="AX59" i="6" s="1"/>
  <c r="AY59" i="5"/>
  <c r="AZ53" i="5"/>
  <c r="AZ56" i="5" s="1"/>
  <c r="AY14" i="5"/>
  <c r="AY17" i="5" s="1"/>
  <c r="AX19" i="5"/>
  <c r="AX67" i="9" s="1"/>
  <c r="AY2" i="12"/>
  <c r="AZ2" i="1"/>
  <c r="AY2" i="10"/>
  <c r="AY2" i="6"/>
  <c r="AY2" i="5"/>
  <c r="AY2" i="4"/>
  <c r="AY2" i="2"/>
  <c r="AY2" i="3"/>
  <c r="AY2" i="9"/>
  <c r="AY3" i="1"/>
  <c r="BA9" i="5"/>
  <c r="BA12" i="5" s="1"/>
  <c r="AZ15" i="5"/>
  <c r="AH125" i="9"/>
  <c r="AH88" i="9"/>
  <c r="AH97" i="9" s="1"/>
  <c r="AY45" i="5"/>
  <c r="AZ39" i="5"/>
  <c r="AZ42" i="5" s="1"/>
  <c r="AI36" i="6"/>
  <c r="AI37" i="6" s="1"/>
  <c r="AM47" i="6" l="1"/>
  <c r="AM50" i="6" s="1"/>
  <c r="AL82" i="9"/>
  <c r="Z29" i="14"/>
  <c r="Z30" i="14" s="1"/>
  <c r="Z33" i="14" s="1"/>
  <c r="Z34" i="14" s="1"/>
  <c r="Z53" i="9" s="1"/>
  <c r="AA10" i="14"/>
  <c r="AA12" i="14" s="1"/>
  <c r="AA20" i="14" s="1"/>
  <c r="AA28" i="14"/>
  <c r="AB8" i="14"/>
  <c r="AB23" i="14"/>
  <c r="BF72" i="3"/>
  <c r="BF20" i="3" s="1"/>
  <c r="BG69" i="3"/>
  <c r="BG82" i="4"/>
  <c r="BG84" i="4" s="1"/>
  <c r="BG12" i="4" s="1"/>
  <c r="BG74" i="3"/>
  <c r="BG76" i="3" s="1"/>
  <c r="BG21" i="3" s="1"/>
  <c r="BF7" i="12"/>
  <c r="BF72" i="4"/>
  <c r="BF74" i="4" s="1"/>
  <c r="BF10" i="4" s="1"/>
  <c r="BG33" i="2"/>
  <c r="BL98" i="3"/>
  <c r="BL100" i="3" s="1"/>
  <c r="BL22" i="3" s="1"/>
  <c r="BG64" i="3"/>
  <c r="BG66" i="3" s="1"/>
  <c r="BG19" i="3" s="1"/>
  <c r="BG70" i="3"/>
  <c r="BG72" i="3" s="1"/>
  <c r="BG20" i="3" s="1"/>
  <c r="AX8" i="9"/>
  <c r="AX10" i="9" s="1"/>
  <c r="AC35" i="5"/>
  <c r="AC78" i="5" s="1"/>
  <c r="AB74" i="9"/>
  <c r="AB75" i="9" s="1"/>
  <c r="AB77" i="9" s="1"/>
  <c r="AB99" i="9" s="1"/>
  <c r="AW19" i="9"/>
  <c r="AW30" i="9" s="1"/>
  <c r="AY31" i="3"/>
  <c r="AY8" i="9" s="1"/>
  <c r="AY10" i="9" s="1"/>
  <c r="AW32" i="6"/>
  <c r="AW33" i="6" s="1"/>
  <c r="AW64" i="6" s="1"/>
  <c r="BA37" i="2"/>
  <c r="AZ92" i="4"/>
  <c r="AZ94" i="4" s="1"/>
  <c r="AZ14" i="4" s="1"/>
  <c r="BA82" i="3"/>
  <c r="BA84" i="3" s="1"/>
  <c r="BA24" i="3" s="1"/>
  <c r="AZ87" i="4"/>
  <c r="AZ89" i="4" s="1"/>
  <c r="AZ13" i="4" s="1"/>
  <c r="AZ78" i="3"/>
  <c r="AZ80" i="3" s="1"/>
  <c r="AZ23" i="3" s="1"/>
  <c r="AW9" i="6"/>
  <c r="BA41" i="2"/>
  <c r="BG102" i="3" s="1"/>
  <c r="BG104" i="3" s="1"/>
  <c r="BG28" i="3" s="1"/>
  <c r="AZ97" i="4"/>
  <c r="AZ99" i="4" s="1"/>
  <c r="AZ15" i="4" s="1"/>
  <c r="AZ102" i="4"/>
  <c r="AZ104" i="4" s="1"/>
  <c r="AZ16" i="4" s="1"/>
  <c r="BA90" i="3"/>
  <c r="BA92" i="3" s="1"/>
  <c r="BA26" i="3" s="1"/>
  <c r="AZ86" i="3"/>
  <c r="AZ88" i="3" s="1"/>
  <c r="AZ25" i="3" s="1"/>
  <c r="AZ8" i="12"/>
  <c r="AV36" i="9"/>
  <c r="AV31" i="9"/>
  <c r="AV34" i="6"/>
  <c r="AY25" i="4"/>
  <c r="BB45" i="2"/>
  <c r="BA112" i="4"/>
  <c r="BA114" i="4" s="1"/>
  <c r="BA18" i="4" s="1"/>
  <c r="BA119" i="4"/>
  <c r="BA19" i="4" s="1"/>
  <c r="BA107" i="4"/>
  <c r="BA109" i="4" s="1"/>
  <c r="BA17" i="4" s="1"/>
  <c r="BB94" i="3"/>
  <c r="BB96" i="3" s="1"/>
  <c r="BB27" i="3" s="1"/>
  <c r="AD31" i="5"/>
  <c r="AE25" i="5"/>
  <c r="AX8" i="6"/>
  <c r="AX63" i="6" s="1"/>
  <c r="AX29" i="6"/>
  <c r="AX13" i="9"/>
  <c r="AX17" i="9" s="1"/>
  <c r="AH11" i="6"/>
  <c r="AH12" i="6" s="1"/>
  <c r="AC48" i="9"/>
  <c r="AC50" i="9" s="1"/>
  <c r="AC114" i="9"/>
  <c r="AC120" i="9" s="1"/>
  <c r="AC127" i="9" s="1"/>
  <c r="AC135" i="9" s="1"/>
  <c r="AC148" i="9" s="1"/>
  <c r="AC150" i="9" s="1"/>
  <c r="AX27" i="9"/>
  <c r="AX28" i="9" s="1"/>
  <c r="AX30" i="6"/>
  <c r="K72" i="11"/>
  <c r="AG123" i="9"/>
  <c r="K123" i="11" s="1"/>
  <c r="AP66" i="6"/>
  <c r="AN67" i="6"/>
  <c r="AY153" i="4"/>
  <c r="AY155" i="4" s="1"/>
  <c r="AY32" i="4" s="1"/>
  <c r="AY46" i="4" s="1"/>
  <c r="AY9" i="12"/>
  <c r="AJ35" i="6"/>
  <c r="AI80" i="9"/>
  <c r="BA39" i="5"/>
  <c r="BA42" i="5" s="1"/>
  <c r="AZ45" i="5"/>
  <c r="AZ2" i="12"/>
  <c r="BA2" i="1"/>
  <c r="AZ2" i="10"/>
  <c r="AZ2" i="9"/>
  <c r="AZ2" i="2"/>
  <c r="AZ2" i="4"/>
  <c r="AZ2" i="5"/>
  <c r="AZ2" i="6"/>
  <c r="AZ2" i="3"/>
  <c r="AZ3" i="1"/>
  <c r="AY56" i="6"/>
  <c r="AY59" i="6" s="1"/>
  <c r="BB16" i="6"/>
  <c r="BB18" i="6" s="1"/>
  <c r="BA25" i="6"/>
  <c r="BA73" i="9" s="1"/>
  <c r="BA124" i="9" s="1"/>
  <c r="BB73" i="6"/>
  <c r="BB75" i="6" s="1"/>
  <c r="BA84" i="9"/>
  <c r="BC81" i="9"/>
  <c r="BD41" i="6"/>
  <c r="BD43" i="6" s="1"/>
  <c r="AZ14" i="5"/>
  <c r="AZ17" i="5" s="1"/>
  <c r="AY19" i="5"/>
  <c r="AY67" i="9" s="1"/>
  <c r="BB9" i="5"/>
  <c r="BB12" i="5" s="1"/>
  <c r="BA15" i="5"/>
  <c r="AY3" i="12"/>
  <c r="AY3" i="5"/>
  <c r="AY3" i="4"/>
  <c r="AY3" i="2"/>
  <c r="AY3" i="3"/>
  <c r="AY3" i="9"/>
  <c r="AY3" i="10"/>
  <c r="AY3" i="6"/>
  <c r="BA53" i="5"/>
  <c r="BA56" i="5" s="1"/>
  <c r="AZ59" i="5"/>
  <c r="AD47" i="5"/>
  <c r="AD72" i="5"/>
  <c r="AY58" i="5"/>
  <c r="AY61" i="5" s="1"/>
  <c r="AX63" i="5"/>
  <c r="AN47" i="6" l="1"/>
  <c r="AN50" i="6" s="1"/>
  <c r="AM82" i="9"/>
  <c r="Z55" i="9"/>
  <c r="Z59" i="9" s="1"/>
  <c r="Z61" i="9" s="1"/>
  <c r="AA29" i="14"/>
  <c r="AA30" i="14" s="1"/>
  <c r="AA33" i="14" s="1"/>
  <c r="AA34" i="14" s="1"/>
  <c r="AA53" i="9" s="1"/>
  <c r="AA55" i="9" s="1"/>
  <c r="AA59" i="9" s="1"/>
  <c r="AA21" i="14"/>
  <c r="AB18" i="14" s="1"/>
  <c r="AB24" i="14"/>
  <c r="AB25" i="14"/>
  <c r="AB19" i="14" s="1"/>
  <c r="AC6" i="14"/>
  <c r="BH74" i="3"/>
  <c r="BH76" i="3" s="1"/>
  <c r="BH21" i="3" s="1"/>
  <c r="BG72" i="4"/>
  <c r="BG74" i="4" s="1"/>
  <c r="BG10" i="4" s="1"/>
  <c r="BG7" i="12"/>
  <c r="BH82" i="4"/>
  <c r="BH84" i="4" s="1"/>
  <c r="BH12" i="4" s="1"/>
  <c r="BH64" i="3"/>
  <c r="BH66" i="3" s="1"/>
  <c r="BH19" i="3" s="1"/>
  <c r="BH33" i="2"/>
  <c r="BH70" i="3"/>
  <c r="BM98" i="3"/>
  <c r="BM100" i="3" s="1"/>
  <c r="BM22" i="3" s="1"/>
  <c r="BH69" i="3"/>
  <c r="AX19" i="9"/>
  <c r="AX30" i="9" s="1"/>
  <c r="AW20" i="9"/>
  <c r="AY7" i="6"/>
  <c r="AY8" i="6" s="1"/>
  <c r="AY63" i="6" s="1"/>
  <c r="AZ31" i="3"/>
  <c r="AZ7" i="6" s="1"/>
  <c r="AX9" i="6"/>
  <c r="BA78" i="3"/>
  <c r="BA80" i="3" s="1"/>
  <c r="BA23" i="3" s="1"/>
  <c r="BA87" i="4"/>
  <c r="BA89" i="4" s="1"/>
  <c r="BA13" i="4" s="1"/>
  <c r="BA92" i="4"/>
  <c r="BA94" i="4" s="1"/>
  <c r="BA14" i="4" s="1"/>
  <c r="BB82" i="3"/>
  <c r="BB84" i="3" s="1"/>
  <c r="BB24" i="3" s="1"/>
  <c r="BB37" i="2"/>
  <c r="AC74" i="9"/>
  <c r="AC75" i="9" s="1"/>
  <c r="AC77" i="9" s="1"/>
  <c r="AC99" i="9" s="1"/>
  <c r="AD149" i="9"/>
  <c r="AI10" i="6"/>
  <c r="AH72" i="9"/>
  <c r="AH123" i="9" s="1"/>
  <c r="AD73" i="5"/>
  <c r="AD39" i="9" s="1"/>
  <c r="AD33" i="5"/>
  <c r="AW34" i="6"/>
  <c r="AX32" i="6"/>
  <c r="AZ25" i="4"/>
  <c r="BA97" i="4"/>
  <c r="BA99" i="4" s="1"/>
  <c r="BA15" i="4" s="1"/>
  <c r="BB90" i="3"/>
  <c r="BB92" i="3" s="1"/>
  <c r="BB26" i="3" s="1"/>
  <c r="BA102" i="4"/>
  <c r="BA104" i="4" s="1"/>
  <c r="BA16" i="4" s="1"/>
  <c r="BB41" i="2"/>
  <c r="BH102" i="3" s="1"/>
  <c r="BH104" i="3" s="1"/>
  <c r="BH28" i="3" s="1"/>
  <c r="BA86" i="3"/>
  <c r="BA88" i="3" s="1"/>
  <c r="BA25" i="3" s="1"/>
  <c r="BA8" i="12"/>
  <c r="AY27" i="9"/>
  <c r="AY28" i="9" s="1"/>
  <c r="AY30" i="6"/>
  <c r="BC45" i="2"/>
  <c r="BB107" i="4"/>
  <c r="BB109" i="4" s="1"/>
  <c r="BB17" i="4" s="1"/>
  <c r="BB112" i="4"/>
  <c r="BB114" i="4" s="1"/>
  <c r="BB18" i="4" s="1"/>
  <c r="BB119" i="4"/>
  <c r="BB19" i="4" s="1"/>
  <c r="BC94" i="3"/>
  <c r="BC96" i="3" s="1"/>
  <c r="BC27" i="3" s="1"/>
  <c r="AO62" i="6"/>
  <c r="AO65" i="6" s="1"/>
  <c r="AO67" i="6" s="1"/>
  <c r="AN69" i="6"/>
  <c r="AN83" i="9" s="1"/>
  <c r="AN126" i="9" s="1"/>
  <c r="AE28" i="5"/>
  <c r="AE67" i="5"/>
  <c r="AE70" i="5" s="1"/>
  <c r="AY13" i="9"/>
  <c r="AY17" i="9" s="1"/>
  <c r="AY19" i="9" s="1"/>
  <c r="AY29" i="6"/>
  <c r="AZ153" i="4"/>
  <c r="AZ155" i="4" s="1"/>
  <c r="AZ32" i="4" s="1"/>
  <c r="AZ46" i="4" s="1"/>
  <c r="AZ9" i="12"/>
  <c r="AW31" i="9"/>
  <c r="AW36" i="9"/>
  <c r="BD81" i="9"/>
  <c r="BE41" i="6"/>
  <c r="BE43" i="6" s="1"/>
  <c r="BE81" i="9" s="1"/>
  <c r="AE44" i="5"/>
  <c r="AD49" i="5"/>
  <c r="AZ56" i="6"/>
  <c r="AZ59" i="6" s="1"/>
  <c r="BC73" i="6"/>
  <c r="BC75" i="6" s="1"/>
  <c r="BB84" i="9"/>
  <c r="BA14" i="5"/>
  <c r="BA17" i="5" s="1"/>
  <c r="AZ19" i="5"/>
  <c r="AZ67" i="9" s="1"/>
  <c r="BB39" i="5"/>
  <c r="BB42" i="5" s="1"/>
  <c r="BA45" i="5"/>
  <c r="BB53" i="5"/>
  <c r="BB56" i="5" s="1"/>
  <c r="BA59" i="5"/>
  <c r="AZ3" i="12"/>
  <c r="AZ3" i="9"/>
  <c r="AZ3" i="10"/>
  <c r="AZ3" i="6"/>
  <c r="AZ3" i="5"/>
  <c r="AZ3" i="4"/>
  <c r="AZ3" i="2"/>
  <c r="AZ3" i="3"/>
  <c r="BA2" i="12"/>
  <c r="BB2" i="1"/>
  <c r="BA2" i="10"/>
  <c r="BA2" i="9"/>
  <c r="BA2" i="6"/>
  <c r="BA2" i="2"/>
  <c r="BA2" i="4"/>
  <c r="BA2" i="5"/>
  <c r="BA2" i="3"/>
  <c r="BA3" i="1"/>
  <c r="AI88" i="9"/>
  <c r="AI97" i="9" s="1"/>
  <c r="AI125" i="9"/>
  <c r="AZ58" i="5"/>
  <c r="AZ61" i="5" s="1"/>
  <c r="AY63" i="5"/>
  <c r="BC9" i="5"/>
  <c r="BC12" i="5" s="1"/>
  <c r="BB15" i="5"/>
  <c r="BC16" i="6"/>
  <c r="BC18" i="6" s="1"/>
  <c r="BB25" i="6"/>
  <c r="BB73" i="9" s="1"/>
  <c r="BB124" i="9" s="1"/>
  <c r="AJ36" i="6"/>
  <c r="AJ37" i="6" s="1"/>
  <c r="AN82" i="9" l="1"/>
  <c r="AO47" i="6"/>
  <c r="AO50" i="6" s="1"/>
  <c r="AA58" i="9"/>
  <c r="AA61" i="9" s="1"/>
  <c r="Z103" i="9"/>
  <c r="Z105" i="9" s="1"/>
  <c r="Z107" i="9" s="1"/>
  <c r="AC8" i="14"/>
  <c r="AC23" i="14"/>
  <c r="AB10" i="14"/>
  <c r="AB28" i="14"/>
  <c r="AB11" i="14"/>
  <c r="AB12" i="14" s="1"/>
  <c r="AB20" i="14" s="1"/>
  <c r="AB29" i="14" s="1"/>
  <c r="AB30" i="14" s="1"/>
  <c r="AB33" i="14" s="1"/>
  <c r="AB34" i="14" s="1"/>
  <c r="AB53" i="9" s="1"/>
  <c r="AB55" i="9" s="1"/>
  <c r="AB59" i="9" s="1"/>
  <c r="BH7" i="12"/>
  <c r="BH72" i="4"/>
  <c r="BH74" i="4" s="1"/>
  <c r="BH10" i="4" s="1"/>
  <c r="BI82" i="4"/>
  <c r="BI84" i="4" s="1"/>
  <c r="BI12" i="4" s="1"/>
  <c r="BI33" i="2"/>
  <c r="BI64" i="3"/>
  <c r="BI66" i="3" s="1"/>
  <c r="BI19" i="3" s="1"/>
  <c r="BI74" i="3"/>
  <c r="BI76" i="3" s="1"/>
  <c r="BI21" i="3" s="1"/>
  <c r="BI69" i="3"/>
  <c r="BN98" i="3"/>
  <c r="BN100" i="3" s="1"/>
  <c r="BN22" i="3" s="1"/>
  <c r="BI70" i="3"/>
  <c r="BH72" i="3"/>
  <c r="BH20" i="3" s="1"/>
  <c r="AX20" i="9"/>
  <c r="BA31" i="3"/>
  <c r="BA8" i="9" s="1"/>
  <c r="BA10" i="9" s="1"/>
  <c r="AZ8" i="9"/>
  <c r="AZ10" i="9" s="1"/>
  <c r="AD75" i="5"/>
  <c r="AD77" i="5" s="1"/>
  <c r="AD68" i="9" s="1"/>
  <c r="AD69" i="9" s="1"/>
  <c r="AY9" i="6"/>
  <c r="BC37" i="2"/>
  <c r="BB78" i="3"/>
  <c r="BB80" i="3" s="1"/>
  <c r="BB23" i="3" s="1"/>
  <c r="BB92" i="4"/>
  <c r="BB94" i="4" s="1"/>
  <c r="BB14" i="4" s="1"/>
  <c r="BC82" i="3"/>
  <c r="BC84" i="3" s="1"/>
  <c r="BC24" i="3" s="1"/>
  <c r="BB87" i="4"/>
  <c r="BB89" i="4" s="1"/>
  <c r="BB13" i="4" s="1"/>
  <c r="AY32" i="6"/>
  <c r="AY33" i="6" s="1"/>
  <c r="AY64" i="6" s="1"/>
  <c r="BA25" i="4"/>
  <c r="BA29" i="6" s="1"/>
  <c r="AY20" i="9"/>
  <c r="AY30" i="9"/>
  <c r="AZ27" i="9"/>
  <c r="AZ28" i="9" s="1"/>
  <c r="AZ30" i="6"/>
  <c r="AZ13" i="9"/>
  <c r="AZ17" i="9" s="1"/>
  <c r="AZ29" i="6"/>
  <c r="AE30" i="5"/>
  <c r="AD35" i="5"/>
  <c r="AD78" i="5" s="1"/>
  <c r="AX31" i="9"/>
  <c r="AX36" i="9"/>
  <c r="BA153" i="4"/>
  <c r="BA155" i="4" s="1"/>
  <c r="BA32" i="4" s="1"/>
  <c r="BA46" i="4" s="1"/>
  <c r="BA9" i="12"/>
  <c r="AD117" i="9"/>
  <c r="AD40" i="9"/>
  <c r="AD42" i="9" s="1"/>
  <c r="BD45" i="2"/>
  <c r="BC119" i="4"/>
  <c r="BC19" i="4" s="1"/>
  <c r="BD94" i="3"/>
  <c r="BD96" i="3" s="1"/>
  <c r="BD27" i="3" s="1"/>
  <c r="BC112" i="4"/>
  <c r="BC114" i="4" s="1"/>
  <c r="BC18" i="4" s="1"/>
  <c r="BC107" i="4"/>
  <c r="BC109" i="4" s="1"/>
  <c r="BC17" i="4" s="1"/>
  <c r="AF25" i="5"/>
  <c r="AE31" i="5"/>
  <c r="AE73" i="5" s="1"/>
  <c r="AE39" i="9" s="1"/>
  <c r="BB97" i="4"/>
  <c r="BB99" i="4" s="1"/>
  <c r="BB15" i="4" s="1"/>
  <c r="BB86" i="3"/>
  <c r="BB88" i="3" s="1"/>
  <c r="BB25" i="3" s="1"/>
  <c r="BB102" i="4"/>
  <c r="BB104" i="4" s="1"/>
  <c r="BB16" i="4" s="1"/>
  <c r="BC41" i="2"/>
  <c r="BI102" i="3" s="1"/>
  <c r="BI104" i="3" s="1"/>
  <c r="BI28" i="3" s="1"/>
  <c r="BC90" i="3"/>
  <c r="BC92" i="3" s="1"/>
  <c r="BC26" i="3" s="1"/>
  <c r="BB8" i="12"/>
  <c r="AI11" i="6"/>
  <c r="AI12" i="6" s="1"/>
  <c r="AX33" i="6"/>
  <c r="AX64" i="6" s="1"/>
  <c r="AP62" i="6"/>
  <c r="AP65" i="6" s="1"/>
  <c r="AP67" i="6" s="1"/>
  <c r="AO69" i="6"/>
  <c r="AO83" i="9" s="1"/>
  <c r="AO126" i="9" s="1"/>
  <c r="AZ8" i="6"/>
  <c r="AZ63" i="6" s="1"/>
  <c r="M81" i="11"/>
  <c r="BA58" i="5"/>
  <c r="BA61" i="5" s="1"/>
  <c r="AZ63" i="5"/>
  <c r="BD16" i="6"/>
  <c r="BD18" i="6" s="1"/>
  <c r="BC25" i="6"/>
  <c r="BC73" i="9" s="1"/>
  <c r="BC124" i="9" s="1"/>
  <c r="BC53" i="5"/>
  <c r="BC56" i="5" s="1"/>
  <c r="BB59" i="5"/>
  <c r="AE47" i="5"/>
  <c r="AE72" i="5"/>
  <c r="AE75" i="5" s="1"/>
  <c r="AE77" i="5" s="1"/>
  <c r="AE68" i="9" s="1"/>
  <c r="AE69" i="9" s="1"/>
  <c r="BA3" i="12"/>
  <c r="BA3" i="6"/>
  <c r="BA3" i="9"/>
  <c r="BA3" i="10"/>
  <c r="BA3" i="5"/>
  <c r="BA3" i="4"/>
  <c r="BA3" i="2"/>
  <c r="BA3" i="3"/>
  <c r="BC39" i="5"/>
  <c r="BC42" i="5" s="1"/>
  <c r="BB45" i="5"/>
  <c r="BB14" i="5"/>
  <c r="BB17" i="5" s="1"/>
  <c r="BA19" i="5"/>
  <c r="BA67" i="9" s="1"/>
  <c r="AK35" i="6"/>
  <c r="AJ80" i="9"/>
  <c r="BB2" i="12"/>
  <c r="BB2" i="10"/>
  <c r="BC2" i="1"/>
  <c r="BB2" i="9"/>
  <c r="BB2" i="6"/>
  <c r="BB2" i="5"/>
  <c r="BB2" i="4"/>
  <c r="BB2" i="2"/>
  <c r="BB2" i="3"/>
  <c r="BB3" i="1"/>
  <c r="BD73" i="6"/>
  <c r="BD75" i="6" s="1"/>
  <c r="BC84" i="9"/>
  <c r="BC15" i="5"/>
  <c r="BD9" i="5"/>
  <c r="BD12" i="5" s="1"/>
  <c r="BA56" i="6"/>
  <c r="BA59" i="6" s="1"/>
  <c r="AP47" i="6" l="1"/>
  <c r="AP50" i="6" s="1"/>
  <c r="AO82" i="9"/>
  <c r="AB21" i="14"/>
  <c r="AC18" i="14" s="1"/>
  <c r="AC11" i="14" s="1"/>
  <c r="AB58" i="9"/>
  <c r="AB61" i="9" s="1"/>
  <c r="AA103" i="9"/>
  <c r="AA105" i="9" s="1"/>
  <c r="AA107" i="9" s="1"/>
  <c r="AC24" i="14"/>
  <c r="AC25" i="14"/>
  <c r="AC19" i="14" s="1"/>
  <c r="BI72" i="3"/>
  <c r="BI20" i="3" s="1"/>
  <c r="BI7" i="12"/>
  <c r="BJ82" i="4"/>
  <c r="BJ84" i="4" s="1"/>
  <c r="BJ12" i="4" s="1"/>
  <c r="BI72" i="4"/>
  <c r="BI74" i="4" s="1"/>
  <c r="BI10" i="4" s="1"/>
  <c r="BJ64" i="3"/>
  <c r="BJ66" i="3" s="1"/>
  <c r="BJ19" i="3" s="1"/>
  <c r="BO98" i="3"/>
  <c r="BO100" i="3" s="1"/>
  <c r="BO22" i="3" s="1"/>
  <c r="BJ33" i="2"/>
  <c r="BJ69" i="3"/>
  <c r="BJ72" i="3" s="1"/>
  <c r="BJ20" i="3" s="1"/>
  <c r="BJ74" i="3"/>
  <c r="BJ76" i="3" s="1"/>
  <c r="BJ21" i="3" s="1"/>
  <c r="BJ70" i="3"/>
  <c r="AZ19" i="9"/>
  <c r="AZ30" i="9" s="1"/>
  <c r="BA7" i="6"/>
  <c r="BA8" i="6" s="1"/>
  <c r="BA63" i="6" s="1"/>
  <c r="BB31" i="3"/>
  <c r="BB8" i="9" s="1"/>
  <c r="BA13" i="9"/>
  <c r="BA17" i="9" s="1"/>
  <c r="BA19" i="9" s="1"/>
  <c r="AY34" i="6"/>
  <c r="AZ9" i="6"/>
  <c r="BC87" i="4"/>
  <c r="BC89" i="4" s="1"/>
  <c r="BC13" i="4" s="1"/>
  <c r="BC92" i="4"/>
  <c r="BC94" i="4" s="1"/>
  <c r="BC14" i="4" s="1"/>
  <c r="BC78" i="3"/>
  <c r="BC80" i="3" s="1"/>
  <c r="BC23" i="3" s="1"/>
  <c r="BD82" i="3"/>
  <c r="BD84" i="3" s="1"/>
  <c r="BD24" i="3" s="1"/>
  <c r="BD37" i="2"/>
  <c r="AJ10" i="6"/>
  <c r="AI72" i="9"/>
  <c r="AI123" i="9" s="1"/>
  <c r="AQ62" i="6"/>
  <c r="AQ65" i="6" s="1"/>
  <c r="AP69" i="6"/>
  <c r="AP83" i="9" s="1"/>
  <c r="AP126" i="9" s="1"/>
  <c r="BB25" i="4"/>
  <c r="AX34" i="6"/>
  <c r="BA30" i="6"/>
  <c r="BA32" i="6" s="1"/>
  <c r="BA27" i="9"/>
  <c r="BA28" i="9" s="1"/>
  <c r="AE117" i="9"/>
  <c r="AE40" i="9"/>
  <c r="AE42" i="9" s="1"/>
  <c r="BB9" i="12"/>
  <c r="BB153" i="4"/>
  <c r="BB155" i="4" s="1"/>
  <c r="BB32" i="4" s="1"/>
  <c r="BB46" i="4" s="1"/>
  <c r="AF67" i="5"/>
  <c r="AF70" i="5" s="1"/>
  <c r="AF28" i="5"/>
  <c r="BD119" i="4"/>
  <c r="BD19" i="4" s="1"/>
  <c r="BE45" i="2"/>
  <c r="BD112" i="4"/>
  <c r="BD114" i="4" s="1"/>
  <c r="BD18" i="4" s="1"/>
  <c r="BD107" i="4"/>
  <c r="BD109" i="4" s="1"/>
  <c r="BD17" i="4" s="1"/>
  <c r="BE94" i="3"/>
  <c r="BE96" i="3" s="1"/>
  <c r="BE27" i="3" s="1"/>
  <c r="BD41" i="2"/>
  <c r="BJ102" i="3" s="1"/>
  <c r="BJ104" i="3" s="1"/>
  <c r="BJ28" i="3" s="1"/>
  <c r="BC102" i="4"/>
  <c r="BC104" i="4" s="1"/>
  <c r="BC16" i="4" s="1"/>
  <c r="BC86" i="3"/>
  <c r="BC88" i="3" s="1"/>
  <c r="BC25" i="3" s="1"/>
  <c r="BD90" i="3"/>
  <c r="BD92" i="3" s="1"/>
  <c r="BD26" i="3" s="1"/>
  <c r="BC97" i="4"/>
  <c r="BC99" i="4" s="1"/>
  <c r="BC15" i="4" s="1"/>
  <c r="BC8" i="12"/>
  <c r="AE33" i="5"/>
  <c r="AY31" i="9"/>
  <c r="AY36" i="9"/>
  <c r="AD114" i="9"/>
  <c r="AD120" i="9" s="1"/>
  <c r="AD127" i="9" s="1"/>
  <c r="AD135" i="9" s="1"/>
  <c r="AD148" i="9" s="1"/>
  <c r="AD150" i="9" s="1"/>
  <c r="AD48" i="9"/>
  <c r="AD50" i="9" s="1"/>
  <c r="AZ32" i="6"/>
  <c r="BE12" i="5"/>
  <c r="BD15" i="5"/>
  <c r="BB3" i="12"/>
  <c r="BB3" i="9"/>
  <c r="BB3" i="10"/>
  <c r="BB3" i="6"/>
  <c r="BB3" i="5"/>
  <c r="BB3" i="4"/>
  <c r="BB3" i="2"/>
  <c r="BB3" i="3"/>
  <c r="BC14" i="5"/>
  <c r="BC17" i="5" s="1"/>
  <c r="BB19" i="5"/>
  <c r="BB67" i="9" s="1"/>
  <c r="BB58" i="5"/>
  <c r="BB61" i="5" s="1"/>
  <c r="BA63" i="5"/>
  <c r="AJ88" i="9"/>
  <c r="AJ97" i="9" s="1"/>
  <c r="AJ125" i="9"/>
  <c r="BC59" i="5"/>
  <c r="BD53" i="5"/>
  <c r="BD56" i="5" s="1"/>
  <c r="AK36" i="6"/>
  <c r="AK37" i="6" s="1"/>
  <c r="BC45" i="5"/>
  <c r="BD39" i="5"/>
  <c r="BD42" i="5" s="1"/>
  <c r="BE16" i="6"/>
  <c r="BE18" i="6" s="1"/>
  <c r="BE25" i="6" s="1"/>
  <c r="BE73" i="9" s="1"/>
  <c r="BD25" i="6"/>
  <c r="BD73" i="9" s="1"/>
  <c r="BD124" i="9" s="1"/>
  <c r="BB56" i="6"/>
  <c r="BB59" i="6" s="1"/>
  <c r="BD84" i="9"/>
  <c r="BE73" i="6"/>
  <c r="BE75" i="6" s="1"/>
  <c r="BE84" i="9" s="1"/>
  <c r="M84" i="11" s="1"/>
  <c r="BC2" i="12"/>
  <c r="BC2" i="10"/>
  <c r="BD2" i="1"/>
  <c r="BC2" i="9"/>
  <c r="BC2" i="6"/>
  <c r="BC2" i="5"/>
  <c r="BC2" i="4"/>
  <c r="BC2" i="2"/>
  <c r="BC2" i="3"/>
  <c r="BC3" i="1"/>
  <c r="AF44" i="5"/>
  <c r="AE49" i="5"/>
  <c r="AQ47" i="6" l="1"/>
  <c r="AQ50" i="6" s="1"/>
  <c r="AP82" i="9"/>
  <c r="AC58" i="9"/>
  <c r="AB103" i="9"/>
  <c r="AB105" i="9" s="1"/>
  <c r="AB107" i="9" s="1"/>
  <c r="AC10" i="14"/>
  <c r="AC28" i="14"/>
  <c r="AD6" i="14"/>
  <c r="AC12" i="14"/>
  <c r="AC20" i="14" s="1"/>
  <c r="AC29" i="14" s="1"/>
  <c r="AC30" i="14" s="1"/>
  <c r="AC33" i="14" s="1"/>
  <c r="AC34" i="14" s="1"/>
  <c r="AC53" i="9" s="1"/>
  <c r="BF94" i="3"/>
  <c r="BF96" i="3" s="1"/>
  <c r="BF27" i="3" s="1"/>
  <c r="BF45" i="2"/>
  <c r="BK82" i="4"/>
  <c r="BK84" i="4" s="1"/>
  <c r="BK12" i="4" s="1"/>
  <c r="BJ7" i="12"/>
  <c r="BJ72" i="4"/>
  <c r="BJ74" i="4" s="1"/>
  <c r="BJ10" i="4" s="1"/>
  <c r="BK33" i="2"/>
  <c r="BK64" i="3"/>
  <c r="BK66" i="3" s="1"/>
  <c r="BK19" i="3" s="1"/>
  <c r="BK69" i="3"/>
  <c r="BP98" i="3"/>
  <c r="BP100" i="3" s="1"/>
  <c r="BP22" i="3" s="1"/>
  <c r="BK70" i="3"/>
  <c r="BK74" i="3"/>
  <c r="BK76" i="3" s="1"/>
  <c r="BK21" i="3" s="1"/>
  <c r="AZ20" i="9"/>
  <c r="BB7" i="6"/>
  <c r="BB8" i="6" s="1"/>
  <c r="BB63" i="6" s="1"/>
  <c r="BA9" i="6"/>
  <c r="BC31" i="3"/>
  <c r="BC8" i="9" s="1"/>
  <c r="BC10" i="9" s="1"/>
  <c r="BD78" i="3"/>
  <c r="BD80" i="3" s="1"/>
  <c r="BD23" i="3" s="1"/>
  <c r="BD87" i="4"/>
  <c r="BD89" i="4" s="1"/>
  <c r="BD13" i="4" s="1"/>
  <c r="BD92" i="4"/>
  <c r="BD94" i="4" s="1"/>
  <c r="BD14" i="4" s="1"/>
  <c r="BE82" i="3"/>
  <c r="BE84" i="3" s="1"/>
  <c r="BE24" i="3" s="1"/>
  <c r="BE37" i="2"/>
  <c r="AE149" i="9"/>
  <c r="AD74" i="9"/>
  <c r="AD75" i="9" s="1"/>
  <c r="AD77" i="9" s="1"/>
  <c r="AD99" i="9" s="1"/>
  <c r="BE107" i="4"/>
  <c r="BE109" i="4" s="1"/>
  <c r="BE17" i="4" s="1"/>
  <c r="BE119" i="4"/>
  <c r="BE19" i="4" s="1"/>
  <c r="BE112" i="4"/>
  <c r="BE114" i="4" s="1"/>
  <c r="BE18" i="4" s="1"/>
  <c r="AE114" i="9"/>
  <c r="AE120" i="9" s="1"/>
  <c r="AE127" i="9" s="1"/>
  <c r="AE135" i="9" s="1"/>
  <c r="AE148" i="9" s="1"/>
  <c r="AE48" i="9"/>
  <c r="AE50" i="9" s="1"/>
  <c r="BB10" i="9"/>
  <c r="BD102" i="4"/>
  <c r="BD104" i="4" s="1"/>
  <c r="BD16" i="4" s="1"/>
  <c r="BE90" i="3"/>
  <c r="BE92" i="3" s="1"/>
  <c r="BE26" i="3" s="1"/>
  <c r="BE41" i="2"/>
  <c r="BD97" i="4"/>
  <c r="BD99" i="4" s="1"/>
  <c r="BD15" i="4" s="1"/>
  <c r="BD86" i="3"/>
  <c r="BD88" i="3" s="1"/>
  <c r="BD25" i="3" s="1"/>
  <c r="BD8" i="12"/>
  <c r="BA30" i="9"/>
  <c r="BA20" i="9"/>
  <c r="BA33" i="6"/>
  <c r="BA64" i="6" s="1"/>
  <c r="AG25" i="5"/>
  <c r="AF31" i="5"/>
  <c r="AF73" i="5" s="1"/>
  <c r="AF39" i="9" s="1"/>
  <c r="AF30" i="5"/>
  <c r="AE35" i="5"/>
  <c r="AE78" i="5" s="1"/>
  <c r="BB29" i="6"/>
  <c r="BB13" i="9"/>
  <c r="AS66" i="6"/>
  <c r="AQ67" i="6"/>
  <c r="AZ33" i="6"/>
  <c r="AZ64" i="6" s="1"/>
  <c r="BC9" i="12"/>
  <c r="BC153" i="4"/>
  <c r="BC155" i="4" s="1"/>
  <c r="BC32" i="4" s="1"/>
  <c r="BC46" i="4" s="1"/>
  <c r="BB27" i="9"/>
  <c r="BB30" i="6"/>
  <c r="BC25" i="4"/>
  <c r="AZ31" i="9"/>
  <c r="AZ36" i="9"/>
  <c r="AJ11" i="6"/>
  <c r="AJ12" i="6" s="1"/>
  <c r="AF47" i="5"/>
  <c r="BE39" i="5"/>
  <c r="BE42" i="5" s="1"/>
  <c r="BD45" i="5"/>
  <c r="BC58" i="5"/>
  <c r="BC61" i="5" s="1"/>
  <c r="BB63" i="5"/>
  <c r="BD2" i="12"/>
  <c r="BD2" i="10"/>
  <c r="BD2" i="9"/>
  <c r="BD2" i="6"/>
  <c r="BD2" i="5"/>
  <c r="BD2" i="4"/>
  <c r="BD2" i="2"/>
  <c r="BD2" i="3"/>
  <c r="BD3" i="1"/>
  <c r="BC56" i="6"/>
  <c r="BC59" i="6" s="1"/>
  <c r="M73" i="11"/>
  <c r="BE124" i="9"/>
  <c r="M124" i="11" s="1"/>
  <c r="BD14" i="5"/>
  <c r="BD17" i="5" s="1"/>
  <c r="BC19" i="5"/>
  <c r="BC67" i="9" s="1"/>
  <c r="BE15" i="5"/>
  <c r="AL35" i="6"/>
  <c r="AK80" i="9"/>
  <c r="BC3" i="12"/>
  <c r="BC3" i="2"/>
  <c r="BC3" i="3"/>
  <c r="BC3" i="6"/>
  <c r="BC3" i="5"/>
  <c r="BC3" i="4"/>
  <c r="BC3" i="9"/>
  <c r="BC3" i="10"/>
  <c r="BE53" i="5"/>
  <c r="BE56" i="5" s="1"/>
  <c r="BD59" i="5"/>
  <c r="AR47" i="6" l="1"/>
  <c r="AR50" i="6" s="1"/>
  <c r="AQ82" i="9"/>
  <c r="AC55" i="9"/>
  <c r="AC59" i="9" s="1"/>
  <c r="AC61" i="9" s="1"/>
  <c r="AD8" i="14"/>
  <c r="AD23" i="14"/>
  <c r="AE6" i="14"/>
  <c r="AC21" i="14"/>
  <c r="AD18" i="14" s="1"/>
  <c r="BK72" i="3"/>
  <c r="BK20" i="3" s="1"/>
  <c r="BK72" i="4"/>
  <c r="BK74" i="4" s="1"/>
  <c r="BK10" i="4" s="1"/>
  <c r="BK7" i="12"/>
  <c r="BL82" i="4"/>
  <c r="BL84" i="4" s="1"/>
  <c r="BL12" i="4" s="1"/>
  <c r="BL74" i="3"/>
  <c r="BL76" i="3" s="1"/>
  <c r="BL21" i="3" s="1"/>
  <c r="BL64" i="3"/>
  <c r="BL66" i="3" s="1"/>
  <c r="BL19" i="3" s="1"/>
  <c r="BQ98" i="3"/>
  <c r="BQ100" i="3" s="1"/>
  <c r="BQ22" i="3" s="1"/>
  <c r="BL69" i="3"/>
  <c r="BL33" i="2"/>
  <c r="BL70" i="3"/>
  <c r="BF112" i="4"/>
  <c r="BF114" i="4" s="1"/>
  <c r="BF18" i="4" s="1"/>
  <c r="BF119" i="4"/>
  <c r="BF19" i="4" s="1"/>
  <c r="BF107" i="4"/>
  <c r="BF109" i="4" s="1"/>
  <c r="BF17" i="4" s="1"/>
  <c r="BG94" i="3"/>
  <c r="BG96" i="3" s="1"/>
  <c r="BG27" i="3" s="1"/>
  <c r="BG45" i="2"/>
  <c r="BE8" i="12"/>
  <c r="BF37" i="2"/>
  <c r="BF82" i="3"/>
  <c r="BF84" i="3" s="1"/>
  <c r="BF24" i="3" s="1"/>
  <c r="BF90" i="3"/>
  <c r="BF92" i="3" s="1"/>
  <c r="BF26" i="3" s="1"/>
  <c r="BF41" i="2"/>
  <c r="BK102" i="3"/>
  <c r="BK104" i="3" s="1"/>
  <c r="BK28" i="3" s="1"/>
  <c r="BC7" i="6"/>
  <c r="BC8" i="6" s="1"/>
  <c r="BC63" i="6" s="1"/>
  <c r="BD31" i="3"/>
  <c r="BD7" i="6" s="1"/>
  <c r="AF33" i="5"/>
  <c r="AG30" i="5" s="1"/>
  <c r="AZ34" i="6"/>
  <c r="AE150" i="9"/>
  <c r="AF149" i="9" s="1"/>
  <c r="AF72" i="5"/>
  <c r="AF75" i="5" s="1"/>
  <c r="AF77" i="5" s="1"/>
  <c r="AF68" i="9" s="1"/>
  <c r="AF69" i="9" s="1"/>
  <c r="BB9" i="6"/>
  <c r="BE87" i="4"/>
  <c r="BE89" i="4" s="1"/>
  <c r="BE13" i="4" s="1"/>
  <c r="BE92" i="4"/>
  <c r="BE94" i="4" s="1"/>
  <c r="BE14" i="4" s="1"/>
  <c r="BE78" i="3"/>
  <c r="BE80" i="3" s="1"/>
  <c r="BE23" i="3" s="1"/>
  <c r="AJ72" i="9"/>
  <c r="AJ123" i="9" s="1"/>
  <c r="AK10" i="6"/>
  <c r="AK11" i="6" s="1"/>
  <c r="AK12" i="6" s="1"/>
  <c r="BA34" i="6"/>
  <c r="BB17" i="9"/>
  <c r="BB19" i="9" s="1"/>
  <c r="BB28" i="9"/>
  <c r="BB32" i="6"/>
  <c r="BC30" i="6"/>
  <c r="BC27" i="9"/>
  <c r="BC28" i="9" s="1"/>
  <c r="BA31" i="9"/>
  <c r="BA36" i="9"/>
  <c r="BD153" i="4"/>
  <c r="BD155" i="4" s="1"/>
  <c r="BD32" i="4" s="1"/>
  <c r="BD46" i="4" s="1"/>
  <c r="BD9" i="12"/>
  <c r="BC29" i="6"/>
  <c r="BC13" i="9"/>
  <c r="BC17" i="9" s="1"/>
  <c r="BC19" i="9" s="1"/>
  <c r="BD25" i="4"/>
  <c r="AF117" i="9"/>
  <c r="AF40" i="9"/>
  <c r="AR62" i="6"/>
  <c r="AR65" i="6" s="1"/>
  <c r="AR67" i="6" s="1"/>
  <c r="AQ69" i="6"/>
  <c r="AQ83" i="9" s="1"/>
  <c r="AQ126" i="9" s="1"/>
  <c r="AG67" i="5"/>
  <c r="AG70" i="5" s="1"/>
  <c r="AG28" i="5"/>
  <c r="BE97" i="4"/>
  <c r="BE99" i="4" s="1"/>
  <c r="BE15" i="4" s="1"/>
  <c r="BE102" i="4"/>
  <c r="BE104" i="4" s="1"/>
  <c r="BE16" i="4" s="1"/>
  <c r="BE86" i="3"/>
  <c r="BE88" i="3" s="1"/>
  <c r="BE25" i="3" s="1"/>
  <c r="BE59" i="5"/>
  <c r="BE14" i="5"/>
  <c r="BE17" i="5" s="1"/>
  <c r="BE19" i="5" s="1"/>
  <c r="BE67" i="9" s="1"/>
  <c r="BD19" i="5"/>
  <c r="BD67" i="9" s="1"/>
  <c r="BE45" i="5"/>
  <c r="AK88" i="9"/>
  <c r="AK97" i="9" s="1"/>
  <c r="AK125" i="9"/>
  <c r="BD3" i="12"/>
  <c r="BD3" i="9"/>
  <c r="BD3" i="6"/>
  <c r="BD3" i="10"/>
  <c r="BD3" i="5"/>
  <c r="BD3" i="4"/>
  <c r="BD3" i="3"/>
  <c r="BD3" i="2"/>
  <c r="BE2" i="12"/>
  <c r="BE2" i="10"/>
  <c r="BE2" i="6"/>
  <c r="BE2" i="5"/>
  <c r="BE2" i="4"/>
  <c r="BE2" i="2"/>
  <c r="BE2" i="3"/>
  <c r="BE2" i="9"/>
  <c r="BE3" i="1"/>
  <c r="AL36" i="6"/>
  <c r="AL37" i="6" s="1"/>
  <c r="BD58" i="5"/>
  <c r="BD61" i="5" s="1"/>
  <c r="BC63" i="5"/>
  <c r="BD56" i="6"/>
  <c r="BD59" i="6" s="1"/>
  <c r="AG44" i="5"/>
  <c r="AF49" i="5"/>
  <c r="AS47" i="6" l="1"/>
  <c r="AS50" i="6" s="1"/>
  <c r="AR82" i="9"/>
  <c r="AC103" i="9"/>
  <c r="AC105" i="9" s="1"/>
  <c r="AC107" i="9" s="1"/>
  <c r="AD58" i="9"/>
  <c r="AD11" i="14"/>
  <c r="AE8" i="14"/>
  <c r="AE23" i="14"/>
  <c r="AD25" i="14"/>
  <c r="AD19" i="14" s="1"/>
  <c r="AD24" i="14"/>
  <c r="BL7" i="12"/>
  <c r="BL72" i="4"/>
  <c r="BL74" i="4" s="1"/>
  <c r="BL10" i="4" s="1"/>
  <c r="BM82" i="4"/>
  <c r="BM84" i="4" s="1"/>
  <c r="BM12" i="4" s="1"/>
  <c r="BM74" i="3"/>
  <c r="BM76" i="3" s="1"/>
  <c r="BM21" i="3" s="1"/>
  <c r="BM69" i="3"/>
  <c r="BM33" i="2"/>
  <c r="BM70" i="3"/>
  <c r="BM64" i="3"/>
  <c r="BM66" i="3" s="1"/>
  <c r="BM19" i="3" s="1"/>
  <c r="BL72" i="3"/>
  <c r="BL20" i="3" s="1"/>
  <c r="BH45" i="2"/>
  <c r="BG107" i="4"/>
  <c r="BG109" i="4" s="1"/>
  <c r="BG17" i="4" s="1"/>
  <c r="BG112" i="4"/>
  <c r="BG114" i="4" s="1"/>
  <c r="BG18" i="4" s="1"/>
  <c r="BG119" i="4"/>
  <c r="BG19" i="4" s="1"/>
  <c r="BH94" i="3"/>
  <c r="BH96" i="3" s="1"/>
  <c r="BH27" i="3" s="1"/>
  <c r="BF86" i="3"/>
  <c r="BF88" i="3" s="1"/>
  <c r="BF25" i="3" s="1"/>
  <c r="BG41" i="2"/>
  <c r="BF102" i="4"/>
  <c r="BF104" i="4" s="1"/>
  <c r="BF16" i="4" s="1"/>
  <c r="BF97" i="4"/>
  <c r="BF99" i="4" s="1"/>
  <c r="BF15" i="4" s="1"/>
  <c r="BL102" i="3"/>
  <c r="BL104" i="3" s="1"/>
  <c r="BL28" i="3" s="1"/>
  <c r="BG90" i="3"/>
  <c r="BG92" i="3" s="1"/>
  <c r="BG26" i="3" s="1"/>
  <c r="BG82" i="3"/>
  <c r="BG84" i="3" s="1"/>
  <c r="BG24" i="3" s="1"/>
  <c r="BF8" i="12"/>
  <c r="BF92" i="4"/>
  <c r="BF94" i="4" s="1"/>
  <c r="BF14" i="4" s="1"/>
  <c r="BF87" i="4"/>
  <c r="BF89" i="4" s="1"/>
  <c r="BF13" i="4" s="1"/>
  <c r="BG37" i="2"/>
  <c r="BF78" i="3"/>
  <c r="BF80" i="3" s="1"/>
  <c r="BF23" i="3" s="1"/>
  <c r="BD8" i="9"/>
  <c r="BD10" i="9" s="1"/>
  <c r="BE31" i="3"/>
  <c r="BE7" i="6" s="1"/>
  <c r="AF35" i="5"/>
  <c r="AF78" i="5" s="1"/>
  <c r="AE74" i="9"/>
  <c r="AE75" i="9" s="1"/>
  <c r="AE77" i="9" s="1"/>
  <c r="AE99" i="9" s="1"/>
  <c r="BC20" i="9"/>
  <c r="BC30" i="9"/>
  <c r="BC32" i="6"/>
  <c r="BD27" i="9"/>
  <c r="BD30" i="6"/>
  <c r="AS62" i="6"/>
  <c r="AS65" i="6" s="1"/>
  <c r="AS67" i="6" s="1"/>
  <c r="AR69" i="6"/>
  <c r="AR83" i="9" s="1"/>
  <c r="AR126" i="9" s="1"/>
  <c r="BB33" i="6"/>
  <c r="BB64" i="6" s="1"/>
  <c r="BE153" i="4"/>
  <c r="BE155" i="4" s="1"/>
  <c r="BE32" i="4" s="1"/>
  <c r="BE46" i="4" s="1"/>
  <c r="BE9" i="12"/>
  <c r="AF42" i="9"/>
  <c r="BC9" i="6"/>
  <c r="BB20" i="9"/>
  <c r="BB30" i="9"/>
  <c r="BD13" i="9"/>
  <c r="BD17" i="9" s="1"/>
  <c r="BD29" i="6"/>
  <c r="AL10" i="6"/>
  <c r="AK72" i="9"/>
  <c r="AK123" i="9" s="1"/>
  <c r="BE25" i="4"/>
  <c r="AG31" i="5"/>
  <c r="AH25" i="5"/>
  <c r="BD8" i="6"/>
  <c r="BD63" i="6" s="1"/>
  <c r="AG47" i="5"/>
  <c r="AG72" i="5"/>
  <c r="AM35" i="6"/>
  <c r="AL80" i="9"/>
  <c r="BE58" i="5"/>
  <c r="BE61" i="5" s="1"/>
  <c r="BE63" i="5" s="1"/>
  <c r="BD63" i="5"/>
  <c r="M67" i="11"/>
  <c r="BE3" i="12"/>
  <c r="BE3" i="3"/>
  <c r="BE3" i="2"/>
  <c r="BE3" i="6"/>
  <c r="BE3" i="5"/>
  <c r="BE3" i="9"/>
  <c r="BE3" i="4"/>
  <c r="BE3" i="10"/>
  <c r="BE56" i="6"/>
  <c r="BE59" i="6" s="1"/>
  <c r="BF56" i="6" s="1"/>
  <c r="BF59" i="6" s="1"/>
  <c r="BB49" i="6" l="1"/>
  <c r="BB134" i="9" s="1"/>
  <c r="M134" i="11" s="1"/>
  <c r="AS82" i="9"/>
  <c r="L82" i="11" s="1"/>
  <c r="AT47" i="6"/>
  <c r="AT50" i="6" s="1"/>
  <c r="AD10" i="14"/>
  <c r="AD28" i="14"/>
  <c r="AE25" i="14"/>
  <c r="AE19" i="14" s="1"/>
  <c r="AE24" i="14"/>
  <c r="AD12" i="14"/>
  <c r="AD20" i="14" s="1"/>
  <c r="AD29" i="14" s="1"/>
  <c r="AD30" i="14" s="1"/>
  <c r="AD33" i="14" s="1"/>
  <c r="AD34" i="14" s="1"/>
  <c r="AD53" i="9" s="1"/>
  <c r="BF31" i="3"/>
  <c r="BF8" i="9" s="1"/>
  <c r="BF153" i="4"/>
  <c r="BF155" i="4" s="1"/>
  <c r="BF32" i="4" s="1"/>
  <c r="BF46" i="4" s="1"/>
  <c r="BF9" i="12"/>
  <c r="BG87" i="4"/>
  <c r="BG89" i="4" s="1"/>
  <c r="BG13" i="4" s="1"/>
  <c r="BG92" i="4"/>
  <c r="BG94" i="4" s="1"/>
  <c r="BG14" i="4" s="1"/>
  <c r="BG8" i="12"/>
  <c r="BH82" i="3"/>
  <c r="BH84" i="3" s="1"/>
  <c r="BH24" i="3" s="1"/>
  <c r="BH37" i="2"/>
  <c r="BG78" i="3"/>
  <c r="BG80" i="3" s="1"/>
  <c r="BG23" i="3" s="1"/>
  <c r="BI45" i="2"/>
  <c r="BH107" i="4"/>
  <c r="BH109" i="4" s="1"/>
  <c r="BH17" i="4" s="1"/>
  <c r="BH119" i="4"/>
  <c r="BH19" i="4" s="1"/>
  <c r="BI94" i="3"/>
  <c r="BI96" i="3" s="1"/>
  <c r="BI27" i="3" s="1"/>
  <c r="BH112" i="4"/>
  <c r="BH114" i="4" s="1"/>
  <c r="BH18" i="4" s="1"/>
  <c r="BM7" i="12"/>
  <c r="BM72" i="4"/>
  <c r="BM74" i="4" s="1"/>
  <c r="BM10" i="4" s="1"/>
  <c r="BN82" i="4"/>
  <c r="BN84" i="4" s="1"/>
  <c r="BN12" i="4" s="1"/>
  <c r="BN69" i="3"/>
  <c r="BN72" i="3" s="1"/>
  <c r="BN20" i="3" s="1"/>
  <c r="BN70" i="3"/>
  <c r="BN33" i="2"/>
  <c r="BN74" i="3"/>
  <c r="BN76" i="3" s="1"/>
  <c r="BN21" i="3" s="1"/>
  <c r="BN64" i="3"/>
  <c r="BN66" i="3" s="1"/>
  <c r="BN19" i="3" s="1"/>
  <c r="BF25" i="4"/>
  <c r="BH41" i="2"/>
  <c r="BG97" i="4"/>
  <c r="BG99" i="4" s="1"/>
  <c r="BG15" i="4" s="1"/>
  <c r="BG102" i="4"/>
  <c r="BG104" i="4" s="1"/>
  <c r="BG16" i="4" s="1"/>
  <c r="BG86" i="3"/>
  <c r="BG88" i="3" s="1"/>
  <c r="BG25" i="3" s="1"/>
  <c r="BH90" i="3"/>
  <c r="BH92" i="3" s="1"/>
  <c r="BH26" i="3" s="1"/>
  <c r="BM102" i="3"/>
  <c r="BM104" i="3" s="1"/>
  <c r="BM28" i="3" s="1"/>
  <c r="BM72" i="3"/>
  <c r="BM20" i="3" s="1"/>
  <c r="BG56" i="6"/>
  <c r="BG59" i="6" s="1"/>
  <c r="BD19" i="9"/>
  <c r="BD20" i="9" s="1"/>
  <c r="BE8" i="9"/>
  <c r="BE10" i="9" s="1"/>
  <c r="M10" i="11" s="1"/>
  <c r="BD32" i="6"/>
  <c r="BD33" i="6" s="1"/>
  <c r="BD64" i="6" s="1"/>
  <c r="BD9" i="6"/>
  <c r="BE29" i="6"/>
  <c r="BE13" i="9"/>
  <c r="AH67" i="5"/>
  <c r="AH70" i="5" s="1"/>
  <c r="AH28" i="5"/>
  <c r="AG73" i="5"/>
  <c r="AG39" i="9" s="1"/>
  <c r="AG33" i="5"/>
  <c r="BB36" i="9"/>
  <c r="BB31" i="9"/>
  <c r="BD28" i="9"/>
  <c r="BB34" i="6"/>
  <c r="BC33" i="6"/>
  <c r="BC64" i="6" s="1"/>
  <c r="BE30" i="6"/>
  <c r="BE27" i="9"/>
  <c r="BE28" i="9" s="1"/>
  <c r="AL11" i="6"/>
  <c r="AL12" i="6" s="1"/>
  <c r="AF48" i="9"/>
  <c r="AF114" i="9"/>
  <c r="BC31" i="9"/>
  <c r="BC36" i="9"/>
  <c r="BE8" i="6"/>
  <c r="BE63" i="6" s="1"/>
  <c r="AT62" i="6"/>
  <c r="AT65" i="6" s="1"/>
  <c r="AS69" i="6"/>
  <c r="AS83" i="9" s="1"/>
  <c r="AH44" i="5"/>
  <c r="AG49" i="5"/>
  <c r="AL125" i="9"/>
  <c r="AL88" i="9"/>
  <c r="AL97" i="9" s="1"/>
  <c r="AM36" i="6"/>
  <c r="AM37" i="6" s="1"/>
  <c r="AT82" i="9" l="1"/>
  <c r="AU47" i="6"/>
  <c r="AU50" i="6" s="1"/>
  <c r="AD55" i="9"/>
  <c r="AD59" i="9" s="1"/>
  <c r="AD61" i="9" s="1"/>
  <c r="AE10" i="14"/>
  <c r="AE28" i="14"/>
  <c r="AD21" i="14"/>
  <c r="AE18" i="14" s="1"/>
  <c r="BF7" i="6"/>
  <c r="BG31" i="3"/>
  <c r="BJ45" i="2"/>
  <c r="BJ94" i="3"/>
  <c r="BJ96" i="3" s="1"/>
  <c r="BJ27" i="3" s="1"/>
  <c r="BI107" i="4"/>
  <c r="BI109" i="4" s="1"/>
  <c r="BI17" i="4" s="1"/>
  <c r="BI119" i="4"/>
  <c r="BI19" i="4" s="1"/>
  <c r="BI112" i="4"/>
  <c r="BI114" i="4" s="1"/>
  <c r="BI18" i="4" s="1"/>
  <c r="BG153" i="4"/>
  <c r="BG155" i="4" s="1"/>
  <c r="BG32" i="4" s="1"/>
  <c r="BG46" i="4" s="1"/>
  <c r="BG9" i="12"/>
  <c r="BF30" i="6"/>
  <c r="BF27" i="9"/>
  <c r="BI41" i="2"/>
  <c r="BH97" i="4"/>
  <c r="BH99" i="4" s="1"/>
  <c r="BH15" i="4" s="1"/>
  <c r="BI90" i="3"/>
  <c r="BI92" i="3" s="1"/>
  <c r="BI26" i="3" s="1"/>
  <c r="BH102" i="4"/>
  <c r="BH104" i="4" s="1"/>
  <c r="BH16" i="4" s="1"/>
  <c r="BH86" i="3"/>
  <c r="BH88" i="3" s="1"/>
  <c r="BH25" i="3" s="1"/>
  <c r="BN102" i="3"/>
  <c r="BN104" i="3" s="1"/>
  <c r="BN28" i="3" s="1"/>
  <c r="BG8" i="9"/>
  <c r="BG10" i="9" s="1"/>
  <c r="BG7" i="6"/>
  <c r="BF8" i="6"/>
  <c r="BF63" i="6" s="1"/>
  <c r="BF13" i="9"/>
  <c r="BF29" i="6"/>
  <c r="BF32" i="6" s="1"/>
  <c r="BO82" i="4"/>
  <c r="BO84" i="4" s="1"/>
  <c r="BO12" i="4" s="1"/>
  <c r="BN7" i="12"/>
  <c r="BN72" i="4"/>
  <c r="BN74" i="4" s="1"/>
  <c r="BN10" i="4" s="1"/>
  <c r="BO69" i="3"/>
  <c r="BO72" i="3" s="1"/>
  <c r="BO20" i="3" s="1"/>
  <c r="BO70" i="3"/>
  <c r="BO64" i="3"/>
  <c r="BO66" i="3" s="1"/>
  <c r="BO19" i="3" s="1"/>
  <c r="BO33" i="2"/>
  <c r="BO74" i="3"/>
  <c r="BO76" i="3" s="1"/>
  <c r="BO21" i="3" s="1"/>
  <c r="BH87" i="4"/>
  <c r="BH89" i="4" s="1"/>
  <c r="BH13" i="4" s="1"/>
  <c r="BH8" i="12"/>
  <c r="BH92" i="4"/>
  <c r="BH94" i="4" s="1"/>
  <c r="BH14" i="4" s="1"/>
  <c r="BH78" i="3"/>
  <c r="BH80" i="3" s="1"/>
  <c r="BH23" i="3" s="1"/>
  <c r="BI82" i="3"/>
  <c r="BI84" i="3" s="1"/>
  <c r="BI24" i="3" s="1"/>
  <c r="BI37" i="2"/>
  <c r="BG25" i="4"/>
  <c r="BF10" i="9"/>
  <c r="BH56" i="6"/>
  <c r="BH59" i="6" s="1"/>
  <c r="BD30" i="9"/>
  <c r="BD31" i="9" s="1"/>
  <c r="M8" i="11"/>
  <c r="F9" i="13" s="1"/>
  <c r="F10" i="13" s="1"/>
  <c r="AG75" i="5"/>
  <c r="AG77" i="5" s="1"/>
  <c r="AG68" i="9" s="1"/>
  <c r="K68" i="11" s="1"/>
  <c r="M27" i="11"/>
  <c r="BE9" i="6"/>
  <c r="M28" i="11"/>
  <c r="F15" i="13" s="1"/>
  <c r="BC34" i="6"/>
  <c r="AL72" i="9"/>
  <c r="AL123" i="9" s="1"/>
  <c r="AM10" i="6"/>
  <c r="AI25" i="5"/>
  <c r="AH31" i="5"/>
  <c r="AH73" i="5" s="1"/>
  <c r="AH39" i="9" s="1"/>
  <c r="L83" i="11"/>
  <c r="AS126" i="9"/>
  <c r="L126" i="11" s="1"/>
  <c r="AF120" i="9"/>
  <c r="BE17" i="9"/>
  <c r="M13" i="11"/>
  <c r="AF50" i="9"/>
  <c r="AF6" i="14" s="1"/>
  <c r="AH30" i="5"/>
  <c r="AG35" i="5"/>
  <c r="BE32" i="6"/>
  <c r="AG117" i="9"/>
  <c r="K117" i="11" s="1"/>
  <c r="AG40" i="9"/>
  <c r="K39" i="11"/>
  <c r="AT67" i="6"/>
  <c r="AV66" i="6"/>
  <c r="BD34" i="6"/>
  <c r="AM80" i="9"/>
  <c r="AN35" i="6"/>
  <c r="AH47" i="5"/>
  <c r="AU82" i="9" l="1"/>
  <c r="AV47" i="6"/>
  <c r="AV50" i="6" s="1"/>
  <c r="AD103" i="9"/>
  <c r="AD105" i="9" s="1"/>
  <c r="AD107" i="9" s="1"/>
  <c r="AE58" i="9"/>
  <c r="AF8" i="14"/>
  <c r="AF23" i="14"/>
  <c r="AE11" i="14"/>
  <c r="AE12" i="14" s="1"/>
  <c r="AE20" i="14" s="1"/>
  <c r="AE29" i="14" s="1"/>
  <c r="AE30" i="14" s="1"/>
  <c r="AE33" i="14" s="1"/>
  <c r="AE34" i="14" s="1"/>
  <c r="AE53" i="9" s="1"/>
  <c r="AE55" i="9" s="1"/>
  <c r="AE59" i="9" s="1"/>
  <c r="BH31" i="3"/>
  <c r="BH25" i="4"/>
  <c r="BF9" i="6"/>
  <c r="BH8" i="9"/>
  <c r="BH7" i="6"/>
  <c r="BJ41" i="2"/>
  <c r="BI97" i="4"/>
  <c r="BI99" i="4" s="1"/>
  <c r="BI15" i="4" s="1"/>
  <c r="BI102" i="4"/>
  <c r="BI104" i="4" s="1"/>
  <c r="BI16" i="4" s="1"/>
  <c r="BJ90" i="3"/>
  <c r="BJ92" i="3" s="1"/>
  <c r="BJ26" i="3" s="1"/>
  <c r="BI86" i="3"/>
  <c r="BI88" i="3" s="1"/>
  <c r="BI25" i="3" s="1"/>
  <c r="BO102" i="3"/>
  <c r="BO104" i="3" s="1"/>
  <c r="BO28" i="3" s="1"/>
  <c r="BG30" i="6"/>
  <c r="BG27" i="9"/>
  <c r="BG28" i="9" s="1"/>
  <c r="BF33" i="6"/>
  <c r="BF64" i="6" s="1"/>
  <c r="BG8" i="6"/>
  <c r="BG63" i="6" s="1"/>
  <c r="BF28" i="9"/>
  <c r="BK45" i="2"/>
  <c r="BJ112" i="4"/>
  <c r="BJ114" i="4" s="1"/>
  <c r="BJ18" i="4" s="1"/>
  <c r="BJ119" i="4"/>
  <c r="BJ19" i="4" s="1"/>
  <c r="BJ107" i="4"/>
  <c r="BJ109" i="4" s="1"/>
  <c r="BJ17" i="4" s="1"/>
  <c r="BK94" i="3"/>
  <c r="BK96" i="3" s="1"/>
  <c r="BK27" i="3" s="1"/>
  <c r="BG13" i="9"/>
  <c r="BG17" i="9" s="1"/>
  <c r="BG19" i="9" s="1"/>
  <c r="BG20" i="9" s="1"/>
  <c r="BG29" i="6"/>
  <c r="BI8" i="12"/>
  <c r="BI87" i="4"/>
  <c r="BI89" i="4" s="1"/>
  <c r="BI13" i="4" s="1"/>
  <c r="BI92" i="4"/>
  <c r="BI94" i="4" s="1"/>
  <c r="BI14" i="4" s="1"/>
  <c r="BJ82" i="3"/>
  <c r="BJ84" i="3" s="1"/>
  <c r="BJ24" i="3" s="1"/>
  <c r="BI78" i="3"/>
  <c r="BI80" i="3" s="1"/>
  <c r="BI23" i="3" s="1"/>
  <c r="BJ37" i="2"/>
  <c r="BH153" i="4"/>
  <c r="BH155" i="4" s="1"/>
  <c r="BH32" i="4" s="1"/>
  <c r="BH46" i="4" s="1"/>
  <c r="BH9" i="12"/>
  <c r="BO72" i="4"/>
  <c r="BO74" i="4" s="1"/>
  <c r="BO10" i="4" s="1"/>
  <c r="BP82" i="4"/>
  <c r="BP84" i="4" s="1"/>
  <c r="BP12" i="4" s="1"/>
  <c r="BO7" i="12"/>
  <c r="BP70" i="3"/>
  <c r="BP69" i="3"/>
  <c r="BP33" i="2"/>
  <c r="BP64" i="3"/>
  <c r="BP66" i="3" s="1"/>
  <c r="BP19" i="3" s="1"/>
  <c r="BP74" i="3"/>
  <c r="BP76" i="3" s="1"/>
  <c r="BP21" i="3" s="1"/>
  <c r="BF17" i="9"/>
  <c r="BI56" i="6"/>
  <c r="BI59" i="6" s="1"/>
  <c r="BD36" i="9"/>
  <c r="AG78" i="5"/>
  <c r="AG69" i="9"/>
  <c r="K69" i="11" s="1"/>
  <c r="AH33" i="5"/>
  <c r="AI30" i="5" s="1"/>
  <c r="AH72" i="5"/>
  <c r="AH75" i="5" s="1"/>
  <c r="AH77" i="5" s="1"/>
  <c r="AH68" i="9" s="1"/>
  <c r="AH69" i="9" s="1"/>
  <c r="AG42" i="9"/>
  <c r="K40" i="11"/>
  <c r="AH40" i="9"/>
  <c r="AH42" i="9" s="1"/>
  <c r="AH117" i="9"/>
  <c r="M17" i="11"/>
  <c r="M19" i="11" s="1"/>
  <c r="BE19" i="9"/>
  <c r="AI67" i="5"/>
  <c r="AI70" i="5" s="1"/>
  <c r="AI28" i="5"/>
  <c r="AM11" i="6"/>
  <c r="AM12" i="6" s="1"/>
  <c r="BE33" i="6"/>
  <c r="BE64" i="6" s="1"/>
  <c r="AF127" i="9"/>
  <c r="AU62" i="6"/>
  <c r="AU65" i="6" s="1"/>
  <c r="AU67" i="6" s="1"/>
  <c r="AT69" i="6"/>
  <c r="AT83" i="9" s="1"/>
  <c r="AT126" i="9" s="1"/>
  <c r="AI44" i="5"/>
  <c r="AH49" i="5"/>
  <c r="AN36" i="6"/>
  <c r="AN37" i="6" s="1"/>
  <c r="AM125" i="9"/>
  <c r="AM88" i="9"/>
  <c r="AM97" i="9" s="1"/>
  <c r="AV82" i="9" l="1"/>
  <c r="AW47" i="6"/>
  <c r="AW50" i="6" s="1"/>
  <c r="AE61" i="9"/>
  <c r="AE103" i="9"/>
  <c r="AE105" i="9" s="1"/>
  <c r="AE107" i="9" s="1"/>
  <c r="AF58" i="9"/>
  <c r="AE21" i="14"/>
  <c r="AF18" i="14" s="1"/>
  <c r="AF24" i="14"/>
  <c r="AF25" i="14"/>
  <c r="AF19" i="14" s="1"/>
  <c r="M20" i="11"/>
  <c r="F13" i="13" s="1"/>
  <c r="F12" i="13"/>
  <c r="BG32" i="6"/>
  <c r="BG33" i="6" s="1"/>
  <c r="BI25" i="4"/>
  <c r="BI13" i="9" s="1"/>
  <c r="BI17" i="9" s="1"/>
  <c r="BG9" i="6"/>
  <c r="BI31" i="3"/>
  <c r="BI8" i="9" s="1"/>
  <c r="BI10" i="9" s="1"/>
  <c r="BK41" i="2"/>
  <c r="BJ102" i="4"/>
  <c r="BJ104" i="4" s="1"/>
  <c r="BJ16" i="4" s="1"/>
  <c r="BJ97" i="4"/>
  <c r="BJ99" i="4" s="1"/>
  <c r="BJ15" i="4" s="1"/>
  <c r="BK90" i="3"/>
  <c r="BK92" i="3" s="1"/>
  <c r="BK26" i="3" s="1"/>
  <c r="BP102" i="3"/>
  <c r="BP104" i="3" s="1"/>
  <c r="BP28" i="3" s="1"/>
  <c r="BJ86" i="3"/>
  <c r="BJ88" i="3" s="1"/>
  <c r="BJ25" i="3" s="1"/>
  <c r="BH27" i="9"/>
  <c r="BH30" i="6"/>
  <c r="BG30" i="9"/>
  <c r="BH8" i="6"/>
  <c r="BH63" i="6" s="1"/>
  <c r="BH13" i="9"/>
  <c r="BH29" i="6"/>
  <c r="BP7" i="12"/>
  <c r="BQ82" i="4"/>
  <c r="BQ84" i="4" s="1"/>
  <c r="BQ12" i="4" s="1"/>
  <c r="BP72" i="4"/>
  <c r="BP74" i="4" s="1"/>
  <c r="BP10" i="4" s="1"/>
  <c r="BQ74" i="3"/>
  <c r="BQ76" i="3" s="1"/>
  <c r="BQ21" i="3" s="1"/>
  <c r="BQ64" i="3"/>
  <c r="BQ66" i="3" s="1"/>
  <c r="BQ19" i="3" s="1"/>
  <c r="BQ69" i="3"/>
  <c r="BQ72" i="3" s="1"/>
  <c r="BQ20" i="3" s="1"/>
  <c r="BQ33" i="2"/>
  <c r="BQ70" i="3"/>
  <c r="BJ8" i="12"/>
  <c r="BJ92" i="4"/>
  <c r="BJ94" i="4" s="1"/>
  <c r="BJ14" i="4" s="1"/>
  <c r="BJ87" i="4"/>
  <c r="BJ89" i="4" s="1"/>
  <c r="BJ13" i="4" s="1"/>
  <c r="BK37" i="2"/>
  <c r="BK82" i="3"/>
  <c r="BK84" i="3" s="1"/>
  <c r="BK24" i="3" s="1"/>
  <c r="BJ78" i="3"/>
  <c r="BJ80" i="3" s="1"/>
  <c r="BJ23" i="3" s="1"/>
  <c r="BJ31" i="3" s="1"/>
  <c r="BI29" i="6"/>
  <c r="BL45" i="2"/>
  <c r="BK107" i="4"/>
  <c r="BK109" i="4" s="1"/>
  <c r="BK17" i="4" s="1"/>
  <c r="BK112" i="4"/>
  <c r="BK114" i="4" s="1"/>
  <c r="BK18" i="4" s="1"/>
  <c r="BK119" i="4"/>
  <c r="BK19" i="4" s="1"/>
  <c r="BL94" i="3"/>
  <c r="BL96" i="3" s="1"/>
  <c r="BL27" i="3" s="1"/>
  <c r="BH10" i="9"/>
  <c r="BF19" i="9"/>
  <c r="BP72" i="3"/>
  <c r="BP20" i="3" s="1"/>
  <c r="BI7" i="6"/>
  <c r="BI153" i="4"/>
  <c r="BI155" i="4" s="1"/>
  <c r="BI32" i="4" s="1"/>
  <c r="BI46" i="4" s="1"/>
  <c r="BI9" i="12"/>
  <c r="BF34" i="6"/>
  <c r="BJ56" i="6"/>
  <c r="BJ59" i="6" s="1"/>
  <c r="AH35" i="5"/>
  <c r="AH78" i="5" s="1"/>
  <c r="AI31" i="5"/>
  <c r="AJ25" i="5"/>
  <c r="AV62" i="6"/>
  <c r="AV65" i="6" s="1"/>
  <c r="AV67" i="6" s="1"/>
  <c r="AU69" i="6"/>
  <c r="AU83" i="9" s="1"/>
  <c r="AU126" i="9" s="1"/>
  <c r="BE30" i="9"/>
  <c r="BE20" i="9"/>
  <c r="AF135" i="9"/>
  <c r="BE34" i="6"/>
  <c r="AH48" i="9"/>
  <c r="AH50" i="9" s="1"/>
  <c r="AH114" i="9"/>
  <c r="AH120" i="9" s="1"/>
  <c r="AH127" i="9" s="1"/>
  <c r="AH135" i="9" s="1"/>
  <c r="AM72" i="9"/>
  <c r="AM123" i="9" s="1"/>
  <c r="AN10" i="6"/>
  <c r="AN11" i="6" s="1"/>
  <c r="AN12" i="6" s="1"/>
  <c r="AG114" i="9"/>
  <c r="AG48" i="9"/>
  <c r="K42" i="11"/>
  <c r="K43" i="11" s="1"/>
  <c r="AI47" i="5"/>
  <c r="AI72" i="5"/>
  <c r="AO35" i="6"/>
  <c r="AN80" i="9"/>
  <c r="AX47" i="6" l="1"/>
  <c r="AX50" i="6" s="1"/>
  <c r="AW82" i="9"/>
  <c r="BG64" i="6"/>
  <c r="BG34" i="6"/>
  <c r="AH55" i="9"/>
  <c r="AH59" i="9" s="1"/>
  <c r="AH6" i="14"/>
  <c r="AF10" i="14"/>
  <c r="AF28" i="14"/>
  <c r="AF11" i="14"/>
  <c r="AF12" i="14" s="1"/>
  <c r="AF20" i="14" s="1"/>
  <c r="AF29" i="14" s="1"/>
  <c r="BJ25" i="4"/>
  <c r="BI19" i="9"/>
  <c r="BI20" i="9" s="1"/>
  <c r="BH9" i="6"/>
  <c r="BJ13" i="9"/>
  <c r="BJ17" i="9" s="1"/>
  <c r="BJ29" i="6"/>
  <c r="BQ7" i="12"/>
  <c r="BQ72" i="4"/>
  <c r="BQ74" i="4" s="1"/>
  <c r="BQ10" i="4" s="1"/>
  <c r="BH17" i="9"/>
  <c r="BH19" i="9" s="1"/>
  <c r="BH20" i="9" s="1"/>
  <c r="BJ8" i="9"/>
  <c r="BJ10" i="9" s="1"/>
  <c r="BJ7" i="6"/>
  <c r="BH28" i="9"/>
  <c r="BL41" i="2"/>
  <c r="BK97" i="4"/>
  <c r="BK99" i="4" s="1"/>
  <c r="BK15" i="4" s="1"/>
  <c r="BK102" i="4"/>
  <c r="BK104" i="4" s="1"/>
  <c r="BK16" i="4" s="1"/>
  <c r="BL90" i="3"/>
  <c r="BL92" i="3" s="1"/>
  <c r="BL26" i="3" s="1"/>
  <c r="BQ102" i="3"/>
  <c r="BQ104" i="3" s="1"/>
  <c r="BQ28" i="3" s="1"/>
  <c r="BK86" i="3"/>
  <c r="BK88" i="3" s="1"/>
  <c r="BK25" i="3" s="1"/>
  <c r="BM45" i="2"/>
  <c r="BM94" i="3"/>
  <c r="BM96" i="3" s="1"/>
  <c r="BM27" i="3" s="1"/>
  <c r="BL112" i="4"/>
  <c r="BL114" i="4" s="1"/>
  <c r="BL18" i="4" s="1"/>
  <c r="BL107" i="4"/>
  <c r="BL109" i="4" s="1"/>
  <c r="BL17" i="4" s="1"/>
  <c r="BL119" i="4"/>
  <c r="BL19" i="4" s="1"/>
  <c r="BJ153" i="4"/>
  <c r="BJ155" i="4" s="1"/>
  <c r="BJ32" i="4" s="1"/>
  <c r="BJ46" i="4" s="1"/>
  <c r="BJ9" i="12"/>
  <c r="BI27" i="9"/>
  <c r="BI28" i="9" s="1"/>
  <c r="BI30" i="6"/>
  <c r="BI8" i="6"/>
  <c r="BI63" i="6" s="1"/>
  <c r="BF20" i="9"/>
  <c r="BF30" i="9"/>
  <c r="BI32" i="6"/>
  <c r="BK87" i="4"/>
  <c r="BK89" i="4" s="1"/>
  <c r="BK13" i="4" s="1"/>
  <c r="BK92" i="4"/>
  <c r="BK94" i="4" s="1"/>
  <c r="BK14" i="4" s="1"/>
  <c r="BK8" i="12"/>
  <c r="BL37" i="2"/>
  <c r="BK78" i="3"/>
  <c r="BK80" i="3" s="1"/>
  <c r="BK23" i="3" s="1"/>
  <c r="BK31" i="3" s="1"/>
  <c r="BL82" i="3"/>
  <c r="BL84" i="3" s="1"/>
  <c r="BL24" i="3" s="1"/>
  <c r="BH32" i="6"/>
  <c r="BG31" i="9"/>
  <c r="BG36" i="9"/>
  <c r="BK56" i="6"/>
  <c r="BK59" i="6" s="1"/>
  <c r="AO10" i="6"/>
  <c r="AN72" i="9"/>
  <c r="AN123" i="9" s="1"/>
  <c r="AF148" i="9"/>
  <c r="BE31" i="9"/>
  <c r="BE36" i="9"/>
  <c r="M36" i="11" s="1"/>
  <c r="M30" i="11"/>
  <c r="AW62" i="6"/>
  <c r="AW65" i="6" s="1"/>
  <c r="AV69" i="6"/>
  <c r="AV83" i="9" s="1"/>
  <c r="AV126" i="9" s="1"/>
  <c r="AG50" i="9"/>
  <c r="AG6" i="14" s="1"/>
  <c r="K48" i="11"/>
  <c r="AJ28" i="5"/>
  <c r="AJ67" i="5"/>
  <c r="AJ70" i="5" s="1"/>
  <c r="AG120" i="9"/>
  <c r="K114" i="11"/>
  <c r="AI73" i="5"/>
  <c r="AI39" i="9" s="1"/>
  <c r="AI33" i="5"/>
  <c r="AO36" i="6"/>
  <c r="AO37" i="6" s="1"/>
  <c r="AN88" i="9"/>
  <c r="AN97" i="9" s="1"/>
  <c r="AN125" i="9"/>
  <c r="AJ44" i="5"/>
  <c r="AI49" i="5"/>
  <c r="AH148" i="9"/>
  <c r="AX82" i="9" l="1"/>
  <c r="AY47" i="6"/>
  <c r="AY50" i="6" s="1"/>
  <c r="AF21" i="14"/>
  <c r="AG18" i="14" s="1"/>
  <c r="AF30" i="14"/>
  <c r="AF33" i="14" s="1"/>
  <c r="AF34" i="14" s="1"/>
  <c r="AF53" i="9" s="1"/>
  <c r="AF55" i="9" s="1"/>
  <c r="AF59" i="9" s="1"/>
  <c r="AF61" i="9" s="1"/>
  <c r="AF103" i="9" s="1"/>
  <c r="AF105" i="9" s="1"/>
  <c r="AG8" i="14"/>
  <c r="AG23" i="14"/>
  <c r="AH8" i="14"/>
  <c r="AH23" i="14"/>
  <c r="BI30" i="9"/>
  <c r="M31" i="11"/>
  <c r="F18" i="13" s="1"/>
  <c r="F17" i="13"/>
  <c r="BK25" i="4"/>
  <c r="BK29" i="6" s="1"/>
  <c r="BJ19" i="9"/>
  <c r="BJ20" i="9" s="1"/>
  <c r="BK8" i="9"/>
  <c r="BK10" i="9" s="1"/>
  <c r="BK7" i="6"/>
  <c r="BK13" i="9"/>
  <c r="BI9" i="6"/>
  <c r="BI31" i="9"/>
  <c r="BI36" i="9"/>
  <c r="BM41" i="2"/>
  <c r="BL102" i="4"/>
  <c r="BL104" i="4" s="1"/>
  <c r="BL16" i="4" s="1"/>
  <c r="BL97" i="4"/>
  <c r="BL99" i="4" s="1"/>
  <c r="BL15" i="4" s="1"/>
  <c r="BL86" i="3"/>
  <c r="BL88" i="3" s="1"/>
  <c r="BL25" i="3" s="1"/>
  <c r="BM90" i="3"/>
  <c r="BM92" i="3" s="1"/>
  <c r="BM26" i="3" s="1"/>
  <c r="BJ8" i="6"/>
  <c r="BJ63" i="6" s="1"/>
  <c r="BI33" i="6"/>
  <c r="BI64" i="6" s="1"/>
  <c r="BJ30" i="6"/>
  <c r="BJ32" i="6" s="1"/>
  <c r="BJ27" i="9"/>
  <c r="BJ28" i="9" s="1"/>
  <c r="BJ30" i="9" s="1"/>
  <c r="BL8" i="12"/>
  <c r="BL92" i="4"/>
  <c r="BL94" i="4" s="1"/>
  <c r="BL14" i="4" s="1"/>
  <c r="BL87" i="4"/>
  <c r="BL89" i="4" s="1"/>
  <c r="BL13" i="4" s="1"/>
  <c r="BL25" i="4" s="1"/>
  <c r="BM82" i="3"/>
  <c r="BM84" i="3" s="1"/>
  <c r="BM24" i="3" s="1"/>
  <c r="BM37" i="2"/>
  <c r="BL78" i="3"/>
  <c r="BL80" i="3" s="1"/>
  <c r="BL23" i="3" s="1"/>
  <c r="BH33" i="6"/>
  <c r="BH64" i="6" s="1"/>
  <c r="BK153" i="4"/>
  <c r="BK155" i="4" s="1"/>
  <c r="BK32" i="4" s="1"/>
  <c r="BK46" i="4" s="1"/>
  <c r="BK9" i="12"/>
  <c r="BF36" i="9"/>
  <c r="BF31" i="9"/>
  <c r="BN45" i="2"/>
  <c r="BN94" i="3"/>
  <c r="BN96" i="3" s="1"/>
  <c r="BN27" i="3" s="1"/>
  <c r="BM107" i="4"/>
  <c r="BM109" i="4" s="1"/>
  <c r="BM17" i="4" s="1"/>
  <c r="BM119" i="4"/>
  <c r="BM19" i="4" s="1"/>
  <c r="BM112" i="4"/>
  <c r="BM114" i="4" s="1"/>
  <c r="BM18" i="4" s="1"/>
  <c r="BH30" i="9"/>
  <c r="BL56" i="6"/>
  <c r="BL59" i="6" s="1"/>
  <c r="AY66" i="6"/>
  <c r="AW67" i="6"/>
  <c r="K50" i="11"/>
  <c r="AJ30" i="5"/>
  <c r="AI35" i="5"/>
  <c r="AI75" i="5"/>
  <c r="AI77" i="5" s="1"/>
  <c r="AI68" i="9" s="1"/>
  <c r="AI69" i="9" s="1"/>
  <c r="AI40" i="9"/>
  <c r="AI42" i="9" s="1"/>
  <c r="AI117" i="9"/>
  <c r="AF150" i="9"/>
  <c r="AK25" i="5"/>
  <c r="AJ31" i="5"/>
  <c r="AJ73" i="5" s="1"/>
  <c r="AJ39" i="9" s="1"/>
  <c r="AG127" i="9"/>
  <c r="K120" i="11"/>
  <c r="AO11" i="6"/>
  <c r="AO12" i="6" s="1"/>
  <c r="AO80" i="9"/>
  <c r="AP35" i="6"/>
  <c r="AJ47" i="5"/>
  <c r="AZ47" i="6" l="1"/>
  <c r="AZ50" i="6" s="1"/>
  <c r="AY82" i="9"/>
  <c r="AG58" i="9"/>
  <c r="AH24" i="14"/>
  <c r="AH25" i="14"/>
  <c r="AH19" i="14" s="1"/>
  <c r="AG24" i="14"/>
  <c r="AG25" i="14"/>
  <c r="AG19" i="14" s="1"/>
  <c r="AG11" i="14"/>
  <c r="BK27" i="9"/>
  <c r="BK28" i="9" s="1"/>
  <c r="BK30" i="6"/>
  <c r="BM8" i="12"/>
  <c r="BM87" i="4"/>
  <c r="BM89" i="4" s="1"/>
  <c r="BM13" i="4" s="1"/>
  <c r="BM92" i="4"/>
  <c r="BM94" i="4" s="1"/>
  <c r="BM14" i="4" s="1"/>
  <c r="BM78" i="3"/>
  <c r="BM80" i="3" s="1"/>
  <c r="BM23" i="3" s="1"/>
  <c r="BN82" i="3"/>
  <c r="BN84" i="3" s="1"/>
  <c r="BN24" i="3" s="1"/>
  <c r="BN37" i="2"/>
  <c r="BL153" i="4"/>
  <c r="BL155" i="4" s="1"/>
  <c r="BL32" i="4" s="1"/>
  <c r="BL46" i="4" s="1"/>
  <c r="BL9" i="12"/>
  <c r="BJ36" i="9"/>
  <c r="BJ31" i="9"/>
  <c r="BK17" i="9"/>
  <c r="BK19" i="9" s="1"/>
  <c r="BK20" i="9" s="1"/>
  <c r="BH34" i="6"/>
  <c r="BJ33" i="6"/>
  <c r="BJ64" i="6" s="1"/>
  <c r="BJ9" i="6"/>
  <c r="BK8" i="6"/>
  <c r="BK63" i="6" s="1"/>
  <c r="BL29" i="6"/>
  <c r="BL13" i="9"/>
  <c r="BL17" i="9" s="1"/>
  <c r="BH31" i="9"/>
  <c r="BH36" i="9"/>
  <c r="BO45" i="2"/>
  <c r="BN107" i="4"/>
  <c r="BN109" i="4" s="1"/>
  <c r="BN17" i="4" s="1"/>
  <c r="BN119" i="4"/>
  <c r="BN19" i="4" s="1"/>
  <c r="BO94" i="3"/>
  <c r="BO96" i="3" s="1"/>
  <c r="BO27" i="3" s="1"/>
  <c r="BN112" i="4"/>
  <c r="BN114" i="4" s="1"/>
  <c r="BN18" i="4" s="1"/>
  <c r="BL31" i="3"/>
  <c r="BI34" i="6"/>
  <c r="BN41" i="2"/>
  <c r="BM97" i="4"/>
  <c r="BM99" i="4" s="1"/>
  <c r="BM15" i="4" s="1"/>
  <c r="BM102" i="4"/>
  <c r="BM104" i="4" s="1"/>
  <c r="BM16" i="4" s="1"/>
  <c r="BM86" i="3"/>
  <c r="BM88" i="3" s="1"/>
  <c r="BM25" i="3" s="1"/>
  <c r="BN90" i="3"/>
  <c r="BN92" i="3" s="1"/>
  <c r="BN26" i="3" s="1"/>
  <c r="BK32" i="6"/>
  <c r="BM56" i="6"/>
  <c r="BM59" i="6" s="1"/>
  <c r="AJ33" i="5"/>
  <c r="AK30" i="5" s="1"/>
  <c r="AI78" i="5"/>
  <c r="AJ72" i="5"/>
  <c r="AJ75" i="5" s="1"/>
  <c r="AJ77" i="5" s="1"/>
  <c r="AJ68" i="9" s="1"/>
  <c r="AJ69" i="9" s="1"/>
  <c r="AO72" i="9"/>
  <c r="AO123" i="9" s="1"/>
  <c r="AP10" i="6"/>
  <c r="AK28" i="5"/>
  <c r="AK67" i="5"/>
  <c r="AK70" i="5" s="1"/>
  <c r="AI48" i="9"/>
  <c r="AI50" i="9" s="1"/>
  <c r="AI114" i="9"/>
  <c r="AI120" i="9" s="1"/>
  <c r="AI127" i="9" s="1"/>
  <c r="AI135" i="9" s="1"/>
  <c r="AI148" i="9" s="1"/>
  <c r="AG135" i="9"/>
  <c r="K127" i="11"/>
  <c r="AG149" i="9"/>
  <c r="AF74" i="9"/>
  <c r="AF75" i="9" s="1"/>
  <c r="AF77" i="9" s="1"/>
  <c r="AF99" i="9" s="1"/>
  <c r="AF107" i="9" s="1"/>
  <c r="AX62" i="6"/>
  <c r="AX65" i="6" s="1"/>
  <c r="AX67" i="6" s="1"/>
  <c r="AW69" i="6"/>
  <c r="AW83" i="9" s="1"/>
  <c r="AW126" i="9" s="1"/>
  <c r="AJ40" i="9"/>
  <c r="AJ42" i="9" s="1"/>
  <c r="AJ117" i="9"/>
  <c r="AO125" i="9"/>
  <c r="AO88" i="9"/>
  <c r="AO97" i="9" s="1"/>
  <c r="AK44" i="5"/>
  <c r="AJ49" i="5"/>
  <c r="AP36" i="6"/>
  <c r="AP37" i="6" s="1"/>
  <c r="AZ82" i="9" l="1"/>
  <c r="BA47" i="6"/>
  <c r="BA50" i="6" s="1"/>
  <c r="AG10" i="14"/>
  <c r="AG12" i="14" s="1"/>
  <c r="AG20" i="14" s="1"/>
  <c r="AG28" i="14"/>
  <c r="AI55" i="9"/>
  <c r="AI59" i="9" s="1"/>
  <c r="AI6" i="14"/>
  <c r="AH10" i="14"/>
  <c r="AH28" i="14"/>
  <c r="AH30" i="14" s="1"/>
  <c r="AH33" i="14" s="1"/>
  <c r="AH34" i="14" s="1"/>
  <c r="BN8" i="12"/>
  <c r="BN87" i="4"/>
  <c r="BN89" i="4" s="1"/>
  <c r="BN13" i="4" s="1"/>
  <c r="BN92" i="4"/>
  <c r="BN94" i="4" s="1"/>
  <c r="BN14" i="4" s="1"/>
  <c r="BO82" i="3"/>
  <c r="BO84" i="3" s="1"/>
  <c r="BO24" i="3" s="1"/>
  <c r="BN78" i="3"/>
  <c r="BN80" i="3" s="1"/>
  <c r="BN23" i="3" s="1"/>
  <c r="BO37" i="2"/>
  <c r="BM25" i="4"/>
  <c r="BK33" i="6"/>
  <c r="BK64" i="6" s="1"/>
  <c r="BL8" i="9"/>
  <c r="BL7" i="6"/>
  <c r="BK9" i="6"/>
  <c r="BJ34" i="6"/>
  <c r="BM153" i="4"/>
  <c r="BM155" i="4" s="1"/>
  <c r="BM32" i="4" s="1"/>
  <c r="BM46" i="4" s="1"/>
  <c r="BM9" i="12"/>
  <c r="BO41" i="2"/>
  <c r="BN97" i="4"/>
  <c r="BN99" i="4" s="1"/>
  <c r="BN15" i="4" s="1"/>
  <c r="BN102" i="4"/>
  <c r="BN104" i="4" s="1"/>
  <c r="BN16" i="4" s="1"/>
  <c r="BN86" i="3"/>
  <c r="BN88" i="3" s="1"/>
  <c r="BN25" i="3" s="1"/>
  <c r="BO90" i="3"/>
  <c r="BO92" i="3" s="1"/>
  <c r="BO26" i="3" s="1"/>
  <c r="BP45" i="2"/>
  <c r="BO107" i="4"/>
  <c r="BO109" i="4" s="1"/>
  <c r="BO17" i="4" s="1"/>
  <c r="BO112" i="4"/>
  <c r="BO114" i="4" s="1"/>
  <c r="BO18" i="4" s="1"/>
  <c r="BO119" i="4"/>
  <c r="BO19" i="4" s="1"/>
  <c r="BP94" i="3"/>
  <c r="BP96" i="3" s="1"/>
  <c r="BP27" i="3" s="1"/>
  <c r="BM31" i="3"/>
  <c r="BL27" i="9"/>
  <c r="BL30" i="6"/>
  <c r="BL32" i="6" s="1"/>
  <c r="BK30" i="9"/>
  <c r="BN56" i="6"/>
  <c r="BN59" i="6" s="1"/>
  <c r="AJ35" i="5"/>
  <c r="AJ78" i="5" s="1"/>
  <c r="AJ48" i="9"/>
  <c r="AJ50" i="9" s="1"/>
  <c r="AJ114" i="9"/>
  <c r="AJ120" i="9" s="1"/>
  <c r="AJ127" i="9" s="1"/>
  <c r="AJ135" i="9" s="1"/>
  <c r="AG148" i="9"/>
  <c r="K135" i="11"/>
  <c r="AK31" i="5"/>
  <c r="AL25" i="5"/>
  <c r="AP11" i="6"/>
  <c r="AP12" i="6" s="1"/>
  <c r="AY62" i="6"/>
  <c r="AY65" i="6" s="1"/>
  <c r="AY67" i="6" s="1"/>
  <c r="AX69" i="6"/>
  <c r="AX83" i="9" s="1"/>
  <c r="AX126" i="9" s="1"/>
  <c r="AK47" i="5"/>
  <c r="AK72" i="5"/>
  <c r="AQ35" i="6"/>
  <c r="AP80" i="9"/>
  <c r="BB47" i="6" l="1"/>
  <c r="BB50" i="6" s="1"/>
  <c r="BA82" i="9"/>
  <c r="AG29" i="14"/>
  <c r="AG30" i="14" s="1"/>
  <c r="AG33" i="14" s="1"/>
  <c r="AG34" i="14" s="1"/>
  <c r="AG53" i="9" s="1"/>
  <c r="AG21" i="14"/>
  <c r="AH18" i="14" s="1"/>
  <c r="AI8" i="14"/>
  <c r="AI23" i="14"/>
  <c r="AJ55" i="9"/>
  <c r="AJ59" i="9" s="1"/>
  <c r="AJ6" i="14"/>
  <c r="BL33" i="6"/>
  <c r="BL64" i="6" s="1"/>
  <c r="BM8" i="9"/>
  <c r="BM10" i="9" s="1"/>
  <c r="BM7" i="6"/>
  <c r="BP41" i="2"/>
  <c r="BO97" i="4"/>
  <c r="BO99" i="4" s="1"/>
  <c r="BO15" i="4" s="1"/>
  <c r="BO102" i="4"/>
  <c r="BO104" i="4" s="1"/>
  <c r="BO16" i="4" s="1"/>
  <c r="BP90" i="3"/>
  <c r="BP92" i="3" s="1"/>
  <c r="BP26" i="3" s="1"/>
  <c r="BO86" i="3"/>
  <c r="BO88" i="3" s="1"/>
  <c r="BO25" i="3" s="1"/>
  <c r="BN31" i="3"/>
  <c r="BN153" i="4"/>
  <c r="BN155" i="4" s="1"/>
  <c r="BN32" i="4" s="1"/>
  <c r="BN46" i="4" s="1"/>
  <c r="BN9" i="12"/>
  <c r="BK31" i="9"/>
  <c r="BK36" i="9"/>
  <c r="BK34" i="6"/>
  <c r="BM27" i="9"/>
  <c r="BM28" i="9" s="1"/>
  <c r="BM30" i="6"/>
  <c r="BL8" i="6"/>
  <c r="BL63" i="6" s="1"/>
  <c r="BM29" i="6"/>
  <c r="BM13" i="9"/>
  <c r="BL28" i="9"/>
  <c r="BQ45" i="2"/>
  <c r="BP112" i="4"/>
  <c r="BP114" i="4" s="1"/>
  <c r="BP18" i="4" s="1"/>
  <c r="BP107" i="4"/>
  <c r="BP109" i="4" s="1"/>
  <c r="BP17" i="4" s="1"/>
  <c r="BP119" i="4"/>
  <c r="BP19" i="4" s="1"/>
  <c r="BQ94" i="3"/>
  <c r="BQ96" i="3" s="1"/>
  <c r="BQ27" i="3" s="1"/>
  <c r="BL10" i="9"/>
  <c r="BO87" i="4"/>
  <c r="BO89" i="4" s="1"/>
  <c r="BO13" i="4" s="1"/>
  <c r="BO92" i="4"/>
  <c r="BO94" i="4" s="1"/>
  <c r="BO14" i="4" s="1"/>
  <c r="BO8" i="12"/>
  <c r="BP37" i="2"/>
  <c r="BO78" i="3"/>
  <c r="BO80" i="3" s="1"/>
  <c r="BO23" i="3" s="1"/>
  <c r="BO31" i="3" s="1"/>
  <c r="BP82" i="3"/>
  <c r="BP84" i="3" s="1"/>
  <c r="BP24" i="3" s="1"/>
  <c r="BN25" i="4"/>
  <c r="BO56" i="6"/>
  <c r="BO59" i="6" s="1"/>
  <c r="AQ10" i="6"/>
  <c r="AP72" i="9"/>
  <c r="AP123" i="9" s="1"/>
  <c r="AK73" i="5"/>
  <c r="AK39" i="9" s="1"/>
  <c r="AK33" i="5"/>
  <c r="AG150" i="9"/>
  <c r="K148" i="11"/>
  <c r="D20" i="13" s="1"/>
  <c r="AZ62" i="6"/>
  <c r="AZ65" i="6" s="1"/>
  <c r="AY69" i="6"/>
  <c r="AY83" i="9" s="1"/>
  <c r="AY126" i="9" s="1"/>
  <c r="AL67" i="5"/>
  <c r="AL70" i="5" s="1"/>
  <c r="AL28" i="5"/>
  <c r="AJ148" i="9"/>
  <c r="AQ36" i="6"/>
  <c r="AQ37" i="6" s="1"/>
  <c r="AP125" i="9"/>
  <c r="AP88" i="9"/>
  <c r="AP97" i="9" s="1"/>
  <c r="AL44" i="5"/>
  <c r="AK49" i="5"/>
  <c r="BC47" i="6" l="1"/>
  <c r="BC50" i="6" s="1"/>
  <c r="BB82" i="9"/>
  <c r="K53" i="11"/>
  <c r="AG55" i="9"/>
  <c r="AJ8" i="14"/>
  <c r="AJ23" i="14"/>
  <c r="AI24" i="14"/>
  <c r="AI25" i="14"/>
  <c r="AI19" i="14" s="1"/>
  <c r="AH11" i="14"/>
  <c r="AH12" i="14" s="1"/>
  <c r="AH21" i="14"/>
  <c r="AI18" i="14" s="1"/>
  <c r="BO25" i="4"/>
  <c r="BL34" i="6"/>
  <c r="BO8" i="9"/>
  <c r="BO10" i="9" s="1"/>
  <c r="BO7" i="6"/>
  <c r="BO13" i="9"/>
  <c r="BO17" i="9" s="1"/>
  <c r="BO29" i="6"/>
  <c r="BL9" i="6"/>
  <c r="BM8" i="6"/>
  <c r="BM63" i="6" s="1"/>
  <c r="BN30" i="6"/>
  <c r="BN27" i="9"/>
  <c r="BN28" i="9" s="1"/>
  <c r="BN13" i="9"/>
  <c r="BN17" i="9" s="1"/>
  <c r="BN29" i="6"/>
  <c r="BN8" i="9"/>
  <c r="BN10" i="9" s="1"/>
  <c r="BN7" i="6"/>
  <c r="BP92" i="4"/>
  <c r="BP94" i="4" s="1"/>
  <c r="BP14" i="4" s="1"/>
  <c r="BP87" i="4"/>
  <c r="BP89" i="4" s="1"/>
  <c r="BP13" i="4" s="1"/>
  <c r="BP8" i="12"/>
  <c r="BQ37" i="2"/>
  <c r="BP78" i="3"/>
  <c r="BP80" i="3" s="1"/>
  <c r="BP23" i="3" s="1"/>
  <c r="BQ82" i="3"/>
  <c r="BQ84" i="3" s="1"/>
  <c r="BQ24" i="3" s="1"/>
  <c r="BO153" i="4"/>
  <c r="BO155" i="4" s="1"/>
  <c r="BO32" i="4" s="1"/>
  <c r="BO46" i="4" s="1"/>
  <c r="BO9" i="12"/>
  <c r="BL19" i="9"/>
  <c r="BL20" i="9" s="1"/>
  <c r="BM17" i="9"/>
  <c r="BM19" i="9" s="1"/>
  <c r="BQ112" i="4"/>
  <c r="BQ114" i="4" s="1"/>
  <c r="BQ18" i="4" s="1"/>
  <c r="BQ119" i="4"/>
  <c r="BQ19" i="4" s="1"/>
  <c r="BQ107" i="4"/>
  <c r="BQ109" i="4" s="1"/>
  <c r="BQ17" i="4" s="1"/>
  <c r="BM32" i="6"/>
  <c r="BQ41" i="2"/>
  <c r="BP102" i="4"/>
  <c r="BP104" i="4" s="1"/>
  <c r="BP16" i="4" s="1"/>
  <c r="BP97" i="4"/>
  <c r="BP99" i="4" s="1"/>
  <c r="BP15" i="4" s="1"/>
  <c r="BQ90" i="3"/>
  <c r="BQ92" i="3" s="1"/>
  <c r="BQ26" i="3" s="1"/>
  <c r="BP86" i="3"/>
  <c r="BP88" i="3" s="1"/>
  <c r="BP25" i="3" s="1"/>
  <c r="BP56" i="6"/>
  <c r="BP59" i="6" s="1"/>
  <c r="AK75" i="5"/>
  <c r="AK77" i="5" s="1"/>
  <c r="AK68" i="9" s="1"/>
  <c r="AK69" i="9" s="1"/>
  <c r="BB66" i="6"/>
  <c r="AZ67" i="6"/>
  <c r="AL31" i="5"/>
  <c r="AL73" i="5" s="1"/>
  <c r="AL39" i="9" s="1"/>
  <c r="AM25" i="5"/>
  <c r="AG74" i="9"/>
  <c r="K150" i="11"/>
  <c r="AH149" i="9"/>
  <c r="AL30" i="5"/>
  <c r="AL72" i="5" s="1"/>
  <c r="AK35" i="5"/>
  <c r="AK117" i="9"/>
  <c r="AK40" i="9"/>
  <c r="AK42" i="9" s="1"/>
  <c r="AQ11" i="6"/>
  <c r="AQ12" i="6" s="1"/>
  <c r="AR35" i="6"/>
  <c r="AQ80" i="9"/>
  <c r="AL47" i="5"/>
  <c r="BD47" i="6" l="1"/>
  <c r="BD50" i="6" s="1"/>
  <c r="BC82" i="9"/>
  <c r="AG59" i="9"/>
  <c r="K55" i="11"/>
  <c r="AI21" i="14"/>
  <c r="AJ18" i="14" s="1"/>
  <c r="AI11" i="14"/>
  <c r="AI12" i="14" s="1"/>
  <c r="AI10" i="14"/>
  <c r="AI28" i="14"/>
  <c r="AI30" i="14" s="1"/>
  <c r="AI33" i="14" s="1"/>
  <c r="AI34" i="14" s="1"/>
  <c r="AJ24" i="14"/>
  <c r="AJ25" i="14"/>
  <c r="AJ19" i="14" s="1"/>
  <c r="K151" i="11"/>
  <c r="D21" i="13"/>
  <c r="BN32" i="6"/>
  <c r="BN19" i="9"/>
  <c r="BN20" i="9" s="1"/>
  <c r="BM20" i="9"/>
  <c r="BM30" i="9"/>
  <c r="BM33" i="6"/>
  <c r="BM64" i="6" s="1"/>
  <c r="BQ78" i="3"/>
  <c r="BQ80" i="3" s="1"/>
  <c r="BQ23" i="3" s="1"/>
  <c r="BQ8" i="12"/>
  <c r="BQ92" i="4"/>
  <c r="BQ94" i="4" s="1"/>
  <c r="BQ14" i="4" s="1"/>
  <c r="BQ87" i="4"/>
  <c r="BQ89" i="4" s="1"/>
  <c r="BQ13" i="4" s="1"/>
  <c r="BN30" i="9"/>
  <c r="BO27" i="9"/>
  <c r="BO28" i="9" s="1"/>
  <c r="BO30" i="6"/>
  <c r="BO32" i="6" s="1"/>
  <c r="BP153" i="4"/>
  <c r="BP155" i="4" s="1"/>
  <c r="BP32" i="4" s="1"/>
  <c r="BP46" i="4" s="1"/>
  <c r="BP9" i="12"/>
  <c r="BN8" i="6"/>
  <c r="BN63" i="6" s="1"/>
  <c r="BN9" i="6"/>
  <c r="BN33" i="6"/>
  <c r="BN64" i="6" s="1"/>
  <c r="BM9" i="6"/>
  <c r="BQ86" i="3"/>
  <c r="BQ88" i="3" s="1"/>
  <c r="BQ25" i="3" s="1"/>
  <c r="BQ102" i="4"/>
  <c r="BQ104" i="4" s="1"/>
  <c r="BQ16" i="4" s="1"/>
  <c r="BQ97" i="4"/>
  <c r="BQ99" i="4" s="1"/>
  <c r="BQ15" i="4" s="1"/>
  <c r="BP25" i="4"/>
  <c r="BO8" i="6"/>
  <c r="BO63" i="6" s="1"/>
  <c r="BP31" i="3"/>
  <c r="BL30" i="9"/>
  <c r="BO19" i="9"/>
  <c r="BO20" i="9" s="1"/>
  <c r="BQ56" i="6"/>
  <c r="BQ59" i="6" s="1"/>
  <c r="AK78" i="5"/>
  <c r="AL75" i="5"/>
  <c r="AL77" i="5" s="1"/>
  <c r="AL68" i="9" s="1"/>
  <c r="AL69" i="9" s="1"/>
  <c r="L149" i="11"/>
  <c r="AH150" i="9"/>
  <c r="K74" i="11"/>
  <c r="AG75" i="9"/>
  <c r="AK48" i="9"/>
  <c r="AK50" i="9" s="1"/>
  <c r="AK114" i="9"/>
  <c r="AK120" i="9" s="1"/>
  <c r="AK127" i="9" s="1"/>
  <c r="AK135" i="9" s="1"/>
  <c r="AK148" i="9" s="1"/>
  <c r="AM67" i="5"/>
  <c r="AM70" i="5" s="1"/>
  <c r="AM28" i="5"/>
  <c r="AL40" i="9"/>
  <c r="AL42" i="9" s="1"/>
  <c r="AL117" i="9"/>
  <c r="AQ72" i="9"/>
  <c r="AQ123" i="9" s="1"/>
  <c r="AR10" i="6"/>
  <c r="BA62" i="6"/>
  <c r="BA65" i="6" s="1"/>
  <c r="BA67" i="6" s="1"/>
  <c r="AZ69" i="6"/>
  <c r="AZ83" i="9" s="1"/>
  <c r="AZ126" i="9" s="1"/>
  <c r="AL33" i="5"/>
  <c r="AQ88" i="9"/>
  <c r="AQ97" i="9" s="1"/>
  <c r="AQ125" i="9"/>
  <c r="AR36" i="6"/>
  <c r="AR37" i="6" s="1"/>
  <c r="AM44" i="5"/>
  <c r="AL49" i="5"/>
  <c r="BD82" i="9" l="1"/>
  <c r="BE47" i="6"/>
  <c r="BE50" i="6" s="1"/>
  <c r="K59" i="11"/>
  <c r="AG61" i="9"/>
  <c r="AJ10" i="14"/>
  <c r="AJ28" i="14"/>
  <c r="AJ30" i="14" s="1"/>
  <c r="AJ33" i="14" s="1"/>
  <c r="AJ34" i="14" s="1"/>
  <c r="AK55" i="9"/>
  <c r="AK59" i="9" s="1"/>
  <c r="AK6" i="14"/>
  <c r="AJ21" i="14"/>
  <c r="AK18" i="14" s="1"/>
  <c r="AJ11" i="14"/>
  <c r="AJ12" i="14" s="1"/>
  <c r="BN34" i="6"/>
  <c r="BM34" i="6"/>
  <c r="BO33" i="6"/>
  <c r="BO64" i="6" s="1"/>
  <c r="BQ25" i="4"/>
  <c r="BL31" i="9"/>
  <c r="BL36" i="9"/>
  <c r="BP13" i="9"/>
  <c r="BP29" i="6"/>
  <c r="BO30" i="9"/>
  <c r="BP8" i="9"/>
  <c r="BP10" i="9" s="1"/>
  <c r="BP7" i="6"/>
  <c r="BQ153" i="4"/>
  <c r="BQ155" i="4" s="1"/>
  <c r="BQ32" i="4" s="1"/>
  <c r="BQ46" i="4" s="1"/>
  <c r="BQ9" i="12"/>
  <c r="BM31" i="9"/>
  <c r="BM36" i="9"/>
  <c r="BO9" i="6"/>
  <c r="BP27" i="9"/>
  <c r="BP28" i="9" s="1"/>
  <c r="BP30" i="6"/>
  <c r="BN31" i="9"/>
  <c r="BN36" i="9"/>
  <c r="BQ31" i="3"/>
  <c r="AM30" i="5"/>
  <c r="AM72" i="5" s="1"/>
  <c r="AL35" i="5"/>
  <c r="AL78" i="5" s="1"/>
  <c r="BB62" i="6"/>
  <c r="BB65" i="6" s="1"/>
  <c r="BB67" i="6" s="1"/>
  <c r="BA69" i="6"/>
  <c r="BA83" i="9" s="1"/>
  <c r="BA126" i="9" s="1"/>
  <c r="K75" i="11"/>
  <c r="AG77" i="9"/>
  <c r="AR11" i="6"/>
  <c r="AR12" i="6" s="1"/>
  <c r="AI149" i="9"/>
  <c r="AI150" i="9" s="1"/>
  <c r="AH74" i="9"/>
  <c r="AH75" i="9" s="1"/>
  <c r="AH77" i="9" s="1"/>
  <c r="AH99" i="9" s="1"/>
  <c r="AL114" i="9"/>
  <c r="AL120" i="9" s="1"/>
  <c r="AL127" i="9" s="1"/>
  <c r="AL135" i="9" s="1"/>
  <c r="AL48" i="9"/>
  <c r="AL50" i="9" s="1"/>
  <c r="AN25" i="5"/>
  <c r="AM31" i="5"/>
  <c r="AM73" i="5" s="1"/>
  <c r="AM39" i="9" s="1"/>
  <c r="AR80" i="9"/>
  <c r="AS35" i="6"/>
  <c r="AM47" i="5"/>
  <c r="BN49" i="6" l="1"/>
  <c r="BN134" i="9" s="1"/>
  <c r="N134" i="11" s="1"/>
  <c r="BE82" i="9"/>
  <c r="M82" i="11" s="1"/>
  <c r="BF47" i="6"/>
  <c r="BF50" i="6" s="1"/>
  <c r="AG103" i="9"/>
  <c r="AH58" i="9"/>
  <c r="AH61" i="9" s="1"/>
  <c r="AL55" i="9"/>
  <c r="AL59" i="9" s="1"/>
  <c r="AL6" i="14"/>
  <c r="AK11" i="14"/>
  <c r="AK8" i="14"/>
  <c r="AK23" i="14"/>
  <c r="BO34" i="6"/>
  <c r="BQ13" i="9"/>
  <c r="BQ17" i="9" s="1"/>
  <c r="BQ29" i="6"/>
  <c r="BQ8" i="9"/>
  <c r="BQ7" i="6"/>
  <c r="BO36" i="9"/>
  <c r="BO31" i="9"/>
  <c r="BQ27" i="9"/>
  <c r="BQ30" i="6"/>
  <c r="BP32" i="6"/>
  <c r="BP8" i="6"/>
  <c r="BP63" i="6" s="1"/>
  <c r="BP17" i="9"/>
  <c r="BP19" i="9" s="1"/>
  <c r="AS10" i="6"/>
  <c r="AS11" i="6" s="1"/>
  <c r="AS12" i="6" s="1"/>
  <c r="AR72" i="9"/>
  <c r="AR123" i="9" s="1"/>
  <c r="K77" i="11"/>
  <c r="AG99" i="9"/>
  <c r="AM40" i="9"/>
  <c r="AM42" i="9" s="1"/>
  <c r="AM117" i="9"/>
  <c r="AM75" i="5"/>
  <c r="AM77" i="5" s="1"/>
  <c r="AM68" i="9" s="1"/>
  <c r="AM69" i="9" s="1"/>
  <c r="AN67" i="5"/>
  <c r="AN70" i="5" s="1"/>
  <c r="AN28" i="5"/>
  <c r="BC62" i="6"/>
  <c r="BC65" i="6" s="1"/>
  <c r="BB69" i="6"/>
  <c r="BB83" i="9" s="1"/>
  <c r="BB126" i="9" s="1"/>
  <c r="AI74" i="9"/>
  <c r="AI75" i="9" s="1"/>
  <c r="AI77" i="9" s="1"/>
  <c r="AI99" i="9" s="1"/>
  <c r="AJ149" i="9"/>
  <c r="AJ150" i="9" s="1"/>
  <c r="AM33" i="5"/>
  <c r="AL148" i="9"/>
  <c r="AS36" i="6"/>
  <c r="AS37" i="6" s="1"/>
  <c r="AR88" i="9"/>
  <c r="AR97" i="9" s="1"/>
  <c r="AR125" i="9"/>
  <c r="AN44" i="5"/>
  <c r="AM49" i="5"/>
  <c r="BG47" i="6" l="1"/>
  <c r="BG50" i="6" s="1"/>
  <c r="BF82" i="9"/>
  <c r="AI58" i="9"/>
  <c r="AI61" i="9" s="1"/>
  <c r="AH103" i="9"/>
  <c r="AH105" i="9" s="1"/>
  <c r="AH107" i="9" s="1"/>
  <c r="AG105" i="9"/>
  <c r="K105" i="11" s="1"/>
  <c r="K103" i="11"/>
  <c r="AK24" i="14"/>
  <c r="AK25" i="14"/>
  <c r="AK19" i="14" s="1"/>
  <c r="AK21" i="14" s="1"/>
  <c r="AL18" i="14" s="1"/>
  <c r="AL8" i="14"/>
  <c r="AL23" i="14"/>
  <c r="BQ32" i="6"/>
  <c r="BQ33" i="6" s="1"/>
  <c r="BQ64" i="6" s="1"/>
  <c r="BP9" i="6"/>
  <c r="BP20" i="9"/>
  <c r="BP30" i="9"/>
  <c r="BP33" i="6"/>
  <c r="BP64" i="6" s="1"/>
  <c r="N17" i="11"/>
  <c r="BQ8" i="6"/>
  <c r="BQ63" i="6" s="1"/>
  <c r="N13" i="11"/>
  <c r="BQ28" i="9"/>
  <c r="N27" i="11"/>
  <c r="BQ10" i="9"/>
  <c r="N8" i="11"/>
  <c r="G9" i="13" s="1"/>
  <c r="G10" i="13" s="1"/>
  <c r="AN30" i="5"/>
  <c r="AN72" i="5" s="1"/>
  <c r="AM35" i="5"/>
  <c r="AM78" i="5" s="1"/>
  <c r="AK149" i="9"/>
  <c r="AK150" i="9" s="1"/>
  <c r="AJ74" i="9"/>
  <c r="AJ75" i="9" s="1"/>
  <c r="AJ77" i="9" s="1"/>
  <c r="AJ99" i="9" s="1"/>
  <c r="AM48" i="9"/>
  <c r="AM50" i="9" s="1"/>
  <c r="AM114" i="9"/>
  <c r="AM120" i="9" s="1"/>
  <c r="AM127" i="9" s="1"/>
  <c r="AM135" i="9" s="1"/>
  <c r="AM148" i="9" s="1"/>
  <c r="K99" i="11"/>
  <c r="K107" i="11" s="1"/>
  <c r="AG107" i="9"/>
  <c r="BE66" i="6"/>
  <c r="BC67" i="6"/>
  <c r="AN31" i="5"/>
  <c r="AN73" i="5" s="1"/>
  <c r="AN39" i="9" s="1"/>
  <c r="AO25" i="5"/>
  <c r="AS72" i="9"/>
  <c r="AT10" i="6"/>
  <c r="AT11" i="6" s="1"/>
  <c r="AT12" i="6" s="1"/>
  <c r="AT72" i="9" s="1"/>
  <c r="AN47" i="5"/>
  <c r="AT35" i="6"/>
  <c r="AS80" i="9"/>
  <c r="BG82" i="9" l="1"/>
  <c r="BH47" i="6"/>
  <c r="BH50" i="6" s="1"/>
  <c r="AJ58" i="9"/>
  <c r="AJ61" i="9" s="1"/>
  <c r="AI103" i="9"/>
  <c r="AI105" i="9" s="1"/>
  <c r="AI107" i="9" s="1"/>
  <c r="AM55" i="9"/>
  <c r="AM59" i="9" s="1"/>
  <c r="AM6" i="14"/>
  <c r="AL24" i="14"/>
  <c r="AL25" i="14"/>
  <c r="AL19" i="14" s="1"/>
  <c r="AL21" i="14"/>
  <c r="AM18" i="14" s="1"/>
  <c r="AL11" i="14"/>
  <c r="AK10" i="14"/>
  <c r="AK12" i="14" s="1"/>
  <c r="AK28" i="14"/>
  <c r="AK30" i="14" s="1"/>
  <c r="AK33" i="14" s="1"/>
  <c r="AK34" i="14" s="1"/>
  <c r="BQ34" i="6"/>
  <c r="BP34" i="6"/>
  <c r="BQ19" i="9"/>
  <c r="BQ20" i="9" s="1"/>
  <c r="N10" i="11"/>
  <c r="N19" i="11" s="1"/>
  <c r="N28" i="11"/>
  <c r="G15" i="13" s="1"/>
  <c r="BP36" i="9"/>
  <c r="BP31" i="9"/>
  <c r="BQ9" i="6"/>
  <c r="AN75" i="5"/>
  <c r="AN77" i="5" s="1"/>
  <c r="AN68" i="9" s="1"/>
  <c r="AN69" i="9" s="1"/>
  <c r="L72" i="11"/>
  <c r="AS123" i="9"/>
  <c r="L123" i="11" s="1"/>
  <c r="AL149" i="9"/>
  <c r="AL150" i="9" s="1"/>
  <c r="AM149" i="9" s="1"/>
  <c r="AM150" i="9" s="1"/>
  <c r="AK74" i="9"/>
  <c r="AK75" i="9" s="1"/>
  <c r="AK77" i="9" s="1"/>
  <c r="AK99" i="9" s="1"/>
  <c r="AO28" i="5"/>
  <c r="AO67" i="5"/>
  <c r="AO70" i="5" s="1"/>
  <c r="BD62" i="6"/>
  <c r="BD65" i="6" s="1"/>
  <c r="BD67" i="6" s="1"/>
  <c r="BC69" i="6"/>
  <c r="BC83" i="9" s="1"/>
  <c r="BC126" i="9" s="1"/>
  <c r="AN117" i="9"/>
  <c r="AN40" i="9"/>
  <c r="AN42" i="9" s="1"/>
  <c r="AU10" i="6"/>
  <c r="AN33" i="5"/>
  <c r="AO44" i="5"/>
  <c r="AN49" i="5"/>
  <c r="AS125" i="9"/>
  <c r="L125" i="11" s="1"/>
  <c r="AS88" i="9"/>
  <c r="L80" i="11"/>
  <c r="AT36" i="6"/>
  <c r="AT37" i="6" s="1"/>
  <c r="AT123" i="9"/>
  <c r="BI47" i="6" l="1"/>
  <c r="BI50" i="6" s="1"/>
  <c r="BH82" i="9"/>
  <c r="AK58" i="9"/>
  <c r="AK61" i="9" s="1"/>
  <c r="AJ103" i="9"/>
  <c r="AJ105" i="9" s="1"/>
  <c r="AJ107" i="9" s="1"/>
  <c r="AM11" i="14"/>
  <c r="AL10" i="14"/>
  <c r="AL12" i="14" s="1"/>
  <c r="AL28" i="14"/>
  <c r="AL30" i="14" s="1"/>
  <c r="AL33" i="14" s="1"/>
  <c r="AL34" i="14" s="1"/>
  <c r="AM8" i="14"/>
  <c r="AM23" i="14"/>
  <c r="N20" i="11"/>
  <c r="G13" i="13" s="1"/>
  <c r="G12" i="13"/>
  <c r="BQ30" i="9"/>
  <c r="N30" i="11" s="1"/>
  <c r="AL74" i="9"/>
  <c r="AL75" i="9" s="1"/>
  <c r="AL77" i="9" s="1"/>
  <c r="AL99" i="9" s="1"/>
  <c r="BE62" i="6"/>
  <c r="BE65" i="6" s="1"/>
  <c r="BE67" i="6" s="1"/>
  <c r="BD69" i="6"/>
  <c r="BD83" i="9" s="1"/>
  <c r="BD126" i="9" s="1"/>
  <c r="AU11" i="6"/>
  <c r="AU12" i="6" s="1"/>
  <c r="AO31" i="5"/>
  <c r="AO73" i="5" s="1"/>
  <c r="AO39" i="9" s="1"/>
  <c r="AP25" i="5"/>
  <c r="AO30" i="5"/>
  <c r="AO72" i="5" s="1"/>
  <c r="AN35" i="5"/>
  <c r="AN78" i="5" s="1"/>
  <c r="AN114" i="9"/>
  <c r="AN120" i="9" s="1"/>
  <c r="AN127" i="9" s="1"/>
  <c r="AN135" i="9" s="1"/>
  <c r="AN148" i="9" s="1"/>
  <c r="AN48" i="9"/>
  <c r="AN50" i="9" s="1"/>
  <c r="AU35" i="6"/>
  <c r="AT80" i="9"/>
  <c r="L88" i="11"/>
  <c r="AS97" i="9"/>
  <c r="L97" i="11" s="1"/>
  <c r="AM74" i="9"/>
  <c r="AM75" i="9" s="1"/>
  <c r="AM77" i="9" s="1"/>
  <c r="AM99" i="9" s="1"/>
  <c r="AN149" i="9"/>
  <c r="AO47" i="5"/>
  <c r="BJ47" i="6" l="1"/>
  <c r="BJ50" i="6" s="1"/>
  <c r="BI82" i="9"/>
  <c r="AL58" i="9"/>
  <c r="AL61" i="9" s="1"/>
  <c r="AK103" i="9"/>
  <c r="AK105" i="9" s="1"/>
  <c r="AK107" i="9" s="1"/>
  <c r="AN55" i="9"/>
  <c r="AN59" i="9" s="1"/>
  <c r="AN6" i="14"/>
  <c r="AM24" i="14"/>
  <c r="AM25" i="14"/>
  <c r="AM19" i="14" s="1"/>
  <c r="AM21" i="14" s="1"/>
  <c r="AN18" i="14" s="1"/>
  <c r="BQ36" i="9"/>
  <c r="N31" i="11"/>
  <c r="G18" i="13" s="1"/>
  <c r="G17" i="13"/>
  <c r="BQ31" i="9"/>
  <c r="BE69" i="6"/>
  <c r="BE83" i="9" s="1"/>
  <c r="M83" i="11" s="1"/>
  <c r="BF62" i="6"/>
  <c r="BF65" i="6" s="1"/>
  <c r="N36" i="11"/>
  <c r="AN150" i="9"/>
  <c r="AO149" i="9" s="1"/>
  <c r="AU72" i="9"/>
  <c r="AU123" i="9" s="1"/>
  <c r="AV10" i="6"/>
  <c r="AV11" i="6" s="1"/>
  <c r="AV12" i="6" s="1"/>
  <c r="AO75" i="5"/>
  <c r="AO77" i="5" s="1"/>
  <c r="AO68" i="9" s="1"/>
  <c r="AO69" i="9" s="1"/>
  <c r="AO33" i="5"/>
  <c r="AP28" i="5"/>
  <c r="AP67" i="5"/>
  <c r="AP70" i="5" s="1"/>
  <c r="AO117" i="9"/>
  <c r="AO40" i="9"/>
  <c r="AO42" i="9" s="1"/>
  <c r="AP44" i="5"/>
  <c r="AO49" i="5"/>
  <c r="AT88" i="9"/>
  <c r="AT97" i="9" s="1"/>
  <c r="AT125" i="9"/>
  <c r="AU36" i="6"/>
  <c r="AU37" i="6" s="1"/>
  <c r="BK47" i="6" l="1"/>
  <c r="BK50" i="6" s="1"/>
  <c r="BJ82" i="9"/>
  <c r="AL103" i="9"/>
  <c r="AL105" i="9" s="1"/>
  <c r="AL107" i="9" s="1"/>
  <c r="AM58" i="9"/>
  <c r="AM61" i="9" s="1"/>
  <c r="AN11" i="14"/>
  <c r="AM10" i="14"/>
  <c r="AM12" i="14" s="1"/>
  <c r="AM28" i="14"/>
  <c r="AM30" i="14" s="1"/>
  <c r="AM33" i="14" s="1"/>
  <c r="AM34" i="14" s="1"/>
  <c r="BE126" i="9"/>
  <c r="M126" i="11" s="1"/>
  <c r="AN8" i="14"/>
  <c r="AN23" i="14"/>
  <c r="BH66" i="6"/>
  <c r="BF67" i="6"/>
  <c r="AN74" i="9"/>
  <c r="AN75" i="9" s="1"/>
  <c r="AN77" i="9" s="1"/>
  <c r="AN99" i="9" s="1"/>
  <c r="AP31" i="5"/>
  <c r="AP73" i="5" s="1"/>
  <c r="AP39" i="9" s="1"/>
  <c r="AQ25" i="5"/>
  <c r="AP30" i="5"/>
  <c r="AO35" i="5"/>
  <c r="AO78" i="5" s="1"/>
  <c r="AO114" i="9"/>
  <c r="AO120" i="9" s="1"/>
  <c r="AO127" i="9" s="1"/>
  <c r="AO135" i="9" s="1"/>
  <c r="AO148" i="9" s="1"/>
  <c r="AO150" i="9" s="1"/>
  <c r="AO48" i="9"/>
  <c r="AO50" i="9" s="1"/>
  <c r="AP47" i="5"/>
  <c r="AV72" i="9"/>
  <c r="AW10" i="6"/>
  <c r="AV35" i="6"/>
  <c r="AU80" i="9"/>
  <c r="BL47" i="6" l="1"/>
  <c r="BL50" i="6" s="1"/>
  <c r="BK82" i="9"/>
  <c r="AN58" i="9"/>
  <c r="AN61" i="9" s="1"/>
  <c r="AM103" i="9"/>
  <c r="AM105" i="9" s="1"/>
  <c r="AM107" i="9" s="1"/>
  <c r="AO55" i="9"/>
  <c r="AO59" i="9" s="1"/>
  <c r="AO6" i="14"/>
  <c r="AN25" i="14"/>
  <c r="AN19" i="14" s="1"/>
  <c r="AN21" i="14" s="1"/>
  <c r="AO18" i="14" s="1"/>
  <c r="AN24" i="14"/>
  <c r="BG62" i="6"/>
  <c r="BG65" i="6" s="1"/>
  <c r="BG67" i="6" s="1"/>
  <c r="BF69" i="6"/>
  <c r="BF83" i="9" s="1"/>
  <c r="BF126" i="9" s="1"/>
  <c r="AP33" i="5"/>
  <c r="AQ30" i="5" s="1"/>
  <c r="AO74" i="9"/>
  <c r="AO75" i="9" s="1"/>
  <c r="AO77" i="9" s="1"/>
  <c r="AO99" i="9" s="1"/>
  <c r="AP149" i="9"/>
  <c r="AQ67" i="5"/>
  <c r="AQ70" i="5" s="1"/>
  <c r="AQ28" i="5"/>
  <c r="AP117" i="9"/>
  <c r="AP40" i="9"/>
  <c r="AP42" i="9" s="1"/>
  <c r="AP72" i="5"/>
  <c r="AP75" i="5" s="1"/>
  <c r="AP77" i="5" s="1"/>
  <c r="AP68" i="9" s="1"/>
  <c r="AP69" i="9" s="1"/>
  <c r="AQ44" i="5"/>
  <c r="AP49" i="5"/>
  <c r="AV36" i="6"/>
  <c r="AV37" i="6" s="1"/>
  <c r="AU125" i="9"/>
  <c r="AU88" i="9"/>
  <c r="AU97" i="9" s="1"/>
  <c r="AW11" i="6"/>
  <c r="AW12" i="6" s="1"/>
  <c r="AV123" i="9"/>
  <c r="BM47" i="6" l="1"/>
  <c r="BM50" i="6" s="1"/>
  <c r="BL82" i="9"/>
  <c r="AO58" i="9"/>
  <c r="AO61" i="9" s="1"/>
  <c r="AN103" i="9"/>
  <c r="AN105" i="9" s="1"/>
  <c r="AN107" i="9" s="1"/>
  <c r="AN10" i="14"/>
  <c r="AN12" i="14" s="1"/>
  <c r="AN28" i="14"/>
  <c r="AN30" i="14" s="1"/>
  <c r="AN33" i="14" s="1"/>
  <c r="AN34" i="14" s="1"/>
  <c r="AO11" i="14"/>
  <c r="AO8" i="14"/>
  <c r="AO23" i="14"/>
  <c r="BH62" i="6"/>
  <c r="BH65" i="6" s="1"/>
  <c r="BH67" i="6" s="1"/>
  <c r="BG69" i="6"/>
  <c r="BG83" i="9" s="1"/>
  <c r="BG126" i="9" s="1"/>
  <c r="AP35" i="5"/>
  <c r="AP78" i="5" s="1"/>
  <c r="AQ31" i="5"/>
  <c r="AR25" i="5"/>
  <c r="AP114" i="9"/>
  <c r="AP120" i="9" s="1"/>
  <c r="AP127" i="9" s="1"/>
  <c r="AP135" i="9" s="1"/>
  <c r="AP148" i="9" s="1"/>
  <c r="AP150" i="9" s="1"/>
  <c r="AP48" i="9"/>
  <c r="AP50" i="9" s="1"/>
  <c r="AW72" i="9"/>
  <c r="AX10" i="6"/>
  <c r="AV80" i="9"/>
  <c r="AW35" i="6"/>
  <c r="AQ47" i="5"/>
  <c r="AQ72" i="5"/>
  <c r="BN47" i="6" l="1"/>
  <c r="BN50" i="6" s="1"/>
  <c r="BM82" i="9"/>
  <c r="AO103" i="9"/>
  <c r="AO105" i="9" s="1"/>
  <c r="AO107" i="9" s="1"/>
  <c r="AP58" i="9"/>
  <c r="AP55" i="9"/>
  <c r="AP59" i="9" s="1"/>
  <c r="AP61" i="9" s="1"/>
  <c r="AQ58" i="9" s="1"/>
  <c r="AP6" i="14"/>
  <c r="AO24" i="14"/>
  <c r="AO25" i="14"/>
  <c r="AO19" i="14" s="1"/>
  <c r="AO21" i="14" s="1"/>
  <c r="AP18" i="14" s="1"/>
  <c r="BI62" i="6"/>
  <c r="BI65" i="6" s="1"/>
  <c r="BH69" i="6"/>
  <c r="BH83" i="9" s="1"/>
  <c r="BH126" i="9" s="1"/>
  <c r="AQ149" i="9"/>
  <c r="AP74" i="9"/>
  <c r="AP75" i="9" s="1"/>
  <c r="AP77" i="9" s="1"/>
  <c r="AP99" i="9" s="1"/>
  <c r="AR28" i="5"/>
  <c r="AR67" i="5"/>
  <c r="AR70" i="5" s="1"/>
  <c r="AQ73" i="5"/>
  <c r="AQ39" i="9" s="1"/>
  <c r="AQ33" i="5"/>
  <c r="AR44" i="5"/>
  <c r="AQ49" i="5"/>
  <c r="AV88" i="9"/>
  <c r="AV97" i="9" s="1"/>
  <c r="AV125" i="9"/>
  <c r="AX11" i="6"/>
  <c r="AX12" i="6" s="1"/>
  <c r="AW123" i="9"/>
  <c r="AW36" i="6"/>
  <c r="AW37" i="6" s="1"/>
  <c r="BO47" i="6" l="1"/>
  <c r="BO50" i="6" s="1"/>
  <c r="BN82" i="9"/>
  <c r="AP103" i="9"/>
  <c r="AP105" i="9" s="1"/>
  <c r="AP107" i="9" s="1"/>
  <c r="AP11" i="14"/>
  <c r="AO10" i="14"/>
  <c r="AO12" i="14" s="1"/>
  <c r="AO28" i="14"/>
  <c r="AO30" i="14" s="1"/>
  <c r="AO33" i="14" s="1"/>
  <c r="AO34" i="14" s="1"/>
  <c r="AP8" i="14"/>
  <c r="AP23" i="14"/>
  <c r="BI67" i="6"/>
  <c r="BK66" i="6"/>
  <c r="AS25" i="5"/>
  <c r="AR31" i="5"/>
  <c r="AR73" i="5" s="1"/>
  <c r="AR39" i="9" s="1"/>
  <c r="AQ40" i="9"/>
  <c r="AQ42" i="9" s="1"/>
  <c r="AQ117" i="9"/>
  <c r="AR30" i="5"/>
  <c r="AQ35" i="5"/>
  <c r="AQ75" i="5"/>
  <c r="AQ77" i="5" s="1"/>
  <c r="AQ68" i="9" s="1"/>
  <c r="AQ69" i="9" s="1"/>
  <c r="AY10" i="6"/>
  <c r="AX72" i="9"/>
  <c r="AX35" i="6"/>
  <c r="AW80" i="9"/>
  <c r="AR47" i="5"/>
  <c r="BO82" i="9" l="1"/>
  <c r="BP47" i="6"/>
  <c r="BP50" i="6" s="1"/>
  <c r="AP24" i="14"/>
  <c r="AP25" i="14"/>
  <c r="AP19" i="14" s="1"/>
  <c r="AP21" i="14" s="1"/>
  <c r="AQ18" i="14" s="1"/>
  <c r="BJ62" i="6"/>
  <c r="BJ65" i="6" s="1"/>
  <c r="BJ67" i="6" s="1"/>
  <c r="BI69" i="6"/>
  <c r="BI83" i="9" s="1"/>
  <c r="BI126" i="9" s="1"/>
  <c r="AR33" i="5"/>
  <c r="AS30" i="5" s="1"/>
  <c r="AQ78" i="5"/>
  <c r="AQ48" i="9"/>
  <c r="AQ50" i="9" s="1"/>
  <c r="AQ114" i="9"/>
  <c r="AQ120" i="9" s="1"/>
  <c r="AQ127" i="9" s="1"/>
  <c r="AQ135" i="9" s="1"/>
  <c r="AQ148" i="9" s="1"/>
  <c r="AQ150" i="9" s="1"/>
  <c r="AR117" i="9"/>
  <c r="AR40" i="9"/>
  <c r="AR42" i="9" s="1"/>
  <c r="AS67" i="5"/>
  <c r="AS70" i="5" s="1"/>
  <c r="AS28" i="5"/>
  <c r="AR72" i="5"/>
  <c r="AR75" i="5" s="1"/>
  <c r="AR77" i="5" s="1"/>
  <c r="AR68" i="9" s="1"/>
  <c r="AR69" i="9" s="1"/>
  <c r="AS44" i="5"/>
  <c r="AR49" i="5"/>
  <c r="AX36" i="6"/>
  <c r="AX37" i="6" s="1"/>
  <c r="AW88" i="9"/>
  <c r="AW97" i="9" s="1"/>
  <c r="AW125" i="9"/>
  <c r="AX123" i="9"/>
  <c r="AY11" i="6"/>
  <c r="AY12" i="6" s="1"/>
  <c r="BQ47" i="6" l="1"/>
  <c r="BQ50" i="6" s="1"/>
  <c r="BQ82" i="9" s="1"/>
  <c r="N82" i="11" s="1"/>
  <c r="BP82" i="9"/>
  <c r="AQ55" i="9"/>
  <c r="AQ59" i="9" s="1"/>
  <c r="AQ61" i="9" s="1"/>
  <c r="AQ103" i="9" s="1"/>
  <c r="AQ105" i="9" s="1"/>
  <c r="AQ6" i="14"/>
  <c r="AQ11" i="14"/>
  <c r="AP10" i="14"/>
  <c r="AP12" i="14" s="1"/>
  <c r="AP28" i="14"/>
  <c r="AP30" i="14" s="1"/>
  <c r="AP33" i="14" s="1"/>
  <c r="AP34" i="14" s="1"/>
  <c r="BK62" i="6"/>
  <c r="BK65" i="6" s="1"/>
  <c r="BK67" i="6" s="1"/>
  <c r="BJ69" i="6"/>
  <c r="BJ83" i="9" s="1"/>
  <c r="BJ126" i="9" s="1"/>
  <c r="AR35" i="5"/>
  <c r="AR78" i="5" s="1"/>
  <c r="AR114" i="9"/>
  <c r="AR120" i="9" s="1"/>
  <c r="AR127" i="9" s="1"/>
  <c r="AR135" i="9" s="1"/>
  <c r="AR148" i="9" s="1"/>
  <c r="AR48" i="9"/>
  <c r="AR50" i="9" s="1"/>
  <c r="AT25" i="5"/>
  <c r="AS31" i="5"/>
  <c r="AR149" i="9"/>
  <c r="AQ74" i="9"/>
  <c r="AQ75" i="9" s="1"/>
  <c r="AQ77" i="9" s="1"/>
  <c r="AQ99" i="9" s="1"/>
  <c r="AY72" i="9"/>
  <c r="AZ10" i="6"/>
  <c r="AY35" i="6"/>
  <c r="AX80" i="9"/>
  <c r="AS47" i="5"/>
  <c r="AS72" i="5"/>
  <c r="AR58" i="9" l="1"/>
  <c r="AR55" i="9"/>
  <c r="AR59" i="9" s="1"/>
  <c r="AR6" i="14"/>
  <c r="AQ8" i="14"/>
  <c r="AQ23" i="14"/>
  <c r="BL62" i="6"/>
  <c r="BL65" i="6" s="1"/>
  <c r="BK69" i="6"/>
  <c r="BK83" i="9" s="1"/>
  <c r="BK126" i="9" s="1"/>
  <c r="AS73" i="5"/>
  <c r="AS39" i="9" s="1"/>
  <c r="AS33" i="5"/>
  <c r="AT28" i="5"/>
  <c r="AT67" i="5"/>
  <c r="AT70" i="5" s="1"/>
  <c r="AR61" i="9"/>
  <c r="AQ107" i="9"/>
  <c r="AR150" i="9"/>
  <c r="AX125" i="9"/>
  <c r="AX88" i="9"/>
  <c r="AX97" i="9" s="1"/>
  <c r="AY36" i="6"/>
  <c r="AY37" i="6" s="1"/>
  <c r="AZ11" i="6"/>
  <c r="AZ12" i="6" s="1"/>
  <c r="AT44" i="5"/>
  <c r="AS49" i="5"/>
  <c r="AY123" i="9"/>
  <c r="AR8" i="14" l="1"/>
  <c r="AR23" i="14"/>
  <c r="AQ25" i="14"/>
  <c r="AQ19" i="14" s="1"/>
  <c r="AQ21" i="14" s="1"/>
  <c r="AR18" i="14" s="1"/>
  <c r="AQ24" i="14"/>
  <c r="BL67" i="6"/>
  <c r="BN66" i="6"/>
  <c r="AS75" i="5"/>
  <c r="AS77" i="5" s="1"/>
  <c r="AS68" i="9" s="1"/>
  <c r="AS69" i="9" s="1"/>
  <c r="L69" i="11" s="1"/>
  <c r="AS58" i="9"/>
  <c r="AR103" i="9"/>
  <c r="AR105" i="9" s="1"/>
  <c r="AU25" i="5"/>
  <c r="AT31" i="5"/>
  <c r="AT73" i="5" s="1"/>
  <c r="AT39" i="9" s="1"/>
  <c r="AT30" i="5"/>
  <c r="AS35" i="5"/>
  <c r="AS149" i="9"/>
  <c r="AR74" i="9"/>
  <c r="AR75" i="9" s="1"/>
  <c r="AR77" i="9" s="1"/>
  <c r="AR99" i="9" s="1"/>
  <c r="AS117" i="9"/>
  <c r="L117" i="11" s="1"/>
  <c r="AS40" i="9"/>
  <c r="L39" i="11"/>
  <c r="AY80" i="9"/>
  <c r="AZ35" i="6"/>
  <c r="AZ72" i="9"/>
  <c r="BA10" i="6"/>
  <c r="AT47" i="5"/>
  <c r="AQ10" i="14" l="1"/>
  <c r="AQ12" i="14" s="1"/>
  <c r="AQ28" i="14"/>
  <c r="AQ30" i="14" s="1"/>
  <c r="AQ33" i="14" s="1"/>
  <c r="AQ34" i="14" s="1"/>
  <c r="AR11" i="14"/>
  <c r="AR24" i="14"/>
  <c r="AR25" i="14"/>
  <c r="AR19" i="14" s="1"/>
  <c r="AR21" i="14" s="1"/>
  <c r="AS18" i="14" s="1"/>
  <c r="BM62" i="6"/>
  <c r="BM65" i="6" s="1"/>
  <c r="BM67" i="6" s="1"/>
  <c r="BL69" i="6"/>
  <c r="BL83" i="9" s="1"/>
  <c r="BL126" i="9" s="1"/>
  <c r="AS78" i="5"/>
  <c r="L68" i="11"/>
  <c r="AT33" i="5"/>
  <c r="AT117" i="9"/>
  <c r="AT40" i="9"/>
  <c r="AT42" i="9" s="1"/>
  <c r="AS42" i="9"/>
  <c r="L40" i="11"/>
  <c r="AU28" i="5"/>
  <c r="AU67" i="5"/>
  <c r="AU70" i="5" s="1"/>
  <c r="AT72" i="5"/>
  <c r="AT75" i="5" s="1"/>
  <c r="AT77" i="5" s="1"/>
  <c r="AT68" i="9" s="1"/>
  <c r="AT69" i="9" s="1"/>
  <c r="AR107" i="9"/>
  <c r="BA11" i="6"/>
  <c r="BA12" i="6" s="1"/>
  <c r="AZ123" i="9"/>
  <c r="AZ36" i="6"/>
  <c r="AZ37" i="6" s="1"/>
  <c r="AU44" i="5"/>
  <c r="AT49" i="5"/>
  <c r="AY88" i="9"/>
  <c r="AY97" i="9" s="1"/>
  <c r="AY125" i="9"/>
  <c r="AS11" i="14" l="1"/>
  <c r="AR10" i="14"/>
  <c r="AR28" i="14"/>
  <c r="AR30" i="14" s="1"/>
  <c r="AR33" i="14" s="1"/>
  <c r="AR34" i="14" s="1"/>
  <c r="AR12" i="14"/>
  <c r="BN62" i="6"/>
  <c r="BN65" i="6" s="1"/>
  <c r="BN67" i="6" s="1"/>
  <c r="BM69" i="6"/>
  <c r="BM83" i="9" s="1"/>
  <c r="BM126" i="9" s="1"/>
  <c r="AU31" i="5"/>
  <c r="AU73" i="5" s="1"/>
  <c r="AU39" i="9" s="1"/>
  <c r="AV25" i="5"/>
  <c r="AS48" i="9"/>
  <c r="AS114" i="9"/>
  <c r="L42" i="11"/>
  <c r="L43" i="11" s="1"/>
  <c r="AT48" i="9"/>
  <c r="AT50" i="9" s="1"/>
  <c r="AT114" i="9"/>
  <c r="AT120" i="9" s="1"/>
  <c r="AT127" i="9" s="1"/>
  <c r="AT135" i="9" s="1"/>
  <c r="AU30" i="5"/>
  <c r="AT35" i="5"/>
  <c r="AT78" i="5" s="1"/>
  <c r="BA35" i="6"/>
  <c r="AZ80" i="9"/>
  <c r="BA72" i="9"/>
  <c r="BB10" i="6"/>
  <c r="AU47" i="5"/>
  <c r="AT55" i="9" l="1"/>
  <c r="AT59" i="9" s="1"/>
  <c r="AT6" i="14"/>
  <c r="BO62" i="6"/>
  <c r="BO65" i="6" s="1"/>
  <c r="BN69" i="6"/>
  <c r="BN83" i="9" s="1"/>
  <c r="BN126" i="9" s="1"/>
  <c r="AU33" i="5"/>
  <c r="AV30" i="5" s="1"/>
  <c r="AU72" i="5"/>
  <c r="AU75" i="5" s="1"/>
  <c r="AU77" i="5" s="1"/>
  <c r="AU68" i="9" s="1"/>
  <c r="AU69" i="9" s="1"/>
  <c r="AS120" i="9"/>
  <c r="L114" i="11"/>
  <c r="AS50" i="9"/>
  <c r="AS6" i="14" s="1"/>
  <c r="L48" i="11"/>
  <c r="AV67" i="5"/>
  <c r="AV70" i="5" s="1"/>
  <c r="AV28" i="5"/>
  <c r="AU40" i="9"/>
  <c r="AU42" i="9" s="1"/>
  <c r="AU117" i="9"/>
  <c r="AV44" i="5"/>
  <c r="AU49" i="5"/>
  <c r="BB11" i="6"/>
  <c r="BB12" i="6" s="1"/>
  <c r="AT148" i="9"/>
  <c r="BA123" i="9"/>
  <c r="AZ125" i="9"/>
  <c r="AZ88" i="9"/>
  <c r="AZ97" i="9" s="1"/>
  <c r="BA36" i="6"/>
  <c r="BA37" i="6" s="1"/>
  <c r="AT8" i="14" l="1"/>
  <c r="AT23" i="14"/>
  <c r="AS8" i="14"/>
  <c r="AS23" i="14"/>
  <c r="BO67" i="6"/>
  <c r="BQ66" i="6"/>
  <c r="AU35" i="5"/>
  <c r="AU78" i="5" s="1"/>
  <c r="AV31" i="5"/>
  <c r="AW25" i="5"/>
  <c r="AU114" i="9"/>
  <c r="AU120" i="9" s="1"/>
  <c r="AU127" i="9" s="1"/>
  <c r="AU135" i="9" s="1"/>
  <c r="AU48" i="9"/>
  <c r="AU50" i="9" s="1"/>
  <c r="L50" i="11"/>
  <c r="AS55" i="9"/>
  <c r="AS127" i="9"/>
  <c r="L120" i="11"/>
  <c r="BB72" i="9"/>
  <c r="BC10" i="6"/>
  <c r="AV47" i="5"/>
  <c r="AV72" i="5"/>
  <c r="BB35" i="6"/>
  <c r="BA80" i="9"/>
  <c r="AS24" i="14" l="1"/>
  <c r="AS25" i="14"/>
  <c r="AS19" i="14" s="1"/>
  <c r="AS21" i="14" s="1"/>
  <c r="AT18" i="14" s="1"/>
  <c r="AU55" i="9"/>
  <c r="AU59" i="9" s="1"/>
  <c r="AU6" i="14"/>
  <c r="AT25" i="14"/>
  <c r="AT19" i="14" s="1"/>
  <c r="AT24" i="14"/>
  <c r="BP62" i="6"/>
  <c r="BP65" i="6" s="1"/>
  <c r="BP67" i="6" s="1"/>
  <c r="BO69" i="6"/>
  <c r="BO83" i="9" s="1"/>
  <c r="BO126" i="9" s="1"/>
  <c r="L55" i="11"/>
  <c r="AS59" i="9"/>
  <c r="AS135" i="9"/>
  <c r="L127" i="11"/>
  <c r="AW67" i="5"/>
  <c r="AW70" i="5" s="1"/>
  <c r="AW28" i="5"/>
  <c r="AV73" i="5"/>
  <c r="AV39" i="9" s="1"/>
  <c r="AV33" i="5"/>
  <c r="AW44" i="5"/>
  <c r="AV49" i="5"/>
  <c r="AU148" i="9"/>
  <c r="BB36" i="6"/>
  <c r="BB37" i="6" s="1"/>
  <c r="BC11" i="6"/>
  <c r="BC12" i="6" s="1"/>
  <c r="BA125" i="9"/>
  <c r="BA88" i="9"/>
  <c r="BA97" i="9" s="1"/>
  <c r="BB123" i="9"/>
  <c r="AT10" i="14" l="1"/>
  <c r="AT28" i="14"/>
  <c r="AT30" i="14" s="1"/>
  <c r="AT33" i="14" s="1"/>
  <c r="AT34" i="14" s="1"/>
  <c r="AU8" i="14"/>
  <c r="AU23" i="14"/>
  <c r="AT11" i="14"/>
  <c r="AT12" i="14" s="1"/>
  <c r="AT21" i="14"/>
  <c r="AU18" i="14" s="1"/>
  <c r="AS10" i="14"/>
  <c r="AS12" i="14" s="1"/>
  <c r="AS28" i="14"/>
  <c r="AS30" i="14" s="1"/>
  <c r="AS33" i="14" s="1"/>
  <c r="AS34" i="14" s="1"/>
  <c r="BQ62" i="6"/>
  <c r="BQ65" i="6" s="1"/>
  <c r="BQ67" i="6" s="1"/>
  <c r="BQ69" i="6" s="1"/>
  <c r="BQ83" i="9" s="1"/>
  <c r="BP69" i="6"/>
  <c r="BP83" i="9" s="1"/>
  <c r="BP126" i="9" s="1"/>
  <c r="AX25" i="5"/>
  <c r="AW31" i="5"/>
  <c r="AW73" i="5" s="1"/>
  <c r="AW39" i="9" s="1"/>
  <c r="L135" i="11"/>
  <c r="AS148" i="9"/>
  <c r="AV40" i="9"/>
  <c r="AV42" i="9" s="1"/>
  <c r="AV117" i="9"/>
  <c r="AS61" i="9"/>
  <c r="L59" i="11"/>
  <c r="AW30" i="5"/>
  <c r="AV35" i="5"/>
  <c r="AV75" i="5"/>
  <c r="AV77" i="5" s="1"/>
  <c r="AV68" i="9" s="1"/>
  <c r="AV69" i="9" s="1"/>
  <c r="BC35" i="6"/>
  <c r="BB80" i="9"/>
  <c r="BD10" i="6"/>
  <c r="BC72" i="9"/>
  <c r="AW47" i="5"/>
  <c r="AW72" i="5"/>
  <c r="AU11" i="14" l="1"/>
  <c r="AU21" i="14"/>
  <c r="AV18" i="14" s="1"/>
  <c r="AU25" i="14"/>
  <c r="AU19" i="14" s="1"/>
  <c r="AU24" i="14"/>
  <c r="N83" i="11"/>
  <c r="BQ126" i="9"/>
  <c r="AV78" i="5"/>
  <c r="AW75" i="5"/>
  <c r="AW77" i="5" s="1"/>
  <c r="AW68" i="9" s="1"/>
  <c r="AW69" i="9" s="1"/>
  <c r="AW33" i="5"/>
  <c r="AX30" i="5" s="1"/>
  <c r="AV114" i="9"/>
  <c r="AV120" i="9" s="1"/>
  <c r="AV127" i="9" s="1"/>
  <c r="AV135" i="9" s="1"/>
  <c r="AV148" i="9" s="1"/>
  <c r="AV48" i="9"/>
  <c r="AV50" i="9" s="1"/>
  <c r="AS150" i="9"/>
  <c r="L148" i="11"/>
  <c r="E20" i="13" s="1"/>
  <c r="AW117" i="9"/>
  <c r="AW40" i="9"/>
  <c r="AW42" i="9" s="1"/>
  <c r="AS103" i="9"/>
  <c r="AT58" i="9"/>
  <c r="AT61" i="9" s="1"/>
  <c r="AX28" i="5"/>
  <c r="AX67" i="5"/>
  <c r="AX70" i="5" s="1"/>
  <c r="BC123" i="9"/>
  <c r="AX44" i="5"/>
  <c r="AW49" i="5"/>
  <c r="BD11" i="6"/>
  <c r="BD12" i="6" s="1"/>
  <c r="BB88" i="9"/>
  <c r="BB97" i="9" s="1"/>
  <c r="BB125" i="9"/>
  <c r="BC36" i="6"/>
  <c r="BC37" i="6" s="1"/>
  <c r="AU10" i="14" l="1"/>
  <c r="AU28" i="14"/>
  <c r="AU30" i="14" s="1"/>
  <c r="AU33" i="14" s="1"/>
  <c r="AU34" i="14" s="1"/>
  <c r="AV55" i="9"/>
  <c r="AV59" i="9" s="1"/>
  <c r="AV6" i="14"/>
  <c r="AV11" i="14"/>
  <c r="AU12" i="14"/>
  <c r="N126" i="11"/>
  <c r="AW35" i="5"/>
  <c r="AW78" i="5" s="1"/>
  <c r="AW114" i="9"/>
  <c r="AW120" i="9" s="1"/>
  <c r="AW127" i="9" s="1"/>
  <c r="AW135" i="9" s="1"/>
  <c r="AW48" i="9"/>
  <c r="AW50" i="9" s="1"/>
  <c r="AX31" i="5"/>
  <c r="AY25" i="5"/>
  <c r="AT103" i="9"/>
  <c r="AT105" i="9" s="1"/>
  <c r="AU58" i="9"/>
  <c r="AU61" i="9" s="1"/>
  <c r="AT149" i="9"/>
  <c r="L150" i="11"/>
  <c r="AS74" i="9"/>
  <c r="AS105" i="9"/>
  <c r="L103" i="11"/>
  <c r="BD35" i="6"/>
  <c r="BC80" i="9"/>
  <c r="BE10" i="6"/>
  <c r="BD72" i="9"/>
  <c r="AX47" i="5"/>
  <c r="AX72" i="5"/>
  <c r="AV8" i="14" l="1"/>
  <c r="AV23" i="14"/>
  <c r="AW55" i="9"/>
  <c r="AW59" i="9" s="1"/>
  <c r="AW6" i="14"/>
  <c r="L151" i="11"/>
  <c r="E21" i="13"/>
  <c r="M149" i="11"/>
  <c r="AT150" i="9"/>
  <c r="AV58" i="9"/>
  <c r="AV61" i="9" s="1"/>
  <c r="AU103" i="9"/>
  <c r="AU105" i="9" s="1"/>
  <c r="AY67" i="5"/>
  <c r="AY70" i="5" s="1"/>
  <c r="AY28" i="5"/>
  <c r="L105" i="11"/>
  <c r="AX73" i="5"/>
  <c r="AX39" i="9" s="1"/>
  <c r="AX33" i="5"/>
  <c r="L74" i="11"/>
  <c r="AS75" i="9"/>
  <c r="AW148" i="9"/>
  <c r="AY44" i="5"/>
  <c r="AX49" i="5"/>
  <c r="BD123" i="9"/>
  <c r="BE11" i="6"/>
  <c r="BE12" i="6" s="1"/>
  <c r="BC125" i="9"/>
  <c r="BC88" i="9"/>
  <c r="BC97" i="9" s="1"/>
  <c r="BD36" i="6"/>
  <c r="BD37" i="6" s="1"/>
  <c r="AW8" i="14" l="1"/>
  <c r="AW23" i="14"/>
  <c r="AV24" i="14"/>
  <c r="AV25" i="14"/>
  <c r="AV19" i="14" s="1"/>
  <c r="AV21" i="14" s="1"/>
  <c r="AW18" i="14" s="1"/>
  <c r="BE72" i="9"/>
  <c r="BF10" i="6"/>
  <c r="AX75" i="5"/>
  <c r="AX77" i="5" s="1"/>
  <c r="AX68" i="9" s="1"/>
  <c r="AX69" i="9" s="1"/>
  <c r="AY31" i="5"/>
  <c r="AY73" i="5" s="1"/>
  <c r="AY39" i="9" s="1"/>
  <c r="AZ25" i="5"/>
  <c r="AV103" i="9"/>
  <c r="AV105" i="9" s="1"/>
  <c r="AW58" i="9"/>
  <c r="AW61" i="9" s="1"/>
  <c r="AX58" i="9" s="1"/>
  <c r="AY30" i="5"/>
  <c r="AX35" i="5"/>
  <c r="AU149" i="9"/>
  <c r="AU150" i="9" s="1"/>
  <c r="AT74" i="9"/>
  <c r="AT75" i="9" s="1"/>
  <c r="AT77" i="9" s="1"/>
  <c r="AT99" i="9" s="1"/>
  <c r="AT107" i="9" s="1"/>
  <c r="AS77" i="9"/>
  <c r="L75" i="11"/>
  <c r="AX40" i="9"/>
  <c r="AX42" i="9" s="1"/>
  <c r="AX117" i="9"/>
  <c r="BE123" i="9"/>
  <c r="M123" i="11" s="1"/>
  <c r="M72" i="11"/>
  <c r="BD80" i="9"/>
  <c r="BE35" i="6"/>
  <c r="AY47" i="5"/>
  <c r="AW11" i="14" l="1"/>
  <c r="AV10" i="14"/>
  <c r="AV12" i="14" s="1"/>
  <c r="AV28" i="14"/>
  <c r="AV30" i="14" s="1"/>
  <c r="AV33" i="14" s="1"/>
  <c r="AV34" i="14" s="1"/>
  <c r="AW24" i="14"/>
  <c r="AW25" i="14"/>
  <c r="AW19" i="14" s="1"/>
  <c r="AW21" i="14" s="1"/>
  <c r="AX18" i="14" s="1"/>
  <c r="BF11" i="6"/>
  <c r="BF12" i="6"/>
  <c r="AY33" i="5"/>
  <c r="AZ30" i="5" s="1"/>
  <c r="AX78" i="5"/>
  <c r="AY72" i="5"/>
  <c r="AY75" i="5" s="1"/>
  <c r="AY77" i="5" s="1"/>
  <c r="AY68" i="9" s="1"/>
  <c r="AY69" i="9" s="1"/>
  <c r="AW103" i="9"/>
  <c r="AW105" i="9" s="1"/>
  <c r="AX48" i="9"/>
  <c r="AX50" i="9" s="1"/>
  <c r="AX114" i="9"/>
  <c r="AX120" i="9" s="1"/>
  <c r="AX127" i="9" s="1"/>
  <c r="AX135" i="9" s="1"/>
  <c r="AX148" i="9" s="1"/>
  <c r="AS99" i="9"/>
  <c r="L77" i="11"/>
  <c r="AY35" i="5"/>
  <c r="AU74" i="9"/>
  <c r="AU75" i="9" s="1"/>
  <c r="AU77" i="9" s="1"/>
  <c r="AU99" i="9" s="1"/>
  <c r="AU107" i="9" s="1"/>
  <c r="AV149" i="9"/>
  <c r="AV150" i="9" s="1"/>
  <c r="AZ67" i="5"/>
  <c r="AZ70" i="5" s="1"/>
  <c r="AZ28" i="5"/>
  <c r="AY117" i="9"/>
  <c r="AY40" i="9"/>
  <c r="AY42" i="9" s="1"/>
  <c r="BE36" i="6"/>
  <c r="BE37" i="6" s="1"/>
  <c r="BD125" i="9"/>
  <c r="BD88" i="9"/>
  <c r="BD97" i="9" s="1"/>
  <c r="AZ44" i="5"/>
  <c r="AY49" i="5"/>
  <c r="AX11" i="14" l="1"/>
  <c r="AW10" i="14"/>
  <c r="AW28" i="14"/>
  <c r="AW30" i="14" s="1"/>
  <c r="AW33" i="14" s="1"/>
  <c r="AW34" i="14" s="1"/>
  <c r="AW12" i="14"/>
  <c r="AX55" i="9"/>
  <c r="AX59" i="9" s="1"/>
  <c r="AX61" i="9" s="1"/>
  <c r="AX103" i="9" s="1"/>
  <c r="AX105" i="9" s="1"/>
  <c r="AX6" i="14"/>
  <c r="BG10" i="6"/>
  <c r="BG11" i="6" s="1"/>
  <c r="BG12" i="6" s="1"/>
  <c r="BF72" i="9"/>
  <c r="BF123" i="9" s="1"/>
  <c r="BE80" i="9"/>
  <c r="M80" i="11" s="1"/>
  <c r="BF35" i="6"/>
  <c r="AW149" i="9"/>
  <c r="AW150" i="9" s="1"/>
  <c r="AV74" i="9"/>
  <c r="AV75" i="9" s="1"/>
  <c r="AV77" i="9" s="1"/>
  <c r="AV99" i="9" s="1"/>
  <c r="AV107" i="9" s="1"/>
  <c r="AY114" i="9"/>
  <c r="AY120" i="9" s="1"/>
  <c r="AY127" i="9" s="1"/>
  <c r="AY135" i="9" s="1"/>
  <c r="AY148" i="9" s="1"/>
  <c r="AY48" i="9"/>
  <c r="AY50" i="9" s="1"/>
  <c r="L99" i="11"/>
  <c r="L107" i="11" s="1"/>
  <c r="AS107" i="9"/>
  <c r="AZ31" i="5"/>
  <c r="BA25" i="5"/>
  <c r="AY78" i="5"/>
  <c r="BE88" i="9"/>
  <c r="AZ47" i="5"/>
  <c r="AZ72" i="5"/>
  <c r="AX8" i="14" l="1"/>
  <c r="AX23" i="14"/>
  <c r="AY58" i="9"/>
  <c r="AY55" i="9"/>
  <c r="AY59" i="9" s="1"/>
  <c r="AY6" i="14"/>
  <c r="BE125" i="9"/>
  <c r="M125" i="11" s="1"/>
  <c r="BF36" i="6"/>
  <c r="BF37" i="6" s="1"/>
  <c r="BH10" i="6"/>
  <c r="BG72" i="9"/>
  <c r="BG123" i="9" s="1"/>
  <c r="AZ73" i="5"/>
  <c r="AZ39" i="9" s="1"/>
  <c r="AZ33" i="5"/>
  <c r="BA67" i="5"/>
  <c r="BA70" i="5" s="1"/>
  <c r="BA28" i="5"/>
  <c r="AW74" i="9"/>
  <c r="AW75" i="9" s="1"/>
  <c r="AW77" i="9" s="1"/>
  <c r="AW99" i="9" s="1"/>
  <c r="AW107" i="9" s="1"/>
  <c r="AX149" i="9"/>
  <c r="AX150" i="9" s="1"/>
  <c r="AX74" i="9" s="1"/>
  <c r="AX75" i="9" s="1"/>
  <c r="AX77" i="9" s="1"/>
  <c r="AX99" i="9" s="1"/>
  <c r="AX107" i="9" s="1"/>
  <c r="BA44" i="5"/>
  <c r="AZ49" i="5"/>
  <c r="BE97" i="9"/>
  <c r="M97" i="11" s="1"/>
  <c r="M88" i="11"/>
  <c r="AY61" i="9" l="1"/>
  <c r="AY103" i="9" s="1"/>
  <c r="AY105" i="9" s="1"/>
  <c r="AY8" i="14"/>
  <c r="AY23" i="14"/>
  <c r="AX24" i="14"/>
  <c r="AX25" i="14"/>
  <c r="AX19" i="14" s="1"/>
  <c r="AX21" i="14" s="1"/>
  <c r="AY18" i="14" s="1"/>
  <c r="BH11" i="6"/>
  <c r="BH12" i="6" s="1"/>
  <c r="BG35" i="6"/>
  <c r="BF80" i="9"/>
  <c r="AZ58" i="9"/>
  <c r="AZ75" i="5"/>
  <c r="AZ77" i="5" s="1"/>
  <c r="AZ68" i="9" s="1"/>
  <c r="AZ69" i="9" s="1"/>
  <c r="AY149" i="9"/>
  <c r="AY150" i="9" s="1"/>
  <c r="AY74" i="9" s="1"/>
  <c r="AY75" i="9" s="1"/>
  <c r="AY77" i="9" s="1"/>
  <c r="AY99" i="9" s="1"/>
  <c r="BB25" i="5"/>
  <c r="BA31" i="5"/>
  <c r="BA73" i="5" s="1"/>
  <c r="BA39" i="9" s="1"/>
  <c r="BA30" i="5"/>
  <c r="AZ35" i="5"/>
  <c r="AZ40" i="9"/>
  <c r="AZ42" i="9" s="1"/>
  <c r="AZ117" i="9"/>
  <c r="BA47" i="5"/>
  <c r="AY107" i="9" l="1"/>
  <c r="AY11" i="14"/>
  <c r="AX10" i="14"/>
  <c r="AX12" i="14" s="1"/>
  <c r="AX28" i="14"/>
  <c r="AX30" i="14" s="1"/>
  <c r="AX33" i="14" s="1"/>
  <c r="AX34" i="14" s="1"/>
  <c r="AY25" i="14"/>
  <c r="AY19" i="14" s="1"/>
  <c r="AY21" i="14" s="1"/>
  <c r="AZ18" i="14" s="1"/>
  <c r="AY24" i="14"/>
  <c r="BI10" i="6"/>
  <c r="BI11" i="6" s="1"/>
  <c r="BI12" i="6" s="1"/>
  <c r="BH72" i="9"/>
  <c r="BH123" i="9" s="1"/>
  <c r="BF125" i="9"/>
  <c r="BF88" i="9"/>
  <c r="BF97" i="9" s="1"/>
  <c r="BG36" i="6"/>
  <c r="BG37" i="6" s="1"/>
  <c r="AZ78" i="5"/>
  <c r="AZ149" i="9"/>
  <c r="BA33" i="5"/>
  <c r="BB30" i="5" s="1"/>
  <c r="BA117" i="9"/>
  <c r="BA40" i="9"/>
  <c r="BA42" i="9" s="1"/>
  <c r="BA72" i="5"/>
  <c r="BA75" i="5" s="1"/>
  <c r="BA77" i="5" s="1"/>
  <c r="BA68" i="9" s="1"/>
  <c r="BA69" i="9" s="1"/>
  <c r="BB28" i="5"/>
  <c r="BB67" i="5"/>
  <c r="BB70" i="5" s="1"/>
  <c r="AZ48" i="9"/>
  <c r="AZ50" i="9" s="1"/>
  <c r="AZ114" i="9"/>
  <c r="AZ120" i="9" s="1"/>
  <c r="AZ127" i="9" s="1"/>
  <c r="AZ135" i="9" s="1"/>
  <c r="AZ148" i="9" s="1"/>
  <c r="BB44" i="5"/>
  <c r="BA49" i="5"/>
  <c r="AZ11" i="14" l="1"/>
  <c r="AZ55" i="9"/>
  <c r="AZ59" i="9" s="1"/>
  <c r="AZ61" i="9" s="1"/>
  <c r="AZ103" i="9" s="1"/>
  <c r="AZ105" i="9" s="1"/>
  <c r="AZ6" i="14"/>
  <c r="AY10" i="14"/>
  <c r="AY28" i="14"/>
  <c r="AY30" i="14" s="1"/>
  <c r="AY33" i="14" s="1"/>
  <c r="AY34" i="14" s="1"/>
  <c r="AY12" i="14"/>
  <c r="BH35" i="6"/>
  <c r="BG80" i="9"/>
  <c r="BJ10" i="6"/>
  <c r="BJ11" i="6" s="1"/>
  <c r="BJ12" i="6" s="1"/>
  <c r="BI72" i="9"/>
  <c r="BI123" i="9" s="1"/>
  <c r="AZ150" i="9"/>
  <c r="AZ74" i="9" s="1"/>
  <c r="AZ75" i="9" s="1"/>
  <c r="AZ77" i="9" s="1"/>
  <c r="AZ99" i="9" s="1"/>
  <c r="BA35" i="5"/>
  <c r="BA78" i="5" s="1"/>
  <c r="BB31" i="5"/>
  <c r="BC25" i="5"/>
  <c r="BA114" i="9"/>
  <c r="BA120" i="9" s="1"/>
  <c r="BA127" i="9" s="1"/>
  <c r="BA135" i="9" s="1"/>
  <c r="BA148" i="9" s="1"/>
  <c r="BA48" i="9"/>
  <c r="BA50" i="9" s="1"/>
  <c r="BB47" i="5"/>
  <c r="BB72" i="5"/>
  <c r="BA58" i="9" l="1"/>
  <c r="AZ8" i="14"/>
  <c r="AZ23" i="14"/>
  <c r="BA55" i="9"/>
  <c r="BA59" i="9" s="1"/>
  <c r="BA61" i="9" s="1"/>
  <c r="BB58" i="9" s="1"/>
  <c r="BA6" i="14"/>
  <c r="BG125" i="9"/>
  <c r="BG88" i="9"/>
  <c r="BG97" i="9" s="1"/>
  <c r="BH36" i="6"/>
  <c r="BH37" i="6" s="1"/>
  <c r="BK10" i="6"/>
  <c r="BK11" i="6" s="1"/>
  <c r="BK12" i="6" s="1"/>
  <c r="BJ72" i="9"/>
  <c r="BJ123" i="9" s="1"/>
  <c r="BA149" i="9"/>
  <c r="BA150" i="9" s="1"/>
  <c r="AZ107" i="9"/>
  <c r="BB73" i="5"/>
  <c r="BB39" i="9" s="1"/>
  <c r="BB33" i="5"/>
  <c r="BC28" i="5"/>
  <c r="BC67" i="5"/>
  <c r="BC70" i="5" s="1"/>
  <c r="BC44" i="5"/>
  <c r="BB49" i="5"/>
  <c r="BA8" i="14" l="1"/>
  <c r="BA23" i="14"/>
  <c r="AZ25" i="14"/>
  <c r="AZ19" i="14" s="1"/>
  <c r="AZ21" i="14" s="1"/>
  <c r="BA18" i="14" s="1"/>
  <c r="AZ24" i="14"/>
  <c r="BI35" i="6"/>
  <c r="BI36" i="6" s="1"/>
  <c r="BI37" i="6" s="1"/>
  <c r="BH80" i="9"/>
  <c r="BL10" i="6"/>
  <c r="BK72" i="9"/>
  <c r="BK123" i="9" s="1"/>
  <c r="BA103" i="9"/>
  <c r="BA105" i="9" s="1"/>
  <c r="BB117" i="9"/>
  <c r="BB40" i="9"/>
  <c r="BB42" i="9" s="1"/>
  <c r="BC30" i="5"/>
  <c r="BB35" i="5"/>
  <c r="BA74" i="9"/>
  <c r="BA75" i="9" s="1"/>
  <c r="BA77" i="9" s="1"/>
  <c r="BA99" i="9" s="1"/>
  <c r="BB149" i="9"/>
  <c r="BC31" i="5"/>
  <c r="BC73" i="5" s="1"/>
  <c r="BC39" i="9" s="1"/>
  <c r="BD25" i="5"/>
  <c r="BB75" i="5"/>
  <c r="BB77" i="5" s="1"/>
  <c r="BB68" i="9" s="1"/>
  <c r="BB69" i="9" s="1"/>
  <c r="BC47" i="5"/>
  <c r="BC72" i="5"/>
  <c r="AZ10" i="14" l="1"/>
  <c r="AZ12" i="14" s="1"/>
  <c r="AZ28" i="14"/>
  <c r="AZ30" i="14" s="1"/>
  <c r="AZ33" i="14" s="1"/>
  <c r="AZ34" i="14" s="1"/>
  <c r="BA11" i="14"/>
  <c r="BA25" i="14"/>
  <c r="BA19" i="14" s="1"/>
  <c r="BA21" i="14" s="1"/>
  <c r="BB18" i="14" s="1"/>
  <c r="BA24" i="14"/>
  <c r="BL11" i="6"/>
  <c r="BL12" i="6" s="1"/>
  <c r="BH125" i="9"/>
  <c r="BH88" i="9"/>
  <c r="BH97" i="9" s="1"/>
  <c r="BJ35" i="6"/>
  <c r="BJ36" i="6" s="1"/>
  <c r="BJ37" i="6" s="1"/>
  <c r="BI80" i="9"/>
  <c r="BA107" i="9"/>
  <c r="BB78" i="5"/>
  <c r="BC117" i="9"/>
  <c r="BC40" i="9"/>
  <c r="BC42" i="9" s="1"/>
  <c r="BC75" i="5"/>
  <c r="BC77" i="5" s="1"/>
  <c r="BC68" i="9" s="1"/>
  <c r="BC69" i="9" s="1"/>
  <c r="BC33" i="5"/>
  <c r="BB114" i="9"/>
  <c r="BB120" i="9" s="1"/>
  <c r="BB127" i="9" s="1"/>
  <c r="BB135" i="9" s="1"/>
  <c r="BB148" i="9" s="1"/>
  <c r="BB150" i="9" s="1"/>
  <c r="BB48" i="9"/>
  <c r="BB50" i="9" s="1"/>
  <c r="BD67" i="5"/>
  <c r="BD70" i="5" s="1"/>
  <c r="BD28" i="5"/>
  <c r="BD44" i="5"/>
  <c r="BC49" i="5"/>
  <c r="BB11" i="14" l="1"/>
  <c r="BA10" i="14"/>
  <c r="BA28" i="14"/>
  <c r="BA30" i="14" s="1"/>
  <c r="BA33" i="14" s="1"/>
  <c r="BA34" i="14" s="1"/>
  <c r="BA12" i="14"/>
  <c r="BB55" i="9"/>
  <c r="BB59" i="9" s="1"/>
  <c r="BB61" i="9" s="1"/>
  <c r="BB6" i="14"/>
  <c r="BI125" i="9"/>
  <c r="BI88" i="9"/>
  <c r="BI97" i="9" s="1"/>
  <c r="BM10" i="6"/>
  <c r="BM11" i="6" s="1"/>
  <c r="BM12" i="6" s="1"/>
  <c r="BL72" i="9"/>
  <c r="BL123" i="9" s="1"/>
  <c r="BK35" i="6"/>
  <c r="BJ80" i="9"/>
  <c r="BB74" i="9"/>
  <c r="BB75" i="9" s="1"/>
  <c r="BB77" i="9" s="1"/>
  <c r="BB99" i="9" s="1"/>
  <c r="BC149" i="9"/>
  <c r="BC114" i="9"/>
  <c r="BC120" i="9" s="1"/>
  <c r="BC127" i="9" s="1"/>
  <c r="BC135" i="9" s="1"/>
  <c r="BC148" i="9" s="1"/>
  <c r="BC48" i="9"/>
  <c r="BC50" i="9" s="1"/>
  <c r="BD30" i="5"/>
  <c r="BD72" i="5" s="1"/>
  <c r="BC35" i="5"/>
  <c r="BC78" i="5" s="1"/>
  <c r="BE25" i="5"/>
  <c r="BD31" i="5"/>
  <c r="BD73" i="5" s="1"/>
  <c r="BD39" i="9" s="1"/>
  <c r="BD47" i="5"/>
  <c r="BB103" i="9" l="1"/>
  <c r="BB105" i="9" s="1"/>
  <c r="BB107" i="9" s="1"/>
  <c r="BC58" i="9"/>
  <c r="BB8" i="14"/>
  <c r="BB23" i="14"/>
  <c r="BC55" i="9"/>
  <c r="BC59" i="9" s="1"/>
  <c r="BC61" i="9" s="1"/>
  <c r="BC6" i="14"/>
  <c r="BN10" i="6"/>
  <c r="BN11" i="6" s="1"/>
  <c r="BN12" i="6" s="1"/>
  <c r="BM72" i="9"/>
  <c r="BM123" i="9" s="1"/>
  <c r="BJ125" i="9"/>
  <c r="BJ88" i="9"/>
  <c r="BJ97" i="9" s="1"/>
  <c r="BK36" i="6"/>
  <c r="BK37" i="6" s="1"/>
  <c r="BD40" i="9"/>
  <c r="BD117" i="9"/>
  <c r="BE67" i="5"/>
  <c r="BE70" i="5" s="1"/>
  <c r="BE28" i="5"/>
  <c r="BD75" i="5"/>
  <c r="BD77" i="5" s="1"/>
  <c r="BD68" i="9" s="1"/>
  <c r="BD69" i="9" s="1"/>
  <c r="BC150" i="9"/>
  <c r="BD33" i="5"/>
  <c r="BE44" i="5"/>
  <c r="BD49" i="5"/>
  <c r="BC8" i="14" l="1"/>
  <c r="BC23" i="14"/>
  <c r="BB24" i="14"/>
  <c r="BB25" i="14"/>
  <c r="BB19" i="14" s="1"/>
  <c r="BB21" i="14" s="1"/>
  <c r="BC18" i="14" s="1"/>
  <c r="BL35" i="6"/>
  <c r="BK80" i="9"/>
  <c r="BE31" i="5"/>
  <c r="BE73" i="5" s="1"/>
  <c r="BE39" i="9" s="1"/>
  <c r="M39" i="11" s="1"/>
  <c r="BF25" i="5"/>
  <c r="BO10" i="6"/>
  <c r="BN72" i="9"/>
  <c r="BN123" i="9" s="1"/>
  <c r="BD149" i="9"/>
  <c r="BC74" i="9"/>
  <c r="BC75" i="9" s="1"/>
  <c r="BC77" i="9" s="1"/>
  <c r="BC99" i="9" s="1"/>
  <c r="BE117" i="9"/>
  <c r="M117" i="11" s="1"/>
  <c r="BD58" i="9"/>
  <c r="BC103" i="9"/>
  <c r="BC105" i="9" s="1"/>
  <c r="BE30" i="5"/>
  <c r="BD35" i="5"/>
  <c r="BD78" i="5" s="1"/>
  <c r="BD42" i="9"/>
  <c r="BE47" i="5"/>
  <c r="BE49" i="5" s="1"/>
  <c r="BC11" i="14" l="1"/>
  <c r="BB10" i="14"/>
  <c r="BB12" i="14" s="1"/>
  <c r="BB28" i="14"/>
  <c r="BB30" i="14" s="1"/>
  <c r="BB33" i="14" s="1"/>
  <c r="BB34" i="14" s="1"/>
  <c r="BC24" i="14"/>
  <c r="BC25" i="14"/>
  <c r="BC19" i="14" s="1"/>
  <c r="BC21" i="14" s="1"/>
  <c r="BD18" i="14" s="1"/>
  <c r="BF67" i="5"/>
  <c r="BF70" i="5" s="1"/>
  <c r="BF28" i="5"/>
  <c r="BK125" i="9"/>
  <c r="BK88" i="9"/>
  <c r="BK97" i="9" s="1"/>
  <c r="BE33" i="5"/>
  <c r="BE40" i="9"/>
  <c r="BE42" i="9" s="1"/>
  <c r="BE48" i="9" s="1"/>
  <c r="BE50" i="9" s="1"/>
  <c r="BO11" i="6"/>
  <c r="BO12" i="6"/>
  <c r="BL36" i="6"/>
  <c r="BL37" i="6" s="1"/>
  <c r="BC107" i="9"/>
  <c r="M40" i="11"/>
  <c r="BE72" i="5"/>
  <c r="BE75" i="5" s="1"/>
  <c r="BE77" i="5" s="1"/>
  <c r="BE68" i="9" s="1"/>
  <c r="BE69" i="9" s="1"/>
  <c r="BD114" i="9"/>
  <c r="BD48" i="9"/>
  <c r="BD11" i="14" l="1"/>
  <c r="BC10" i="14"/>
  <c r="BC28" i="14"/>
  <c r="BC30" i="14" s="1"/>
  <c r="BC33" i="14" s="1"/>
  <c r="BC34" i="14" s="1"/>
  <c r="BC12" i="14"/>
  <c r="BE55" i="9"/>
  <c r="BE59" i="9" s="1"/>
  <c r="BE6" i="14"/>
  <c r="M42" i="11"/>
  <c r="M43" i="11" s="1"/>
  <c r="BE114" i="9"/>
  <c r="BE120" i="9" s="1"/>
  <c r="BE127" i="9" s="1"/>
  <c r="BE135" i="9" s="1"/>
  <c r="BG25" i="5"/>
  <c r="BF31" i="5"/>
  <c r="BF73" i="5" s="1"/>
  <c r="BP10" i="6"/>
  <c r="BO72" i="9"/>
  <c r="BO123" i="9" s="1"/>
  <c r="BM35" i="6"/>
  <c r="BL80" i="9"/>
  <c r="BE35" i="5"/>
  <c r="BE78" i="5" s="1"/>
  <c r="BF30" i="5"/>
  <c r="M68" i="11"/>
  <c r="BD50" i="9"/>
  <c r="BD6" i="14" s="1"/>
  <c r="M48" i="11"/>
  <c r="BD120" i="9"/>
  <c r="M69" i="11"/>
  <c r="BE8" i="14" l="1"/>
  <c r="BE23" i="14"/>
  <c r="BD8" i="14"/>
  <c r="BD23" i="14"/>
  <c r="M114" i="11"/>
  <c r="BL125" i="9"/>
  <c r="BL88" i="9"/>
  <c r="BL97" i="9" s="1"/>
  <c r="BM36" i="6"/>
  <c r="BM37" i="6" s="1"/>
  <c r="BF39" i="9"/>
  <c r="BP11" i="6"/>
  <c r="BP12" i="6" s="1"/>
  <c r="BF72" i="5"/>
  <c r="BF75" i="5" s="1"/>
  <c r="BF77" i="5" s="1"/>
  <c r="BF68" i="9" s="1"/>
  <c r="BF69" i="9" s="1"/>
  <c r="BF33" i="5"/>
  <c r="BG67" i="5"/>
  <c r="BG70" i="5" s="1"/>
  <c r="BG28" i="5"/>
  <c r="BD127" i="9"/>
  <c r="M120" i="11"/>
  <c r="BD55" i="9"/>
  <c r="M50" i="11"/>
  <c r="BE148" i="9"/>
  <c r="BD25" i="14" l="1"/>
  <c r="BD19" i="14" s="1"/>
  <c r="BD21" i="14" s="1"/>
  <c r="BE18" i="14" s="1"/>
  <c r="BD24" i="14"/>
  <c r="BE24" i="14"/>
  <c r="BE25" i="14"/>
  <c r="BE19" i="14" s="1"/>
  <c r="BN35" i="6"/>
  <c r="BN36" i="6" s="1"/>
  <c r="BN37" i="6" s="1"/>
  <c r="BM80" i="9"/>
  <c r="BG31" i="5"/>
  <c r="BG73" i="5" s="1"/>
  <c r="BG39" i="9" s="1"/>
  <c r="BH25" i="5"/>
  <c r="BG30" i="5"/>
  <c r="BF35" i="5"/>
  <c r="BF78" i="5" s="1"/>
  <c r="BF117" i="9"/>
  <c r="BF40" i="9"/>
  <c r="BQ10" i="6"/>
  <c r="BQ11" i="6" s="1"/>
  <c r="BQ12" i="6" s="1"/>
  <c r="BQ72" i="9" s="1"/>
  <c r="BP72" i="9"/>
  <c r="BP123" i="9" s="1"/>
  <c r="BD59" i="9"/>
  <c r="M55" i="11"/>
  <c r="BD135" i="9"/>
  <c r="M127" i="11"/>
  <c r="BE10" i="14" l="1"/>
  <c r="BE28" i="14"/>
  <c r="BE30" i="14" s="1"/>
  <c r="BE33" i="14" s="1"/>
  <c r="BE34" i="14" s="1"/>
  <c r="BD28" i="14"/>
  <c r="BD30" i="14" s="1"/>
  <c r="BD33" i="14" s="1"/>
  <c r="BD34" i="14" s="1"/>
  <c r="BD10" i="14"/>
  <c r="BD12" i="14" s="1"/>
  <c r="BE21" i="14"/>
  <c r="BF18" i="14" s="1"/>
  <c r="BE11" i="14"/>
  <c r="BE12" i="14" s="1"/>
  <c r="BG117" i="9"/>
  <c r="BG40" i="9"/>
  <c r="BG42" i="9" s="1"/>
  <c r="BH28" i="5"/>
  <c r="BH67" i="5"/>
  <c r="BH70" i="5" s="1"/>
  <c r="BF42" i="9"/>
  <c r="BG72" i="5"/>
  <c r="BG75" i="5" s="1"/>
  <c r="BG77" i="5" s="1"/>
  <c r="BG68" i="9" s="1"/>
  <c r="BG69" i="9" s="1"/>
  <c r="BG33" i="5"/>
  <c r="BM125" i="9"/>
  <c r="BM88" i="9"/>
  <c r="BM97" i="9" s="1"/>
  <c r="N72" i="11"/>
  <c r="BQ123" i="9"/>
  <c r="N123" i="11" s="1"/>
  <c r="BO35" i="6"/>
  <c r="BO36" i="6" s="1"/>
  <c r="BO37" i="6" s="1"/>
  <c r="BN80" i="9"/>
  <c r="BD148" i="9"/>
  <c r="M135" i="11"/>
  <c r="BD61" i="9"/>
  <c r="M59" i="11"/>
  <c r="BF11" i="14" l="1"/>
  <c r="BH31" i="5"/>
  <c r="BH73" i="5" s="1"/>
  <c r="BH39" i="9" s="1"/>
  <c r="BI25" i="5"/>
  <c r="BN125" i="9"/>
  <c r="BN88" i="9"/>
  <c r="BN97" i="9" s="1"/>
  <c r="BP35" i="6"/>
  <c r="BO80" i="9"/>
  <c r="BF48" i="9"/>
  <c r="BF114" i="9"/>
  <c r="BG114" i="9"/>
  <c r="BG120" i="9" s="1"/>
  <c r="BG127" i="9" s="1"/>
  <c r="BG135" i="9" s="1"/>
  <c r="BG148" i="9" s="1"/>
  <c r="BG48" i="9"/>
  <c r="BG50" i="9" s="1"/>
  <c r="BH30" i="5"/>
  <c r="BG35" i="5"/>
  <c r="BG78" i="5" s="1"/>
  <c r="BE58" i="9"/>
  <c r="BD103" i="9"/>
  <c r="BD105" i="9" s="1"/>
  <c r="BD150" i="9"/>
  <c r="M148" i="11"/>
  <c r="F20" i="13" s="1"/>
  <c r="BG55" i="9" l="1"/>
  <c r="BG59" i="9" s="1"/>
  <c r="BG6" i="14"/>
  <c r="BO125" i="9"/>
  <c r="BO88" i="9"/>
  <c r="BO97" i="9" s="1"/>
  <c r="BF50" i="9"/>
  <c r="BF6" i="14" s="1"/>
  <c r="BF120" i="9"/>
  <c r="BP36" i="6"/>
  <c r="BP37" i="6" s="1"/>
  <c r="BI67" i="5"/>
  <c r="BI70" i="5" s="1"/>
  <c r="BI28" i="5"/>
  <c r="BH72" i="5"/>
  <c r="BH75" i="5" s="1"/>
  <c r="BH77" i="5" s="1"/>
  <c r="BH68" i="9" s="1"/>
  <c r="BH69" i="9" s="1"/>
  <c r="BH33" i="5"/>
  <c r="BH40" i="9"/>
  <c r="BH117" i="9"/>
  <c r="BE149" i="9"/>
  <c r="BE150" i="9" s="1"/>
  <c r="BF149" i="9" s="1"/>
  <c r="BD74" i="9"/>
  <c r="BD75" i="9" s="1"/>
  <c r="BD77" i="9" s="1"/>
  <c r="BD99" i="9" s="1"/>
  <c r="BD107" i="9" s="1"/>
  <c r="BE61" i="9"/>
  <c r="BF58" i="9" s="1"/>
  <c r="BF8" i="14" l="1"/>
  <c r="BF23" i="14"/>
  <c r="BG8" i="14"/>
  <c r="BG23" i="14"/>
  <c r="BI30" i="5"/>
  <c r="BH35" i="5"/>
  <c r="BH78" i="5" s="1"/>
  <c r="BF55" i="9"/>
  <c r="BQ35" i="6"/>
  <c r="BQ36" i="6" s="1"/>
  <c r="BQ37" i="6" s="1"/>
  <c r="BQ80" i="9" s="1"/>
  <c r="BP80" i="9"/>
  <c r="BJ25" i="5"/>
  <c r="BI31" i="5"/>
  <c r="BI73" i="5" s="1"/>
  <c r="BI39" i="9" s="1"/>
  <c r="BH42" i="9"/>
  <c r="BF127" i="9"/>
  <c r="N149" i="11"/>
  <c r="BE103" i="9"/>
  <c r="M150" i="11"/>
  <c r="BE74" i="9"/>
  <c r="BG25" i="14" l="1"/>
  <c r="BG19" i="14" s="1"/>
  <c r="BG24" i="14"/>
  <c r="BF24" i="14"/>
  <c r="BF25" i="14"/>
  <c r="BF19" i="14" s="1"/>
  <c r="BF21" i="14" s="1"/>
  <c r="BG18" i="14" s="1"/>
  <c r="M151" i="11"/>
  <c r="F21" i="13"/>
  <c r="BJ28" i="5"/>
  <c r="BJ67" i="5"/>
  <c r="BJ70" i="5" s="1"/>
  <c r="BF59" i="9"/>
  <c r="BH48" i="9"/>
  <c r="BH114" i="9"/>
  <c r="BF135" i="9"/>
  <c r="BP125" i="9"/>
  <c r="BP88" i="9"/>
  <c r="BP97" i="9" s="1"/>
  <c r="BI40" i="9"/>
  <c r="BI117" i="9"/>
  <c r="N80" i="11"/>
  <c r="BQ125" i="9"/>
  <c r="N125" i="11" s="1"/>
  <c r="BQ88" i="9"/>
  <c r="BI72" i="5"/>
  <c r="BI75" i="5" s="1"/>
  <c r="BI77" i="5" s="1"/>
  <c r="BI68" i="9" s="1"/>
  <c r="BI69" i="9" s="1"/>
  <c r="BI33" i="5"/>
  <c r="M74" i="11"/>
  <c r="BE75" i="9"/>
  <c r="BE105" i="9"/>
  <c r="M105" i="11" s="1"/>
  <c r="M103" i="11"/>
  <c r="BG21" i="14" l="1"/>
  <c r="BH18" i="14" s="1"/>
  <c r="BG11" i="14"/>
  <c r="BF10" i="14"/>
  <c r="BF12" i="14" s="1"/>
  <c r="BF28" i="14"/>
  <c r="BF30" i="14" s="1"/>
  <c r="BF33" i="14" s="1"/>
  <c r="BF34" i="14" s="1"/>
  <c r="BG10" i="14"/>
  <c r="BG28" i="14"/>
  <c r="BG30" i="14" s="1"/>
  <c r="BG33" i="14" s="1"/>
  <c r="BG34" i="14" s="1"/>
  <c r="BI42" i="9"/>
  <c r="BF148" i="9"/>
  <c r="BF61" i="9"/>
  <c r="BJ30" i="5"/>
  <c r="BI35" i="5"/>
  <c r="BI78" i="5" s="1"/>
  <c r="BQ97" i="9"/>
  <c r="N97" i="11" s="1"/>
  <c r="N88" i="11"/>
  <c r="BH120" i="9"/>
  <c r="BH50" i="9"/>
  <c r="BH6" i="14" s="1"/>
  <c r="BK25" i="5"/>
  <c r="BJ31" i="5"/>
  <c r="BJ73" i="5" s="1"/>
  <c r="BJ39" i="9" s="1"/>
  <c r="BE77" i="9"/>
  <c r="M75" i="11"/>
  <c r="BH8" i="14" l="1"/>
  <c r="BH23" i="14"/>
  <c r="BG12" i="14"/>
  <c r="BH11" i="14"/>
  <c r="BF150" i="9"/>
  <c r="BH127" i="9"/>
  <c r="BJ33" i="5"/>
  <c r="BJ72" i="5"/>
  <c r="BJ75" i="5" s="1"/>
  <c r="BJ77" i="5" s="1"/>
  <c r="BJ68" i="9" s="1"/>
  <c r="BJ69" i="9" s="1"/>
  <c r="BH55" i="9"/>
  <c r="BG58" i="9"/>
  <c r="BG61" i="9" s="1"/>
  <c r="BG103" i="9" s="1"/>
  <c r="BG105" i="9" s="1"/>
  <c r="BF103" i="9"/>
  <c r="BF105" i="9" s="1"/>
  <c r="BK28" i="5"/>
  <c r="BK67" i="5"/>
  <c r="BK70" i="5" s="1"/>
  <c r="BJ117" i="9"/>
  <c r="BJ40" i="9"/>
  <c r="BI114" i="9"/>
  <c r="BI48" i="9"/>
  <c r="BE99" i="9"/>
  <c r="M77" i="11"/>
  <c r="BH24" i="14" l="1"/>
  <c r="BH25" i="14"/>
  <c r="BH19" i="14" s="1"/>
  <c r="BH21" i="14" s="1"/>
  <c r="BI18" i="14" s="1"/>
  <c r="BH58" i="9"/>
  <c r="BK31" i="5"/>
  <c r="BK73" i="5" s="1"/>
  <c r="BK39" i="9" s="1"/>
  <c r="BL25" i="5"/>
  <c r="BH135" i="9"/>
  <c r="BF74" i="9"/>
  <c r="BF75" i="9" s="1"/>
  <c r="BF77" i="9" s="1"/>
  <c r="BF99" i="9" s="1"/>
  <c r="BF107" i="9" s="1"/>
  <c r="BG149" i="9"/>
  <c r="BG150" i="9" s="1"/>
  <c r="BI120" i="9"/>
  <c r="BH59" i="9"/>
  <c r="BJ42" i="9"/>
  <c r="BI50" i="9"/>
  <c r="BI6" i="14" s="1"/>
  <c r="BK30" i="5"/>
  <c r="BJ35" i="5"/>
  <c r="BJ78" i="5" s="1"/>
  <c r="BE107" i="9"/>
  <c r="M99" i="11"/>
  <c r="M107" i="11" s="1"/>
  <c r="BH61" i="9" l="1"/>
  <c r="BI58" i="9" s="1"/>
  <c r="BI8" i="14"/>
  <c r="BI23" i="14"/>
  <c r="BI11" i="14"/>
  <c r="BH10" i="14"/>
  <c r="BH12" i="14" s="1"/>
  <c r="BH28" i="14"/>
  <c r="BH30" i="14" s="1"/>
  <c r="BH33" i="14" s="1"/>
  <c r="BH34" i="14" s="1"/>
  <c r="BI55" i="9"/>
  <c r="BL28" i="5"/>
  <c r="BL67" i="5"/>
  <c r="BL70" i="5" s="1"/>
  <c r="BK33" i="5"/>
  <c r="BK72" i="5"/>
  <c r="BK75" i="5" s="1"/>
  <c r="BK77" i="5" s="1"/>
  <c r="BK68" i="9" s="1"/>
  <c r="BK69" i="9" s="1"/>
  <c r="BJ48" i="9"/>
  <c r="BJ114" i="9"/>
  <c r="BI127" i="9"/>
  <c r="BK117" i="9"/>
  <c r="BK40" i="9"/>
  <c r="BK42" i="9" s="1"/>
  <c r="BH149" i="9"/>
  <c r="BG74" i="9"/>
  <c r="BG75" i="9" s="1"/>
  <c r="BG77" i="9" s="1"/>
  <c r="BG99" i="9" s="1"/>
  <c r="BG107" i="9" s="1"/>
  <c r="BH148" i="9"/>
  <c r="BH103" i="9" l="1"/>
  <c r="BH105" i="9" s="1"/>
  <c r="BI24" i="14"/>
  <c r="BI25" i="14"/>
  <c r="BI19" i="14" s="1"/>
  <c r="BI21" i="14" s="1"/>
  <c r="BJ18" i="14" s="1"/>
  <c r="BH150" i="9"/>
  <c r="BJ120" i="9"/>
  <c r="BJ50" i="9"/>
  <c r="BJ6" i="14" s="1"/>
  <c r="BL31" i="5"/>
  <c r="BL73" i="5" s="1"/>
  <c r="BL39" i="9" s="1"/>
  <c r="BM25" i="5"/>
  <c r="BI135" i="9"/>
  <c r="BK114" i="9"/>
  <c r="BK120" i="9" s="1"/>
  <c r="BK127" i="9" s="1"/>
  <c r="BK135" i="9" s="1"/>
  <c r="BK148" i="9" s="1"/>
  <c r="BK48" i="9"/>
  <c r="BK50" i="9" s="1"/>
  <c r="BL30" i="5"/>
  <c r="BK35" i="5"/>
  <c r="BK78" i="5" s="1"/>
  <c r="BI59" i="9"/>
  <c r="BI61" i="9" s="1"/>
  <c r="BJ8" i="14" l="1"/>
  <c r="BJ23" i="14"/>
  <c r="BK55" i="9"/>
  <c r="BK59" i="9" s="1"/>
  <c r="BK6" i="14"/>
  <c r="BJ11" i="14"/>
  <c r="BI10" i="14"/>
  <c r="BI12" i="14" s="1"/>
  <c r="BI28" i="14"/>
  <c r="BI30" i="14" s="1"/>
  <c r="BI33" i="14" s="1"/>
  <c r="BI34" i="14" s="1"/>
  <c r="BJ55" i="9"/>
  <c r="BL33" i="5"/>
  <c r="BL72" i="5"/>
  <c r="BL75" i="5" s="1"/>
  <c r="BL77" i="5" s="1"/>
  <c r="BL68" i="9" s="1"/>
  <c r="BL69" i="9" s="1"/>
  <c r="BM28" i="5"/>
  <c r="BM67" i="5"/>
  <c r="BM70" i="5" s="1"/>
  <c r="BI148" i="9"/>
  <c r="BL40" i="9"/>
  <c r="BL42" i="9" s="1"/>
  <c r="BL117" i="9"/>
  <c r="BJ127" i="9"/>
  <c r="BH74" i="9"/>
  <c r="BH75" i="9" s="1"/>
  <c r="BH77" i="9" s="1"/>
  <c r="BH99" i="9" s="1"/>
  <c r="BH107" i="9" s="1"/>
  <c r="BI149" i="9"/>
  <c r="BJ58" i="9"/>
  <c r="BI103" i="9"/>
  <c r="BI105" i="9" s="1"/>
  <c r="BK8" i="14" l="1"/>
  <c r="BK23" i="14"/>
  <c r="BJ25" i="14"/>
  <c r="BJ19" i="14" s="1"/>
  <c r="BJ21" i="14" s="1"/>
  <c r="BK18" i="14" s="1"/>
  <c r="BJ24" i="14"/>
  <c r="BI150" i="9"/>
  <c r="BJ149" i="9" s="1"/>
  <c r="BJ135" i="9"/>
  <c r="BL114" i="9"/>
  <c r="BL48" i="9"/>
  <c r="BL50" i="9" s="1"/>
  <c r="BL6" i="14" s="1"/>
  <c r="BM30" i="5"/>
  <c r="BL35" i="5"/>
  <c r="BL78" i="5" s="1"/>
  <c r="BN25" i="5"/>
  <c r="BM31" i="5"/>
  <c r="BM73" i="5" s="1"/>
  <c r="BM39" i="9" s="1"/>
  <c r="BJ59" i="9"/>
  <c r="BJ61" i="9" s="1"/>
  <c r="BJ10" i="14" l="1"/>
  <c r="BJ12" i="14" s="1"/>
  <c r="BJ28" i="14"/>
  <c r="BJ30" i="14" s="1"/>
  <c r="BJ33" i="14" s="1"/>
  <c r="BJ34" i="14" s="1"/>
  <c r="BK11" i="14"/>
  <c r="BK25" i="14"/>
  <c r="BK19" i="14" s="1"/>
  <c r="BK21" i="14" s="1"/>
  <c r="BL18" i="14" s="1"/>
  <c r="BK24" i="14"/>
  <c r="BL8" i="14"/>
  <c r="BL23" i="14"/>
  <c r="BI74" i="9"/>
  <c r="BI75" i="9" s="1"/>
  <c r="BI77" i="9" s="1"/>
  <c r="BI99" i="9" s="1"/>
  <c r="BI107" i="9" s="1"/>
  <c r="BM117" i="9"/>
  <c r="BM40" i="9"/>
  <c r="BM42" i="9" s="1"/>
  <c r="BL120" i="9"/>
  <c r="BN28" i="5"/>
  <c r="BN67" i="5"/>
  <c r="BN70" i="5" s="1"/>
  <c r="BM33" i="5"/>
  <c r="BM72" i="5"/>
  <c r="BM75" i="5" s="1"/>
  <c r="BM77" i="5" s="1"/>
  <c r="BM68" i="9" s="1"/>
  <c r="BM69" i="9" s="1"/>
  <c r="BL55" i="9"/>
  <c r="BJ148" i="9"/>
  <c r="BJ150" i="9" s="1"/>
  <c r="BK58" i="9"/>
  <c r="BK61" i="9" s="1"/>
  <c r="BJ103" i="9"/>
  <c r="BJ105" i="9" s="1"/>
  <c r="BL11" i="14" l="1"/>
  <c r="BL24" i="14"/>
  <c r="BL25" i="14"/>
  <c r="BL19" i="14" s="1"/>
  <c r="BL21" i="14" s="1"/>
  <c r="BM18" i="14" s="1"/>
  <c r="BK10" i="14"/>
  <c r="BK28" i="14"/>
  <c r="BK30" i="14" s="1"/>
  <c r="BK33" i="14" s="1"/>
  <c r="BK34" i="14" s="1"/>
  <c r="BK12" i="14"/>
  <c r="BJ74" i="9"/>
  <c r="BJ75" i="9" s="1"/>
  <c r="BJ77" i="9" s="1"/>
  <c r="BJ99" i="9" s="1"/>
  <c r="BJ107" i="9" s="1"/>
  <c r="BK149" i="9"/>
  <c r="BK150" i="9" s="1"/>
  <c r="BM48" i="9"/>
  <c r="BM50" i="9" s="1"/>
  <c r="BM114" i="9"/>
  <c r="BM120" i="9" s="1"/>
  <c r="BM127" i="9" s="1"/>
  <c r="BM135" i="9" s="1"/>
  <c r="BM148" i="9" s="1"/>
  <c r="BL59" i="9"/>
  <c r="BN31" i="5"/>
  <c r="BN73" i="5" s="1"/>
  <c r="BN39" i="9" s="1"/>
  <c r="BO25" i="5"/>
  <c r="BN30" i="5"/>
  <c r="BM35" i="5"/>
  <c r="BM78" i="5" s="1"/>
  <c r="BL127" i="9"/>
  <c r="BL58" i="9"/>
  <c r="BK103" i="9"/>
  <c r="BK105" i="9" s="1"/>
  <c r="BM11" i="14" l="1"/>
  <c r="BL10" i="14"/>
  <c r="BL28" i="14"/>
  <c r="BL30" i="14" s="1"/>
  <c r="BL33" i="14" s="1"/>
  <c r="BL34" i="14" s="1"/>
  <c r="BM55" i="9"/>
  <c r="BM59" i="9" s="1"/>
  <c r="BM6" i="14"/>
  <c r="BL12" i="14"/>
  <c r="BN117" i="9"/>
  <c r="BN40" i="9"/>
  <c r="BN42" i="9" s="1"/>
  <c r="BN33" i="5"/>
  <c r="BN72" i="5"/>
  <c r="BN75" i="5" s="1"/>
  <c r="BN77" i="5" s="1"/>
  <c r="BN68" i="9" s="1"/>
  <c r="BN69" i="9" s="1"/>
  <c r="BL149" i="9"/>
  <c r="BK74" i="9"/>
  <c r="BK75" i="9" s="1"/>
  <c r="BK77" i="9" s="1"/>
  <c r="BK99" i="9" s="1"/>
  <c r="BK107" i="9" s="1"/>
  <c r="BL61" i="9"/>
  <c r="BM58" i="9" s="1"/>
  <c r="BM61" i="9" s="1"/>
  <c r="BL135" i="9"/>
  <c r="BO28" i="5"/>
  <c r="BO67" i="5"/>
  <c r="BO70" i="5" s="1"/>
  <c r="BM8" i="14" l="1"/>
  <c r="BM23" i="14"/>
  <c r="BO30" i="5"/>
  <c r="BN35" i="5"/>
  <c r="BN78" i="5" s="1"/>
  <c r="BO31" i="5"/>
  <c r="BO73" i="5" s="1"/>
  <c r="BO39" i="9" s="1"/>
  <c r="BP25" i="5"/>
  <c r="BL103" i="9"/>
  <c r="BL105" i="9" s="1"/>
  <c r="BN48" i="9"/>
  <c r="BN50" i="9" s="1"/>
  <c r="BN114" i="9"/>
  <c r="BN120" i="9" s="1"/>
  <c r="BN127" i="9" s="1"/>
  <c r="BN135" i="9" s="1"/>
  <c r="BN148" i="9" s="1"/>
  <c r="BL148" i="9"/>
  <c r="BL150" i="9" s="1"/>
  <c r="BN58" i="9"/>
  <c r="BM103" i="9"/>
  <c r="BM105" i="9" s="1"/>
  <c r="BM24" i="14" l="1"/>
  <c r="BM25" i="14"/>
  <c r="BM19" i="14" s="1"/>
  <c r="BM21" i="14" s="1"/>
  <c r="BN18" i="14" s="1"/>
  <c r="BN55" i="9"/>
  <c r="BN59" i="9" s="1"/>
  <c r="BN6" i="14"/>
  <c r="BM149" i="9"/>
  <c r="BM150" i="9" s="1"/>
  <c r="BL74" i="9"/>
  <c r="BL75" i="9" s="1"/>
  <c r="BL77" i="9" s="1"/>
  <c r="BL99" i="9" s="1"/>
  <c r="BL107" i="9" s="1"/>
  <c r="BP28" i="5"/>
  <c r="BP67" i="5"/>
  <c r="BP70" i="5" s="1"/>
  <c r="BO117" i="9"/>
  <c r="BO40" i="9"/>
  <c r="BO42" i="9" s="1"/>
  <c r="BN61" i="9"/>
  <c r="BO58" i="9" s="1"/>
  <c r="BO33" i="5"/>
  <c r="BO72" i="5"/>
  <c r="BO75" i="5" s="1"/>
  <c r="BO77" i="5" s="1"/>
  <c r="BO68" i="9" s="1"/>
  <c r="BO69" i="9" s="1"/>
  <c r="BN8" i="14" l="1"/>
  <c r="BN23" i="14"/>
  <c r="BN11" i="14"/>
  <c r="BM10" i="14"/>
  <c r="BM12" i="14" s="1"/>
  <c r="BM28" i="14"/>
  <c r="BM30" i="14" s="1"/>
  <c r="BM33" i="14" s="1"/>
  <c r="BM34" i="14" s="1"/>
  <c r="BN103" i="9"/>
  <c r="BN105" i="9" s="1"/>
  <c r="BQ25" i="5"/>
  <c r="BP31" i="5"/>
  <c r="BP73" i="5" s="1"/>
  <c r="BP39" i="9" s="1"/>
  <c r="BO48" i="9"/>
  <c r="BO50" i="9" s="1"/>
  <c r="BO114" i="9"/>
  <c r="BO120" i="9" s="1"/>
  <c r="BO127" i="9" s="1"/>
  <c r="BO135" i="9" s="1"/>
  <c r="BO148" i="9" s="1"/>
  <c r="BP30" i="5"/>
  <c r="BO35" i="5"/>
  <c r="BO78" i="5" s="1"/>
  <c r="BM74" i="9"/>
  <c r="BM75" i="9" s="1"/>
  <c r="BM77" i="9" s="1"/>
  <c r="BM99" i="9" s="1"/>
  <c r="BM107" i="9" s="1"/>
  <c r="BN149" i="9"/>
  <c r="BN150" i="9" s="1"/>
  <c r="BO55" i="9" l="1"/>
  <c r="BO59" i="9" s="1"/>
  <c r="BO61" i="9" s="1"/>
  <c r="BO103" i="9" s="1"/>
  <c r="BO105" i="9" s="1"/>
  <c r="BO6" i="14"/>
  <c r="BN24" i="14"/>
  <c r="BN25" i="14"/>
  <c r="BN19" i="14" s="1"/>
  <c r="BN21" i="14" s="1"/>
  <c r="BO18" i="14" s="1"/>
  <c r="BP33" i="5"/>
  <c r="BP72" i="5"/>
  <c r="BP75" i="5" s="1"/>
  <c r="BP77" i="5" s="1"/>
  <c r="BP68" i="9" s="1"/>
  <c r="BP69" i="9" s="1"/>
  <c r="BP40" i="9"/>
  <c r="BP42" i="9" s="1"/>
  <c r="BP117" i="9"/>
  <c r="BN74" i="9"/>
  <c r="BN75" i="9" s="1"/>
  <c r="BN77" i="9" s="1"/>
  <c r="BN99" i="9" s="1"/>
  <c r="BN107" i="9" s="1"/>
  <c r="BO149" i="9"/>
  <c r="BO150" i="9" s="1"/>
  <c r="BQ28" i="5"/>
  <c r="BQ31" i="5" s="1"/>
  <c r="BQ73" i="5" s="1"/>
  <c r="BQ39" i="9" s="1"/>
  <c r="BQ67" i="5"/>
  <c r="BQ70" i="5" s="1"/>
  <c r="BN10" i="14" l="1"/>
  <c r="BN12" i="14" s="1"/>
  <c r="BN28" i="14"/>
  <c r="BN30" i="14" s="1"/>
  <c r="BN33" i="14" s="1"/>
  <c r="BN34" i="14" s="1"/>
  <c r="BO11" i="14"/>
  <c r="BO8" i="14"/>
  <c r="BO23" i="14"/>
  <c r="BP58" i="9"/>
  <c r="BP149" i="9"/>
  <c r="BO74" i="9"/>
  <c r="BO75" i="9" s="1"/>
  <c r="BO77" i="9" s="1"/>
  <c r="BO99" i="9" s="1"/>
  <c r="BO107" i="9" s="1"/>
  <c r="BQ30" i="5"/>
  <c r="BP35" i="5"/>
  <c r="BP78" i="5" s="1"/>
  <c r="BQ40" i="9"/>
  <c r="BQ117" i="9"/>
  <c r="N117" i="11" s="1"/>
  <c r="N39" i="11"/>
  <c r="BP114" i="9"/>
  <c r="BP120" i="9" s="1"/>
  <c r="BP127" i="9" s="1"/>
  <c r="BP135" i="9" s="1"/>
  <c r="BP148" i="9" s="1"/>
  <c r="BP48" i="9"/>
  <c r="BP50" i="9" s="1"/>
  <c r="BO24" i="14" l="1"/>
  <c r="BO25" i="14"/>
  <c r="BO19" i="14" s="1"/>
  <c r="BO21" i="14" s="1"/>
  <c r="BP18" i="14" s="1"/>
  <c r="BP55" i="9"/>
  <c r="BP59" i="9" s="1"/>
  <c r="BP61" i="9" s="1"/>
  <c r="BP103" i="9" s="1"/>
  <c r="BP105" i="9" s="1"/>
  <c r="BP6" i="14"/>
  <c r="BQ33" i="5"/>
  <c r="BQ35" i="5" s="1"/>
  <c r="BQ72" i="5"/>
  <c r="BQ75" i="5" s="1"/>
  <c r="BQ77" i="5" s="1"/>
  <c r="BQ68" i="9" s="1"/>
  <c r="BQ42" i="9"/>
  <c r="N40" i="11"/>
  <c r="BP150" i="9"/>
  <c r="BQ58" i="9" l="1"/>
  <c r="BP8" i="14"/>
  <c r="BP23" i="14"/>
  <c r="BP11" i="14"/>
  <c r="BO10" i="14"/>
  <c r="BO12" i="14" s="1"/>
  <c r="BO28" i="14"/>
  <c r="BO30" i="14" s="1"/>
  <c r="BO33" i="14" s="1"/>
  <c r="BO34" i="14" s="1"/>
  <c r="N68" i="11"/>
  <c r="BQ69" i="9"/>
  <c r="BQ149" i="9"/>
  <c r="BP74" i="9"/>
  <c r="BP75" i="9" s="1"/>
  <c r="BP77" i="9" s="1"/>
  <c r="BP99" i="9" s="1"/>
  <c r="BP107" i="9" s="1"/>
  <c r="BQ78" i="5"/>
  <c r="BQ48" i="9"/>
  <c r="BQ114" i="9"/>
  <c r="N42" i="11"/>
  <c r="BP24" i="14" l="1"/>
  <c r="BP25" i="14"/>
  <c r="BP19" i="14" s="1"/>
  <c r="BP21" i="14" s="1"/>
  <c r="BQ18" i="14" s="1"/>
  <c r="BQ50" i="9"/>
  <c r="BQ6" i="14" s="1"/>
  <c r="N48" i="11"/>
  <c r="N69" i="11"/>
  <c r="BQ120" i="9"/>
  <c r="N114" i="11"/>
  <c r="BQ8" i="14" l="1"/>
  <c r="BQ23" i="14"/>
  <c r="BQ11" i="14"/>
  <c r="BP10" i="14"/>
  <c r="BP12" i="14" s="1"/>
  <c r="BP28" i="14"/>
  <c r="BP30" i="14" s="1"/>
  <c r="BP33" i="14" s="1"/>
  <c r="BP34" i="14" s="1"/>
  <c r="BQ127" i="9"/>
  <c r="N120" i="11"/>
  <c r="BQ55" i="9"/>
  <c r="N50" i="11"/>
  <c r="BQ24" i="14" l="1"/>
  <c r="BQ25" i="14"/>
  <c r="BQ19" i="14" s="1"/>
  <c r="BQ21" i="14" s="1"/>
  <c r="BQ59" i="9"/>
  <c r="N55" i="11"/>
  <c r="BQ135" i="9"/>
  <c r="N127" i="11"/>
  <c r="BQ10" i="14" l="1"/>
  <c r="BQ12" i="14" s="1"/>
  <c r="BQ28" i="14"/>
  <c r="BQ30" i="14" s="1"/>
  <c r="BQ33" i="14" s="1"/>
  <c r="BQ34" i="14" s="1"/>
  <c r="BQ148" i="9"/>
  <c r="N135" i="11"/>
  <c r="N59" i="11"/>
  <c r="BQ61" i="9"/>
  <c r="BQ103" i="9" l="1"/>
  <c r="N148" i="11"/>
  <c r="G20" i="13" s="1"/>
  <c r="BQ150" i="9"/>
  <c r="C23" i="13" s="1"/>
  <c r="BQ105" i="9" l="1"/>
  <c r="N103" i="11"/>
  <c r="N150" i="11"/>
  <c r="BQ74" i="9"/>
  <c r="N151" i="11" l="1"/>
  <c r="G21" i="13"/>
  <c r="N74" i="11"/>
  <c r="BQ75" i="9"/>
  <c r="N105" i="11"/>
  <c r="N75" i="11" l="1"/>
  <c r="BQ77" i="9"/>
  <c r="BQ99" i="9" l="1"/>
  <c r="N77" i="11"/>
  <c r="N99" i="11" l="1"/>
  <c r="N107" i="11" s="1"/>
  <c r="BQ10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J33" authorId="0" shapeId="0" xr:uid="{F5EBD0EC-3EFD-BA43-A64B-E2B85D749423}">
      <text>
        <r>
          <rPr>
            <b/>
            <sz val="10"/>
            <color rgb="FF000000"/>
            <rFont val="Tahoma"/>
            <family val="2"/>
          </rPr>
          <t>Ana:</t>
        </r>
        <r>
          <rPr>
            <sz val="10"/>
            <color rgb="FF000000"/>
            <rFont val="Tahoma"/>
            <family val="2"/>
          </rPr>
          <t xml:space="preserve">
</t>
        </r>
        <r>
          <rPr>
            <sz val="10"/>
            <color rgb="FF000000"/>
            <rFont val="Tahoma"/>
            <family val="2"/>
          </rPr>
          <t>legacy screens not purchased by IHM</t>
        </r>
      </text>
    </comment>
  </commentList>
</comments>
</file>

<file path=xl/sharedStrings.xml><?xml version="1.0" encoding="utf-8"?>
<sst xmlns="http://schemas.openxmlformats.org/spreadsheetml/2006/main" count="712" uniqueCount="409">
  <si>
    <t>Inputs</t>
  </si>
  <si>
    <t>Revenue</t>
  </si>
  <si>
    <t>Cost of Sales and Overheads</t>
  </si>
  <si>
    <t>Capex</t>
  </si>
  <si>
    <t>Working Capital</t>
  </si>
  <si>
    <t>Timing</t>
  </si>
  <si>
    <t>Total</t>
  </si>
  <si>
    <t>Cost of sales</t>
  </si>
  <si>
    <t>Gross profit</t>
  </si>
  <si>
    <t>GP margin (%)</t>
  </si>
  <si>
    <t>Administrative expenses</t>
  </si>
  <si>
    <t>EBITDA</t>
  </si>
  <si>
    <t>EBITDA (%)</t>
  </si>
  <si>
    <t>Non-Operational Costs</t>
  </si>
  <si>
    <t>Adjusted EBITDA</t>
  </si>
  <si>
    <t>Depreciation and amortisation</t>
  </si>
  <si>
    <t>EBIT</t>
  </si>
  <si>
    <t>EBIT (%)</t>
  </si>
  <si>
    <t>Interest chargeable and receivable</t>
  </si>
  <si>
    <t>Profit before Tax</t>
  </si>
  <si>
    <t>Deferred Tax</t>
  </si>
  <si>
    <t>Profit after Tax</t>
  </si>
  <si>
    <t xml:space="preserve">Retained Earnings </t>
  </si>
  <si>
    <t>Retained Earnings b/f</t>
  </si>
  <si>
    <t>Retained Earnings c/f</t>
  </si>
  <si>
    <t>Fixed Assets</t>
  </si>
  <si>
    <t>Total fixed assets</t>
  </si>
  <si>
    <t>Current assets</t>
  </si>
  <si>
    <t>Total current assets</t>
  </si>
  <si>
    <t xml:space="preserve">Total Assets </t>
  </si>
  <si>
    <t>Liabilities</t>
  </si>
  <si>
    <t>Total current liabilities</t>
  </si>
  <si>
    <t>Non-current liabilities</t>
  </si>
  <si>
    <t>Total non-current liabilities</t>
  </si>
  <si>
    <t xml:space="preserve">Total Liabilities </t>
  </si>
  <si>
    <t>Net Assets / (Liabilities)</t>
  </si>
  <si>
    <t>Share capital and reserves</t>
  </si>
  <si>
    <t>Total share capital and reserves</t>
  </si>
  <si>
    <t xml:space="preserve">Balance Check </t>
  </si>
  <si>
    <t xml:space="preserve">Balance Check - Forecast </t>
  </si>
  <si>
    <t>CF</t>
  </si>
  <si>
    <t>Changes in working capital</t>
  </si>
  <si>
    <t>Cash generated from operations</t>
  </si>
  <si>
    <t>Net cash from operating activities</t>
  </si>
  <si>
    <t>Cash flows from investing activities</t>
  </si>
  <si>
    <t>Net cash from investing activities</t>
  </si>
  <si>
    <t>Cash flows from financing activities</t>
  </si>
  <si>
    <t>Net cash from financing activities</t>
  </si>
  <si>
    <t>Net (decrease) / increase in cash and cash equivalents</t>
  </si>
  <si>
    <t>One off Revenue</t>
  </si>
  <si>
    <t>Recurring Revenue</t>
  </si>
  <si>
    <t>Other Administrative Expenses</t>
  </si>
  <si>
    <t>Depreciation</t>
  </si>
  <si>
    <t>Other Revenue</t>
  </si>
  <si>
    <t>Cost of Sales</t>
  </si>
  <si>
    <t>Gross Wages and Salaries (COS)</t>
  </si>
  <si>
    <t>COS Ers Pension</t>
  </si>
  <si>
    <t>Gross wages and Salaries (Admin Expenses)</t>
  </si>
  <si>
    <t>COS Ers NI</t>
  </si>
  <si>
    <t>Wages and Salaries Er's NI</t>
  </si>
  <si>
    <t xml:space="preserve">Wages and Salaries Pension </t>
  </si>
  <si>
    <t>Exceptional Costs</t>
  </si>
  <si>
    <t>Interest</t>
  </si>
  <si>
    <t>Tax Charge</t>
  </si>
  <si>
    <t>Intangibe NBV</t>
  </si>
  <si>
    <t>Tangible NBV</t>
  </si>
  <si>
    <t>Trade Debtors</t>
  </si>
  <si>
    <t>Other Debtors</t>
  </si>
  <si>
    <t>Cash</t>
  </si>
  <si>
    <t>Trade Creditors</t>
  </si>
  <si>
    <t>Other Creditors</t>
  </si>
  <si>
    <t>Corporate Tax</t>
  </si>
  <si>
    <t>Other Taxation and Social Security</t>
  </si>
  <si>
    <t>Accruals and deferred Income</t>
  </si>
  <si>
    <t>Long term loan</t>
  </si>
  <si>
    <t>Item 2</t>
  </si>
  <si>
    <t>Item 1</t>
  </si>
  <si>
    <t>Item 3</t>
  </si>
  <si>
    <t>Ordinary Equity</t>
  </si>
  <si>
    <t>Retained Earnings</t>
  </si>
  <si>
    <t>Business 1</t>
  </si>
  <si>
    <t>Financials</t>
  </si>
  <si>
    <t>One Off Revenue</t>
  </si>
  <si>
    <t>Revenue Summary</t>
  </si>
  <si>
    <t>Total One Off Revenue</t>
  </si>
  <si>
    <t>Total Recurring Revenue</t>
  </si>
  <si>
    <t>COS Summary</t>
  </si>
  <si>
    <t>Total COS</t>
  </si>
  <si>
    <t>Total Overheads</t>
  </si>
  <si>
    <t>Overhead Summary</t>
  </si>
  <si>
    <t>Rent</t>
  </si>
  <si>
    <t>Rates</t>
  </si>
  <si>
    <t>Recruitment Costs</t>
  </si>
  <si>
    <t>Repairs and maintenance</t>
  </si>
  <si>
    <t>Insurance</t>
  </si>
  <si>
    <t>Computer running costs</t>
  </si>
  <si>
    <t>Travelling expenses</t>
  </si>
  <si>
    <t>Legal and professional fees</t>
  </si>
  <si>
    <t>Bank charges</t>
  </si>
  <si>
    <t>Printing, postage and stationery</t>
  </si>
  <si>
    <t>Marketing and PR</t>
  </si>
  <si>
    <t>Telephone</t>
  </si>
  <si>
    <t>Entertaining</t>
  </si>
  <si>
    <t>Sundry expenses</t>
  </si>
  <si>
    <t>COS</t>
  </si>
  <si>
    <t>Overheads</t>
  </si>
  <si>
    <t>Premises 1</t>
  </si>
  <si>
    <t>Premises 2</t>
  </si>
  <si>
    <t>Total Rent</t>
  </si>
  <si>
    <t>Total Rates</t>
  </si>
  <si>
    <t>Total Recruitment costs</t>
  </si>
  <si>
    <t>Repairs and Maintenance Costs</t>
  </si>
  <si>
    <t>Total Repairs and Maintenance costs</t>
  </si>
  <si>
    <t>Insurance Costs</t>
  </si>
  <si>
    <t>Total Insurance costs</t>
  </si>
  <si>
    <t>Commercial Combined</t>
  </si>
  <si>
    <t>Professional Indemnity</t>
  </si>
  <si>
    <t>Motor</t>
  </si>
  <si>
    <t>Healthcare</t>
  </si>
  <si>
    <t>Total Exceptional Costs</t>
  </si>
  <si>
    <t>Investor Fees</t>
  </si>
  <si>
    <t>Total Investor Fees</t>
  </si>
  <si>
    <t>Profit after tax</t>
  </si>
  <si>
    <t>Net sales invoices</t>
  </si>
  <si>
    <t>Output VAT</t>
  </si>
  <si>
    <t>Gross sales invoices</t>
  </si>
  <si>
    <t>Trade debtors brought forward</t>
  </si>
  <si>
    <t>Trade debtor remittances</t>
  </si>
  <si>
    <t>Trade debtors carried forward</t>
  </si>
  <si>
    <t>Output Vat</t>
  </si>
  <si>
    <t>Trade Debtor Days</t>
  </si>
  <si>
    <t>Other debtors brought forward</t>
  </si>
  <si>
    <t>Movement on other debtors</t>
  </si>
  <si>
    <t>Other debtors carried forward</t>
  </si>
  <si>
    <t>Prepayments brought forward</t>
  </si>
  <si>
    <t>Movement on prepayments</t>
  </si>
  <si>
    <t>Prepayments carried forward</t>
  </si>
  <si>
    <t>Prepayments</t>
  </si>
  <si>
    <t>Total Other Debtors and Prepayments</t>
  </si>
  <si>
    <t>Input VAT</t>
  </si>
  <si>
    <t>Gross purchase invoices</t>
  </si>
  <si>
    <t>Trade creditors brought forward</t>
  </si>
  <si>
    <t>Trade creditor payments</t>
  </si>
  <si>
    <t>Trade creditors carried forward</t>
  </si>
  <si>
    <t>Total Admin Expenses</t>
  </si>
  <si>
    <t>Total Invoices</t>
  </si>
  <si>
    <t>Input Vat</t>
  </si>
  <si>
    <t>Trade Creditor Days</t>
  </si>
  <si>
    <t>Other creditors brought forward</t>
  </si>
  <si>
    <t>Movement on other creditors</t>
  </si>
  <si>
    <t>Other creditors carried forward</t>
  </si>
  <si>
    <t>Corporation tax brought forward</t>
  </si>
  <si>
    <t>Corporation tax charge</t>
  </si>
  <si>
    <t>Corporation tax payment / (repayment)</t>
  </si>
  <si>
    <t>Corporation tax carried forward</t>
  </si>
  <si>
    <t>Corporation Tax</t>
  </si>
  <si>
    <t>PAYE, NIC &amp; Pension liability</t>
  </si>
  <si>
    <t>PAYE, NIC &amp; Pension balance brought forward</t>
  </si>
  <si>
    <t>PAYE, NIC &amp; Pension per monthly payroll</t>
  </si>
  <si>
    <t>HMRC payment</t>
  </si>
  <si>
    <t>PAYE, NIC &amp; Pension balance carried forward</t>
  </si>
  <si>
    <t>VAT balance brought forward</t>
  </si>
  <si>
    <t>VAT (liability) / recoverable</t>
  </si>
  <si>
    <t>HMRC payment / (receipt)</t>
  </si>
  <si>
    <t>VAT balance carried forward</t>
  </si>
  <si>
    <t>VAT (Liability) / Recoverable</t>
  </si>
  <si>
    <t>Total Tax and Social Security</t>
  </si>
  <si>
    <t>Accruals brought forward</t>
  </si>
  <si>
    <t>Movement on accruals</t>
  </si>
  <si>
    <t>Accruals carried forward</t>
  </si>
  <si>
    <t>Accruals</t>
  </si>
  <si>
    <t>Provision for Liabiities</t>
  </si>
  <si>
    <t>Provision for Liabilities</t>
  </si>
  <si>
    <t>Provision brought forward</t>
  </si>
  <si>
    <t>Movement on provision</t>
  </si>
  <si>
    <t>Provisions carried forward</t>
  </si>
  <si>
    <t>Wages and Salaries PAYE</t>
  </si>
  <si>
    <t>Wages and Salaries Ees NIC</t>
  </si>
  <si>
    <t>Wages and Salaries Ers NIC</t>
  </si>
  <si>
    <t>Pension Contribution</t>
  </si>
  <si>
    <t>Directors PAYE</t>
  </si>
  <si>
    <t>Directors Ees NIC</t>
  </si>
  <si>
    <t>Directors Ers Nic</t>
  </si>
  <si>
    <t>Directors Pension</t>
  </si>
  <si>
    <t>Wages and Salaries</t>
  </si>
  <si>
    <t>Role 4</t>
  </si>
  <si>
    <t>Role 5</t>
  </si>
  <si>
    <t>Role 6</t>
  </si>
  <si>
    <t>Total Headcount</t>
  </si>
  <si>
    <t>Salary</t>
  </si>
  <si>
    <t>Total COS Gross Salary</t>
  </si>
  <si>
    <t>Ers NI</t>
  </si>
  <si>
    <t>Pension</t>
  </si>
  <si>
    <t>PAYE</t>
  </si>
  <si>
    <t>Ees NI</t>
  </si>
  <si>
    <t>Total Wages and Salaries Gross Salary</t>
  </si>
  <si>
    <t>Directors</t>
  </si>
  <si>
    <t>Total Monthly Payroll Related Costs</t>
  </si>
  <si>
    <t>Intangible fixed assets</t>
  </si>
  <si>
    <t>Cost brought forward</t>
  </si>
  <si>
    <t>Additions</t>
  </si>
  <si>
    <t>Disposals</t>
  </si>
  <si>
    <t>Cost carried forward</t>
  </si>
  <si>
    <t>Amortisation brought forward</t>
  </si>
  <si>
    <t>Amortisation charge</t>
  </si>
  <si>
    <t>Amortisation on disposals</t>
  </si>
  <si>
    <t>Amortisation carried forward</t>
  </si>
  <si>
    <t>Net book value</t>
  </si>
  <si>
    <t>TANGIBLE FIXED ASSETS</t>
  </si>
  <si>
    <t>Depreciation brought forward</t>
  </si>
  <si>
    <t>Depreciation charge</t>
  </si>
  <si>
    <t>Depreciation on disposals</t>
  </si>
  <si>
    <t>Depreciation carried forward</t>
  </si>
  <si>
    <t>Tangible fixed assets - Office Equipment</t>
  </si>
  <si>
    <t>Tangible fixed assets - Computer Equipment</t>
  </si>
  <si>
    <t>Tangible fixed assets - Total</t>
  </si>
  <si>
    <t>Intangible Fixed Assets</t>
  </si>
  <si>
    <t>Tangible fixed assets - Screens</t>
  </si>
  <si>
    <t>Amortisation Intangibles Straight Line</t>
  </si>
  <si>
    <t>Depreciation Screens Straight Line</t>
  </si>
  <si>
    <t>Depreciation Office Equipment Straight Line</t>
  </si>
  <si>
    <t>Depreciaton Computer Equipment Straight Line</t>
  </si>
  <si>
    <t>check</t>
  </si>
  <si>
    <t>CASH GENERATED FROM OPERATIONS</t>
  </si>
  <si>
    <t>Operating profit</t>
  </si>
  <si>
    <t>Adjustments for:</t>
  </si>
  <si>
    <t>Depreciation charges</t>
  </si>
  <si>
    <t>Amortisation charges</t>
  </si>
  <si>
    <t>(Profit) / loss on disposal of fixed assets</t>
  </si>
  <si>
    <t>Operating cash flow before changes in working capital</t>
  </si>
  <si>
    <t>(Increase) / decrease in trade receivables</t>
  </si>
  <si>
    <t>(Increase) / decrease in other receivables</t>
  </si>
  <si>
    <t>(Decrease) / increase in trade payables</t>
  </si>
  <si>
    <t>(Decrease) / increase in other payables</t>
  </si>
  <si>
    <t>CONSOLIDATED STATEMENT OF CASH FLOWS</t>
  </si>
  <si>
    <t>Interest paid</t>
  </si>
  <si>
    <t>Tax recovered / (paid)</t>
  </si>
  <si>
    <t>Proceeds from sale of fixed assets</t>
  </si>
  <si>
    <t>Interest received</t>
  </si>
  <si>
    <t>Acquisition of fixed assets</t>
  </si>
  <si>
    <t>Proceeds from the issue of share capital, net of costs</t>
  </si>
  <si>
    <t>Dividends paid</t>
  </si>
  <si>
    <t>Cash and cash equivalents at beginning of period</t>
  </si>
  <si>
    <t>Cash and cash equivalents at end of period</t>
  </si>
  <si>
    <t>Sales Forecast</t>
  </si>
  <si>
    <t>ISP Funds Capex</t>
  </si>
  <si>
    <t>New Screens</t>
  </si>
  <si>
    <t>Live Screens</t>
  </si>
  <si>
    <t>SCCI</t>
  </si>
  <si>
    <t>ISP Funds £0 Capex</t>
  </si>
  <si>
    <t>Sales Assumptions</t>
  </si>
  <si>
    <t>ISP Funds Capex - one off revenue</t>
  </si>
  <si>
    <t>Revenue - new screens</t>
  </si>
  <si>
    <t>Revenue - set up and installation</t>
  </si>
  <si>
    <t>Revenue - Survey</t>
  </si>
  <si>
    <t>Revenue - Wall Mount</t>
  </si>
  <si>
    <t>Revenue - Software Set Up</t>
  </si>
  <si>
    <t>Revenue - Other</t>
  </si>
  <si>
    <t>ISP Funds Capex - Recurring Revenue</t>
  </si>
  <si>
    <t>Revenue - Software</t>
  </si>
  <si>
    <t>Per Month Rental 50 or below</t>
  </si>
  <si>
    <t>Per Month Rental 50 or above</t>
  </si>
  <si>
    <t>Per Month Rental 50 or below %</t>
  </si>
  <si>
    <t>Per Month Rental 50 or above %</t>
  </si>
  <si>
    <t>Revenue - Media and Advertising</t>
  </si>
  <si>
    <t>Revenue - set up and installation/Survey/wall mount</t>
  </si>
  <si>
    <t>Revenue - software set-up</t>
  </si>
  <si>
    <t>Revenue - other</t>
  </si>
  <si>
    <t>Revenue - Per month rental</t>
  </si>
  <si>
    <t>SCCI - one off revenue</t>
  </si>
  <si>
    <t>Revenue - SCCI initial set up</t>
  </si>
  <si>
    <t>SCCI - Recurring Revenue</t>
  </si>
  <si>
    <t>Revenue - SCCI Software rental</t>
  </si>
  <si>
    <t>Revenue - SCCI Media and Advertising</t>
  </si>
  <si>
    <t>Revenue - ISP £0 Capex initial set up</t>
  </si>
  <si>
    <t>ISP Funds £0 Capex - one off revenue</t>
  </si>
  <si>
    <t>ISP Funds £0 Capex - recurring revenue</t>
  </si>
  <si>
    <t>Revenue - ISP £0 Capex Software rental</t>
  </si>
  <si>
    <t>Revenue - ISP £0 Capex Media and Advertising</t>
  </si>
  <si>
    <t>Cost of Sales Assumptions</t>
  </si>
  <si>
    <t xml:space="preserve">ISP Funds Capex </t>
  </si>
  <si>
    <t>Cost of Screen</t>
  </si>
  <si>
    <t>Screen Set up and Installation</t>
  </si>
  <si>
    <t>Screen wall mount</t>
  </si>
  <si>
    <t>Screen Survey cost</t>
  </si>
  <si>
    <t xml:space="preserve">Other Costs </t>
  </si>
  <si>
    <t>Media and Advertising</t>
  </si>
  <si>
    <t>SCCI - Software charge</t>
  </si>
  <si>
    <t>ISP - Software charge</t>
  </si>
  <si>
    <t>ISP capex - Screen Set up and Installation</t>
  </si>
  <si>
    <t>ISP capex - Cost of screens</t>
  </si>
  <si>
    <t>ISP capex - Screen Wall mount</t>
  </si>
  <si>
    <t>ISP capex - Screen Survey cost</t>
  </si>
  <si>
    <t>ISP capex - Software charge</t>
  </si>
  <si>
    <t>ISP capex - Other costs</t>
  </si>
  <si>
    <t>ISP capex - Media and Advertising</t>
  </si>
  <si>
    <t>SCCI - 5g ongoing cost</t>
  </si>
  <si>
    <t>ISP Funds £0 Capex - Software charge</t>
  </si>
  <si>
    <t>Media Manager</t>
  </si>
  <si>
    <t>Administrator</t>
  </si>
  <si>
    <t>Software Admin</t>
  </si>
  <si>
    <t>CEO - TH</t>
  </si>
  <si>
    <t>Owen</t>
  </si>
  <si>
    <t>ISP Funds £0 Capex - 5g ongoing cost</t>
  </si>
  <si>
    <t>Capex Assumptions</t>
  </si>
  <si>
    <t>Capex BOM</t>
  </si>
  <si>
    <t>Survey cost</t>
  </si>
  <si>
    <t>Installation cost</t>
  </si>
  <si>
    <t>Screen cost</t>
  </si>
  <si>
    <t>5g router</t>
  </si>
  <si>
    <t xml:space="preserve">Total </t>
  </si>
  <si>
    <t>Cost of capex</t>
  </si>
  <si>
    <t>Total Directors Gross Salary</t>
  </si>
  <si>
    <t>Directors wages and Salaries (Incl Ni and Pension)</t>
  </si>
  <si>
    <t>Audit and accountancy fees</t>
  </si>
  <si>
    <t>Office costs</t>
  </si>
  <si>
    <t>Computer Running Costs</t>
  </si>
  <si>
    <t>Website</t>
  </si>
  <si>
    <t>Total Computer costs</t>
  </si>
  <si>
    <t>Total travelling expenses</t>
  </si>
  <si>
    <t>Audit and accountancy</t>
  </si>
  <si>
    <t>Total audit and accountancy</t>
  </si>
  <si>
    <t>Office Costs</t>
  </si>
  <si>
    <t>Audit</t>
  </si>
  <si>
    <t>Total office costs</t>
  </si>
  <si>
    <t>Total bank charges</t>
  </si>
  <si>
    <t>Printing, Postage &amp; Stationery</t>
  </si>
  <si>
    <t>Total printing, postage &amp; stationery</t>
  </si>
  <si>
    <t>Marketing &amp; PR</t>
  </si>
  <si>
    <t>Total Marketing &amp; PR</t>
  </si>
  <si>
    <t>Total Telephone</t>
  </si>
  <si>
    <t>Total Entertaining</t>
  </si>
  <si>
    <t>Sundry Expenses</t>
  </si>
  <si>
    <t>Total Sundry expenses</t>
  </si>
  <si>
    <t>Legal fees</t>
  </si>
  <si>
    <t>Total legal</t>
  </si>
  <si>
    <t>Legal costs</t>
  </si>
  <si>
    <t>Sundries</t>
  </si>
  <si>
    <t>Subscriptions</t>
  </si>
  <si>
    <t>General travel</t>
  </si>
  <si>
    <t>Misc</t>
  </si>
  <si>
    <t>Consultancy</t>
  </si>
  <si>
    <t>Fees</t>
  </si>
  <si>
    <t>Total consultancy</t>
  </si>
  <si>
    <t>Domain hosting &amp; other expenses</t>
  </si>
  <si>
    <t>Act</t>
  </si>
  <si>
    <t>Check</t>
  </si>
  <si>
    <t>Financials -Annual</t>
  </si>
  <si>
    <t>Financials - Monthly</t>
  </si>
  <si>
    <t>(incl in rent)</t>
  </si>
  <si>
    <t>General</t>
  </si>
  <si>
    <t>Accounting software</t>
  </si>
  <si>
    <t>Office 365</t>
  </si>
  <si>
    <t>Payroll and Company Secretarial</t>
  </si>
  <si>
    <t>General fees</t>
  </si>
  <si>
    <t>Postage and stationery</t>
  </si>
  <si>
    <t>Mobiles</t>
  </si>
  <si>
    <t>General entertaining</t>
  </si>
  <si>
    <t>Media Sales</t>
  </si>
  <si>
    <t>Accountant</t>
  </si>
  <si>
    <t>FD</t>
  </si>
  <si>
    <t>KPI's</t>
  </si>
  <si>
    <t>Total Screens</t>
  </si>
  <si>
    <t>ISP Owned</t>
  </si>
  <si>
    <t>In-home Media Owned</t>
  </si>
  <si>
    <t>Screens Added by Month</t>
  </si>
  <si>
    <t>Screen replacement/reapirs</t>
  </si>
  <si>
    <t>Replacement/damaged screens</t>
  </si>
  <si>
    <t>Other</t>
  </si>
  <si>
    <t>Revenue - Other Media and Advertising</t>
  </si>
  <si>
    <t>Other - recurring revenue</t>
  </si>
  <si>
    <t>Revenue - MA</t>
  </si>
  <si>
    <t>Revenue - Other  Media and Advertising</t>
  </si>
  <si>
    <t>Revenue - Managing Agent</t>
  </si>
  <si>
    <t>Revenue - ISP £0 Capex Managing Agent</t>
  </si>
  <si>
    <t>Other - Software charge</t>
  </si>
  <si>
    <t>Other - 5g ongoing cost</t>
  </si>
  <si>
    <t>Other - Freeholder cost</t>
  </si>
  <si>
    <t>Operations manager</t>
  </si>
  <si>
    <t>£000's</t>
  </si>
  <si>
    <t>FY24</t>
  </si>
  <si>
    <t>FY25</t>
  </si>
  <si>
    <t>FY26</t>
  </si>
  <si>
    <t>FY27</t>
  </si>
  <si>
    <t>Total Revenue</t>
  </si>
  <si>
    <t>Gross Profit</t>
  </si>
  <si>
    <t>Gross Margin</t>
  </si>
  <si>
    <t>EBITDA %</t>
  </si>
  <si>
    <t>Cashflow</t>
  </si>
  <si>
    <t>Closing Cash</t>
  </si>
  <si>
    <t>Cash lowpoint</t>
  </si>
  <si>
    <t>Screens</t>
  </si>
  <si>
    <t>FY28</t>
  </si>
  <si>
    <t>Cash flow breakeven</t>
  </si>
  <si>
    <t>PROFIT &amp; LOSS</t>
  </si>
  <si>
    <t>BALANCE SHEET</t>
  </si>
  <si>
    <t>EBT</t>
  </si>
  <si>
    <t>Corporation tax</t>
  </si>
  <si>
    <t>Tax loss cfwd balance</t>
  </si>
  <si>
    <t>plus</t>
  </si>
  <si>
    <t>less</t>
  </si>
  <si>
    <t>Use of Tax</t>
  </si>
  <si>
    <t>Income subject to tax</t>
  </si>
  <si>
    <t>Corporation tax rate</t>
  </si>
  <si>
    <t>Tax payments</t>
  </si>
  <si>
    <t>Profit/loss</t>
  </si>
  <si>
    <t>Current period taxable profits</t>
  </si>
  <si>
    <t>Losses b/f balance</t>
  </si>
  <si>
    <t>Current period losses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</si>
</sst>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_);\(#,##0\);\ \-_)"/>
    <numFmt numFmtId="165" formatCode="#,##0;\(#,##0\);\-"/>
    <numFmt numFmtId="166" formatCode="_-* #,##0_-;\-* #,##0_-;_-* &quot;-&quot;??_-;_-@_-"/>
    <numFmt numFmtId="167" formatCode="#,##0,;\(#,##0,\);\ &quot;-&quot;"/>
  </numFmts>
  <fonts count="37">
    <font>
      <sz val="11"/>
      <color theme="1"/>
      <name val="Calibri"/>
      <family val="2"/>
      <scheme val="minor"/>
    </font>
    <font>
      <b/>
      <sz val="12"/>
      <color indexed="9"/>
      <name val="Arial"/>
      <family val="2"/>
    </font>
    <font>
      <i/>
      <sz val="11"/>
      <color rgb="FF7F7F7F"/>
      <name val="Calibri"/>
      <family val="2"/>
      <scheme val="minor"/>
    </font>
    <font>
      <b/>
      <sz val="11"/>
      <color theme="1"/>
      <name val="Calibri"/>
      <family val="2"/>
      <scheme val="minor"/>
    </font>
    <font>
      <b/>
      <sz val="14"/>
      <color indexed="12"/>
      <name val="Arial"/>
      <family val="2"/>
    </font>
    <font>
      <b/>
      <sz val="10"/>
      <color theme="1"/>
      <name val="Calibri"/>
      <family val="2"/>
      <scheme val="minor"/>
    </font>
    <font>
      <sz val="10"/>
      <color theme="1"/>
      <name val="Calibri"/>
      <family val="2"/>
      <scheme val="minor"/>
    </font>
    <font>
      <sz val="10"/>
      <color theme="1"/>
      <name val="Calibri"/>
      <family val="2"/>
    </font>
    <font>
      <sz val="10"/>
      <name val="Calibri"/>
      <family val="2"/>
    </font>
    <font>
      <u/>
      <sz val="10"/>
      <color theme="1"/>
      <name val="Calibri"/>
      <family val="2"/>
      <scheme val="minor"/>
    </font>
    <font>
      <b/>
      <sz val="10"/>
      <color theme="1"/>
      <name val="Calibri"/>
      <family val="2"/>
    </font>
    <font>
      <sz val="10"/>
      <name val="Calibri"/>
      <family val="2"/>
      <scheme val="minor"/>
    </font>
    <font>
      <i/>
      <sz val="10"/>
      <color theme="1"/>
      <name val="Calibri"/>
      <family val="2"/>
      <scheme val="minor"/>
    </font>
    <font>
      <sz val="10"/>
      <color rgb="FF000000"/>
      <name val="Calibri"/>
      <family val="2"/>
      <scheme val="minor"/>
    </font>
    <font>
      <b/>
      <sz val="10"/>
      <color rgb="FF000000"/>
      <name val="Calibri"/>
      <family val="2"/>
      <scheme val="minor"/>
    </font>
    <font>
      <sz val="8"/>
      <name val="Calibri"/>
      <family val="2"/>
      <scheme val="minor"/>
    </font>
    <font>
      <sz val="11"/>
      <color theme="1"/>
      <name val="Calibri"/>
      <family val="2"/>
      <scheme val="minor"/>
    </font>
    <font>
      <i/>
      <sz val="10"/>
      <name val="Calibri"/>
      <family val="2"/>
      <scheme val="minor"/>
    </font>
    <font>
      <sz val="11"/>
      <name val="Calibri"/>
      <family val="2"/>
      <scheme val="minor"/>
    </font>
    <font>
      <u/>
      <sz val="11"/>
      <color theme="10"/>
      <name val="Calibri"/>
      <family val="2"/>
      <scheme val="minor"/>
    </font>
    <font>
      <u/>
      <sz val="11"/>
      <color theme="11"/>
      <name val="Calibri"/>
      <family val="2"/>
      <scheme val="minor"/>
    </font>
    <font>
      <sz val="10"/>
      <color rgb="FF000000"/>
      <name val="Tahoma"/>
      <family val="2"/>
    </font>
    <font>
      <b/>
      <sz val="10"/>
      <color rgb="FF000000"/>
      <name val="Tahoma"/>
      <family val="2"/>
    </font>
    <font>
      <sz val="10"/>
      <color rgb="FFFF0000"/>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14"/>
      <color theme="1"/>
      <name val="Calibri"/>
      <family val="2"/>
      <scheme val="minor"/>
    </font>
    <font>
      <i/>
      <sz val="11"/>
      <color theme="1"/>
      <name val="Calibri"/>
      <family val="2"/>
      <scheme val="minor"/>
    </font>
    <font>
      <i/>
      <sz val="14"/>
      <color theme="1"/>
      <name val="Calibri"/>
      <family val="2"/>
      <scheme val="minor"/>
    </font>
    <font>
      <u/>
      <sz val="14"/>
      <color theme="1"/>
      <name val="Calibri"/>
      <family val="2"/>
      <scheme val="minor"/>
    </font>
    <font>
      <sz val="10"/>
      <color theme="0"/>
      <name val="Calibri"/>
      <family val="2"/>
      <scheme val="minor"/>
    </font>
    <font>
      <b/>
      <sz val="10"/>
      <color theme="0"/>
      <name val="Calibri"/>
      <family val="2"/>
      <scheme val="minor"/>
    </font>
    <font>
      <b/>
      <sz val="11"/>
      <color theme="0"/>
      <name val="Calibri"/>
      <family val="2"/>
      <scheme val="minor"/>
    </font>
    <font>
      <sz val="10"/>
      <color theme="0"/>
      <name val="Abadi MT Condensed Light"/>
      <family val="2"/>
    </font>
    <font>
      <b/>
      <sz val="11"/>
      <color theme="0"/>
      <name val="Abadi MT Condensed Light"/>
      <family val="2"/>
    </font>
    <font>
      <sz val="11"/>
      <color theme="0"/>
      <name val="Abadi MT Condensed Light"/>
      <family val="2"/>
    </font>
  </fonts>
  <fills count="14">
    <fill>
      <patternFill patternType="none"/>
    </fill>
    <fill>
      <patternFill patternType="gray125"/>
    </fill>
    <fill>
      <patternFill patternType="solid">
        <fgColor indexed="12"/>
        <bgColor indexed="64"/>
      </patternFill>
    </fill>
    <fill>
      <patternFill patternType="solid">
        <fgColor rgb="FFEAEAEA"/>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6" tint="0.79998168889431442"/>
        <bgColor indexed="64"/>
      </patternFill>
    </fill>
    <fill>
      <patternFill patternType="solid">
        <fgColor rgb="FFC89CC5"/>
        <bgColor indexed="64"/>
      </patternFill>
    </fill>
    <fill>
      <patternFill patternType="solid">
        <fgColor rgb="FFC89CC5"/>
        <bgColor rgb="FF000000"/>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7" tint="0.79998168889431442"/>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bottom style="hair">
        <color indexed="64"/>
      </bottom>
      <diagonal/>
    </border>
    <border>
      <left style="thin">
        <color theme="1"/>
      </left>
      <right/>
      <top style="thin">
        <color theme="1"/>
      </top>
      <bottom/>
      <diagonal/>
    </border>
    <border>
      <left/>
      <right/>
      <top style="thin">
        <color theme="1"/>
      </top>
      <bottom/>
      <diagonal/>
    </border>
    <border>
      <left/>
      <right/>
      <top/>
      <bottom style="thin">
        <color theme="1"/>
      </bottom>
      <diagonal/>
    </border>
    <border>
      <left/>
      <right/>
      <top style="thin">
        <color theme="1"/>
      </top>
      <bottom style="thin">
        <color theme="1"/>
      </bottom>
      <diagonal/>
    </border>
    <border>
      <left/>
      <right/>
      <top/>
      <bottom style="hair">
        <color theme="1"/>
      </bottom>
      <diagonal/>
    </border>
    <border>
      <left style="thin">
        <color theme="1"/>
      </left>
      <right/>
      <top style="thin">
        <color theme="1"/>
      </top>
      <bottom style="thin">
        <color theme="1"/>
      </bottom>
      <diagonal/>
    </border>
    <border>
      <left/>
      <right/>
      <top style="hair">
        <color indexed="64"/>
      </top>
      <bottom style="thin">
        <color theme="1"/>
      </bottom>
      <diagonal/>
    </border>
    <border>
      <left style="thin">
        <color theme="1"/>
      </left>
      <right/>
      <top/>
      <bottom/>
      <diagonal/>
    </border>
    <border>
      <left style="thin">
        <color theme="1"/>
      </left>
      <right/>
      <top/>
      <bottom style="thin">
        <color theme="1"/>
      </bottom>
      <diagonal/>
    </border>
    <border>
      <left style="thin">
        <color theme="1"/>
      </left>
      <right/>
      <top/>
      <bottom style="thin">
        <color indexed="64"/>
      </bottom>
      <diagonal/>
    </border>
  </borders>
  <cellStyleXfs count="74">
    <xf numFmtId="0" fontId="0" fillId="0" borderId="0"/>
    <xf numFmtId="0" fontId="1" fillId="2" borderId="0"/>
    <xf numFmtId="0" fontId="2" fillId="0" borderId="0" applyNumberFormat="0" applyFill="0" applyBorder="0" applyAlignment="0" applyProtection="0"/>
    <xf numFmtId="0" fontId="4" fillId="0" borderId="0" applyFill="0"/>
    <xf numFmtId="43" fontId="16" fillId="0" borderId="0" applyFont="0" applyFill="0" applyBorder="0" applyAlignment="0" applyProtection="0"/>
    <xf numFmtId="9" fontId="16"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63">
    <xf numFmtId="0" fontId="0" fillId="0" borderId="0" xfId="0"/>
    <xf numFmtId="15" fontId="0" fillId="0" borderId="0" xfId="0" applyNumberFormat="1"/>
    <xf numFmtId="0" fontId="3" fillId="0" borderId="0" xfId="0" applyFont="1"/>
    <xf numFmtId="0" fontId="5" fillId="0" borderId="0" xfId="0" applyFont="1"/>
    <xf numFmtId="0" fontId="6" fillId="0" borderId="0" xfId="0" applyFont="1"/>
    <xf numFmtId="14" fontId="6" fillId="0" borderId="0" xfId="0" applyNumberFormat="1" applyFont="1"/>
    <xf numFmtId="15" fontId="6" fillId="0" borderId="0" xfId="0" applyNumberFormat="1" applyFont="1"/>
    <xf numFmtId="0" fontId="7" fillId="0" borderId="0" xfId="0" applyFont="1"/>
    <xf numFmtId="15" fontId="8" fillId="0" borderId="0" xfId="1" applyNumberFormat="1" applyFont="1" applyFill="1"/>
    <xf numFmtId="0" fontId="6" fillId="0" borderId="1" xfId="0" applyFont="1" applyBorder="1"/>
    <xf numFmtId="0" fontId="10" fillId="0" borderId="0" xfId="0" applyFont="1"/>
    <xf numFmtId="15" fontId="11" fillId="0" borderId="0" xfId="1" applyNumberFormat="1" applyFont="1" applyFill="1"/>
    <xf numFmtId="0" fontId="0" fillId="0" borderId="1" xfId="0" applyBorder="1"/>
    <xf numFmtId="40" fontId="6" fillId="0" borderId="0" xfId="0" applyNumberFormat="1" applyFont="1"/>
    <xf numFmtId="40" fontId="5" fillId="0" borderId="0" xfId="0" applyNumberFormat="1" applyFont="1"/>
    <xf numFmtId="164" fontId="6" fillId="0" borderId="0" xfId="0" applyNumberFormat="1" applyFont="1"/>
    <xf numFmtId="164" fontId="6" fillId="0" borderId="1" xfId="0" applyNumberFormat="1" applyFont="1" applyBorder="1"/>
    <xf numFmtId="40" fontId="12" fillId="0" borderId="0" xfId="0" applyNumberFormat="1" applyFont="1"/>
    <xf numFmtId="40" fontId="6" fillId="0" borderId="1" xfId="0" applyNumberFormat="1" applyFont="1" applyBorder="1"/>
    <xf numFmtId="9" fontId="12" fillId="0" borderId="0" xfId="0" applyNumberFormat="1" applyFont="1"/>
    <xf numFmtId="164" fontId="6" fillId="0" borderId="1" xfId="0" applyNumberFormat="1" applyFont="1" applyBorder="1" applyAlignment="1">
      <alignment horizontal="left"/>
    </xf>
    <xf numFmtId="164" fontId="13" fillId="0" borderId="0" xfId="0" applyNumberFormat="1" applyFont="1" applyAlignment="1">
      <alignment horizontal="left"/>
    </xf>
    <xf numFmtId="0" fontId="13" fillId="0" borderId="0" xfId="0" applyFont="1"/>
    <xf numFmtId="0" fontId="13" fillId="0" borderId="0" xfId="0" applyFont="1" applyAlignment="1">
      <alignment horizontal="left"/>
    </xf>
    <xf numFmtId="0" fontId="11" fillId="0" borderId="0" xfId="0" applyFont="1" applyAlignment="1">
      <alignment horizontal="left"/>
    </xf>
    <xf numFmtId="40" fontId="11" fillId="0" borderId="0" xfId="0" applyNumberFormat="1" applyFont="1" applyAlignment="1">
      <alignment horizontal="left"/>
    </xf>
    <xf numFmtId="40" fontId="14" fillId="0" borderId="0" xfId="0" applyNumberFormat="1" applyFont="1"/>
    <xf numFmtId="0" fontId="5" fillId="3" borderId="0" xfId="0" applyFont="1" applyFill="1"/>
    <xf numFmtId="0" fontId="6" fillId="3" borderId="0" xfId="0" applyFont="1" applyFill="1"/>
    <xf numFmtId="0" fontId="11" fillId="0" borderId="0" xfId="0" applyFont="1" applyAlignment="1">
      <alignment horizontal="left" vertical="center"/>
    </xf>
    <xf numFmtId="0" fontId="11" fillId="4" borderId="0" xfId="0" applyFont="1" applyFill="1" applyAlignment="1">
      <alignment horizontal="left" vertical="center"/>
    </xf>
    <xf numFmtId="9" fontId="6" fillId="0" borderId="0" xfId="5" applyFont="1"/>
    <xf numFmtId="165" fontId="6" fillId="0" borderId="0" xfId="0" applyNumberFormat="1" applyFont="1"/>
    <xf numFmtId="9" fontId="17" fillId="0" borderId="0" xfId="2" applyNumberFormat="1" applyFont="1"/>
    <xf numFmtId="40" fontId="6" fillId="0" borderId="2" xfId="0" applyNumberFormat="1" applyFont="1" applyBorder="1"/>
    <xf numFmtId="0" fontId="6" fillId="0" borderId="2" xfId="0" applyFont="1" applyBorder="1"/>
    <xf numFmtId="165" fontId="6" fillId="0" borderId="2" xfId="0" applyNumberFormat="1" applyFont="1" applyBorder="1"/>
    <xf numFmtId="9" fontId="6" fillId="0" borderId="0" xfId="0" applyNumberFormat="1" applyFont="1"/>
    <xf numFmtId="166" fontId="0" fillId="0" borderId="0" xfId="4" applyNumberFormat="1" applyFont="1"/>
    <xf numFmtId="166" fontId="6" fillId="0" borderId="0" xfId="4" applyNumberFormat="1" applyFont="1"/>
    <xf numFmtId="166" fontId="0" fillId="0" borderId="1" xfId="4" applyNumberFormat="1" applyFont="1" applyBorder="1"/>
    <xf numFmtId="165" fontId="6" fillId="0" borderId="1" xfId="0" applyNumberFormat="1" applyFont="1" applyBorder="1"/>
    <xf numFmtId="166" fontId="6" fillId="0" borderId="1" xfId="4" applyNumberFormat="1" applyFont="1" applyBorder="1"/>
    <xf numFmtId="40" fontId="11" fillId="0" borderId="1" xfId="0" applyNumberFormat="1" applyFont="1" applyBorder="1" applyAlignment="1">
      <alignment horizontal="left"/>
    </xf>
    <xf numFmtId="164" fontId="13" fillId="0" borderId="1" xfId="0" applyNumberFormat="1" applyFont="1" applyBorder="1" applyAlignment="1">
      <alignment horizontal="left"/>
    </xf>
    <xf numFmtId="0" fontId="13" fillId="0" borderId="1" xfId="0" applyFont="1" applyBorder="1"/>
    <xf numFmtId="40" fontId="13" fillId="0" borderId="1" xfId="0" applyNumberFormat="1" applyFont="1" applyBorder="1" applyAlignment="1">
      <alignment horizontal="left"/>
    </xf>
    <xf numFmtId="166" fontId="6" fillId="0" borderId="0" xfId="0" applyNumberFormat="1" applyFont="1"/>
    <xf numFmtId="166" fontId="0" fillId="0" borderId="0" xfId="0" applyNumberFormat="1"/>
    <xf numFmtId="10" fontId="6" fillId="0" borderId="0" xfId="0" applyNumberFormat="1" applyFont="1"/>
    <xf numFmtId="0" fontId="18" fillId="0" borderId="0" xfId="0" applyFont="1"/>
    <xf numFmtId="0" fontId="11" fillId="0" borderId="0" xfId="0" applyFont="1"/>
    <xf numFmtId="0" fontId="6" fillId="0" borderId="0" xfId="0" applyFont="1" applyAlignment="1">
      <alignment horizontal="left" indent="1"/>
    </xf>
    <xf numFmtId="0" fontId="5" fillId="0" borderId="0" xfId="0" applyFont="1" applyAlignment="1">
      <alignment horizontal="left" indent="1"/>
    </xf>
    <xf numFmtId="166" fontId="5" fillId="0" borderId="0" xfId="4" applyNumberFormat="1" applyFont="1"/>
    <xf numFmtId="40" fontId="5" fillId="0" borderId="1" xfId="0" applyNumberFormat="1" applyFont="1" applyBorder="1"/>
    <xf numFmtId="0" fontId="6" fillId="0" borderId="1" xfId="0" applyFont="1" applyBorder="1" applyAlignment="1">
      <alignment horizontal="left" indent="1"/>
    </xf>
    <xf numFmtId="166" fontId="11" fillId="0" borderId="0" xfId="4" applyNumberFormat="1" applyFont="1"/>
    <xf numFmtId="166" fontId="6" fillId="0" borderId="2" xfId="4" applyNumberFormat="1" applyFont="1" applyBorder="1"/>
    <xf numFmtId="0" fontId="6" fillId="0" borderId="0" xfId="0" applyFont="1" applyAlignment="1">
      <alignment horizontal="center"/>
    </xf>
    <xf numFmtId="166" fontId="3" fillId="0" borderId="0" xfId="4" applyNumberFormat="1" applyFont="1"/>
    <xf numFmtId="9" fontId="0" fillId="0" borderId="0" xfId="5" applyFont="1"/>
    <xf numFmtId="166" fontId="3" fillId="0" borderId="2" xfId="4" applyNumberFormat="1" applyFont="1" applyBorder="1"/>
    <xf numFmtId="0" fontId="6" fillId="5" borderId="0" xfId="0" applyFont="1" applyFill="1"/>
    <xf numFmtId="2" fontId="6" fillId="0" borderId="0" xfId="0" applyNumberFormat="1" applyFont="1"/>
    <xf numFmtId="166" fontId="6" fillId="4" borderId="0" xfId="4" applyNumberFormat="1" applyFont="1" applyFill="1"/>
    <xf numFmtId="0" fontId="6" fillId="4" borderId="0" xfId="0" applyFont="1" applyFill="1"/>
    <xf numFmtId="0" fontId="6" fillId="4" borderId="0" xfId="0" applyFont="1" applyFill="1" applyAlignment="1">
      <alignment horizontal="left" indent="1"/>
    </xf>
    <xf numFmtId="40" fontId="6" fillId="4" borderId="0" xfId="0" applyNumberFormat="1" applyFont="1" applyFill="1"/>
    <xf numFmtId="0" fontId="6" fillId="4" borderId="1" xfId="0" applyFont="1" applyFill="1" applyBorder="1" applyAlignment="1">
      <alignment horizontal="left" indent="1"/>
    </xf>
    <xf numFmtId="40" fontId="6" fillId="4" borderId="1" xfId="0" applyNumberFormat="1" applyFont="1" applyFill="1" applyBorder="1"/>
    <xf numFmtId="0" fontId="6" fillId="4" borderId="1" xfId="0" applyFont="1" applyFill="1" applyBorder="1"/>
    <xf numFmtId="0" fontId="5" fillId="4" borderId="0" xfId="0" applyFont="1" applyFill="1"/>
    <xf numFmtId="0" fontId="23" fillId="4" borderId="0" xfId="0" applyFont="1" applyFill="1"/>
    <xf numFmtId="0" fontId="0" fillId="0" borderId="0" xfId="0" applyAlignment="1">
      <alignment horizontal="center"/>
    </xf>
    <xf numFmtId="0" fontId="25" fillId="6" borderId="3" xfId="0" applyFont="1" applyFill="1" applyBorder="1" applyAlignment="1">
      <alignment horizontal="center"/>
    </xf>
    <xf numFmtId="17" fontId="24" fillId="7" borderId="4" xfId="0" applyNumberFormat="1" applyFont="1" applyFill="1" applyBorder="1" applyAlignment="1">
      <alignment horizontal="left" vertical="center"/>
    </xf>
    <xf numFmtId="17" fontId="26" fillId="7" borderId="5" xfId="0" applyNumberFormat="1" applyFont="1" applyFill="1" applyBorder="1" applyAlignment="1">
      <alignment horizontal="center" vertical="center"/>
    </xf>
    <xf numFmtId="0" fontId="27" fillId="6" borderId="6" xfId="0" applyFont="1" applyFill="1" applyBorder="1" applyAlignment="1">
      <alignment horizontal="center"/>
    </xf>
    <xf numFmtId="167" fontId="27" fillId="6" borderId="6" xfId="0" applyNumberFormat="1" applyFont="1" applyFill="1" applyBorder="1" applyAlignment="1">
      <alignment horizontal="center"/>
    </xf>
    <xf numFmtId="167" fontId="27" fillId="6" borderId="5" xfId="0" applyNumberFormat="1" applyFont="1" applyFill="1" applyBorder="1" applyAlignment="1">
      <alignment horizontal="center"/>
    </xf>
    <xf numFmtId="15" fontId="27" fillId="6" borderId="5" xfId="0" applyNumberFormat="1" applyFont="1" applyFill="1" applyBorder="1" applyAlignment="1">
      <alignment horizontal="center"/>
    </xf>
    <xf numFmtId="167" fontId="25" fillId="6" borderId="8" xfId="0" applyNumberFormat="1" applyFont="1" applyFill="1" applyBorder="1" applyAlignment="1">
      <alignment horizontal="center"/>
    </xf>
    <xf numFmtId="166" fontId="0" fillId="0" borderId="0" xfId="4" applyNumberFormat="1" applyFont="1" applyBorder="1"/>
    <xf numFmtId="40" fontId="9" fillId="0" borderId="0" xfId="0" applyNumberFormat="1" applyFont="1"/>
    <xf numFmtId="0" fontId="9" fillId="0" borderId="0" xfId="0" applyFont="1"/>
    <xf numFmtId="0" fontId="5" fillId="11" borderId="7" xfId="0" applyFont="1" applyFill="1" applyBorder="1"/>
    <xf numFmtId="40" fontId="5" fillId="11" borderId="7" xfId="0" applyNumberFormat="1" applyFont="1" applyFill="1" applyBorder="1"/>
    <xf numFmtId="166" fontId="3" fillId="11" borderId="7" xfId="4" applyNumberFormat="1" applyFont="1" applyFill="1" applyBorder="1"/>
    <xf numFmtId="0" fontId="0" fillId="11" borderId="7" xfId="0" applyFill="1" applyBorder="1"/>
    <xf numFmtId="0" fontId="6" fillId="11" borderId="7" xfId="0" applyFont="1" applyFill="1" applyBorder="1"/>
    <xf numFmtId="166" fontId="3" fillId="11" borderId="7" xfId="0" applyNumberFormat="1" applyFont="1" applyFill="1" applyBorder="1"/>
    <xf numFmtId="40" fontId="6" fillId="11" borderId="7" xfId="0" applyNumberFormat="1" applyFont="1" applyFill="1" applyBorder="1"/>
    <xf numFmtId="0" fontId="14" fillId="11" borderId="7" xfId="0" applyFont="1" applyFill="1" applyBorder="1"/>
    <xf numFmtId="0" fontId="14" fillId="11" borderId="7" xfId="0" applyFont="1" applyFill="1" applyBorder="1" applyAlignment="1">
      <alignment horizontal="left"/>
    </xf>
    <xf numFmtId="0" fontId="6" fillId="8" borderId="0" xfId="0" applyFont="1" applyFill="1"/>
    <xf numFmtId="0" fontId="5" fillId="8" borderId="0" xfId="0" applyFont="1" applyFill="1" applyAlignment="1">
      <alignment horizontal="left" indent="1"/>
    </xf>
    <xf numFmtId="40" fontId="5" fillId="8" borderId="0" xfId="0" applyNumberFormat="1" applyFont="1" applyFill="1"/>
    <xf numFmtId="166" fontId="3" fillId="8" borderId="0" xfId="4" applyNumberFormat="1" applyFont="1" applyFill="1"/>
    <xf numFmtId="0" fontId="0" fillId="8" borderId="0" xfId="0" applyFill="1"/>
    <xf numFmtId="40" fontId="6" fillId="8" borderId="0" xfId="0" applyNumberFormat="1" applyFont="1" applyFill="1"/>
    <xf numFmtId="166" fontId="6" fillId="0" borderId="0" xfId="4" applyNumberFormat="1" applyFont="1" applyBorder="1"/>
    <xf numFmtId="166" fontId="9" fillId="0" borderId="0" xfId="4" applyNumberFormat="1" applyFont="1" applyBorder="1"/>
    <xf numFmtId="166" fontId="5" fillId="11" borderId="7" xfId="4" applyNumberFormat="1" applyFont="1" applyFill="1" applyBorder="1"/>
    <xf numFmtId="165" fontId="5" fillId="11" borderId="7" xfId="0" applyNumberFormat="1" applyFont="1" applyFill="1" applyBorder="1" applyAlignment="1">
      <alignment vertical="center"/>
    </xf>
    <xf numFmtId="165" fontId="5" fillId="11" borderId="7" xfId="0" applyNumberFormat="1" applyFont="1" applyFill="1" applyBorder="1"/>
    <xf numFmtId="165" fontId="6" fillId="11" borderId="7" xfId="0" applyNumberFormat="1" applyFont="1" applyFill="1" applyBorder="1"/>
    <xf numFmtId="164" fontId="13" fillId="4" borderId="0" xfId="0" applyNumberFormat="1" applyFont="1" applyFill="1" applyAlignment="1">
      <alignment horizontal="left"/>
    </xf>
    <xf numFmtId="166" fontId="6" fillId="11" borderId="7" xfId="4" applyNumberFormat="1" applyFont="1" applyFill="1" applyBorder="1"/>
    <xf numFmtId="0" fontId="5" fillId="11" borderId="7" xfId="0" applyFont="1" applyFill="1" applyBorder="1" applyAlignment="1">
      <alignment horizontal="left" indent="1"/>
    </xf>
    <xf numFmtId="0" fontId="5" fillId="11" borderId="9" xfId="0" applyFont="1" applyFill="1" applyBorder="1"/>
    <xf numFmtId="0" fontId="6" fillId="11" borderId="9" xfId="0" applyFont="1" applyFill="1" applyBorder="1"/>
    <xf numFmtId="0" fontId="3" fillId="11" borderId="7" xfId="0" applyFont="1" applyFill="1" applyBorder="1"/>
    <xf numFmtId="166" fontId="0" fillId="11" borderId="7" xfId="0" applyNumberFormat="1" applyFill="1" applyBorder="1"/>
    <xf numFmtId="166" fontId="0" fillId="11" borderId="7" xfId="4" applyNumberFormat="1" applyFont="1" applyFill="1" applyBorder="1"/>
    <xf numFmtId="0" fontId="34" fillId="9" borderId="7" xfId="0" applyFont="1" applyFill="1" applyBorder="1"/>
    <xf numFmtId="17" fontId="35" fillId="9" borderId="7" xfId="0" applyNumberFormat="1" applyFont="1" applyFill="1" applyBorder="1" applyAlignment="1">
      <alignment horizontal="center"/>
    </xf>
    <xf numFmtId="0" fontId="36" fillId="9" borderId="7" xfId="0" applyFont="1" applyFill="1" applyBorder="1"/>
    <xf numFmtId="0" fontId="31" fillId="9" borderId="7" xfId="0" applyFont="1" applyFill="1" applyBorder="1"/>
    <xf numFmtId="17" fontId="33" fillId="9" borderId="7" xfId="0" applyNumberFormat="1" applyFont="1" applyFill="1" applyBorder="1" applyAlignment="1">
      <alignment horizontal="center"/>
    </xf>
    <xf numFmtId="0" fontId="24" fillId="9" borderId="7" xfId="0" applyFont="1" applyFill="1" applyBorder="1"/>
    <xf numFmtId="165" fontId="6" fillId="0" borderId="0" xfId="4" applyNumberFormat="1" applyFont="1"/>
    <xf numFmtId="165" fontId="0" fillId="0" borderId="0" xfId="0" applyNumberFormat="1"/>
    <xf numFmtId="43" fontId="0" fillId="0" borderId="0" xfId="0" applyNumberFormat="1"/>
    <xf numFmtId="0" fontId="0" fillId="12" borderId="0" xfId="0" applyFill="1"/>
    <xf numFmtId="9" fontId="0" fillId="12" borderId="0" xfId="0" applyNumberFormat="1" applyFill="1"/>
    <xf numFmtId="0" fontId="6" fillId="12" borderId="0" xfId="0" applyFont="1" applyFill="1"/>
    <xf numFmtId="0" fontId="5" fillId="12" borderId="0" xfId="0" applyFont="1" applyFill="1"/>
    <xf numFmtId="165" fontId="6" fillId="12" borderId="0" xfId="0" applyNumberFormat="1" applyFont="1" applyFill="1"/>
    <xf numFmtId="0" fontId="6" fillId="13" borderId="0" xfId="0" applyFont="1" applyFill="1"/>
    <xf numFmtId="0" fontId="27" fillId="6" borderId="10" xfId="0" applyFont="1" applyFill="1" applyBorder="1" applyAlignment="1">
      <alignment horizontal="center"/>
    </xf>
    <xf numFmtId="0" fontId="25" fillId="0" borderId="0" xfId="0" applyFont="1" applyAlignment="1">
      <alignment horizontal="center"/>
    </xf>
    <xf numFmtId="167" fontId="27" fillId="6" borderId="1" xfId="0" applyNumberFormat="1" applyFont="1" applyFill="1" applyBorder="1" applyAlignment="1">
      <alignment horizontal="center"/>
    </xf>
    <xf numFmtId="15" fontId="27" fillId="6" borderId="1" xfId="0" applyNumberFormat="1" applyFont="1" applyFill="1" applyBorder="1" applyAlignment="1">
      <alignment horizontal="center"/>
    </xf>
    <xf numFmtId="0" fontId="30" fillId="0" borderId="0" xfId="0" applyFont="1"/>
    <xf numFmtId="3" fontId="25" fillId="0" borderId="0" xfId="0" applyNumberFormat="1" applyFont="1" applyAlignment="1">
      <alignment horizontal="center"/>
    </xf>
    <xf numFmtId="0" fontId="28" fillId="0" borderId="0" xfId="0" applyFont="1"/>
    <xf numFmtId="9" fontId="29" fillId="0" borderId="0" xfId="0" applyNumberFormat="1" applyFont="1" applyAlignment="1">
      <alignment horizontal="center"/>
    </xf>
    <xf numFmtId="0" fontId="25" fillId="6" borderId="5" xfId="0" applyFont="1" applyFill="1" applyBorder="1" applyAlignment="1">
      <alignment horizontal="center"/>
    </xf>
    <xf numFmtId="167" fontId="25" fillId="6" borderId="5" xfId="0" applyNumberFormat="1" applyFont="1" applyFill="1" applyBorder="1" applyAlignment="1">
      <alignment horizontal="center"/>
    </xf>
    <xf numFmtId="167" fontId="27" fillId="6" borderId="7" xfId="0" applyNumberFormat="1" applyFont="1" applyFill="1" applyBorder="1" applyAlignment="1">
      <alignment horizontal="center"/>
    </xf>
    <xf numFmtId="167" fontId="25" fillId="6" borderId="7" xfId="0" applyNumberFormat="1" applyFont="1" applyFill="1" applyBorder="1" applyAlignment="1">
      <alignment horizontal="center"/>
    </xf>
    <xf numFmtId="0" fontId="32" fillId="10" borderId="7" xfId="3" applyFont="1" applyFill="1" applyBorder="1"/>
    <xf numFmtId="0" fontId="6" fillId="0" borderId="0" xfId="0" applyFont="1"/>
    <xf numFmtId="167" fontId="25" fillId="6" borderId="4" xfId="0" applyNumberFormat="1" applyFont="1" applyFill="1" applyBorder="1" applyAlignment="1">
      <alignment horizontal="left"/>
    </xf>
    <xf numFmtId="167" fontId="25" fillId="6" borderId="11" xfId="0" applyNumberFormat="1" applyFont="1" applyFill="1" applyBorder="1" applyAlignment="1">
      <alignment horizontal="left"/>
    </xf>
    <xf numFmtId="167" fontId="27" fillId="6" borderId="12" xfId="0" applyNumberFormat="1" applyFont="1" applyFill="1" applyBorder="1" applyAlignment="1">
      <alignment horizontal="left"/>
    </xf>
    <xf numFmtId="167" fontId="27" fillId="6" borderId="9" xfId="0" applyNumberFormat="1" applyFont="1" applyFill="1" applyBorder="1" applyAlignment="1">
      <alignment horizontal="left"/>
    </xf>
    <xf numFmtId="167" fontId="25" fillId="6" borderId="9" xfId="0" applyNumberFormat="1" applyFont="1" applyFill="1" applyBorder="1" applyAlignment="1">
      <alignment horizontal="left"/>
    </xf>
    <xf numFmtId="167" fontId="25" fillId="6" borderId="12" xfId="0" applyNumberFormat="1" applyFont="1" applyFill="1" applyBorder="1" applyAlignment="1">
      <alignment horizontal="left"/>
    </xf>
    <xf numFmtId="167" fontId="25" fillId="6" borderId="13" xfId="0" applyNumberFormat="1" applyFont="1" applyFill="1" applyBorder="1" applyAlignment="1">
      <alignment horizontal="left"/>
    </xf>
    <xf numFmtId="0" fontId="25" fillId="0" borderId="0" xfId="0" applyFont="1" applyBorder="1"/>
    <xf numFmtId="0" fontId="0" fillId="0" borderId="0" xfId="0" applyBorder="1"/>
    <xf numFmtId="0" fontId="29" fillId="0" borderId="0" xfId="0" applyFont="1" applyBorder="1"/>
    <xf numFmtId="0" fontId="25" fillId="0" borderId="0" xfId="0" applyFont="1" applyBorder="1" applyAlignment="1">
      <alignment horizontal="center"/>
    </xf>
    <xf numFmtId="3" fontId="25" fillId="0" borderId="0" xfId="0" applyNumberFormat="1" applyFont="1" applyBorder="1" applyAlignment="1">
      <alignment horizontal="center"/>
    </xf>
    <xf numFmtId="0" fontId="28" fillId="0" borderId="0" xfId="0" applyFont="1" applyBorder="1"/>
    <xf numFmtId="9" fontId="29" fillId="0" borderId="0" xfId="0" applyNumberFormat="1" applyFont="1" applyBorder="1" applyAlignment="1">
      <alignment horizontal="center"/>
    </xf>
    <xf numFmtId="0" fontId="25" fillId="0" borderId="6" xfId="0" applyFont="1" applyBorder="1"/>
    <xf numFmtId="0" fontId="25" fillId="0" borderId="5" xfId="0" applyFont="1" applyBorder="1"/>
    <xf numFmtId="0" fontId="25" fillId="0" borderId="7" xfId="0" applyFont="1" applyBorder="1"/>
    <xf numFmtId="0" fontId="29" fillId="0" borderId="5" xfId="0" applyFont="1" applyBorder="1"/>
    <xf numFmtId="0" fontId="0" fillId="0" borderId="0" xfId="0" applyBorder="1" applyAlignment="1">
      <alignment horizontal="center"/>
    </xf>
  </cellXfs>
  <cellStyles count="74">
    <cellStyle name="Comma" xfId="4" builtinId="3"/>
    <cellStyle name="Explanatory Text" xfId="2" builtinId="53"/>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Header1" xfId="3" xr:uid="{00000000-0005-0000-0000-000024000000}"/>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Normal" xfId="0" builtinId="0"/>
    <cellStyle name="Percent" xfId="5" builtinId="5"/>
    <cellStyle name="SheetHeader2" xfId="1" xr:uid="{00000000-0005-0000-0000-000049000000}"/>
  </cellStyles>
  <dxfs count="0"/>
  <tableStyles count="0" defaultTableStyle="TableStyleMedium2" defaultPivotStyle="PivotStyleLight16"/>
  <colors>
    <mruColors>
      <color rgb="FFC89C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roject%20Clyde%20-%20Model%20vF%20-%20U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Inputs &gt;&gt;&gt;"/>
      <sheetName val="TBI-M"/>
      <sheetName val="Scen"/>
      <sheetName val="TBI-A"/>
      <sheetName val="Actuals"/>
      <sheetName val="Timing-M"/>
      <sheetName val="Timing-A"/>
      <sheetName val="Operational &gt;&gt;&gt;"/>
      <sheetName val="Revenue"/>
      <sheetName val="COS &amp; Overheads"/>
      <sheetName val="Wages and Salaries"/>
      <sheetName val="Delivery_Schedule"/>
      <sheetName val="CAPEX"/>
      <sheetName val="Funding"/>
      <sheetName val="Tax"/>
      <sheetName val="Working Capital"/>
      <sheetName val="Fixed Assets"/>
      <sheetName val="FinStats&gt;&gt;&gt;"/>
      <sheetName val="FinStats"/>
      <sheetName val="FinStats_Annual"/>
      <sheetName val="Debt Funding&gt;&gt;&gt;"/>
      <sheetName val="i_sensitivities"/>
      <sheetName val="c_debt waterfall"/>
      <sheetName val="o_debt metrics"/>
      <sheetName val="o_UR"/>
      <sheetName val="o_summary"/>
      <sheetName val="o_FA Outputs"/>
      <sheetName val="i_time sensitivities"/>
      <sheetName val="o_Graphs"/>
    </sheetNames>
    <sheetDataSet>
      <sheetData sheetId="0" refreshError="1"/>
      <sheetData sheetId="1" refreshError="1"/>
      <sheetData sheetId="2" refreshError="1"/>
      <sheetData sheetId="3" refreshError="1">
        <row r="12">
          <cell r="F12">
            <v>51226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5">
          <cell r="C35" t="str">
            <v>Dividends Paid</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D860E-3243-1C45-B574-5B12990D09CF}">
  <dimension ref="A1:G51"/>
  <sheetViews>
    <sheetView showGridLines="0" tabSelected="1" workbookViewId="0">
      <pane ySplit="1" topLeftCell="A2" activePane="bottomLeft" state="frozen"/>
      <selection pane="bottomLeft" activeCell="C42" sqref="C42"/>
    </sheetView>
  </sheetViews>
  <sheetFormatPr defaultColWidth="11.5546875" defaultRowHeight="14.4"/>
  <cols>
    <col min="1" max="1" width="33.77734375" customWidth="1"/>
    <col min="2" max="2" width="1.6640625" style="152" customWidth="1"/>
    <col min="3" max="7" width="21.33203125" style="74" customWidth="1"/>
    <col min="8" max="25" width="10.77734375"/>
  </cols>
  <sheetData>
    <row r="1" spans="1:7" ht="31.05" customHeight="1">
      <c r="A1" s="76" t="s">
        <v>379</v>
      </c>
      <c r="B1" s="151"/>
      <c r="C1" s="77" t="s">
        <v>380</v>
      </c>
      <c r="D1" s="77" t="s">
        <v>381</v>
      </c>
      <c r="E1" s="77" t="s">
        <v>382</v>
      </c>
      <c r="F1" s="77" t="s">
        <v>383</v>
      </c>
      <c r="G1" s="77" t="s">
        <v>392</v>
      </c>
    </row>
    <row r="2" spans="1:7" ht="18">
      <c r="B2" s="151"/>
      <c r="C2" s="131"/>
      <c r="D2" s="131"/>
      <c r="E2" s="131"/>
      <c r="F2" s="131"/>
      <c r="G2" s="131"/>
    </row>
    <row r="3" spans="1:7" ht="18">
      <c r="A3" s="134" t="s">
        <v>391</v>
      </c>
      <c r="B3" s="151"/>
    </row>
    <row r="4" spans="1:7" ht="18">
      <c r="A4" s="144" t="s">
        <v>363</v>
      </c>
      <c r="B4" s="151"/>
      <c r="C4" s="138">
        <f>'KPI''s'!U7</f>
        <v>300</v>
      </c>
      <c r="D4" s="138">
        <f>'KPI''s'!AG7</f>
        <v>630</v>
      </c>
      <c r="E4" s="138">
        <f>'KPI''s'!AS7</f>
        <v>1062</v>
      </c>
      <c r="F4" s="138">
        <f>'KPI''s'!BE7</f>
        <v>1578</v>
      </c>
      <c r="G4" s="138">
        <f>'KPI''s'!BQ7</f>
        <v>2202</v>
      </c>
    </row>
    <row r="5" spans="1:7" ht="18">
      <c r="A5" s="145" t="s">
        <v>364</v>
      </c>
      <c r="B5" s="151"/>
      <c r="C5" s="75">
        <f>'KPI''s'!U8</f>
        <v>62</v>
      </c>
      <c r="D5" s="75">
        <f>'KPI''s'!AG8</f>
        <v>532</v>
      </c>
      <c r="E5" s="75">
        <f>'KPI''s'!AS8</f>
        <v>1108</v>
      </c>
      <c r="F5" s="75">
        <f>'KPI''s'!BE8</f>
        <v>1780</v>
      </c>
      <c r="G5" s="75">
        <f>'KPI''s'!BQ8</f>
        <v>2548</v>
      </c>
    </row>
    <row r="6" spans="1:7" ht="18">
      <c r="A6" s="146" t="s">
        <v>6</v>
      </c>
      <c r="C6" s="78">
        <f>SUM(C4:C5)</f>
        <v>362</v>
      </c>
      <c r="D6" s="78">
        <f>SUM(D4:D5)</f>
        <v>1162</v>
      </c>
      <c r="E6" s="78">
        <f t="shared" ref="E6:G6" si="0">SUM(E4:E5)</f>
        <v>2170</v>
      </c>
      <c r="F6" s="78">
        <f t="shared" si="0"/>
        <v>3358</v>
      </c>
      <c r="G6" s="130">
        <f t="shared" si="0"/>
        <v>4750</v>
      </c>
    </row>
    <row r="7" spans="1:7" ht="18">
      <c r="B7" s="151"/>
      <c r="C7" s="131"/>
      <c r="D7" s="131"/>
      <c r="E7" s="131"/>
      <c r="F7" s="131"/>
      <c r="G7" s="131"/>
    </row>
    <row r="8" spans="1:7" ht="18">
      <c r="A8" s="144" t="s">
        <v>49</v>
      </c>
      <c r="B8" s="151"/>
      <c r="C8" s="139">
        <f>'Financials Annual'!J7</f>
        <v>477408</v>
      </c>
      <c r="D8" s="139">
        <f>'Financials Annual'!K7</f>
        <v>806250</v>
      </c>
      <c r="E8" s="139">
        <f>'Financials Annual'!L7</f>
        <v>1152360</v>
      </c>
      <c r="F8" s="139">
        <f>'Financials Annual'!M7</f>
        <v>1509717</v>
      </c>
      <c r="G8" s="139">
        <f>'Financials Annual'!N7</f>
        <v>1813548</v>
      </c>
    </row>
    <row r="9" spans="1:7" ht="18">
      <c r="A9" s="145" t="s">
        <v>50</v>
      </c>
      <c r="B9" s="151"/>
      <c r="C9" s="82">
        <f>'Financials Annual'!J8</f>
        <v>225650</v>
      </c>
      <c r="D9" s="82">
        <f>'Financials Annual'!K8</f>
        <v>1927125</v>
      </c>
      <c r="E9" s="82">
        <f>'Financials Annual'!L8</f>
        <v>5115792</v>
      </c>
      <c r="F9" s="82">
        <f>'Financials Annual'!M8</f>
        <v>9517878.1500000004</v>
      </c>
      <c r="G9" s="82">
        <f>'Financials Annual'!N8</f>
        <v>14098992.6</v>
      </c>
    </row>
    <row r="10" spans="1:7" ht="18">
      <c r="A10" s="146" t="s">
        <v>384</v>
      </c>
      <c r="B10" s="151"/>
      <c r="C10" s="79">
        <f>SUM(C8:C9)</f>
        <v>703058</v>
      </c>
      <c r="D10" s="79">
        <f t="shared" ref="D10:G10" si="1">SUM(D8:D9)</f>
        <v>2733375</v>
      </c>
      <c r="E10" s="79">
        <f t="shared" si="1"/>
        <v>6268152</v>
      </c>
      <c r="F10" s="79">
        <f t="shared" si="1"/>
        <v>11027595.15</v>
      </c>
      <c r="G10" s="79">
        <f t="shared" si="1"/>
        <v>15912540.6</v>
      </c>
    </row>
    <row r="11" spans="1:7" ht="18">
      <c r="B11" s="151"/>
      <c r="C11" s="135"/>
      <c r="D11" s="135"/>
      <c r="E11" s="135"/>
      <c r="F11" s="135"/>
      <c r="G11" s="135"/>
    </row>
    <row r="12" spans="1:7" ht="18">
      <c r="A12" s="147" t="s">
        <v>385</v>
      </c>
      <c r="B12" s="151"/>
      <c r="C12" s="140">
        <f>'Financials Annual'!J19</f>
        <v>296568.99999999994</v>
      </c>
      <c r="D12" s="140">
        <f>'Financials Annual'!K19</f>
        <v>1055672.9999999998</v>
      </c>
      <c r="E12" s="140">
        <f>'Financials Annual'!L19</f>
        <v>3423842.6666666665</v>
      </c>
      <c r="F12" s="140">
        <f>'Financials Annual'!M19</f>
        <v>6828602.1500000004</v>
      </c>
      <c r="G12" s="140">
        <f>'Financials Annual'!N19</f>
        <v>10155860.6</v>
      </c>
    </row>
    <row r="13" spans="1:7" ht="18">
      <c r="A13" s="136" t="s">
        <v>386</v>
      </c>
      <c r="B13" s="153"/>
      <c r="C13" s="137">
        <f>'Financials Annual'!J20</f>
        <v>0.42182721766909692</v>
      </c>
      <c r="D13" s="137">
        <f>'Financials Annual'!K20</f>
        <v>0.38621594183015495</v>
      </c>
      <c r="E13" s="137">
        <f>'Financials Annual'!L20</f>
        <v>0.54622840458665756</v>
      </c>
      <c r="F13" s="137">
        <f>'Financials Annual'!M20</f>
        <v>0.61922858584448492</v>
      </c>
      <c r="G13" s="137">
        <f>'Financials Annual'!N20</f>
        <v>0.6382299882395901</v>
      </c>
    </row>
    <row r="14" spans="1:7" ht="18">
      <c r="B14" s="151"/>
      <c r="C14" s="131"/>
      <c r="D14" s="131"/>
      <c r="E14" s="131"/>
      <c r="F14" s="131"/>
      <c r="G14" s="131"/>
    </row>
    <row r="15" spans="1:7" ht="18">
      <c r="A15" s="148" t="s">
        <v>10</v>
      </c>
      <c r="B15" s="158"/>
      <c r="C15" s="141">
        <f>'Financials Annual'!J28</f>
        <v>453909.25000000006</v>
      </c>
      <c r="D15" s="141">
        <f>'Financials Annual'!K28</f>
        <v>854359.49999999988</v>
      </c>
      <c r="E15" s="141">
        <f>'Financials Annual'!L28</f>
        <v>964229.49999999988</v>
      </c>
      <c r="F15" s="141">
        <f>'Financials Annual'!M28</f>
        <v>1077323.2500000002</v>
      </c>
      <c r="G15" s="141">
        <f>'Financials Annual'!N28</f>
        <v>1213119.75</v>
      </c>
    </row>
    <row r="16" spans="1:7" s="152" customFormat="1" ht="18">
      <c r="B16" s="151"/>
      <c r="C16" s="155"/>
      <c r="D16" s="155"/>
      <c r="E16" s="155"/>
      <c r="F16" s="155"/>
      <c r="G16" s="155"/>
    </row>
    <row r="17" spans="1:7" ht="18">
      <c r="A17" s="147" t="s">
        <v>11</v>
      </c>
      <c r="B17" s="160"/>
      <c r="C17" s="140">
        <f>'Financials Annual'!J30</f>
        <v>-157340.25</v>
      </c>
      <c r="D17" s="140">
        <f>'Financials Annual'!K30</f>
        <v>201313.50000000003</v>
      </c>
      <c r="E17" s="140">
        <f>'Financials Annual'!L30</f>
        <v>2459613.166666666</v>
      </c>
      <c r="F17" s="140">
        <f>'Financials Annual'!M30</f>
        <v>5751278.8999999994</v>
      </c>
      <c r="G17" s="140">
        <f>'Financials Annual'!N30</f>
        <v>8942740.8500000015</v>
      </c>
    </row>
    <row r="18" spans="1:7" s="152" customFormat="1" ht="18">
      <c r="A18" s="156" t="s">
        <v>387</v>
      </c>
      <c r="B18" s="153"/>
      <c r="C18" s="157">
        <f>'Financials Annual'!J31</f>
        <v>-0.22379412509352004</v>
      </c>
      <c r="D18" s="157">
        <f>'Financials Annual'!K31</f>
        <v>7.3650157771985192E-2</v>
      </c>
      <c r="E18" s="157">
        <f>'Financials Annual'!L31</f>
        <v>0.39239845598298606</v>
      </c>
      <c r="F18" s="157">
        <f>'Financials Annual'!M31</f>
        <v>0.52153518711647651</v>
      </c>
      <c r="G18" s="157">
        <f>'Financials Annual'!N31</f>
        <v>0.56199327780505404</v>
      </c>
    </row>
    <row r="19" spans="1:7" s="152" customFormat="1" ht="18">
      <c r="B19" s="151"/>
      <c r="C19" s="154"/>
      <c r="D19" s="154"/>
      <c r="E19" s="154"/>
      <c r="F19" s="154"/>
      <c r="G19" s="154"/>
    </row>
    <row r="20" spans="1:7" ht="18">
      <c r="A20" s="144" t="s">
        <v>388</v>
      </c>
      <c r="B20" s="161"/>
      <c r="C20" s="80">
        <f>'Financials Annual'!J148</f>
        <v>-250520.79741284292</v>
      </c>
      <c r="D20" s="80">
        <f>'Financials Annual'!K148</f>
        <v>-400123.84853618569</v>
      </c>
      <c r="E20" s="80">
        <f>'Financials Annual'!L148</f>
        <v>1765344.1496388894</v>
      </c>
      <c r="F20" s="80">
        <f>'Financials Annual'!M148</f>
        <v>4279997.556534335</v>
      </c>
      <c r="G20" s="80">
        <f>'Financials Annual'!N148</f>
        <v>6628536.1967870668</v>
      </c>
    </row>
    <row r="21" spans="1:7" ht="18">
      <c r="A21" s="149" t="s">
        <v>389</v>
      </c>
      <c r="B21" s="158"/>
      <c r="C21" s="79">
        <f>'Financials Annual'!J150</f>
        <v>-250520.79741284292</v>
      </c>
      <c r="D21" s="79">
        <f>'Financials Annual'!K150</f>
        <v>-650644.64594902878</v>
      </c>
      <c r="E21" s="79">
        <f>'Financials Annual'!L150</f>
        <v>1114699.5036898609</v>
      </c>
      <c r="F21" s="79">
        <f>'Financials Annual'!M150</f>
        <v>5394697.060224195</v>
      </c>
      <c r="G21" s="79">
        <f>'Financials Annual'!N150</f>
        <v>12023233.257011263</v>
      </c>
    </row>
    <row r="22" spans="1:7" s="152" customFormat="1" ht="18">
      <c r="B22" s="151"/>
      <c r="C22" s="154"/>
      <c r="D22" s="154"/>
      <c r="E22" s="154"/>
      <c r="F22" s="154"/>
      <c r="G22" s="154"/>
    </row>
    <row r="23" spans="1:7" ht="18">
      <c r="A23" s="144" t="s">
        <v>390</v>
      </c>
      <c r="B23" s="159"/>
      <c r="C23" s="80">
        <f>MIN('Financials Monthly'!J150:BQ150)</f>
        <v>-722826.32248456893</v>
      </c>
      <c r="D23" s="81">
        <f>'Financials Monthly'!AD3</f>
        <v>45626</v>
      </c>
      <c r="E23" s="80"/>
      <c r="F23" s="80"/>
      <c r="G23" s="80"/>
    </row>
    <row r="24" spans="1:7" ht="18">
      <c r="A24" s="150" t="s">
        <v>393</v>
      </c>
      <c r="B24" s="151"/>
      <c r="C24" s="132"/>
      <c r="D24" s="133">
        <f>'Financials Monthly'!AN3</f>
        <v>45930</v>
      </c>
      <c r="E24" s="132"/>
      <c r="F24" s="132"/>
      <c r="G24" s="132"/>
    </row>
    <row r="25" spans="1:7" ht="18">
      <c r="B25" s="151"/>
      <c r="C25" s="131"/>
      <c r="D25" s="131"/>
      <c r="E25" s="131"/>
      <c r="F25" s="131"/>
      <c r="G25" s="131"/>
    </row>
    <row r="26" spans="1:7">
      <c r="C26"/>
      <c r="D26"/>
      <c r="E26"/>
      <c r="F26"/>
      <c r="G26"/>
    </row>
    <row r="27" spans="1:7">
      <c r="C27"/>
      <c r="D27"/>
      <c r="E27"/>
      <c r="F27"/>
      <c r="G27"/>
    </row>
    <row r="28" spans="1:7">
      <c r="C28"/>
      <c r="D28"/>
      <c r="E28"/>
      <c r="F28"/>
      <c r="G28"/>
    </row>
    <row r="29" spans="1:7">
      <c r="C29"/>
      <c r="D29"/>
      <c r="E29"/>
      <c r="F29"/>
      <c r="G29"/>
    </row>
    <row r="30" spans="1:7">
      <c r="C30"/>
      <c r="D30"/>
      <c r="E30"/>
      <c r="F30"/>
      <c r="G30"/>
    </row>
    <row r="31" spans="1:7" s="152" customFormat="1"/>
    <row r="32" spans="1:7" s="152" customFormat="1"/>
    <row r="33" s="152" customFormat="1"/>
    <row r="34" s="152" customFormat="1"/>
    <row r="35" s="152" customFormat="1"/>
    <row r="36" s="152" customFormat="1"/>
    <row r="37" s="152" customFormat="1"/>
    <row r="38" s="152" customFormat="1"/>
    <row r="39" s="152" customFormat="1"/>
    <row r="40" s="152" customFormat="1"/>
    <row r="41" s="152" customFormat="1"/>
    <row r="42" s="152" customFormat="1"/>
    <row r="43" s="152" customFormat="1"/>
    <row r="44" s="152" customFormat="1"/>
    <row r="45" s="152" customFormat="1"/>
    <row r="46" s="152" customFormat="1"/>
    <row r="47" s="152" customFormat="1"/>
    <row r="48" s="152" customFormat="1"/>
    <row r="49" spans="2:7" s="152" customFormat="1"/>
    <row r="50" spans="2:7" s="152" customFormat="1" ht="18">
      <c r="B50" s="151"/>
      <c r="C50" s="154"/>
      <c r="D50" s="154"/>
      <c r="E50" s="154"/>
      <c r="F50" s="154"/>
      <c r="G50" s="154"/>
    </row>
    <row r="51" spans="2:7" s="152" customFormat="1">
      <c r="C51" s="162"/>
      <c r="D51" s="162"/>
      <c r="E51" s="162"/>
      <c r="F51" s="162"/>
      <c r="G51" s="16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5"/>
  <sheetViews>
    <sheetView workbookViewId="0">
      <selection activeCell="F25" sqref="F25"/>
    </sheetView>
  </sheetViews>
  <sheetFormatPr defaultColWidth="11.5546875" defaultRowHeight="14.4"/>
  <sheetData>
    <row r="1" spans="1:70">
      <c r="A1" s="3" t="s">
        <v>80</v>
      </c>
    </row>
    <row r="2" spans="1:70">
      <c r="A2" s="3" t="s">
        <v>361</v>
      </c>
      <c r="J2" s="1">
        <f>Timing!J2</f>
        <v>44986</v>
      </c>
      <c r="K2" s="1">
        <f>Timing!K2</f>
        <v>45017</v>
      </c>
      <c r="L2" s="1">
        <f>Timing!L2</f>
        <v>45047</v>
      </c>
      <c r="M2" s="1">
        <f>Timing!M2</f>
        <v>45078</v>
      </c>
      <c r="N2" s="1">
        <f>Timing!N2</f>
        <v>45108</v>
      </c>
      <c r="O2" s="1">
        <f>Timing!O2</f>
        <v>45139</v>
      </c>
      <c r="P2" s="1">
        <f>Timing!P2</f>
        <v>45170</v>
      </c>
      <c r="Q2" s="1">
        <f>Timing!Q2</f>
        <v>45200</v>
      </c>
      <c r="R2" s="1">
        <f>Timing!R2</f>
        <v>45231</v>
      </c>
      <c r="S2" s="1">
        <f>Timing!S2</f>
        <v>45261</v>
      </c>
      <c r="T2" s="1">
        <f>Timing!T2</f>
        <v>45292</v>
      </c>
      <c r="U2" s="1">
        <f>Timing!U2</f>
        <v>45323</v>
      </c>
      <c r="V2" s="1">
        <f>Timing!V2</f>
        <v>45352</v>
      </c>
      <c r="W2" s="1">
        <f>Timing!W2</f>
        <v>45383</v>
      </c>
      <c r="X2" s="1">
        <f>Timing!X2</f>
        <v>45413</v>
      </c>
      <c r="Y2" s="1">
        <f>Timing!Y2</f>
        <v>45444</v>
      </c>
      <c r="Z2" s="1">
        <f>Timing!Z2</f>
        <v>45474</v>
      </c>
      <c r="AA2" s="1">
        <f>Timing!AA2</f>
        <v>45505</v>
      </c>
      <c r="AB2" s="1">
        <f>Timing!AB2</f>
        <v>45536</v>
      </c>
      <c r="AC2" s="1">
        <f>Timing!AC2</f>
        <v>45566</v>
      </c>
      <c r="AD2" s="1">
        <f>Timing!AD2</f>
        <v>45597</v>
      </c>
      <c r="AE2" s="1">
        <f>Timing!AE2</f>
        <v>45627</v>
      </c>
      <c r="AF2" s="1">
        <f>Timing!AF2</f>
        <v>45658</v>
      </c>
      <c r="AG2" s="1">
        <f>Timing!AG2</f>
        <v>45689</v>
      </c>
      <c r="AH2" s="1">
        <f>Timing!AH2</f>
        <v>45717</v>
      </c>
      <c r="AI2" s="1">
        <f>Timing!AI2</f>
        <v>45748</v>
      </c>
      <c r="AJ2" s="1">
        <f>Timing!AJ2</f>
        <v>45778</v>
      </c>
      <c r="AK2" s="1">
        <f>Timing!AK2</f>
        <v>45809</v>
      </c>
      <c r="AL2" s="1">
        <f>Timing!AL2</f>
        <v>45839</v>
      </c>
      <c r="AM2" s="1">
        <f>Timing!AM2</f>
        <v>45870</v>
      </c>
      <c r="AN2" s="1">
        <f>Timing!AN2</f>
        <v>45901</v>
      </c>
      <c r="AO2" s="1">
        <f>Timing!AO2</f>
        <v>45931</v>
      </c>
      <c r="AP2" s="1">
        <f>Timing!AP2</f>
        <v>45962</v>
      </c>
      <c r="AQ2" s="1">
        <f>Timing!AQ2</f>
        <v>45992</v>
      </c>
      <c r="AR2" s="1">
        <f>Timing!AR2</f>
        <v>46023</v>
      </c>
      <c r="AS2" s="1">
        <f>Timing!AS2</f>
        <v>46054</v>
      </c>
      <c r="AT2" s="1">
        <f>Timing!AT2</f>
        <v>46082</v>
      </c>
      <c r="AU2" s="1">
        <f>Timing!AU2</f>
        <v>46113</v>
      </c>
      <c r="AV2" s="1">
        <f>Timing!AV2</f>
        <v>46143</v>
      </c>
      <c r="AW2" s="1">
        <f>Timing!AW2</f>
        <v>46174</v>
      </c>
      <c r="AX2" s="1">
        <f>Timing!AX2</f>
        <v>46204</v>
      </c>
      <c r="AY2" s="1">
        <f>Timing!AY2</f>
        <v>46235</v>
      </c>
      <c r="AZ2" s="1">
        <f>Timing!AZ2</f>
        <v>46266</v>
      </c>
      <c r="BA2" s="1">
        <f>Timing!BA2</f>
        <v>46296</v>
      </c>
      <c r="BB2" s="1">
        <f>Timing!BB2</f>
        <v>46327</v>
      </c>
      <c r="BC2" s="1">
        <f>Timing!BC2</f>
        <v>46357</v>
      </c>
      <c r="BD2" s="1">
        <f>Timing!BD2</f>
        <v>46388</v>
      </c>
      <c r="BE2" s="1">
        <f>Timing!BE2</f>
        <v>46419</v>
      </c>
      <c r="BF2" s="1">
        <f>Timing!BF2</f>
        <v>46447</v>
      </c>
      <c r="BG2" s="1">
        <f>Timing!BG2</f>
        <v>46478</v>
      </c>
      <c r="BH2" s="1">
        <f>Timing!BH2</f>
        <v>46508</v>
      </c>
      <c r="BI2" s="1">
        <f>Timing!BI2</f>
        <v>46539</v>
      </c>
      <c r="BJ2" s="1">
        <f>Timing!BJ2</f>
        <v>46569</v>
      </c>
      <c r="BK2" s="1">
        <f>Timing!BK2</f>
        <v>46600</v>
      </c>
      <c r="BL2" s="1">
        <f>Timing!BL2</f>
        <v>46631</v>
      </c>
      <c r="BM2" s="1">
        <f>Timing!BM2</f>
        <v>46661</v>
      </c>
      <c r="BN2" s="1">
        <f>Timing!BN2</f>
        <v>46692</v>
      </c>
      <c r="BO2" s="1">
        <f>Timing!BO2</f>
        <v>46722</v>
      </c>
      <c r="BP2" s="1">
        <f>Timing!BP2</f>
        <v>46753</v>
      </c>
      <c r="BQ2" s="1">
        <f>Timing!BQ2</f>
        <v>46784</v>
      </c>
      <c r="BR2" s="1"/>
    </row>
    <row r="3" spans="1:70">
      <c r="J3" s="1">
        <f>Timing!J3</f>
        <v>45016</v>
      </c>
      <c r="K3" s="1">
        <f>Timing!K3</f>
        <v>45046</v>
      </c>
      <c r="L3" s="1">
        <f>Timing!L3</f>
        <v>45077</v>
      </c>
      <c r="M3" s="1">
        <f>Timing!M3</f>
        <v>45107</v>
      </c>
      <c r="N3" s="1">
        <f>Timing!N3</f>
        <v>45138</v>
      </c>
      <c r="O3" s="1">
        <f>Timing!O3</f>
        <v>45169</v>
      </c>
      <c r="P3" s="1">
        <f>Timing!P3</f>
        <v>45199</v>
      </c>
      <c r="Q3" s="1">
        <f>Timing!Q3</f>
        <v>45230</v>
      </c>
      <c r="R3" s="1">
        <f>Timing!R3</f>
        <v>45260</v>
      </c>
      <c r="S3" s="1">
        <f>Timing!S3</f>
        <v>45291</v>
      </c>
      <c r="T3" s="1">
        <f>Timing!T3</f>
        <v>45322</v>
      </c>
      <c r="U3" s="1">
        <f>Timing!U3</f>
        <v>45351</v>
      </c>
      <c r="V3" s="1">
        <f>Timing!V3</f>
        <v>45382</v>
      </c>
      <c r="W3" s="1">
        <f>Timing!W3</f>
        <v>45412</v>
      </c>
      <c r="X3" s="1">
        <f>Timing!X3</f>
        <v>45443</v>
      </c>
      <c r="Y3" s="1">
        <f>Timing!Y3</f>
        <v>45473</v>
      </c>
      <c r="Z3" s="1">
        <f>Timing!Z3</f>
        <v>45504</v>
      </c>
      <c r="AA3" s="1">
        <f>Timing!AA3</f>
        <v>45535</v>
      </c>
      <c r="AB3" s="1">
        <f>Timing!AB3</f>
        <v>45565</v>
      </c>
      <c r="AC3" s="1">
        <f>Timing!AC3</f>
        <v>45596</v>
      </c>
      <c r="AD3" s="1">
        <f>Timing!AD3</f>
        <v>45626</v>
      </c>
      <c r="AE3" s="1">
        <f>Timing!AE3</f>
        <v>45657</v>
      </c>
      <c r="AF3" s="1">
        <f>Timing!AF3</f>
        <v>45688</v>
      </c>
      <c r="AG3" s="1">
        <f>Timing!AG3</f>
        <v>45716</v>
      </c>
      <c r="AH3" s="1">
        <f>Timing!AH3</f>
        <v>45747</v>
      </c>
      <c r="AI3" s="1">
        <f>Timing!AI3</f>
        <v>45777</v>
      </c>
      <c r="AJ3" s="1">
        <f>Timing!AJ3</f>
        <v>45808</v>
      </c>
      <c r="AK3" s="1">
        <f>Timing!AK3</f>
        <v>45838</v>
      </c>
      <c r="AL3" s="1">
        <f>Timing!AL3</f>
        <v>45869</v>
      </c>
      <c r="AM3" s="1">
        <f>Timing!AM3</f>
        <v>45900</v>
      </c>
      <c r="AN3" s="1">
        <f>Timing!AN3</f>
        <v>45930</v>
      </c>
      <c r="AO3" s="1">
        <f>Timing!AO3</f>
        <v>45961</v>
      </c>
      <c r="AP3" s="1">
        <f>Timing!AP3</f>
        <v>45991</v>
      </c>
      <c r="AQ3" s="1">
        <f>Timing!AQ3</f>
        <v>46022</v>
      </c>
      <c r="AR3" s="1">
        <f>Timing!AR3</f>
        <v>46053</v>
      </c>
      <c r="AS3" s="1">
        <f>Timing!AS3</f>
        <v>46081</v>
      </c>
      <c r="AT3" s="1">
        <f>Timing!AT3</f>
        <v>46112</v>
      </c>
      <c r="AU3" s="1">
        <f>Timing!AU3</f>
        <v>46142</v>
      </c>
      <c r="AV3" s="1">
        <f>Timing!AV3</f>
        <v>46173</v>
      </c>
      <c r="AW3" s="1">
        <f>Timing!AW3</f>
        <v>46203</v>
      </c>
      <c r="AX3" s="1">
        <f>Timing!AX3</f>
        <v>46234</v>
      </c>
      <c r="AY3" s="1">
        <f>Timing!AY3</f>
        <v>46265</v>
      </c>
      <c r="AZ3" s="1">
        <f>Timing!AZ3</f>
        <v>46295</v>
      </c>
      <c r="BA3" s="1">
        <f>Timing!BA3</f>
        <v>46326</v>
      </c>
      <c r="BB3" s="1">
        <f>Timing!BB3</f>
        <v>46356</v>
      </c>
      <c r="BC3" s="1">
        <f>Timing!BC3</f>
        <v>46387</v>
      </c>
      <c r="BD3" s="1">
        <f>Timing!BD3</f>
        <v>46418</v>
      </c>
      <c r="BE3" s="1">
        <f>Timing!BE3</f>
        <v>46446</v>
      </c>
      <c r="BF3" s="1">
        <f>Timing!BF3</f>
        <v>46477</v>
      </c>
      <c r="BG3" s="1">
        <f>Timing!BG3</f>
        <v>46507</v>
      </c>
      <c r="BH3" s="1">
        <f>Timing!BH3</f>
        <v>46538</v>
      </c>
      <c r="BI3" s="1">
        <f>Timing!BI3</f>
        <v>46568</v>
      </c>
      <c r="BJ3" s="1">
        <f>Timing!BJ3</f>
        <v>46599</v>
      </c>
      <c r="BK3" s="1">
        <f>Timing!BK3</f>
        <v>46630</v>
      </c>
      <c r="BL3" s="1">
        <f>Timing!BL3</f>
        <v>46660</v>
      </c>
      <c r="BM3" s="1">
        <f>Timing!BM3</f>
        <v>46691</v>
      </c>
      <c r="BN3" s="1">
        <f>Timing!BN3</f>
        <v>46721</v>
      </c>
      <c r="BO3" s="1">
        <f>Timing!BO3</f>
        <v>46752</v>
      </c>
      <c r="BP3" s="1">
        <f>Timing!BP3</f>
        <v>46783</v>
      </c>
      <c r="BQ3" s="1">
        <f>Timing!BQ3</f>
        <v>46812</v>
      </c>
      <c r="BR3" s="1"/>
    </row>
    <row r="6" spans="1:70">
      <c r="B6" t="s">
        <v>362</v>
      </c>
    </row>
    <row r="7" spans="1:70">
      <c r="B7" t="s">
        <v>363</v>
      </c>
      <c r="J7" s="38">
        <f>Inputs!J33</f>
        <v>90</v>
      </c>
      <c r="K7" s="38">
        <f>Inputs!K33</f>
        <v>120</v>
      </c>
      <c r="L7" s="38">
        <f>Inputs!L33</f>
        <v>120</v>
      </c>
      <c r="M7" s="38">
        <f>Inputs!M33</f>
        <v>150</v>
      </c>
      <c r="N7" s="38">
        <f>Inputs!N33</f>
        <v>180</v>
      </c>
      <c r="O7" s="38">
        <f>Inputs!O33</f>
        <v>240</v>
      </c>
      <c r="P7" s="38">
        <f>Inputs!P33</f>
        <v>300</v>
      </c>
      <c r="Q7" s="38">
        <f>Inputs!Q33</f>
        <v>300</v>
      </c>
      <c r="R7" s="38">
        <f>Inputs!R33</f>
        <v>300</v>
      </c>
      <c r="S7" s="38">
        <f>Inputs!S33</f>
        <v>300</v>
      </c>
      <c r="T7" s="38">
        <f>Inputs!T33</f>
        <v>300</v>
      </c>
      <c r="U7" s="38">
        <f>Inputs!U33</f>
        <v>300</v>
      </c>
      <c r="V7" s="38">
        <f>Inputs!V33</f>
        <v>300</v>
      </c>
      <c r="W7" s="38">
        <f>Inputs!W33</f>
        <v>330</v>
      </c>
      <c r="X7" s="38">
        <f>Inputs!X33</f>
        <v>360</v>
      </c>
      <c r="Y7" s="38">
        <f>Inputs!Y33</f>
        <v>390</v>
      </c>
      <c r="Z7" s="38">
        <f>Inputs!Z33</f>
        <v>420</v>
      </c>
      <c r="AA7" s="38">
        <f>Inputs!AA33</f>
        <v>450</v>
      </c>
      <c r="AB7" s="38">
        <f>Inputs!AB33</f>
        <v>480</v>
      </c>
      <c r="AC7" s="38">
        <f>Inputs!AC33</f>
        <v>510</v>
      </c>
      <c r="AD7" s="38">
        <f>Inputs!AD33</f>
        <v>540</v>
      </c>
      <c r="AE7" s="38">
        <f>Inputs!AE33</f>
        <v>570</v>
      </c>
      <c r="AF7" s="38">
        <f>Inputs!AF33</f>
        <v>600</v>
      </c>
      <c r="AG7" s="38">
        <f>Inputs!AG33</f>
        <v>630</v>
      </c>
      <c r="AH7" s="38">
        <f>Inputs!AH33</f>
        <v>666</v>
      </c>
      <c r="AI7" s="38">
        <f>Inputs!AI33</f>
        <v>702</v>
      </c>
      <c r="AJ7" s="38">
        <f>Inputs!AJ33</f>
        <v>738</v>
      </c>
      <c r="AK7" s="38">
        <f>Inputs!AK33</f>
        <v>774</v>
      </c>
      <c r="AL7" s="38">
        <f>Inputs!AL33</f>
        <v>810</v>
      </c>
      <c r="AM7" s="38">
        <f>Inputs!AM33</f>
        <v>846</v>
      </c>
      <c r="AN7" s="38">
        <f>Inputs!AN33</f>
        <v>882</v>
      </c>
      <c r="AO7" s="38">
        <f>Inputs!AO33</f>
        <v>918</v>
      </c>
      <c r="AP7" s="38">
        <f>Inputs!AP33</f>
        <v>954</v>
      </c>
      <c r="AQ7" s="38">
        <f>Inputs!AQ33</f>
        <v>990</v>
      </c>
      <c r="AR7" s="38">
        <f>Inputs!AR33</f>
        <v>1026</v>
      </c>
      <c r="AS7" s="38">
        <f>Inputs!AS33</f>
        <v>1062</v>
      </c>
      <c r="AT7" s="38">
        <f>Inputs!AT33</f>
        <v>1105</v>
      </c>
      <c r="AU7" s="38">
        <f>Inputs!AU33</f>
        <v>1148</v>
      </c>
      <c r="AV7" s="38">
        <f>Inputs!AV33</f>
        <v>1191</v>
      </c>
      <c r="AW7" s="38">
        <f>Inputs!AW33</f>
        <v>1234</v>
      </c>
      <c r="AX7" s="38">
        <f>Inputs!AX33</f>
        <v>1277</v>
      </c>
      <c r="AY7" s="38">
        <f>Inputs!AY33</f>
        <v>1320</v>
      </c>
      <c r="AZ7" s="38">
        <f>Inputs!AZ33</f>
        <v>1363</v>
      </c>
      <c r="BA7" s="38">
        <f>Inputs!BA33</f>
        <v>1406</v>
      </c>
      <c r="BB7" s="38">
        <f>Inputs!BB33</f>
        <v>1449</v>
      </c>
      <c r="BC7" s="38">
        <f>Inputs!BC33</f>
        <v>1492</v>
      </c>
      <c r="BD7" s="38">
        <f>Inputs!BD33</f>
        <v>1535</v>
      </c>
      <c r="BE7" s="38">
        <f>Inputs!BE33</f>
        <v>1578</v>
      </c>
      <c r="BF7" s="38">
        <f>Inputs!BF33</f>
        <v>1630</v>
      </c>
      <c r="BG7" s="38">
        <f>Inputs!BG33</f>
        <v>1682</v>
      </c>
      <c r="BH7" s="38">
        <f>Inputs!BH33</f>
        <v>1734</v>
      </c>
      <c r="BI7" s="38">
        <f>Inputs!BI33</f>
        <v>1786</v>
      </c>
      <c r="BJ7" s="38">
        <f>Inputs!BJ33</f>
        <v>1838</v>
      </c>
      <c r="BK7" s="38">
        <f>Inputs!BK33</f>
        <v>1890</v>
      </c>
      <c r="BL7" s="38">
        <f>Inputs!BL33</f>
        <v>1942</v>
      </c>
      <c r="BM7" s="38">
        <f>Inputs!BM33</f>
        <v>1994</v>
      </c>
      <c r="BN7" s="38">
        <f>Inputs!BN33</f>
        <v>2046</v>
      </c>
      <c r="BO7" s="38">
        <f>Inputs!BO33</f>
        <v>2098</v>
      </c>
      <c r="BP7" s="38">
        <f>Inputs!BP33</f>
        <v>2150</v>
      </c>
      <c r="BQ7" s="38">
        <f>Inputs!BQ33</f>
        <v>2202</v>
      </c>
    </row>
    <row r="8" spans="1:70">
      <c r="B8" s="12" t="s">
        <v>364</v>
      </c>
      <c r="C8" s="12"/>
      <c r="D8" s="12"/>
      <c r="E8" s="12"/>
      <c r="F8" s="12"/>
      <c r="G8" s="12"/>
      <c r="H8" s="12"/>
      <c r="I8" s="12"/>
      <c r="J8" s="40">
        <f>Inputs!J37+Inputs!J41+Inputs!J45</f>
        <v>0</v>
      </c>
      <c r="K8" s="40">
        <f>Inputs!K37+Inputs!K41+Inputs!K45</f>
        <v>0</v>
      </c>
      <c r="L8" s="40">
        <f>Inputs!L37+Inputs!L41+Inputs!L45</f>
        <v>0</v>
      </c>
      <c r="M8" s="40">
        <f>Inputs!M37+Inputs!M41+Inputs!M45</f>
        <v>0</v>
      </c>
      <c r="N8" s="40">
        <f>Inputs!N37+Inputs!N41+Inputs!N45</f>
        <v>0</v>
      </c>
      <c r="O8" s="40">
        <f>Inputs!O37+Inputs!O41+Inputs!O45</f>
        <v>0</v>
      </c>
      <c r="P8" s="40">
        <f>Inputs!P37+Inputs!P41+Inputs!P45</f>
        <v>0</v>
      </c>
      <c r="Q8" s="40">
        <f>Inputs!Q37+Inputs!Q41+Inputs!Q45</f>
        <v>0</v>
      </c>
      <c r="R8" s="40">
        <f>Inputs!R37+Inputs!R41+Inputs!R45</f>
        <v>0</v>
      </c>
      <c r="S8" s="40">
        <f>Inputs!S37+Inputs!S41+Inputs!S45</f>
        <v>2</v>
      </c>
      <c r="T8" s="40">
        <f>Inputs!T37+Inputs!T41+Inputs!T45</f>
        <v>32</v>
      </c>
      <c r="U8" s="40">
        <f>Inputs!U37+Inputs!U41+Inputs!U45</f>
        <v>62</v>
      </c>
      <c r="V8" s="40">
        <f>Inputs!V37+Inputs!V41+Inputs!V45</f>
        <v>92</v>
      </c>
      <c r="W8" s="40">
        <f>Inputs!W37+Inputs!W41+Inputs!W45</f>
        <v>132</v>
      </c>
      <c r="X8" s="40">
        <f>Inputs!X37+Inputs!X41+Inputs!X45</f>
        <v>172</v>
      </c>
      <c r="Y8" s="40">
        <f>Inputs!Y37+Inputs!Y41+Inputs!Y45</f>
        <v>212</v>
      </c>
      <c r="Z8" s="40">
        <f>Inputs!Z37+Inputs!Z41+Inputs!Z45</f>
        <v>252</v>
      </c>
      <c r="AA8" s="40">
        <f>Inputs!AA37+Inputs!AA41+Inputs!AA45</f>
        <v>292</v>
      </c>
      <c r="AB8" s="40">
        <f>Inputs!AB37+Inputs!AB41+Inputs!AB45</f>
        <v>332</v>
      </c>
      <c r="AC8" s="40">
        <f>Inputs!AC37+Inputs!AC41+Inputs!AC45</f>
        <v>372</v>
      </c>
      <c r="AD8" s="40">
        <f>Inputs!AD37+Inputs!AD41+Inputs!AD45</f>
        <v>412</v>
      </c>
      <c r="AE8" s="40">
        <f>Inputs!AE37+Inputs!AE41+Inputs!AE45</f>
        <v>452</v>
      </c>
      <c r="AF8" s="40">
        <f>Inputs!AF37+Inputs!AF41+Inputs!AF45</f>
        <v>492</v>
      </c>
      <c r="AG8" s="40">
        <f>Inputs!AG37+Inputs!AG41+Inputs!AG45</f>
        <v>532</v>
      </c>
      <c r="AH8" s="40">
        <f>Inputs!AH37+Inputs!AH41+Inputs!AH45</f>
        <v>580</v>
      </c>
      <c r="AI8" s="40">
        <f>Inputs!AI37+Inputs!AI41+Inputs!AI45</f>
        <v>628</v>
      </c>
      <c r="AJ8" s="40">
        <f>Inputs!AJ37+Inputs!AJ41+Inputs!AJ45</f>
        <v>676</v>
      </c>
      <c r="AK8" s="40">
        <f>Inputs!AK37+Inputs!AK41+Inputs!AK45</f>
        <v>724</v>
      </c>
      <c r="AL8" s="40">
        <f>Inputs!AL37+Inputs!AL41+Inputs!AL45</f>
        <v>772</v>
      </c>
      <c r="AM8" s="40">
        <f>Inputs!AM37+Inputs!AM41+Inputs!AM45</f>
        <v>820</v>
      </c>
      <c r="AN8" s="40">
        <f>Inputs!AN37+Inputs!AN41+Inputs!AN45</f>
        <v>868</v>
      </c>
      <c r="AO8" s="40">
        <f>Inputs!AO37+Inputs!AO41+Inputs!AO45</f>
        <v>916</v>
      </c>
      <c r="AP8" s="40">
        <f>Inputs!AP37+Inputs!AP41+Inputs!AP45</f>
        <v>964</v>
      </c>
      <c r="AQ8" s="40">
        <f>Inputs!AQ37+Inputs!AQ41+Inputs!AQ45</f>
        <v>1012</v>
      </c>
      <c r="AR8" s="40">
        <f>Inputs!AR37+Inputs!AR41+Inputs!AR45</f>
        <v>1060</v>
      </c>
      <c r="AS8" s="40">
        <f>Inputs!AS37+Inputs!AS41+Inputs!AS45</f>
        <v>1108</v>
      </c>
      <c r="AT8" s="40">
        <f>Inputs!AT37+Inputs!AT41+Inputs!AT45</f>
        <v>1164</v>
      </c>
      <c r="AU8" s="40">
        <f>Inputs!AU37+Inputs!AU41+Inputs!AU45</f>
        <v>1220</v>
      </c>
      <c r="AV8" s="40">
        <f>Inputs!AV37+Inputs!AV41+Inputs!AV45</f>
        <v>1276</v>
      </c>
      <c r="AW8" s="40">
        <f>Inputs!AW37+Inputs!AW41+Inputs!AW45</f>
        <v>1332</v>
      </c>
      <c r="AX8" s="40">
        <f>Inputs!AX37+Inputs!AX41+Inputs!AX45</f>
        <v>1388</v>
      </c>
      <c r="AY8" s="40">
        <f>Inputs!AY37+Inputs!AY41+Inputs!AY45</f>
        <v>1444</v>
      </c>
      <c r="AZ8" s="40">
        <f>Inputs!AZ37+Inputs!AZ41+Inputs!AZ45</f>
        <v>1500</v>
      </c>
      <c r="BA8" s="40">
        <f>Inputs!BA37+Inputs!BA41+Inputs!BA45</f>
        <v>1556</v>
      </c>
      <c r="BB8" s="40">
        <f>Inputs!BB37+Inputs!BB41+Inputs!BB45</f>
        <v>1612</v>
      </c>
      <c r="BC8" s="40">
        <f>Inputs!BC37+Inputs!BC41+Inputs!BC45</f>
        <v>1668</v>
      </c>
      <c r="BD8" s="40">
        <f>Inputs!BD37+Inputs!BD41+Inputs!BD45</f>
        <v>1724</v>
      </c>
      <c r="BE8" s="40">
        <f>Inputs!BE37+Inputs!BE41+Inputs!BE45</f>
        <v>1780</v>
      </c>
      <c r="BF8" s="40">
        <f>Inputs!BF37+Inputs!BF41+Inputs!BF45</f>
        <v>1844</v>
      </c>
      <c r="BG8" s="40">
        <f>Inputs!BG37+Inputs!BG41+Inputs!BG45</f>
        <v>1908</v>
      </c>
      <c r="BH8" s="40">
        <f>Inputs!BH37+Inputs!BH41+Inputs!BH45</f>
        <v>1972</v>
      </c>
      <c r="BI8" s="40">
        <f>Inputs!BI37+Inputs!BI41+Inputs!BI45</f>
        <v>2036</v>
      </c>
      <c r="BJ8" s="40">
        <f>Inputs!BJ37+Inputs!BJ41+Inputs!BJ45</f>
        <v>2100</v>
      </c>
      <c r="BK8" s="40">
        <f>Inputs!BK37+Inputs!BK41+Inputs!BK45</f>
        <v>2164</v>
      </c>
      <c r="BL8" s="40">
        <f>Inputs!BL37+Inputs!BL41+Inputs!BL45</f>
        <v>2228</v>
      </c>
      <c r="BM8" s="40">
        <f>Inputs!BM37+Inputs!BM41+Inputs!BM45</f>
        <v>2292</v>
      </c>
      <c r="BN8" s="40">
        <f>Inputs!BN37+Inputs!BN41+Inputs!BN45</f>
        <v>2356</v>
      </c>
      <c r="BO8" s="40">
        <f>Inputs!BO37+Inputs!BO41+Inputs!BO45</f>
        <v>2420</v>
      </c>
      <c r="BP8" s="40">
        <f>Inputs!BP37+Inputs!BP41+Inputs!BP45</f>
        <v>2484</v>
      </c>
      <c r="BQ8" s="40">
        <f>Inputs!BQ37+Inputs!BQ41+Inputs!BQ45</f>
        <v>2548</v>
      </c>
    </row>
    <row r="9" spans="1:70">
      <c r="B9" t="s">
        <v>6</v>
      </c>
      <c r="J9" s="38">
        <f>SUM(J7:J8)</f>
        <v>90</v>
      </c>
      <c r="K9" s="38">
        <f t="shared" ref="K9:BE9" si="0">SUM(K7:K8)</f>
        <v>120</v>
      </c>
      <c r="L9" s="38">
        <f t="shared" si="0"/>
        <v>120</v>
      </c>
      <c r="M9" s="38">
        <f t="shared" si="0"/>
        <v>150</v>
      </c>
      <c r="N9" s="38">
        <f t="shared" si="0"/>
        <v>180</v>
      </c>
      <c r="O9" s="38">
        <f t="shared" si="0"/>
        <v>240</v>
      </c>
      <c r="P9" s="38">
        <f t="shared" si="0"/>
        <v>300</v>
      </c>
      <c r="Q9" s="38">
        <f t="shared" si="0"/>
        <v>300</v>
      </c>
      <c r="R9" s="38">
        <f t="shared" si="0"/>
        <v>300</v>
      </c>
      <c r="S9" s="38">
        <f t="shared" si="0"/>
        <v>302</v>
      </c>
      <c r="T9" s="38">
        <f t="shared" si="0"/>
        <v>332</v>
      </c>
      <c r="U9" s="38">
        <f t="shared" si="0"/>
        <v>362</v>
      </c>
      <c r="V9" s="38">
        <f t="shared" si="0"/>
        <v>392</v>
      </c>
      <c r="W9" s="38">
        <f t="shared" si="0"/>
        <v>462</v>
      </c>
      <c r="X9" s="38">
        <f t="shared" si="0"/>
        <v>532</v>
      </c>
      <c r="Y9" s="38">
        <f t="shared" si="0"/>
        <v>602</v>
      </c>
      <c r="Z9" s="38">
        <f t="shared" si="0"/>
        <v>672</v>
      </c>
      <c r="AA9" s="38">
        <f t="shared" si="0"/>
        <v>742</v>
      </c>
      <c r="AB9" s="38">
        <f t="shared" si="0"/>
        <v>812</v>
      </c>
      <c r="AC9" s="38">
        <f t="shared" si="0"/>
        <v>882</v>
      </c>
      <c r="AD9" s="38">
        <f t="shared" si="0"/>
        <v>952</v>
      </c>
      <c r="AE9" s="38">
        <f t="shared" si="0"/>
        <v>1022</v>
      </c>
      <c r="AF9" s="38">
        <f t="shared" si="0"/>
        <v>1092</v>
      </c>
      <c r="AG9" s="38">
        <f t="shared" si="0"/>
        <v>1162</v>
      </c>
      <c r="AH9" s="38">
        <f t="shared" si="0"/>
        <v>1246</v>
      </c>
      <c r="AI9" s="38">
        <f t="shared" si="0"/>
        <v>1330</v>
      </c>
      <c r="AJ9" s="38">
        <f t="shared" si="0"/>
        <v>1414</v>
      </c>
      <c r="AK9" s="38">
        <f t="shared" si="0"/>
        <v>1498</v>
      </c>
      <c r="AL9" s="38">
        <f t="shared" si="0"/>
        <v>1582</v>
      </c>
      <c r="AM9" s="38">
        <f t="shared" si="0"/>
        <v>1666</v>
      </c>
      <c r="AN9" s="38">
        <f t="shared" si="0"/>
        <v>1750</v>
      </c>
      <c r="AO9" s="38">
        <f t="shared" si="0"/>
        <v>1834</v>
      </c>
      <c r="AP9" s="38">
        <f t="shared" si="0"/>
        <v>1918</v>
      </c>
      <c r="AQ9" s="38">
        <f t="shared" si="0"/>
        <v>2002</v>
      </c>
      <c r="AR9" s="38">
        <f t="shared" si="0"/>
        <v>2086</v>
      </c>
      <c r="AS9" s="38">
        <f t="shared" si="0"/>
        <v>2170</v>
      </c>
      <c r="AT9" s="38">
        <f t="shared" si="0"/>
        <v>2269</v>
      </c>
      <c r="AU9" s="38">
        <f t="shared" si="0"/>
        <v>2368</v>
      </c>
      <c r="AV9" s="38">
        <f t="shared" si="0"/>
        <v>2467</v>
      </c>
      <c r="AW9" s="38">
        <f t="shared" si="0"/>
        <v>2566</v>
      </c>
      <c r="AX9" s="38">
        <f t="shared" si="0"/>
        <v>2665</v>
      </c>
      <c r="AY9" s="38">
        <f t="shared" si="0"/>
        <v>2764</v>
      </c>
      <c r="AZ9" s="38">
        <f t="shared" si="0"/>
        <v>2863</v>
      </c>
      <c r="BA9" s="38">
        <f t="shared" si="0"/>
        <v>2962</v>
      </c>
      <c r="BB9" s="38">
        <f t="shared" si="0"/>
        <v>3061</v>
      </c>
      <c r="BC9" s="38">
        <f t="shared" si="0"/>
        <v>3160</v>
      </c>
      <c r="BD9" s="38">
        <f t="shared" si="0"/>
        <v>3259</v>
      </c>
      <c r="BE9" s="38">
        <f t="shared" si="0"/>
        <v>3358</v>
      </c>
      <c r="BF9" s="38">
        <f t="shared" ref="BF9:BQ9" si="1">SUM(BF7:BF8)</f>
        <v>3474</v>
      </c>
      <c r="BG9" s="38">
        <f t="shared" si="1"/>
        <v>3590</v>
      </c>
      <c r="BH9" s="38">
        <f t="shared" si="1"/>
        <v>3706</v>
      </c>
      <c r="BI9" s="38">
        <f t="shared" si="1"/>
        <v>3822</v>
      </c>
      <c r="BJ9" s="38">
        <f t="shared" si="1"/>
        <v>3938</v>
      </c>
      <c r="BK9" s="38">
        <f t="shared" si="1"/>
        <v>4054</v>
      </c>
      <c r="BL9" s="38">
        <f t="shared" si="1"/>
        <v>4170</v>
      </c>
      <c r="BM9" s="38">
        <f t="shared" si="1"/>
        <v>4286</v>
      </c>
      <c r="BN9" s="38">
        <f t="shared" si="1"/>
        <v>4402</v>
      </c>
      <c r="BO9" s="38">
        <f t="shared" si="1"/>
        <v>4518</v>
      </c>
      <c r="BP9" s="38">
        <f t="shared" si="1"/>
        <v>4634</v>
      </c>
      <c r="BQ9" s="38">
        <f t="shared" si="1"/>
        <v>4750</v>
      </c>
    </row>
    <row r="10" spans="1:70">
      <c r="J10" s="38"/>
      <c r="K10" s="38"/>
      <c r="L10" s="38"/>
      <c r="M10" s="38"/>
      <c r="N10" s="38"/>
      <c r="O10" s="3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row>
    <row r="11" spans="1:70">
      <c r="J11" s="38"/>
      <c r="K11" s="38"/>
      <c r="L11" s="38"/>
      <c r="M11" s="38"/>
      <c r="N11" s="38"/>
      <c r="O11" s="38"/>
      <c r="P11" s="38"/>
      <c r="Q11" s="38"/>
      <c r="R11" s="38"/>
      <c r="S11" s="38"/>
      <c r="T11" s="38"/>
      <c r="U11" s="38"/>
      <c r="V11" s="38"/>
      <c r="W11" s="38"/>
      <c r="X11" s="38"/>
      <c r="Y11" s="38"/>
      <c r="Z11" s="38"/>
      <c r="AA11" s="38"/>
      <c r="AB11" s="38"/>
      <c r="AC11" s="38"/>
      <c r="AD11" s="38"/>
      <c r="AE11" s="38"/>
      <c r="AF11" s="38"/>
      <c r="AG11" s="38"/>
      <c r="AH11" s="38"/>
      <c r="AI11" s="38"/>
      <c r="AJ11" s="38"/>
      <c r="AK11" s="38"/>
      <c r="AL11" s="38"/>
      <c r="AM11" s="38"/>
      <c r="AN11" s="38"/>
      <c r="AO11" s="38"/>
      <c r="AP11" s="38"/>
      <c r="AQ11" s="38"/>
      <c r="AR11" s="38"/>
      <c r="AS11" s="38"/>
      <c r="AT11" s="38"/>
      <c r="AU11" s="38"/>
      <c r="AV11" s="38"/>
      <c r="AW11" s="38"/>
      <c r="AX11" s="38"/>
      <c r="AY11" s="38"/>
      <c r="AZ11" s="38"/>
      <c r="BA11" s="38"/>
      <c r="BB11" s="38"/>
      <c r="BC11" s="38"/>
      <c r="BD11" s="38"/>
      <c r="BE11" s="38"/>
      <c r="BF11" s="38"/>
      <c r="BG11" s="38"/>
      <c r="BH11" s="38"/>
      <c r="BI11" s="38"/>
      <c r="BJ11" s="38"/>
      <c r="BK11" s="38"/>
      <c r="BL11" s="38"/>
      <c r="BM11" s="38"/>
      <c r="BN11" s="38"/>
      <c r="BO11" s="38"/>
      <c r="BP11" s="38"/>
      <c r="BQ11" s="38"/>
    </row>
    <row r="12" spans="1:70">
      <c r="B12" t="s">
        <v>365</v>
      </c>
    </row>
    <row r="13" spans="1:70">
      <c r="B13" t="s">
        <v>363</v>
      </c>
      <c r="J13">
        <f>Inputs!J32</f>
        <v>30</v>
      </c>
      <c r="K13">
        <f>Inputs!K32</f>
        <v>30</v>
      </c>
      <c r="L13">
        <f>Inputs!L32</f>
        <v>0</v>
      </c>
      <c r="M13">
        <f>Inputs!M32</f>
        <v>30</v>
      </c>
      <c r="N13">
        <f>Inputs!N32</f>
        <v>30</v>
      </c>
      <c r="O13">
        <f>Inputs!O32</f>
        <v>30</v>
      </c>
      <c r="P13">
        <f>Inputs!P32</f>
        <v>60</v>
      </c>
      <c r="Q13">
        <f>Inputs!Q32</f>
        <v>0</v>
      </c>
      <c r="R13">
        <f>Inputs!R32</f>
        <v>0</v>
      </c>
      <c r="S13">
        <f>Inputs!S32</f>
        <v>0</v>
      </c>
      <c r="T13">
        <f>Inputs!T32</f>
        <v>0</v>
      </c>
      <c r="U13">
        <f>Inputs!U32</f>
        <v>0</v>
      </c>
      <c r="V13">
        <f>Inputs!V32</f>
        <v>0</v>
      </c>
      <c r="W13">
        <f>Inputs!W32</f>
        <v>30</v>
      </c>
      <c r="X13">
        <f>Inputs!X32</f>
        <v>30</v>
      </c>
      <c r="Y13">
        <f>Inputs!Y32</f>
        <v>30</v>
      </c>
      <c r="Z13">
        <f>Inputs!Z32</f>
        <v>30</v>
      </c>
      <c r="AA13">
        <f>Inputs!AA32</f>
        <v>30</v>
      </c>
      <c r="AB13">
        <f>Inputs!AB32</f>
        <v>30</v>
      </c>
      <c r="AC13">
        <f>Inputs!AC32</f>
        <v>30</v>
      </c>
      <c r="AD13">
        <f>Inputs!AD32</f>
        <v>30</v>
      </c>
      <c r="AE13">
        <f>Inputs!AE32</f>
        <v>30</v>
      </c>
      <c r="AF13">
        <f>Inputs!AF32</f>
        <v>30</v>
      </c>
      <c r="AG13">
        <f>Inputs!AG32</f>
        <v>30</v>
      </c>
      <c r="AH13">
        <f>Inputs!AH32</f>
        <v>36</v>
      </c>
      <c r="AI13">
        <f>Inputs!AI32</f>
        <v>36</v>
      </c>
      <c r="AJ13">
        <f>Inputs!AJ32</f>
        <v>36</v>
      </c>
      <c r="AK13">
        <f>Inputs!AK32</f>
        <v>36</v>
      </c>
      <c r="AL13">
        <f>Inputs!AL32</f>
        <v>36</v>
      </c>
      <c r="AM13">
        <f>Inputs!AM32</f>
        <v>36</v>
      </c>
      <c r="AN13">
        <f>Inputs!AN32</f>
        <v>36</v>
      </c>
      <c r="AO13">
        <f>Inputs!AO32</f>
        <v>36</v>
      </c>
      <c r="AP13">
        <f>Inputs!AP32</f>
        <v>36</v>
      </c>
      <c r="AQ13">
        <f>Inputs!AQ32</f>
        <v>36</v>
      </c>
      <c r="AR13">
        <f>Inputs!AR32</f>
        <v>36</v>
      </c>
      <c r="AS13">
        <f>Inputs!AS32</f>
        <v>36</v>
      </c>
      <c r="AT13">
        <f>Inputs!AT32</f>
        <v>43</v>
      </c>
      <c r="AU13">
        <f>Inputs!AU32</f>
        <v>43</v>
      </c>
      <c r="AV13">
        <f>Inputs!AV32</f>
        <v>43</v>
      </c>
      <c r="AW13">
        <f>Inputs!AW32</f>
        <v>43</v>
      </c>
      <c r="AX13">
        <f>Inputs!AX32</f>
        <v>43</v>
      </c>
      <c r="AY13">
        <f>Inputs!AY32</f>
        <v>43</v>
      </c>
      <c r="AZ13">
        <f>Inputs!AZ32</f>
        <v>43</v>
      </c>
      <c r="BA13">
        <f>Inputs!BA32</f>
        <v>43</v>
      </c>
      <c r="BB13">
        <f>Inputs!BB32</f>
        <v>43</v>
      </c>
      <c r="BC13">
        <f>Inputs!BC32</f>
        <v>43</v>
      </c>
      <c r="BD13">
        <f>Inputs!BD32</f>
        <v>43</v>
      </c>
      <c r="BE13">
        <f>Inputs!BE32</f>
        <v>43</v>
      </c>
      <c r="BF13">
        <f>Inputs!BF32</f>
        <v>52</v>
      </c>
      <c r="BG13">
        <f>Inputs!BG32</f>
        <v>52</v>
      </c>
      <c r="BH13">
        <f>Inputs!BH32</f>
        <v>52</v>
      </c>
      <c r="BI13">
        <f>Inputs!BI32</f>
        <v>52</v>
      </c>
      <c r="BJ13">
        <f>Inputs!BJ32</f>
        <v>52</v>
      </c>
      <c r="BK13">
        <f>Inputs!BK32</f>
        <v>52</v>
      </c>
      <c r="BL13">
        <f>Inputs!BL32</f>
        <v>52</v>
      </c>
      <c r="BM13">
        <f>Inputs!BM32</f>
        <v>52</v>
      </c>
      <c r="BN13">
        <f>Inputs!BN32</f>
        <v>52</v>
      </c>
      <c r="BO13">
        <f>Inputs!BO32</f>
        <v>52</v>
      </c>
      <c r="BP13">
        <f>Inputs!BP32</f>
        <v>52</v>
      </c>
      <c r="BQ13">
        <f>Inputs!BQ32</f>
        <v>52</v>
      </c>
    </row>
    <row r="14" spans="1:70">
      <c r="B14" s="12" t="s">
        <v>364</v>
      </c>
      <c r="C14" s="12"/>
      <c r="D14" s="12"/>
      <c r="E14" s="12"/>
      <c r="F14" s="12"/>
      <c r="G14" s="12"/>
      <c r="H14" s="12"/>
      <c r="I14" s="12"/>
      <c r="J14" s="12">
        <f>Inputs!J36+Inputs!J40+Inputs!J44</f>
        <v>0</v>
      </c>
      <c r="K14" s="12">
        <f>Inputs!K36+Inputs!K40+Inputs!K44</f>
        <v>0</v>
      </c>
      <c r="L14" s="12">
        <f>Inputs!L36+Inputs!L40+Inputs!L44</f>
        <v>0</v>
      </c>
      <c r="M14" s="12">
        <f>Inputs!M36+Inputs!M40+Inputs!M44</f>
        <v>0</v>
      </c>
      <c r="N14" s="12">
        <f>Inputs!N36+Inputs!N40+Inputs!N44</f>
        <v>0</v>
      </c>
      <c r="O14" s="12">
        <f>Inputs!O36+Inputs!O40+Inputs!O44</f>
        <v>0</v>
      </c>
      <c r="P14" s="12">
        <f>Inputs!P36+Inputs!P40+Inputs!P44</f>
        <v>0</v>
      </c>
      <c r="Q14" s="12">
        <f>Inputs!Q36+Inputs!Q40+Inputs!Q44</f>
        <v>0</v>
      </c>
      <c r="R14" s="12">
        <f>Inputs!R36+Inputs!R40+Inputs!R44</f>
        <v>0</v>
      </c>
      <c r="S14" s="12">
        <f>Inputs!S36+Inputs!S40+Inputs!S44</f>
        <v>2</v>
      </c>
      <c r="T14" s="12">
        <f>Inputs!T36+Inputs!T40+Inputs!T44</f>
        <v>30</v>
      </c>
      <c r="U14" s="12">
        <f>Inputs!U36+Inputs!U40+Inputs!U44</f>
        <v>30</v>
      </c>
      <c r="V14" s="12">
        <f>Inputs!V36+Inputs!V40+Inputs!V44</f>
        <v>30</v>
      </c>
      <c r="W14" s="12">
        <f>Inputs!W36+Inputs!W40+Inputs!W44</f>
        <v>40</v>
      </c>
      <c r="X14" s="12">
        <f>Inputs!X36+Inputs!X40+Inputs!X44</f>
        <v>40</v>
      </c>
      <c r="Y14" s="12">
        <f>Inputs!Y36+Inputs!Y40+Inputs!Y44</f>
        <v>40</v>
      </c>
      <c r="Z14" s="12">
        <f>Inputs!Z36+Inputs!Z40+Inputs!Z44</f>
        <v>40</v>
      </c>
      <c r="AA14" s="12">
        <f>Inputs!AA36+Inputs!AA40+Inputs!AA44</f>
        <v>40</v>
      </c>
      <c r="AB14" s="12">
        <f>Inputs!AB36+Inputs!AB40+Inputs!AB44</f>
        <v>40</v>
      </c>
      <c r="AC14" s="12">
        <f>Inputs!AC36+Inputs!AC40+Inputs!AC44</f>
        <v>40</v>
      </c>
      <c r="AD14" s="12">
        <f>Inputs!AD36+Inputs!AD40+Inputs!AD44</f>
        <v>40</v>
      </c>
      <c r="AE14" s="12">
        <f>Inputs!AE36+Inputs!AE40+Inputs!AE44</f>
        <v>40</v>
      </c>
      <c r="AF14" s="12">
        <f>Inputs!AF36+Inputs!AF40+Inputs!AF44</f>
        <v>40</v>
      </c>
      <c r="AG14" s="12">
        <f>Inputs!AG36+Inputs!AG40+Inputs!AG44</f>
        <v>40</v>
      </c>
      <c r="AH14" s="12">
        <f>Inputs!AH36+Inputs!AH40+Inputs!AH44</f>
        <v>48</v>
      </c>
      <c r="AI14" s="12">
        <f>Inputs!AI36+Inputs!AI40+Inputs!AI44</f>
        <v>48</v>
      </c>
      <c r="AJ14" s="12">
        <f>Inputs!AJ36+Inputs!AJ40+Inputs!AJ44</f>
        <v>48</v>
      </c>
      <c r="AK14" s="12">
        <f>Inputs!AK36+Inputs!AK40+Inputs!AK44</f>
        <v>48</v>
      </c>
      <c r="AL14" s="12">
        <f>Inputs!AL36+Inputs!AL40+Inputs!AL44</f>
        <v>48</v>
      </c>
      <c r="AM14" s="12">
        <f>Inputs!AM36+Inputs!AM40+Inputs!AM44</f>
        <v>48</v>
      </c>
      <c r="AN14" s="12">
        <f>Inputs!AN36+Inputs!AN40+Inputs!AN44</f>
        <v>48</v>
      </c>
      <c r="AO14" s="12">
        <f>Inputs!AO36+Inputs!AO40+Inputs!AO44</f>
        <v>48</v>
      </c>
      <c r="AP14" s="12">
        <f>Inputs!AP36+Inputs!AP40+Inputs!AP44</f>
        <v>48</v>
      </c>
      <c r="AQ14" s="12">
        <f>Inputs!AQ36+Inputs!AQ40+Inputs!AQ44</f>
        <v>48</v>
      </c>
      <c r="AR14" s="12">
        <f>Inputs!AR36+Inputs!AR40+Inputs!AR44</f>
        <v>48</v>
      </c>
      <c r="AS14" s="12">
        <f>Inputs!AS36+Inputs!AS40+Inputs!AS44</f>
        <v>48</v>
      </c>
      <c r="AT14" s="12">
        <f>Inputs!AT36+Inputs!AT40+Inputs!AT44</f>
        <v>56</v>
      </c>
      <c r="AU14" s="12">
        <f>Inputs!AU36+Inputs!AU40+Inputs!AU44</f>
        <v>56</v>
      </c>
      <c r="AV14" s="12">
        <f>Inputs!AV36+Inputs!AV40+Inputs!AV44</f>
        <v>56</v>
      </c>
      <c r="AW14" s="12">
        <f>Inputs!AW36+Inputs!AW40+Inputs!AW44</f>
        <v>56</v>
      </c>
      <c r="AX14" s="12">
        <f>Inputs!AX36+Inputs!AX40+Inputs!AX44</f>
        <v>56</v>
      </c>
      <c r="AY14" s="12">
        <f>Inputs!AY36+Inputs!AY40+Inputs!AY44</f>
        <v>56</v>
      </c>
      <c r="AZ14" s="12">
        <f>Inputs!AZ36+Inputs!AZ40+Inputs!AZ44</f>
        <v>56</v>
      </c>
      <c r="BA14" s="12">
        <f>Inputs!BA36+Inputs!BA40+Inputs!BA44</f>
        <v>56</v>
      </c>
      <c r="BB14" s="12">
        <f>Inputs!BB36+Inputs!BB40+Inputs!BB44</f>
        <v>56</v>
      </c>
      <c r="BC14" s="12">
        <f>Inputs!BC36+Inputs!BC40+Inputs!BC44</f>
        <v>56</v>
      </c>
      <c r="BD14" s="12">
        <f>Inputs!BD36+Inputs!BD40+Inputs!BD44</f>
        <v>56</v>
      </c>
      <c r="BE14" s="12">
        <f>Inputs!BE36+Inputs!BE40+Inputs!BE44</f>
        <v>56</v>
      </c>
      <c r="BF14" s="12">
        <f>Inputs!BF36+Inputs!BF40+Inputs!BF44</f>
        <v>64</v>
      </c>
      <c r="BG14" s="12">
        <f>Inputs!BG36+Inputs!BG40+Inputs!BG44</f>
        <v>64</v>
      </c>
      <c r="BH14" s="12">
        <f>Inputs!BH36+Inputs!BH40+Inputs!BH44</f>
        <v>64</v>
      </c>
      <c r="BI14" s="12">
        <f>Inputs!BI36+Inputs!BI40+Inputs!BI44</f>
        <v>64</v>
      </c>
      <c r="BJ14" s="12">
        <f>Inputs!BJ36+Inputs!BJ40+Inputs!BJ44</f>
        <v>64</v>
      </c>
      <c r="BK14" s="12">
        <f>Inputs!BK36+Inputs!BK40+Inputs!BK44</f>
        <v>64</v>
      </c>
      <c r="BL14" s="12">
        <f>Inputs!BL36+Inputs!BL40+Inputs!BL44</f>
        <v>64</v>
      </c>
      <c r="BM14" s="12">
        <f>Inputs!BM36+Inputs!BM40+Inputs!BM44</f>
        <v>64</v>
      </c>
      <c r="BN14" s="12">
        <f>Inputs!BN36+Inputs!BN40+Inputs!BN44</f>
        <v>64</v>
      </c>
      <c r="BO14" s="12">
        <f>Inputs!BO36+Inputs!BO40+Inputs!BO44</f>
        <v>64</v>
      </c>
      <c r="BP14" s="12">
        <f>Inputs!BP36+Inputs!BP40+Inputs!BP44</f>
        <v>64</v>
      </c>
      <c r="BQ14" s="12">
        <f>Inputs!BQ36+Inputs!BQ40+Inputs!BQ44</f>
        <v>64</v>
      </c>
    </row>
    <row r="15" spans="1:70">
      <c r="B15" t="s">
        <v>6</v>
      </c>
      <c r="J15">
        <f>SUM(J13:J14)</f>
        <v>30</v>
      </c>
      <c r="K15">
        <f t="shared" ref="K15:BE15" si="2">SUM(K13:K14)</f>
        <v>30</v>
      </c>
      <c r="L15">
        <f t="shared" si="2"/>
        <v>0</v>
      </c>
      <c r="M15">
        <f t="shared" si="2"/>
        <v>30</v>
      </c>
      <c r="N15">
        <f t="shared" si="2"/>
        <v>30</v>
      </c>
      <c r="O15">
        <f t="shared" si="2"/>
        <v>30</v>
      </c>
      <c r="P15">
        <f t="shared" si="2"/>
        <v>60</v>
      </c>
      <c r="Q15">
        <f t="shared" si="2"/>
        <v>0</v>
      </c>
      <c r="R15">
        <f t="shared" si="2"/>
        <v>0</v>
      </c>
      <c r="S15">
        <f t="shared" si="2"/>
        <v>2</v>
      </c>
      <c r="T15">
        <f t="shared" si="2"/>
        <v>30</v>
      </c>
      <c r="U15">
        <f t="shared" si="2"/>
        <v>30</v>
      </c>
      <c r="V15">
        <f t="shared" si="2"/>
        <v>30</v>
      </c>
      <c r="W15">
        <f t="shared" si="2"/>
        <v>70</v>
      </c>
      <c r="X15">
        <f t="shared" si="2"/>
        <v>70</v>
      </c>
      <c r="Y15">
        <f t="shared" si="2"/>
        <v>70</v>
      </c>
      <c r="Z15">
        <f t="shared" si="2"/>
        <v>70</v>
      </c>
      <c r="AA15">
        <f t="shared" si="2"/>
        <v>70</v>
      </c>
      <c r="AB15">
        <f t="shared" si="2"/>
        <v>70</v>
      </c>
      <c r="AC15">
        <f t="shared" si="2"/>
        <v>70</v>
      </c>
      <c r="AD15">
        <f t="shared" si="2"/>
        <v>70</v>
      </c>
      <c r="AE15">
        <f t="shared" si="2"/>
        <v>70</v>
      </c>
      <c r="AF15">
        <f t="shared" si="2"/>
        <v>70</v>
      </c>
      <c r="AG15">
        <f t="shared" si="2"/>
        <v>70</v>
      </c>
      <c r="AH15">
        <f t="shared" si="2"/>
        <v>84</v>
      </c>
      <c r="AI15">
        <f t="shared" si="2"/>
        <v>84</v>
      </c>
      <c r="AJ15">
        <f t="shared" si="2"/>
        <v>84</v>
      </c>
      <c r="AK15">
        <f t="shared" si="2"/>
        <v>84</v>
      </c>
      <c r="AL15">
        <f t="shared" si="2"/>
        <v>84</v>
      </c>
      <c r="AM15">
        <f t="shared" si="2"/>
        <v>84</v>
      </c>
      <c r="AN15">
        <f t="shared" si="2"/>
        <v>84</v>
      </c>
      <c r="AO15">
        <f t="shared" si="2"/>
        <v>84</v>
      </c>
      <c r="AP15">
        <f t="shared" si="2"/>
        <v>84</v>
      </c>
      <c r="AQ15">
        <f t="shared" si="2"/>
        <v>84</v>
      </c>
      <c r="AR15">
        <f t="shared" si="2"/>
        <v>84</v>
      </c>
      <c r="AS15">
        <f t="shared" si="2"/>
        <v>84</v>
      </c>
      <c r="AT15">
        <f t="shared" si="2"/>
        <v>99</v>
      </c>
      <c r="AU15">
        <f t="shared" si="2"/>
        <v>99</v>
      </c>
      <c r="AV15">
        <f t="shared" si="2"/>
        <v>99</v>
      </c>
      <c r="AW15">
        <f t="shared" si="2"/>
        <v>99</v>
      </c>
      <c r="AX15">
        <f t="shared" si="2"/>
        <v>99</v>
      </c>
      <c r="AY15">
        <f t="shared" si="2"/>
        <v>99</v>
      </c>
      <c r="AZ15">
        <f t="shared" si="2"/>
        <v>99</v>
      </c>
      <c r="BA15">
        <f t="shared" si="2"/>
        <v>99</v>
      </c>
      <c r="BB15">
        <f t="shared" si="2"/>
        <v>99</v>
      </c>
      <c r="BC15">
        <f t="shared" si="2"/>
        <v>99</v>
      </c>
      <c r="BD15">
        <f t="shared" si="2"/>
        <v>99</v>
      </c>
      <c r="BE15">
        <f t="shared" si="2"/>
        <v>99</v>
      </c>
      <c r="BF15">
        <f t="shared" ref="BF15:BQ15" si="3">SUM(BF13:BF14)</f>
        <v>116</v>
      </c>
      <c r="BG15">
        <f t="shared" si="3"/>
        <v>116</v>
      </c>
      <c r="BH15">
        <f t="shared" si="3"/>
        <v>116</v>
      </c>
      <c r="BI15">
        <f t="shared" si="3"/>
        <v>116</v>
      </c>
      <c r="BJ15">
        <f t="shared" si="3"/>
        <v>116</v>
      </c>
      <c r="BK15">
        <f t="shared" si="3"/>
        <v>116</v>
      </c>
      <c r="BL15">
        <f t="shared" si="3"/>
        <v>116</v>
      </c>
      <c r="BM15">
        <f t="shared" si="3"/>
        <v>116</v>
      </c>
      <c r="BN15">
        <f t="shared" si="3"/>
        <v>116</v>
      </c>
      <c r="BO15">
        <f t="shared" si="3"/>
        <v>116</v>
      </c>
      <c r="BP15">
        <f t="shared" si="3"/>
        <v>116</v>
      </c>
      <c r="BQ15">
        <f t="shared" si="3"/>
        <v>116</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3"/>
  <sheetViews>
    <sheetView zoomScale="130" zoomScaleNormal="130" workbookViewId="0">
      <pane ySplit="3" topLeftCell="A4" activePane="bottomLeft" state="frozen"/>
      <selection pane="bottomLeft" activeCell="L155" sqref="L155"/>
    </sheetView>
  </sheetViews>
  <sheetFormatPr defaultColWidth="8.77734375" defaultRowHeight="14.4"/>
  <cols>
    <col min="3" max="3" width="35.6640625" bestFit="1" customWidth="1"/>
    <col min="4" max="4" width="2.6640625" customWidth="1"/>
    <col min="5" max="9" width="0" hidden="1" customWidth="1"/>
    <col min="10" max="12" width="12.33203125" bestFit="1" customWidth="1"/>
    <col min="13" max="14" width="13.33203125" bestFit="1" customWidth="1"/>
  </cols>
  <sheetData>
    <row r="1" spans="1:14">
      <c r="A1" s="3" t="s">
        <v>80</v>
      </c>
      <c r="B1" s="3" t="s">
        <v>80</v>
      </c>
      <c r="C1" s="4"/>
      <c r="D1" s="4"/>
      <c r="E1" s="4"/>
      <c r="F1" s="4"/>
      <c r="G1" s="4"/>
      <c r="H1" s="4"/>
      <c r="I1" s="4"/>
    </row>
    <row r="2" spans="1:14">
      <c r="A2" s="3" t="s">
        <v>81</v>
      </c>
      <c r="B2" s="3" t="s">
        <v>347</v>
      </c>
      <c r="C2" s="4"/>
      <c r="D2" s="4"/>
      <c r="E2" s="4"/>
      <c r="F2" s="4"/>
      <c r="G2" s="4"/>
      <c r="H2" s="4"/>
      <c r="I2" s="4"/>
    </row>
    <row r="3" spans="1:14">
      <c r="A3" s="4"/>
      <c r="B3" s="4"/>
      <c r="C3" s="4"/>
      <c r="D3" s="4"/>
      <c r="E3" s="4"/>
      <c r="F3" s="4"/>
      <c r="G3" s="4"/>
      <c r="H3" s="4"/>
      <c r="I3" s="4"/>
      <c r="J3" s="74" t="s">
        <v>380</v>
      </c>
      <c r="K3" s="74" t="s">
        <v>381</v>
      </c>
      <c r="L3" s="74" t="s">
        <v>382</v>
      </c>
      <c r="M3" s="74" t="s">
        <v>383</v>
      </c>
      <c r="N3" s="74" t="s">
        <v>392</v>
      </c>
    </row>
    <row r="4" spans="1:14" s="120" customFormat="1" ht="13.95" customHeight="1">
      <c r="A4" s="118"/>
      <c r="B4" s="142" t="s">
        <v>394</v>
      </c>
      <c r="C4" s="142"/>
      <c r="D4" s="118"/>
      <c r="E4" s="118"/>
      <c r="F4" s="118"/>
      <c r="G4" s="118"/>
      <c r="H4" s="118"/>
      <c r="I4" s="118"/>
      <c r="J4" s="119">
        <v>45323</v>
      </c>
      <c r="K4" s="119">
        <v>45689</v>
      </c>
      <c r="L4" s="119">
        <v>46054</v>
      </c>
      <c r="M4" s="119">
        <v>46419</v>
      </c>
      <c r="N4" s="119">
        <v>46784</v>
      </c>
    </row>
    <row r="5" spans="1:14">
      <c r="A5" s="4"/>
      <c r="B5" s="13"/>
      <c r="C5" s="13"/>
      <c r="D5" s="4"/>
      <c r="E5" s="4"/>
      <c r="F5" s="4"/>
      <c r="G5" s="4"/>
      <c r="H5" s="4"/>
      <c r="I5" s="4"/>
    </row>
    <row r="6" spans="1:14">
      <c r="A6" s="4"/>
      <c r="B6" s="14" t="s">
        <v>1</v>
      </c>
      <c r="C6" s="13"/>
      <c r="D6" s="4"/>
      <c r="E6" s="4"/>
      <c r="F6" s="4"/>
      <c r="G6" s="4"/>
      <c r="H6" s="4"/>
      <c r="I6" s="4"/>
    </row>
    <row r="7" spans="1:14">
      <c r="A7" s="4"/>
      <c r="B7" s="13"/>
      <c r="C7" s="15" t="s">
        <v>49</v>
      </c>
      <c r="D7" s="4"/>
      <c r="E7" s="4"/>
      <c r="F7" s="4"/>
      <c r="G7" s="4"/>
      <c r="H7" s="4"/>
      <c r="I7" s="4"/>
      <c r="J7" s="38">
        <f>SUM('Financials Monthly'!J7:U7)</f>
        <v>477408</v>
      </c>
      <c r="K7" s="38">
        <f>SUM('Financials Monthly'!V7:AG7)</f>
        <v>806250</v>
      </c>
      <c r="L7" s="38">
        <f>SUM('Financials Monthly'!AH7:AS7)</f>
        <v>1152360</v>
      </c>
      <c r="M7" s="38">
        <f>SUM('Financials Monthly'!AT7:BE7)</f>
        <v>1509717</v>
      </c>
      <c r="N7" s="38">
        <f>SUM('Financials Monthly'!BF7:BQ7)</f>
        <v>1813548</v>
      </c>
    </row>
    <row r="8" spans="1:14">
      <c r="A8" s="4"/>
      <c r="B8" s="13"/>
      <c r="C8" s="15" t="s">
        <v>50</v>
      </c>
      <c r="D8" s="4"/>
      <c r="E8" s="4"/>
      <c r="F8" s="4"/>
      <c r="G8" s="4"/>
      <c r="H8" s="4"/>
      <c r="I8" s="4"/>
      <c r="J8" s="38">
        <f>SUM('Financials Monthly'!J8:U8)</f>
        <v>225650</v>
      </c>
      <c r="K8" s="38">
        <f>SUM('Financials Monthly'!V8:AG8)</f>
        <v>1927125</v>
      </c>
      <c r="L8" s="38">
        <f>SUM('Financials Monthly'!AH8:AS8)</f>
        <v>5115792</v>
      </c>
      <c r="M8" s="38">
        <f>SUM('Financials Monthly'!AT8:BE8)</f>
        <v>9517878.1500000004</v>
      </c>
      <c r="N8" s="38">
        <f>SUM('Financials Monthly'!BF8:BQ8)</f>
        <v>14098992.6</v>
      </c>
    </row>
    <row r="9" spans="1:14">
      <c r="A9" s="4"/>
      <c r="B9" s="13"/>
      <c r="C9" s="15" t="s">
        <v>53</v>
      </c>
      <c r="D9" s="4"/>
      <c r="E9" s="4"/>
      <c r="F9" s="4"/>
      <c r="G9" s="4"/>
      <c r="H9" s="4"/>
      <c r="I9" s="4"/>
      <c r="J9" s="83">
        <f>SUM('Financials Monthly'!J9:U9)</f>
        <v>0</v>
      </c>
      <c r="K9" s="83">
        <f>SUM('Financials Monthly'!V9:AG9)</f>
        <v>0</v>
      </c>
      <c r="L9" s="83">
        <f>SUM('Financials Monthly'!AH9:AS9)</f>
        <v>0</v>
      </c>
      <c r="M9" s="83">
        <f>SUM('Financials Monthly'!AT9:BE9)</f>
        <v>0</v>
      </c>
      <c r="N9" s="83">
        <f>SUM('Financials Monthly'!AU9:BF9)</f>
        <v>0</v>
      </c>
    </row>
    <row r="10" spans="1:14" s="89" customFormat="1">
      <c r="A10" s="86"/>
      <c r="B10" s="87"/>
      <c r="C10" s="87" t="s">
        <v>6</v>
      </c>
      <c r="D10" s="86"/>
      <c r="E10" s="86"/>
      <c r="F10" s="86"/>
      <c r="G10" s="86"/>
      <c r="H10" s="86"/>
      <c r="I10" s="86"/>
      <c r="J10" s="88">
        <f>SUM('Financials Monthly'!J10:U10)</f>
        <v>703058</v>
      </c>
      <c r="K10" s="88">
        <f>SUM('Financials Monthly'!V10:AG10)</f>
        <v>2733375</v>
      </c>
      <c r="L10" s="88">
        <f>SUM('Financials Monthly'!AH10:AS10)</f>
        <v>6268152</v>
      </c>
      <c r="M10" s="88">
        <f>SUM('Financials Monthly'!AT10:BE10)</f>
        <v>11027595.15</v>
      </c>
      <c r="N10" s="88">
        <f>SUM('Financials Monthly'!BF10:BQ10)</f>
        <v>15912540.6</v>
      </c>
    </row>
    <row r="11" spans="1:14">
      <c r="A11" s="4"/>
      <c r="B11" s="13"/>
      <c r="C11" s="13"/>
      <c r="D11" s="4"/>
      <c r="E11" s="4"/>
      <c r="F11" s="4"/>
      <c r="G11" s="4"/>
      <c r="H11" s="4"/>
      <c r="I11" s="4"/>
    </row>
    <row r="12" spans="1:14">
      <c r="A12" s="4"/>
      <c r="B12" s="14" t="s">
        <v>7</v>
      </c>
      <c r="C12" s="13"/>
      <c r="D12" s="4"/>
      <c r="E12" s="4"/>
      <c r="F12" s="4"/>
      <c r="G12" s="4"/>
      <c r="H12" s="4"/>
      <c r="I12" s="4"/>
    </row>
    <row r="13" spans="1:14">
      <c r="A13" s="4"/>
      <c r="B13" s="13"/>
      <c r="C13" s="15" t="s">
        <v>54</v>
      </c>
      <c r="D13" s="4"/>
      <c r="E13" s="4"/>
      <c r="F13" s="4"/>
      <c r="G13" s="4"/>
      <c r="H13" s="4"/>
      <c r="I13" s="4"/>
      <c r="J13" s="38">
        <f>SUM('Financials Monthly'!J13:U13)</f>
        <v>381414</v>
      </c>
      <c r="K13" s="38">
        <f>SUM('Financials Monthly'!V13:AG13)</f>
        <v>1385652</v>
      </c>
      <c r="L13" s="38">
        <f>SUM('Financials Monthly'!AH13:AS13)</f>
        <v>2486376</v>
      </c>
      <c r="M13" s="38">
        <f>SUM('Financials Monthly'!AT13:BE13)</f>
        <v>3744693</v>
      </c>
      <c r="N13" s="38">
        <f>SUM('Financials Monthly'!BF13:BQ13)</f>
        <v>5249280</v>
      </c>
    </row>
    <row r="14" spans="1:14">
      <c r="A14" s="4"/>
      <c r="B14" s="13"/>
      <c r="C14" s="15" t="s">
        <v>55</v>
      </c>
      <c r="D14" s="4"/>
      <c r="E14" s="4"/>
      <c r="F14" s="4"/>
      <c r="G14" s="4"/>
      <c r="H14" s="4"/>
      <c r="I14" s="4"/>
      <c r="J14" s="38">
        <f>SUM('Financials Monthly'!J14:U14)</f>
        <v>21250</v>
      </c>
      <c r="K14" s="38">
        <f>SUM('Financials Monthly'!V14:AG14)</f>
        <v>247499.99999999997</v>
      </c>
      <c r="L14" s="38">
        <f>SUM('Financials Monthly'!AH14:AS14)</f>
        <v>303333.33333333331</v>
      </c>
      <c r="M14" s="38">
        <f>SUM('Financials Monthly'!AT14:BE14)</f>
        <v>385000</v>
      </c>
      <c r="N14" s="38">
        <f>SUM('Financials Monthly'!BF14:BQ14)</f>
        <v>429999.99999999994</v>
      </c>
    </row>
    <row r="15" spans="1:14">
      <c r="A15" s="4"/>
      <c r="B15" s="13"/>
      <c r="C15" s="15" t="s">
        <v>58</v>
      </c>
      <c r="D15" s="4"/>
      <c r="E15" s="4"/>
      <c r="F15" s="4"/>
      <c r="G15" s="4"/>
      <c r="H15" s="4"/>
      <c r="I15" s="4"/>
      <c r="J15" s="38">
        <f>SUM('Financials Monthly'!J15:U15)</f>
        <v>3187.4999999999995</v>
      </c>
      <c r="K15" s="38">
        <f>SUM('Financials Monthly'!V15:AG15)</f>
        <v>37125</v>
      </c>
      <c r="L15" s="38">
        <f>SUM('Financials Monthly'!AH15:AS15)</f>
        <v>45500</v>
      </c>
      <c r="M15" s="38">
        <f>SUM('Financials Monthly'!AT15:BE15)</f>
        <v>57750</v>
      </c>
      <c r="N15" s="38">
        <f>SUM('Financials Monthly'!BF15:BQ15)</f>
        <v>64500</v>
      </c>
    </row>
    <row r="16" spans="1:14">
      <c r="A16" s="4"/>
      <c r="B16" s="13"/>
      <c r="C16" s="16" t="s">
        <v>56</v>
      </c>
      <c r="D16" s="9"/>
      <c r="E16" s="9"/>
      <c r="F16" s="9"/>
      <c r="G16" s="9"/>
      <c r="H16" s="9"/>
      <c r="I16" s="9"/>
      <c r="J16" s="40">
        <f>SUM('Financials Monthly'!J16:U16)</f>
        <v>637.5</v>
      </c>
      <c r="K16" s="40">
        <f>SUM('Financials Monthly'!V16:AG16)</f>
        <v>7425</v>
      </c>
      <c r="L16" s="40">
        <f>SUM('Financials Monthly'!AH16:AS16)</f>
        <v>9100</v>
      </c>
      <c r="M16" s="40">
        <f>SUM('Financials Monthly'!AT16:BE16)</f>
        <v>11550</v>
      </c>
      <c r="N16" s="40">
        <f>SUM('Financials Monthly'!BF16:BQ16)</f>
        <v>12900</v>
      </c>
    </row>
    <row r="17" spans="1:14">
      <c r="A17" s="4"/>
      <c r="B17" s="14"/>
      <c r="C17" s="14" t="s">
        <v>6</v>
      </c>
      <c r="D17" s="4"/>
      <c r="E17" s="4"/>
      <c r="F17" s="4"/>
      <c r="G17" s="4"/>
      <c r="H17" s="4"/>
      <c r="I17" s="4"/>
      <c r="J17" s="60">
        <f>SUM('Financials Monthly'!J17:U17)</f>
        <v>406489.00000000006</v>
      </c>
      <c r="K17" s="60">
        <f>SUM('Financials Monthly'!V17:AG17)</f>
        <v>1677702.0000000002</v>
      </c>
      <c r="L17" s="60">
        <f>SUM('Financials Monthly'!AH17:AS17)</f>
        <v>2844309.3333333335</v>
      </c>
      <c r="M17" s="60">
        <f>SUM('Financials Monthly'!AT17:BE17)</f>
        <v>4198993</v>
      </c>
      <c r="N17" s="60">
        <f>SUM('Financials Monthly'!BF17:BQ17)</f>
        <v>5756680</v>
      </c>
    </row>
    <row r="18" spans="1:14">
      <c r="A18" s="4"/>
      <c r="B18" s="13"/>
      <c r="C18" s="13"/>
      <c r="D18" s="4"/>
      <c r="E18" s="4"/>
      <c r="F18" s="4"/>
      <c r="G18" s="4"/>
      <c r="H18" s="4"/>
      <c r="I18" s="4"/>
    </row>
    <row r="19" spans="1:14" s="89" customFormat="1">
      <c r="A19" s="90"/>
      <c r="B19" s="87" t="s">
        <v>8</v>
      </c>
      <c r="C19" s="87"/>
      <c r="D19" s="90"/>
      <c r="E19" s="90"/>
      <c r="F19" s="90"/>
      <c r="G19" s="90"/>
      <c r="H19" s="90"/>
      <c r="I19" s="90"/>
      <c r="J19" s="91">
        <f>J10-J17</f>
        <v>296568.99999999994</v>
      </c>
      <c r="K19" s="91">
        <f t="shared" ref="K19:M19" si="0">K10-K17</f>
        <v>1055672.9999999998</v>
      </c>
      <c r="L19" s="91">
        <f t="shared" si="0"/>
        <v>3423842.6666666665</v>
      </c>
      <c r="M19" s="91">
        <f t="shared" si="0"/>
        <v>6828602.1500000004</v>
      </c>
      <c r="N19" s="91">
        <f>N10-N17</f>
        <v>10155860.6</v>
      </c>
    </row>
    <row r="20" spans="1:14">
      <c r="A20" s="4"/>
      <c r="B20" s="17"/>
      <c r="C20" s="17" t="s">
        <v>9</v>
      </c>
      <c r="D20" s="4"/>
      <c r="E20" s="4"/>
      <c r="F20" s="4"/>
      <c r="G20" s="4"/>
      <c r="H20" s="4"/>
      <c r="I20" s="4"/>
      <c r="J20" s="61">
        <f>J19/J10</f>
        <v>0.42182721766909692</v>
      </c>
      <c r="K20" s="61">
        <f t="shared" ref="K20:M20" si="1">K19/K10</f>
        <v>0.38621594183015495</v>
      </c>
      <c r="L20" s="61">
        <f t="shared" si="1"/>
        <v>0.54622840458665756</v>
      </c>
      <c r="M20" s="61">
        <f t="shared" si="1"/>
        <v>0.61922858584448492</v>
      </c>
      <c r="N20" s="61">
        <f t="shared" ref="N20" si="2">N19/N10</f>
        <v>0.6382299882395901</v>
      </c>
    </row>
    <row r="21" spans="1:14">
      <c r="A21" s="4"/>
      <c r="B21" s="13"/>
      <c r="C21" s="13"/>
      <c r="D21" s="4"/>
      <c r="E21" s="4"/>
      <c r="F21" s="4"/>
      <c r="G21" s="4"/>
      <c r="H21" s="4"/>
      <c r="I21" s="4"/>
    </row>
    <row r="22" spans="1:14">
      <c r="A22" s="4"/>
      <c r="B22" s="14" t="s">
        <v>10</v>
      </c>
      <c r="C22" s="13"/>
      <c r="D22" s="4"/>
      <c r="E22" s="4"/>
      <c r="F22" s="4"/>
      <c r="G22" s="4"/>
      <c r="H22" s="4"/>
      <c r="I22" s="4"/>
    </row>
    <row r="23" spans="1:14">
      <c r="A23" s="4"/>
      <c r="B23" s="13"/>
      <c r="C23" s="13" t="s">
        <v>57</v>
      </c>
      <c r="D23" s="4"/>
      <c r="E23" s="4"/>
      <c r="F23" s="4"/>
      <c r="G23" s="4"/>
      <c r="H23" s="4"/>
      <c r="I23" s="4"/>
      <c r="J23" s="38">
        <f>SUM('Financials Monthly'!J23:U23)</f>
        <v>37500</v>
      </c>
      <c r="K23" s="38">
        <f>SUM('Financials Monthly'!V23:AG23)</f>
        <v>91250.000000000015</v>
      </c>
      <c r="L23" s="38">
        <f>SUM('Financials Monthly'!AH23:AS23)</f>
        <v>125000.00000000004</v>
      </c>
      <c r="M23" s="38">
        <f>SUM('Financials Monthly'!AT23:BE23)</f>
        <v>160000</v>
      </c>
      <c r="N23" s="38">
        <f>SUM('Financials Monthly'!BF23:BQ23)</f>
        <v>195000</v>
      </c>
    </row>
    <row r="24" spans="1:14">
      <c r="A24" s="4"/>
      <c r="B24" s="13"/>
      <c r="C24" s="13" t="s">
        <v>59</v>
      </c>
      <c r="D24" s="4"/>
      <c r="E24" s="4"/>
      <c r="F24" s="4"/>
      <c r="G24" s="4"/>
      <c r="H24" s="4"/>
      <c r="I24" s="4"/>
      <c r="J24" s="38">
        <f>SUM('Financials Monthly'!J24:U24)</f>
        <v>1875</v>
      </c>
      <c r="K24" s="38">
        <f>SUM('Financials Monthly'!V24:AG24)</f>
        <v>13687.5</v>
      </c>
      <c r="L24" s="38">
        <f>SUM('Financials Monthly'!AH24:AS24)</f>
        <v>18750.000000000004</v>
      </c>
      <c r="M24" s="38">
        <f>SUM('Financials Monthly'!AT24:BE24)</f>
        <v>24000</v>
      </c>
      <c r="N24" s="38">
        <f>SUM('Financials Monthly'!BF24:BQ24)</f>
        <v>29250</v>
      </c>
    </row>
    <row r="25" spans="1:14">
      <c r="A25" s="4"/>
      <c r="B25" s="13"/>
      <c r="C25" s="13" t="s">
        <v>60</v>
      </c>
      <c r="D25" s="4"/>
      <c r="E25" s="4"/>
      <c r="F25" s="4"/>
      <c r="G25" s="4"/>
      <c r="H25" s="4"/>
      <c r="I25" s="4"/>
      <c r="J25" s="38">
        <f>SUM('Financials Monthly'!J25:U25)</f>
        <v>375</v>
      </c>
      <c r="K25" s="38">
        <f>SUM('Financials Monthly'!V25:AG25)</f>
        <v>2737.5</v>
      </c>
      <c r="L25" s="38">
        <f>SUM('Financials Monthly'!AH25:AS25)</f>
        <v>3750</v>
      </c>
      <c r="M25" s="38">
        <f>SUM('Financials Monthly'!AT25:BE25)</f>
        <v>4800</v>
      </c>
      <c r="N25" s="38">
        <f>SUM('Financials Monthly'!BF25:BQ25)</f>
        <v>5850</v>
      </c>
    </row>
    <row r="26" spans="1:14">
      <c r="A26" s="4"/>
      <c r="B26" s="13"/>
      <c r="C26" s="13" t="s">
        <v>313</v>
      </c>
      <c r="D26" s="4"/>
      <c r="E26" s="4"/>
      <c r="F26" s="4"/>
      <c r="G26" s="4"/>
      <c r="H26" s="4"/>
      <c r="I26" s="4"/>
      <c r="J26" s="38">
        <f>SUM('Financials Monthly'!J26:U26)</f>
        <v>0</v>
      </c>
      <c r="K26" s="38">
        <f>SUM('Financials Monthly'!V26:AG26)</f>
        <v>453375</v>
      </c>
      <c r="L26" s="38">
        <f>SUM('Financials Monthly'!AH26:AS26)</f>
        <v>526500</v>
      </c>
      <c r="M26" s="38">
        <f>SUM('Financials Monthly'!AT26:BE26)</f>
        <v>526500</v>
      </c>
      <c r="N26" s="38">
        <f>SUM('Financials Monthly'!BF26:BQ26)</f>
        <v>526500</v>
      </c>
    </row>
    <row r="27" spans="1:14">
      <c r="A27" s="4"/>
      <c r="B27" s="13"/>
      <c r="C27" s="18" t="s">
        <v>51</v>
      </c>
      <c r="D27" s="9"/>
      <c r="E27" s="9"/>
      <c r="F27" s="9"/>
      <c r="G27" s="9"/>
      <c r="H27" s="9"/>
      <c r="I27" s="9"/>
      <c r="J27" s="40">
        <f>SUM('Financials Monthly'!J27:U27)</f>
        <v>414159.25</v>
      </c>
      <c r="K27" s="40">
        <f>SUM('Financials Monthly'!V27:AG27)</f>
        <v>293309.5</v>
      </c>
      <c r="L27" s="40">
        <f>SUM('Financials Monthly'!AH27:AS27)</f>
        <v>290229.5</v>
      </c>
      <c r="M27" s="40">
        <f>SUM('Financials Monthly'!AT27:BE27)</f>
        <v>362023.25</v>
      </c>
      <c r="N27" s="40">
        <f>SUM('Financials Monthly'!BF27:BQ27)</f>
        <v>456519.75</v>
      </c>
    </row>
    <row r="28" spans="1:14">
      <c r="A28" s="4"/>
      <c r="B28" s="14"/>
      <c r="C28" s="14" t="s">
        <v>6</v>
      </c>
      <c r="D28" s="4"/>
      <c r="E28" s="4"/>
      <c r="F28" s="4"/>
      <c r="G28" s="4"/>
      <c r="H28" s="4"/>
      <c r="I28" s="4"/>
      <c r="J28" s="60">
        <f>SUM('Financials Monthly'!J28:U28)</f>
        <v>453909.25000000006</v>
      </c>
      <c r="K28" s="60">
        <f>SUM('Financials Monthly'!V28:AG28)</f>
        <v>854359.49999999988</v>
      </c>
      <c r="L28" s="60">
        <f>SUM('Financials Monthly'!AH28:AS28)</f>
        <v>964229.49999999988</v>
      </c>
      <c r="M28" s="60">
        <f>SUM('Financials Monthly'!AT28:BE28)</f>
        <v>1077323.2500000002</v>
      </c>
      <c r="N28" s="60">
        <f>SUM('Financials Monthly'!BF28:BQ28)</f>
        <v>1213119.75</v>
      </c>
    </row>
    <row r="29" spans="1:14">
      <c r="A29" s="4"/>
      <c r="B29" s="13"/>
      <c r="C29" s="84"/>
      <c r="D29" s="85"/>
      <c r="E29" s="85"/>
      <c r="F29" s="85"/>
      <c r="G29" s="85"/>
      <c r="H29" s="85"/>
      <c r="I29" s="85"/>
    </row>
    <row r="30" spans="1:14" s="89" customFormat="1">
      <c r="A30" s="86"/>
      <c r="B30" s="87"/>
      <c r="C30" s="87" t="s">
        <v>11</v>
      </c>
      <c r="D30" s="86"/>
      <c r="E30" s="86"/>
      <c r="F30" s="86"/>
      <c r="G30" s="86"/>
      <c r="H30" s="86"/>
      <c r="I30" s="86"/>
      <c r="J30" s="88">
        <f>SUM('Financials Monthly'!J30:U30)</f>
        <v>-157340.25</v>
      </c>
      <c r="K30" s="88">
        <f>SUM('Financials Monthly'!V30:AG30)</f>
        <v>201313.50000000003</v>
      </c>
      <c r="L30" s="88">
        <f>SUM('Financials Monthly'!AH30:AS30)</f>
        <v>2459613.166666666</v>
      </c>
      <c r="M30" s="88">
        <f>SUM('Financials Monthly'!AT30:BE30)</f>
        <v>5751278.8999999994</v>
      </c>
      <c r="N30" s="88">
        <f>SUM('Financials Monthly'!BF30:BQ30)</f>
        <v>8942740.8500000015</v>
      </c>
    </row>
    <row r="31" spans="1:14">
      <c r="A31" s="4"/>
      <c r="B31" s="19"/>
      <c r="C31" s="19" t="s">
        <v>12</v>
      </c>
      <c r="D31" s="4"/>
      <c r="E31" s="4"/>
      <c r="F31" s="4"/>
      <c r="G31" s="4"/>
      <c r="H31" s="4"/>
      <c r="I31" s="4"/>
      <c r="J31" s="61">
        <f>J30/J10</f>
        <v>-0.22379412509352004</v>
      </c>
      <c r="K31" s="61">
        <f t="shared" ref="K31:M31" si="3">K30/K10</f>
        <v>7.3650157771985192E-2</v>
      </c>
      <c r="L31" s="61">
        <f t="shared" si="3"/>
        <v>0.39239845598298606</v>
      </c>
      <c r="M31" s="61">
        <f t="shared" si="3"/>
        <v>0.52153518711647651</v>
      </c>
      <c r="N31" s="61">
        <f t="shared" ref="N31" si="4">N30/N10</f>
        <v>0.56199327780505404</v>
      </c>
    </row>
    <row r="32" spans="1:14">
      <c r="A32" s="4"/>
      <c r="B32" s="13"/>
      <c r="C32" s="13"/>
      <c r="D32" s="4"/>
      <c r="E32" s="4"/>
      <c r="F32" s="4"/>
      <c r="G32" s="4"/>
      <c r="H32" s="4"/>
      <c r="I32" s="4"/>
    </row>
    <row r="33" spans="1:14">
      <c r="A33" s="4"/>
      <c r="B33" s="14" t="s">
        <v>13</v>
      </c>
      <c r="C33" s="13"/>
      <c r="D33" s="4"/>
      <c r="E33" s="4"/>
      <c r="F33" s="4"/>
      <c r="G33" s="4"/>
      <c r="H33" s="4"/>
      <c r="I33" s="4"/>
    </row>
    <row r="34" spans="1:14">
      <c r="A34" s="4"/>
      <c r="B34" s="13"/>
      <c r="C34" s="13" t="s">
        <v>61</v>
      </c>
      <c r="D34" s="4"/>
      <c r="E34" s="4"/>
      <c r="F34" s="4"/>
      <c r="G34" s="4"/>
      <c r="H34" s="4"/>
      <c r="I34" s="4"/>
      <c r="J34" s="38">
        <f>SUM('Financials Monthly'!J34:U34)</f>
        <v>0</v>
      </c>
      <c r="K34" s="38">
        <f>SUM('Financials Monthly'!V34:AG34)</f>
        <v>0</v>
      </c>
      <c r="L34" s="38">
        <f>SUM('Financials Monthly'!AH34:AS34)</f>
        <v>0</v>
      </c>
      <c r="M34" s="38">
        <f>SUM('Financials Monthly'!AT34:BE34)</f>
        <v>0</v>
      </c>
      <c r="N34" s="38">
        <f>SUM('Financials Monthly'!AU34:BF34)</f>
        <v>0</v>
      </c>
    </row>
    <row r="35" spans="1:14">
      <c r="A35" s="4"/>
      <c r="B35" s="13"/>
      <c r="C35" s="18" t="s">
        <v>120</v>
      </c>
      <c r="D35" s="9"/>
      <c r="E35" s="9"/>
      <c r="F35" s="9"/>
      <c r="G35" s="9"/>
      <c r="H35" s="9"/>
      <c r="I35" s="9"/>
      <c r="J35" s="40">
        <f>SUM('Financials Monthly'!J35:U35)</f>
        <v>0</v>
      </c>
      <c r="K35" s="40">
        <f>SUM('Financials Monthly'!V35:AG35)</f>
        <v>0</v>
      </c>
      <c r="L35" s="40">
        <f>SUM('Financials Monthly'!AH35:AS35)</f>
        <v>0</v>
      </c>
      <c r="M35" s="40">
        <f>SUM('Financials Monthly'!AT35:BE35)</f>
        <v>0</v>
      </c>
      <c r="N35" s="40">
        <f>SUM('Financials Monthly'!AU35:BF35)</f>
        <v>0</v>
      </c>
    </row>
    <row r="36" spans="1:14">
      <c r="A36" s="4"/>
      <c r="B36" s="14"/>
      <c r="C36" s="14" t="s">
        <v>14</v>
      </c>
      <c r="D36" s="4"/>
      <c r="E36" s="4"/>
      <c r="F36" s="4"/>
      <c r="G36" s="4"/>
      <c r="H36" s="4"/>
      <c r="I36" s="4"/>
      <c r="J36" s="60">
        <f>SUM('Financials Monthly'!J36:U36)</f>
        <v>-157340.25</v>
      </c>
      <c r="K36" s="60">
        <f>SUM('Financials Monthly'!V36:AG36)</f>
        <v>201313.50000000003</v>
      </c>
      <c r="L36" s="60">
        <f>SUM('Financials Monthly'!AH36:AS36)</f>
        <v>2459613.166666666</v>
      </c>
      <c r="M36" s="60">
        <f>SUM('Financials Monthly'!AT36:BE36)</f>
        <v>5751278.8999999994</v>
      </c>
      <c r="N36" s="60">
        <f>SUM('Financials Monthly'!BF36:BQ36)</f>
        <v>8942740.8500000015</v>
      </c>
    </row>
    <row r="37" spans="1:14">
      <c r="A37" s="4"/>
      <c r="B37" s="13"/>
      <c r="C37" s="13"/>
      <c r="D37" s="4"/>
      <c r="E37" s="4"/>
      <c r="F37" s="4"/>
      <c r="G37" s="4"/>
      <c r="H37" s="4"/>
      <c r="I37" s="4"/>
    </row>
    <row r="38" spans="1:14">
      <c r="A38" s="4"/>
      <c r="B38" s="14" t="s">
        <v>15</v>
      </c>
      <c r="C38" s="13"/>
      <c r="D38" s="4"/>
      <c r="E38" s="4"/>
      <c r="F38" s="4"/>
      <c r="G38" s="4"/>
      <c r="H38" s="4"/>
      <c r="I38" s="4"/>
    </row>
    <row r="39" spans="1:14">
      <c r="A39" s="4"/>
      <c r="B39" s="13"/>
      <c r="C39" s="20" t="s">
        <v>52</v>
      </c>
      <c r="D39" s="9"/>
      <c r="E39" s="9"/>
      <c r="F39" s="9"/>
      <c r="G39" s="9"/>
      <c r="H39" s="9"/>
      <c r="I39" s="9"/>
      <c r="J39" s="40">
        <f>SUM('Financials Monthly'!J39:U39)</f>
        <v>1077.9166666666665</v>
      </c>
      <c r="K39" s="40">
        <f>SUM('Financials Monthly'!V39:AG39)</f>
        <v>46117.500000000007</v>
      </c>
      <c r="L39" s="40">
        <f>SUM('Financials Monthly'!AH39:AS39)</f>
        <v>130974.99999999999</v>
      </c>
      <c r="M39" s="40">
        <f>SUM('Financials Monthly'!AT39:BE39)</f>
        <v>229287.5</v>
      </c>
      <c r="N39" s="40">
        <f>SUM('Financials Monthly'!BF39:BQ39)</f>
        <v>341055</v>
      </c>
    </row>
    <row r="40" spans="1:14">
      <c r="A40" s="4"/>
      <c r="B40" s="14"/>
      <c r="C40" s="14" t="s">
        <v>6</v>
      </c>
      <c r="D40" s="4"/>
      <c r="E40" s="4"/>
      <c r="F40" s="4"/>
      <c r="G40" s="4"/>
      <c r="H40" s="4"/>
      <c r="I40" s="4"/>
      <c r="J40" s="38">
        <f>SUM('Financials Monthly'!J40:U40)</f>
        <v>1077.9166666666665</v>
      </c>
      <c r="K40" s="38">
        <f>SUM('Financials Monthly'!V40:AG40)</f>
        <v>46117.500000000007</v>
      </c>
      <c r="L40" s="38">
        <f>SUM('Financials Monthly'!AH40:AS40)</f>
        <v>130974.99999999999</v>
      </c>
      <c r="M40" s="38">
        <f>SUM('Financials Monthly'!AT40:BE40)</f>
        <v>229287.5</v>
      </c>
      <c r="N40" s="38">
        <f>SUM('Financials Monthly'!BF40:BQ40)</f>
        <v>341055</v>
      </c>
    </row>
    <row r="41" spans="1:14">
      <c r="A41" s="4"/>
      <c r="B41" s="13"/>
      <c r="C41" s="18"/>
      <c r="D41" s="9"/>
      <c r="E41" s="9"/>
      <c r="F41" s="9"/>
      <c r="G41" s="9"/>
      <c r="H41" s="9"/>
      <c r="I41" s="9"/>
      <c r="J41" s="12"/>
      <c r="K41" s="12"/>
      <c r="L41" s="12"/>
      <c r="M41" s="12"/>
      <c r="N41" s="12"/>
    </row>
    <row r="42" spans="1:14">
      <c r="A42" s="4"/>
      <c r="B42" s="14"/>
      <c r="C42" s="14" t="s">
        <v>16</v>
      </c>
      <c r="D42" s="4"/>
      <c r="E42" s="4"/>
      <c r="F42" s="4"/>
      <c r="G42" s="4"/>
      <c r="H42" s="4"/>
      <c r="I42" s="4"/>
      <c r="J42" s="60">
        <f>SUM('Financials Monthly'!J42:U42)</f>
        <v>-158418.16666666669</v>
      </c>
      <c r="K42" s="60">
        <f>SUM('Financials Monthly'!V42:AG42)</f>
        <v>155196.00000000003</v>
      </c>
      <c r="L42" s="60">
        <f>SUM('Financials Monthly'!AH42:AS42)</f>
        <v>2328638.166666666</v>
      </c>
      <c r="M42" s="60">
        <f>SUM('Financials Monthly'!AT42:BE42)</f>
        <v>5521991.4000000004</v>
      </c>
      <c r="N42" s="60">
        <f>SUM('Financials Monthly'!BF42:BQ42)</f>
        <v>8601685.8500000015</v>
      </c>
    </row>
    <row r="43" spans="1:14">
      <c r="A43" s="4"/>
      <c r="B43" s="19"/>
      <c r="C43" s="33" t="s">
        <v>17</v>
      </c>
      <c r="D43" s="4"/>
      <c r="E43" s="4"/>
      <c r="F43" s="4"/>
      <c r="G43" s="4"/>
      <c r="H43" s="4"/>
      <c r="I43" s="4"/>
      <c r="J43" s="61">
        <f>J42/J10</f>
        <v>-0.22532730822587424</v>
      </c>
      <c r="K43" s="61">
        <f>K42/K10</f>
        <v>5.6778158869529437E-2</v>
      </c>
      <c r="L43" s="61">
        <f>L42/L10</f>
        <v>0.37150314265937806</v>
      </c>
      <c r="M43" s="61">
        <f>M42/M10</f>
        <v>0.50074302918166158</v>
      </c>
      <c r="N43" s="61">
        <f>N42/N10</f>
        <v>0.54056018245131776</v>
      </c>
    </row>
    <row r="44" spans="1:14">
      <c r="A44" s="4"/>
      <c r="B44" s="13"/>
      <c r="C44" s="13"/>
      <c r="D44" s="4"/>
      <c r="E44" s="4"/>
      <c r="F44" s="4"/>
      <c r="G44" s="4"/>
      <c r="H44" s="4"/>
      <c r="I44" s="4"/>
    </row>
    <row r="45" spans="1:14">
      <c r="A45" s="4"/>
      <c r="B45" s="14" t="s">
        <v>18</v>
      </c>
      <c r="C45" s="13"/>
      <c r="D45" s="4"/>
      <c r="E45" s="4"/>
      <c r="F45" s="4"/>
      <c r="G45" s="4"/>
      <c r="H45" s="4"/>
      <c r="I45" s="4"/>
    </row>
    <row r="46" spans="1:14">
      <c r="A46" s="4"/>
      <c r="B46" s="13"/>
      <c r="C46" s="13"/>
      <c r="D46" s="4"/>
      <c r="E46" s="4"/>
      <c r="F46" s="4"/>
      <c r="G46" s="4"/>
      <c r="H46" s="4"/>
      <c r="I46" s="4"/>
    </row>
    <row r="47" spans="1:14">
      <c r="A47" s="4"/>
      <c r="B47" s="13"/>
      <c r="C47" s="18" t="s">
        <v>62</v>
      </c>
      <c r="D47" s="9"/>
      <c r="E47" s="9"/>
      <c r="F47" s="9"/>
      <c r="G47" s="9"/>
      <c r="H47" s="9"/>
      <c r="I47" s="9"/>
      <c r="J47" s="40">
        <f>SUM('Financials Monthly'!J47:U47)</f>
        <v>0</v>
      </c>
      <c r="K47" s="40">
        <f>SUM('Financials Monthly'!V47:AG47)</f>
        <v>0</v>
      </c>
      <c r="L47" s="40">
        <f>SUM('Financials Monthly'!AH47:AS47)</f>
        <v>0</v>
      </c>
      <c r="M47" s="40">
        <f>SUM('Financials Monthly'!AT47:BE47)</f>
        <v>0</v>
      </c>
      <c r="N47" s="40">
        <f>SUM('Financials Monthly'!AU47:BF47)</f>
        <v>0</v>
      </c>
    </row>
    <row r="48" spans="1:14">
      <c r="A48" s="4"/>
      <c r="B48" s="14"/>
      <c r="C48" s="14" t="s">
        <v>6</v>
      </c>
      <c r="D48" s="4"/>
      <c r="E48" s="4"/>
      <c r="F48" s="4"/>
      <c r="G48" s="4"/>
      <c r="H48" s="4"/>
      <c r="I48" s="4"/>
      <c r="J48" s="60">
        <f>SUM('Financials Monthly'!J48:U48)</f>
        <v>-158418.16666666669</v>
      </c>
      <c r="K48" s="60">
        <f>SUM('Financials Monthly'!V48:AG48)</f>
        <v>155196.00000000003</v>
      </c>
      <c r="L48" s="60">
        <f>SUM('Financials Monthly'!AH48:AS48)</f>
        <v>2328638.166666666</v>
      </c>
      <c r="M48" s="60">
        <f>SUM('Financials Monthly'!AT48:BE48)</f>
        <v>5521991.4000000004</v>
      </c>
      <c r="N48" s="60">
        <f>SUM('Financials Monthly'!BF48:BQ48)</f>
        <v>8601685.8500000015</v>
      </c>
    </row>
    <row r="49" spans="1:14">
      <c r="A49" s="4"/>
      <c r="B49" s="13"/>
      <c r="C49" s="13"/>
      <c r="D49" s="4"/>
      <c r="E49" s="4"/>
      <c r="F49" s="4"/>
      <c r="G49" s="4"/>
      <c r="H49" s="4"/>
      <c r="I49" s="4"/>
    </row>
    <row r="50" spans="1:14" s="89" customFormat="1">
      <c r="A50" s="90"/>
      <c r="B50" s="87"/>
      <c r="C50" s="87" t="s">
        <v>19</v>
      </c>
      <c r="D50" s="90"/>
      <c r="E50" s="90"/>
      <c r="F50" s="90"/>
      <c r="G50" s="90"/>
      <c r="H50" s="90"/>
      <c r="I50" s="90"/>
      <c r="J50" s="88">
        <f>SUM('Financials Monthly'!J50:U50)</f>
        <v>-158418.16666666669</v>
      </c>
      <c r="K50" s="88">
        <f>SUM('Financials Monthly'!V50:AG50)</f>
        <v>155196.00000000003</v>
      </c>
      <c r="L50" s="88">
        <f>SUM('Financials Monthly'!AH50:AS50)</f>
        <v>2328638.166666666</v>
      </c>
      <c r="M50" s="88">
        <f>SUM('Financials Monthly'!AT50:BE50)</f>
        <v>5521991.4000000004</v>
      </c>
      <c r="N50" s="88">
        <f>SUM('Financials Monthly'!BF50:BQ50)</f>
        <v>8601685.8500000015</v>
      </c>
    </row>
    <row r="51" spans="1:14">
      <c r="A51" s="4"/>
      <c r="B51" s="13"/>
      <c r="C51" s="13"/>
      <c r="D51" s="4"/>
      <c r="E51" s="4"/>
      <c r="F51" s="4"/>
      <c r="G51" s="4"/>
      <c r="H51" s="4"/>
      <c r="I51" s="4"/>
    </row>
    <row r="52" spans="1:14">
      <c r="A52" s="4"/>
      <c r="B52" s="13"/>
      <c r="C52" s="14" t="s">
        <v>20</v>
      </c>
      <c r="D52" s="4"/>
      <c r="E52" s="4"/>
      <c r="F52" s="4"/>
      <c r="G52" s="4"/>
      <c r="H52" s="4"/>
      <c r="I52" s="4"/>
      <c r="J52" s="38">
        <f>SUM('Financials Monthly'!J52:U52)</f>
        <v>0</v>
      </c>
      <c r="K52" s="38">
        <f>SUM('Financials Monthly'!V52:AG52)</f>
        <v>0</v>
      </c>
      <c r="L52" s="38">
        <f>SUM('Financials Monthly'!AH52:AS52)</f>
        <v>0</v>
      </c>
      <c r="M52" s="38">
        <f>SUM('Financials Monthly'!AT52:BE52)</f>
        <v>0</v>
      </c>
      <c r="N52" s="38">
        <f>SUM('Financials Monthly'!AU52:BF52)</f>
        <v>0</v>
      </c>
    </row>
    <row r="53" spans="1:14">
      <c r="A53" s="4"/>
      <c r="B53" s="14"/>
      <c r="C53" s="14" t="s">
        <v>63</v>
      </c>
      <c r="D53" s="4"/>
      <c r="E53" s="4"/>
      <c r="F53" s="4"/>
      <c r="G53" s="4"/>
      <c r="H53" s="4"/>
      <c r="I53" s="4"/>
      <c r="J53" s="38">
        <f>SUM('Financials Monthly'!J53:U53)</f>
        <v>0</v>
      </c>
      <c r="K53" s="38">
        <f>SUM('Financials Monthly'!V53:AG53)</f>
        <v>0</v>
      </c>
      <c r="L53" s="38">
        <f>SUM('Financials Monthly'!AH53:AS53)</f>
        <v>582159.54166666651</v>
      </c>
      <c r="M53" s="38">
        <f>SUM('Financials Monthly'!AT53:BE53)</f>
        <v>1380497.85</v>
      </c>
      <c r="N53" s="38">
        <f>SUM('Financials Monthly'!AU53:BF53)</f>
        <v>1439725.6916666669</v>
      </c>
    </row>
    <row r="54" spans="1:14">
      <c r="A54" s="4"/>
      <c r="B54" s="13"/>
      <c r="C54" s="13"/>
      <c r="D54" s="4"/>
      <c r="E54" s="4"/>
      <c r="F54" s="4"/>
      <c r="G54" s="4"/>
      <c r="H54" s="4"/>
      <c r="I54" s="4"/>
    </row>
    <row r="55" spans="1:14" s="89" customFormat="1">
      <c r="A55" s="90"/>
      <c r="B55" s="87"/>
      <c r="C55" s="87" t="s">
        <v>21</v>
      </c>
      <c r="D55" s="90"/>
      <c r="E55" s="90"/>
      <c r="F55" s="90"/>
      <c r="G55" s="90"/>
      <c r="H55" s="90"/>
      <c r="I55" s="90"/>
      <c r="J55" s="88">
        <f>SUM('Financials Monthly'!J55:U55)</f>
        <v>-158418.16666666669</v>
      </c>
      <c r="K55" s="88">
        <f>SUM('Financials Monthly'!V55:AG55)</f>
        <v>155196.00000000003</v>
      </c>
      <c r="L55" s="88">
        <f>SUM('Financials Monthly'!AH55:AS55)</f>
        <v>1746478.625</v>
      </c>
      <c r="M55" s="88">
        <f>SUM('Financials Monthly'!AT55:BE55)</f>
        <v>4141493.5499999993</v>
      </c>
      <c r="N55" s="88">
        <f>SUM('Financials Monthly'!BF55:BQ55)</f>
        <v>6451264.3875000002</v>
      </c>
    </row>
    <row r="56" spans="1:14">
      <c r="A56" s="4"/>
      <c r="B56" s="13"/>
      <c r="C56" s="13"/>
      <c r="D56" s="4"/>
      <c r="E56" s="4"/>
      <c r="F56" s="4"/>
      <c r="G56" s="4"/>
      <c r="H56" s="4"/>
      <c r="I56" s="4"/>
    </row>
    <row r="57" spans="1:14">
      <c r="A57" s="4"/>
      <c r="B57" s="14" t="s">
        <v>22</v>
      </c>
      <c r="C57" s="13"/>
      <c r="D57" s="4"/>
      <c r="E57" s="4"/>
      <c r="F57" s="4"/>
      <c r="G57" s="4"/>
      <c r="H57" s="4"/>
      <c r="I57" s="4"/>
    </row>
    <row r="58" spans="1:14">
      <c r="A58" s="4"/>
      <c r="B58" s="13"/>
      <c r="C58" s="13" t="s">
        <v>23</v>
      </c>
      <c r="D58" s="4"/>
      <c r="E58" s="4"/>
      <c r="F58" s="4"/>
      <c r="G58" s="4"/>
      <c r="H58" s="4"/>
      <c r="I58" s="4"/>
      <c r="J58" s="38">
        <f>'Financials Monthly'!J58</f>
        <v>0</v>
      </c>
      <c r="K58" s="38">
        <f>J61</f>
        <v>-158418.16666666669</v>
      </c>
      <c r="L58" s="38">
        <f t="shared" ref="L58:N58" si="5">K61</f>
        <v>-3222.166666666657</v>
      </c>
      <c r="M58" s="38">
        <f>L61</f>
        <v>1743256.4583333333</v>
      </c>
      <c r="N58" s="38">
        <f t="shared" si="5"/>
        <v>5884750.0083333328</v>
      </c>
    </row>
    <row r="59" spans="1:14">
      <c r="A59" s="4"/>
      <c r="B59" s="13"/>
      <c r="C59" s="13" t="s">
        <v>122</v>
      </c>
      <c r="D59" s="4"/>
      <c r="E59" s="4"/>
      <c r="F59" s="4"/>
      <c r="G59" s="4"/>
      <c r="H59" s="4"/>
      <c r="I59" s="4"/>
      <c r="J59" s="38">
        <f>SUM('Financials Monthly'!J59:U59)</f>
        <v>-158418.16666666669</v>
      </c>
      <c r="K59" s="38">
        <f>SUM('Financials Monthly'!V59:AG59)</f>
        <v>155196.00000000003</v>
      </c>
      <c r="L59" s="38">
        <f>SUM('Financials Monthly'!AH59:AS59)</f>
        <v>1746478.625</v>
      </c>
      <c r="M59" s="38">
        <f>SUM('Financials Monthly'!AT59:BE59)</f>
        <v>4141493.5499999993</v>
      </c>
      <c r="N59" s="38">
        <f>SUM('Financials Monthly'!BF59:BQ59)</f>
        <v>6451264.3875000002</v>
      </c>
    </row>
    <row r="60" spans="1:14">
      <c r="A60" s="4"/>
      <c r="B60" s="13"/>
      <c r="C60" s="13" t="str">
        <f>[1]Funding!C$35</f>
        <v>Dividends Paid</v>
      </c>
      <c r="D60" s="4"/>
      <c r="E60" s="4"/>
      <c r="F60" s="4"/>
      <c r="G60" s="4"/>
      <c r="H60" s="4"/>
      <c r="I60" s="4"/>
      <c r="J60" s="40">
        <f>SUM('Financials Monthly'!J60:U60)</f>
        <v>0</v>
      </c>
      <c r="K60" s="40">
        <f>SUM('Financials Monthly'!V60:AG60)</f>
        <v>0</v>
      </c>
      <c r="L60" s="40">
        <f>SUM('Financials Monthly'!AH60:AS60)</f>
        <v>0</v>
      </c>
      <c r="M60" s="40">
        <f>SUM('Financials Monthly'!AT60:BE60)</f>
        <v>0</v>
      </c>
      <c r="N60" s="40">
        <f>SUM('Financials Monthly'!AU60:BF60)</f>
        <v>0</v>
      </c>
    </row>
    <row r="61" spans="1:14">
      <c r="A61" s="4"/>
      <c r="B61" s="13"/>
      <c r="C61" s="34" t="s">
        <v>24</v>
      </c>
      <c r="D61" s="35"/>
      <c r="E61" s="35"/>
      <c r="F61" s="35"/>
      <c r="G61" s="35"/>
      <c r="H61" s="35"/>
      <c r="I61" s="35"/>
      <c r="J61" s="62">
        <f>SUM(J58:J60)</f>
        <v>-158418.16666666669</v>
      </c>
      <c r="K61" s="62">
        <f t="shared" ref="K61:N61" si="6">SUM(K58:K60)</f>
        <v>-3222.166666666657</v>
      </c>
      <c r="L61" s="62">
        <f t="shared" si="6"/>
        <v>1743256.4583333333</v>
      </c>
      <c r="M61" s="62">
        <f t="shared" si="6"/>
        <v>5884750.0083333328</v>
      </c>
      <c r="N61" s="62">
        <f t="shared" si="6"/>
        <v>12336014.395833332</v>
      </c>
    </row>
    <row r="62" spans="1:14">
      <c r="A62" s="4"/>
      <c r="B62" s="13"/>
      <c r="C62" s="13"/>
      <c r="D62" s="4"/>
      <c r="E62" s="4"/>
      <c r="F62" s="4"/>
      <c r="G62" s="4"/>
      <c r="H62" s="4"/>
      <c r="I62" s="4"/>
    </row>
    <row r="63" spans="1:14">
      <c r="A63" s="4"/>
      <c r="B63" s="13"/>
      <c r="C63" s="13"/>
      <c r="D63" s="4"/>
      <c r="E63" s="4"/>
      <c r="F63" s="4"/>
      <c r="G63" s="4"/>
      <c r="H63" s="4"/>
      <c r="I63" s="4"/>
    </row>
    <row r="64" spans="1:14" s="117" customFormat="1">
      <c r="A64" s="115"/>
      <c r="B64" s="142" t="s">
        <v>395</v>
      </c>
      <c r="C64" s="142"/>
      <c r="D64" s="115"/>
      <c r="E64" s="115"/>
      <c r="F64" s="115"/>
      <c r="G64" s="115"/>
      <c r="H64" s="115"/>
      <c r="I64" s="115"/>
      <c r="J64" s="116"/>
      <c r="K64" s="116"/>
      <c r="L64" s="116"/>
      <c r="M64" s="116"/>
      <c r="N64" s="116"/>
    </row>
    <row r="65" spans="1:14">
      <c r="A65" s="4"/>
      <c r="B65" s="13"/>
      <c r="C65" s="13"/>
      <c r="D65" s="4"/>
      <c r="E65" s="4"/>
      <c r="F65" s="4"/>
      <c r="G65" s="4"/>
      <c r="H65" s="4"/>
      <c r="I65" s="4"/>
    </row>
    <row r="66" spans="1:14">
      <c r="A66" s="4"/>
      <c r="B66" s="14" t="s">
        <v>25</v>
      </c>
      <c r="C66" s="13"/>
      <c r="D66" s="4"/>
      <c r="E66" s="4"/>
      <c r="F66" s="4"/>
      <c r="G66" s="4"/>
      <c r="H66" s="4"/>
      <c r="I66" s="4"/>
    </row>
    <row r="67" spans="1:14">
      <c r="A67" s="4"/>
      <c r="B67" s="13"/>
      <c r="C67" s="21" t="s">
        <v>64</v>
      </c>
      <c r="D67" s="4"/>
      <c r="E67" s="4"/>
      <c r="F67" s="4"/>
      <c r="G67" s="4"/>
      <c r="H67" s="4"/>
      <c r="I67" s="4"/>
      <c r="J67" s="38">
        <f>'Financials Monthly'!U67</f>
        <v>68906.25</v>
      </c>
      <c r="K67" s="38">
        <f>'Financials Monthly'!AG67</f>
        <v>121770.83333333333</v>
      </c>
      <c r="L67" s="38">
        <f>'Financials Monthly'!AS67</f>
        <v>104270.83333333334</v>
      </c>
      <c r="M67" s="38">
        <f>'Financials Monthly'!BE67</f>
        <v>86770.833333333314</v>
      </c>
      <c r="N67" s="38">
        <f>'Financials Monthly'!BQ67</f>
        <v>69270.833333333299</v>
      </c>
    </row>
    <row r="68" spans="1:14">
      <c r="A68" s="4"/>
      <c r="B68" s="13"/>
      <c r="C68" s="44" t="s">
        <v>65</v>
      </c>
      <c r="D68" s="9"/>
      <c r="E68" s="9"/>
      <c r="F68" s="9"/>
      <c r="G68" s="9"/>
      <c r="H68" s="9"/>
      <c r="I68" s="9"/>
      <c r="J68" s="40">
        <f>'Financials Monthly'!U68</f>
        <v>29092.083333333332</v>
      </c>
      <c r="K68" s="40">
        <f>'Financials Monthly'!AG68</f>
        <v>276024.58333333331</v>
      </c>
      <c r="L68" s="40">
        <f>'Financials Monthly'!AS68</f>
        <v>509729.58333333331</v>
      </c>
      <c r="M68" s="40">
        <f>'Financials Monthly'!BE68</f>
        <v>695402.08333333337</v>
      </c>
      <c r="N68" s="40">
        <f>'Financials Monthly'!BQ68</f>
        <v>828587.08333333326</v>
      </c>
    </row>
    <row r="69" spans="1:14">
      <c r="A69" s="4"/>
      <c r="B69" s="14"/>
      <c r="C69" s="3" t="s">
        <v>26</v>
      </c>
      <c r="D69" s="4"/>
      <c r="E69" s="4"/>
      <c r="F69" s="4"/>
      <c r="G69" s="4"/>
      <c r="H69" s="4"/>
      <c r="I69" s="4"/>
      <c r="J69" s="60">
        <f>'Financials Monthly'!U69</f>
        <v>97998.333333333328</v>
      </c>
      <c r="K69" s="60">
        <f>'Financials Monthly'!AG69</f>
        <v>397795.41666666663</v>
      </c>
      <c r="L69" s="60">
        <f>'Financials Monthly'!AS69</f>
        <v>614000.41666666663</v>
      </c>
      <c r="M69" s="60">
        <f>'Financials Monthly'!BE69</f>
        <v>782172.91666666674</v>
      </c>
      <c r="N69" s="60">
        <f>'Financials Monthly'!BQ69</f>
        <v>897857.91666666651</v>
      </c>
    </row>
    <row r="70" spans="1:14">
      <c r="A70" s="4"/>
      <c r="B70" s="13"/>
      <c r="C70" s="22"/>
      <c r="D70" s="4"/>
      <c r="E70" s="4"/>
      <c r="F70" s="4"/>
      <c r="G70" s="4"/>
      <c r="H70" s="4"/>
      <c r="I70" s="4"/>
      <c r="J70" s="38"/>
      <c r="K70" s="38"/>
      <c r="L70" s="38"/>
      <c r="M70" s="38"/>
      <c r="N70" s="38"/>
    </row>
    <row r="71" spans="1:14">
      <c r="A71" s="4"/>
      <c r="B71" s="3" t="s">
        <v>27</v>
      </c>
      <c r="C71" s="13"/>
      <c r="D71" s="4"/>
      <c r="E71" s="4"/>
      <c r="F71" s="4"/>
      <c r="G71" s="4"/>
      <c r="H71" s="4"/>
      <c r="I71" s="4"/>
      <c r="J71" s="38"/>
      <c r="K71" s="38"/>
      <c r="L71" s="38"/>
      <c r="M71" s="38"/>
      <c r="N71" s="38"/>
    </row>
    <row r="72" spans="1:14">
      <c r="A72" s="4"/>
      <c r="B72" s="13"/>
      <c r="C72" s="23" t="s">
        <v>66</v>
      </c>
      <c r="D72" s="4"/>
      <c r="E72" s="4"/>
      <c r="F72" s="4"/>
      <c r="G72" s="4"/>
      <c r="H72" s="4"/>
      <c r="I72" s="4"/>
      <c r="J72" s="38">
        <f>'Financials Monthly'!U72</f>
        <v>95545.885379474144</v>
      </c>
      <c r="K72" s="38">
        <f>'Financials Monthly'!AG72</f>
        <v>571619.35335222352</v>
      </c>
      <c r="L72" s="38">
        <f>'Financials Monthly'!AS72</f>
        <v>1130503.5159942121</v>
      </c>
      <c r="M72" s="38">
        <f>'Financials Monthly'!BE72</f>
        <v>1895428.0799193885</v>
      </c>
      <c r="N72" s="38">
        <f>'Financials Monthly'!BQ72</f>
        <v>2664429.375520959</v>
      </c>
    </row>
    <row r="73" spans="1:14">
      <c r="A73" s="4"/>
      <c r="B73" s="13"/>
      <c r="C73" s="24" t="s">
        <v>67</v>
      </c>
      <c r="D73" s="4"/>
      <c r="E73" s="4"/>
      <c r="F73" s="4"/>
      <c r="G73" s="4"/>
      <c r="H73" s="4"/>
      <c r="I73" s="4"/>
      <c r="J73" s="38">
        <f>'Financials Monthly'!U73</f>
        <v>0</v>
      </c>
      <c r="K73" s="38">
        <f>'Financials Monthly'!AG73</f>
        <v>0</v>
      </c>
      <c r="L73" s="38">
        <f>'Financials Monthly'!AS73</f>
        <v>0</v>
      </c>
      <c r="M73" s="38">
        <f>'Financials Monthly'!BE73</f>
        <v>0</v>
      </c>
      <c r="N73" s="38">
        <f>'Financials Monthly'!BF73</f>
        <v>0</v>
      </c>
    </row>
    <row r="74" spans="1:14">
      <c r="A74" s="4"/>
      <c r="B74" s="13"/>
      <c r="C74" s="43" t="s">
        <v>68</v>
      </c>
      <c r="D74" s="9"/>
      <c r="E74" s="9"/>
      <c r="F74" s="9"/>
      <c r="G74" s="9"/>
      <c r="H74" s="9"/>
      <c r="I74" s="9"/>
      <c r="J74" s="40">
        <f>'Financials Monthly'!U74</f>
        <v>-250520.79741284292</v>
      </c>
      <c r="K74" s="40">
        <f>'Financials Monthly'!AG74</f>
        <v>-650644.64594902878</v>
      </c>
      <c r="L74" s="40">
        <f>'Financials Monthly'!AS74</f>
        <v>1114699.5036898609</v>
      </c>
      <c r="M74" s="40">
        <f>'Financials Monthly'!BE74</f>
        <v>5394697.060224195</v>
      </c>
      <c r="N74" s="40">
        <f>'Financials Monthly'!BQ74</f>
        <v>12023233.257011263</v>
      </c>
    </row>
    <row r="75" spans="1:14">
      <c r="A75" s="4"/>
      <c r="B75" s="13"/>
      <c r="C75" s="3" t="s">
        <v>28</v>
      </c>
      <c r="D75" s="4"/>
      <c r="E75" s="4"/>
      <c r="F75" s="4"/>
      <c r="G75" s="4"/>
      <c r="H75" s="4"/>
      <c r="I75" s="4"/>
      <c r="J75" s="60">
        <f>'Financials Monthly'!U75</f>
        <v>-154974.91203336878</v>
      </c>
      <c r="K75" s="60">
        <f>'Financials Monthly'!AG75</f>
        <v>-79025.292596805259</v>
      </c>
      <c r="L75" s="60">
        <f>'Financials Monthly'!AS75</f>
        <v>2245203.019684073</v>
      </c>
      <c r="M75" s="60">
        <f>'Financials Monthly'!BE75</f>
        <v>7290125.1401435835</v>
      </c>
      <c r="N75" s="60">
        <f>'Financials Monthly'!BQ75</f>
        <v>14687662.632532222</v>
      </c>
    </row>
    <row r="76" spans="1:14">
      <c r="A76" s="4"/>
      <c r="B76" s="13"/>
      <c r="C76" s="22"/>
      <c r="D76" s="4"/>
      <c r="E76" s="4"/>
      <c r="F76" s="4"/>
      <c r="G76" s="4"/>
      <c r="H76" s="4"/>
      <c r="I76" s="4"/>
      <c r="J76" s="83"/>
      <c r="K76" s="83"/>
      <c r="L76" s="83"/>
      <c r="M76" s="83"/>
      <c r="N76" s="83"/>
    </row>
    <row r="77" spans="1:14" s="89" customFormat="1">
      <c r="A77" s="90"/>
      <c r="B77" s="92"/>
      <c r="C77" s="93" t="s">
        <v>29</v>
      </c>
      <c r="D77" s="90"/>
      <c r="E77" s="90"/>
      <c r="F77" s="90"/>
      <c r="G77" s="90"/>
      <c r="H77" s="90"/>
      <c r="I77" s="90"/>
      <c r="J77" s="88">
        <f>'Financials Monthly'!U77</f>
        <v>-56976.578700035447</v>
      </c>
      <c r="K77" s="88">
        <f>'Financials Monthly'!AG77</f>
        <v>318770.12406986137</v>
      </c>
      <c r="L77" s="88">
        <f>'Financials Monthly'!AS77</f>
        <v>2859203.4363507396</v>
      </c>
      <c r="M77" s="88">
        <f>'Financials Monthly'!BE77</f>
        <v>8072298.0568102505</v>
      </c>
      <c r="N77" s="88">
        <f>'Financials Monthly'!BQ77</f>
        <v>15585520.549198888</v>
      </c>
    </row>
    <row r="78" spans="1:14">
      <c r="A78" s="4"/>
      <c r="B78" s="13"/>
      <c r="C78" s="22"/>
      <c r="D78" s="4"/>
      <c r="E78" s="4"/>
      <c r="F78" s="4"/>
      <c r="G78" s="4"/>
      <c r="H78" s="4"/>
      <c r="I78" s="4"/>
      <c r="J78" s="38"/>
      <c r="K78" s="38"/>
      <c r="L78" s="38"/>
      <c r="M78" s="38"/>
      <c r="N78" s="38"/>
    </row>
    <row r="79" spans="1:14">
      <c r="A79" s="4"/>
      <c r="B79" s="14" t="s">
        <v>30</v>
      </c>
      <c r="C79" s="3"/>
      <c r="D79" s="4"/>
      <c r="E79" s="4"/>
      <c r="F79" s="4"/>
      <c r="G79" s="4"/>
      <c r="H79" s="4"/>
      <c r="I79" s="4"/>
      <c r="J79" s="38"/>
      <c r="K79" s="38"/>
      <c r="L79" s="38"/>
      <c r="M79" s="38"/>
      <c r="N79" s="38"/>
    </row>
    <row r="80" spans="1:14">
      <c r="A80" s="4"/>
      <c r="B80" s="13"/>
      <c r="C80" s="15" t="s">
        <v>69</v>
      </c>
      <c r="D80" s="4"/>
      <c r="E80" s="4"/>
      <c r="F80" s="4"/>
      <c r="G80" s="4"/>
      <c r="H80" s="4"/>
      <c r="I80" s="4"/>
      <c r="J80" s="38">
        <f>'Financials Monthly'!U80</f>
        <v>111612.63796663121</v>
      </c>
      <c r="K80" s="38">
        <f>'Financials Monthly'!AG80</f>
        <v>234703.59073652822</v>
      </c>
      <c r="L80" s="38">
        <f>'Financials Monthly'!AS80</f>
        <v>356632.13635074004</v>
      </c>
      <c r="M80" s="38">
        <f>'Financials Monthly'!BE80</f>
        <v>502344.49347691832</v>
      </c>
      <c r="N80" s="38">
        <f>'Financials Monthly'!BQ80</f>
        <v>675907.07086555439</v>
      </c>
    </row>
    <row r="81" spans="1:14">
      <c r="A81" s="4"/>
      <c r="B81" s="13"/>
      <c r="C81" s="15" t="s">
        <v>70</v>
      </c>
      <c r="D81" s="4"/>
      <c r="E81" s="4"/>
      <c r="F81" s="4"/>
      <c r="G81" s="4"/>
      <c r="H81" s="4"/>
      <c r="I81" s="4"/>
      <c r="J81" s="38">
        <f>'Financials Monthly'!U81</f>
        <v>0</v>
      </c>
      <c r="K81" s="38">
        <f>'Financials Monthly'!AG81</f>
        <v>0</v>
      </c>
      <c r="L81" s="38">
        <f>'Financials Monthly'!AS81</f>
        <v>0</v>
      </c>
      <c r="M81" s="38">
        <f>'Financials Monthly'!BE81</f>
        <v>0</v>
      </c>
      <c r="N81" s="38">
        <f>'Financials Monthly'!BQ81</f>
        <v>0</v>
      </c>
    </row>
    <row r="82" spans="1:14">
      <c r="A82" s="4"/>
      <c r="B82" s="13"/>
      <c r="C82" s="25" t="s">
        <v>71</v>
      </c>
      <c r="D82" s="4"/>
      <c r="E82" s="4"/>
      <c r="F82" s="4"/>
      <c r="G82" s="4"/>
      <c r="H82" s="4"/>
      <c r="I82" s="4"/>
      <c r="J82" s="38">
        <f>'Financials Monthly'!U82</f>
        <v>0</v>
      </c>
      <c r="K82" s="38">
        <f>'Financials Monthly'!AG82</f>
        <v>0</v>
      </c>
      <c r="L82" s="38">
        <f>'Financials Monthly'!AS82</f>
        <v>582159.54166666651</v>
      </c>
      <c r="M82" s="38">
        <f>'Financials Monthly'!BE82</f>
        <v>1380497.85</v>
      </c>
      <c r="N82" s="38">
        <f>'Financials Monthly'!BQ82</f>
        <v>2150421.4625000004</v>
      </c>
    </row>
    <row r="83" spans="1:14">
      <c r="A83" s="4"/>
      <c r="B83" s="13"/>
      <c r="C83" s="25" t="s">
        <v>72</v>
      </c>
      <c r="D83" s="4"/>
      <c r="E83" s="4"/>
      <c r="F83" s="4"/>
      <c r="G83" s="4"/>
      <c r="H83" s="4"/>
      <c r="I83" s="4"/>
      <c r="J83" s="38">
        <f>'Financials Monthly'!U83</f>
        <v>-10171.050000000003</v>
      </c>
      <c r="K83" s="38">
        <f>'Financials Monthly'!AG83</f>
        <v>87288.700000000012</v>
      </c>
      <c r="L83" s="38">
        <f>'Financials Monthly'!AS83</f>
        <v>177155.3</v>
      </c>
      <c r="M83" s="38">
        <f>'Financials Monthly'!BE83</f>
        <v>304705.70499999996</v>
      </c>
      <c r="N83" s="38">
        <f>'Financials Monthly'!BQ83</f>
        <v>423177.61999999988</v>
      </c>
    </row>
    <row r="84" spans="1:14">
      <c r="A84" s="4"/>
      <c r="B84" s="13"/>
      <c r="C84" s="25" t="s">
        <v>73</v>
      </c>
      <c r="D84" s="4"/>
      <c r="E84" s="4"/>
      <c r="F84" s="4"/>
      <c r="G84" s="4"/>
      <c r="H84" s="4"/>
      <c r="I84" s="4"/>
      <c r="J84" s="38">
        <f>'Financials Monthly'!U84</f>
        <v>0</v>
      </c>
      <c r="K84" s="38">
        <f>'Financials Monthly'!AG84</f>
        <v>0</v>
      </c>
      <c r="L84" s="38">
        <f>'Financials Monthly'!AS84</f>
        <v>0</v>
      </c>
      <c r="M84" s="38">
        <f>'Financials Monthly'!BE84</f>
        <v>0</v>
      </c>
      <c r="N84" s="38">
        <f>'Financials Monthly'!BQ84</f>
        <v>0</v>
      </c>
    </row>
    <row r="85" spans="1:14">
      <c r="A85" s="4"/>
      <c r="B85" s="13"/>
      <c r="C85" s="25" t="s">
        <v>76</v>
      </c>
      <c r="D85" s="4"/>
      <c r="E85" s="4"/>
      <c r="F85" s="4"/>
      <c r="G85" s="4"/>
      <c r="H85" s="4"/>
      <c r="I85" s="4"/>
      <c r="J85" s="38">
        <f>'Financials Monthly'!U85</f>
        <v>0</v>
      </c>
      <c r="K85" s="38">
        <f>'Financials Monthly'!AG85</f>
        <v>0</v>
      </c>
      <c r="L85" s="38">
        <f>'Financials Monthly'!AS85</f>
        <v>0</v>
      </c>
      <c r="M85" s="38">
        <f>'Financials Monthly'!BE85</f>
        <v>0</v>
      </c>
      <c r="N85" s="38">
        <f>'Financials Monthly'!BQ85</f>
        <v>0</v>
      </c>
    </row>
    <row r="86" spans="1:14">
      <c r="A86" s="4"/>
      <c r="B86" s="13"/>
      <c r="C86" s="25" t="s">
        <v>75</v>
      </c>
      <c r="D86" s="4"/>
      <c r="E86" s="4"/>
      <c r="F86" s="4"/>
      <c r="G86" s="4"/>
      <c r="H86" s="4"/>
      <c r="I86" s="4"/>
      <c r="J86" s="38">
        <f>'Financials Monthly'!U86</f>
        <v>0</v>
      </c>
      <c r="K86" s="38">
        <f>'Financials Monthly'!AG86</f>
        <v>0</v>
      </c>
      <c r="L86" s="38">
        <f>'Financials Monthly'!AS86</f>
        <v>0</v>
      </c>
      <c r="M86" s="38">
        <f>'Financials Monthly'!BE86</f>
        <v>0</v>
      </c>
      <c r="N86" s="38">
        <f>'Financials Monthly'!BQ86</f>
        <v>0</v>
      </c>
    </row>
    <row r="87" spans="1:14">
      <c r="A87" s="4"/>
      <c r="B87" s="13"/>
      <c r="C87" s="43" t="s">
        <v>77</v>
      </c>
      <c r="D87" s="9"/>
      <c r="E87" s="9"/>
      <c r="F87" s="9"/>
      <c r="G87" s="9"/>
      <c r="H87" s="9"/>
      <c r="I87" s="9"/>
      <c r="J87" s="40">
        <f>'Financials Monthly'!U87</f>
        <v>0</v>
      </c>
      <c r="K87" s="40">
        <f>'Financials Monthly'!AG87</f>
        <v>0</v>
      </c>
      <c r="L87" s="40">
        <f>'Financials Monthly'!AS87</f>
        <v>0</v>
      </c>
      <c r="M87" s="40">
        <f>'Financials Monthly'!BE87</f>
        <v>0</v>
      </c>
      <c r="N87" s="40">
        <f>'Financials Monthly'!BQ87</f>
        <v>0</v>
      </c>
    </row>
    <row r="88" spans="1:14">
      <c r="A88" s="4"/>
      <c r="B88" s="14"/>
      <c r="C88" s="3" t="s">
        <v>31</v>
      </c>
      <c r="D88" s="4"/>
      <c r="E88" s="4"/>
      <c r="F88" s="4"/>
      <c r="G88" s="4"/>
      <c r="H88" s="4"/>
      <c r="I88" s="4"/>
      <c r="J88" s="60">
        <f>'Financials Monthly'!U88</f>
        <v>101441.58796663121</v>
      </c>
      <c r="K88" s="60">
        <f>'Financials Monthly'!AG88</f>
        <v>321992.29073652823</v>
      </c>
      <c r="L88" s="60">
        <f>'Financials Monthly'!AS88</f>
        <v>1115946.9780174065</v>
      </c>
      <c r="M88" s="60">
        <f>'Financials Monthly'!BE88</f>
        <v>2187548.0484769186</v>
      </c>
      <c r="N88" s="60">
        <f>'Financials Monthly'!BQ88</f>
        <v>3249506.1533655543</v>
      </c>
    </row>
    <row r="89" spans="1:14">
      <c r="A89" s="4"/>
      <c r="B89" s="13"/>
      <c r="C89" s="22"/>
      <c r="D89" s="4"/>
      <c r="E89" s="4"/>
      <c r="F89" s="4"/>
      <c r="G89" s="4"/>
      <c r="H89" s="4"/>
      <c r="I89" s="4"/>
      <c r="J89" s="38"/>
      <c r="K89" s="38"/>
      <c r="L89" s="38"/>
      <c r="M89" s="38"/>
      <c r="N89" s="38"/>
    </row>
    <row r="90" spans="1:14">
      <c r="A90" s="4"/>
      <c r="B90" s="13"/>
      <c r="C90" s="3" t="s">
        <v>32</v>
      </c>
      <c r="D90" s="4"/>
      <c r="E90" s="4"/>
      <c r="F90" s="4"/>
      <c r="G90" s="4"/>
      <c r="H90" s="4"/>
      <c r="I90" s="4"/>
      <c r="J90" s="38"/>
      <c r="K90" s="38"/>
      <c r="L90" s="38"/>
      <c r="M90" s="38"/>
      <c r="N90" s="38"/>
    </row>
    <row r="91" spans="1:14">
      <c r="A91" s="4"/>
      <c r="B91" s="13"/>
      <c r="C91" s="13" t="s">
        <v>74</v>
      </c>
      <c r="D91" s="4"/>
      <c r="E91" s="4"/>
      <c r="F91" s="4"/>
      <c r="G91" s="4"/>
      <c r="H91" s="4"/>
      <c r="I91" s="4"/>
      <c r="J91" s="38">
        <f>'Financials Monthly'!U91</f>
        <v>0</v>
      </c>
      <c r="K91" s="38">
        <f>'Financials Monthly'!AG91</f>
        <v>0</v>
      </c>
      <c r="L91" s="38">
        <f>'Financials Monthly'!AS91</f>
        <v>0</v>
      </c>
      <c r="M91" s="38">
        <f>'Financials Monthly'!BE91</f>
        <v>0</v>
      </c>
      <c r="N91" s="38">
        <f>'Financials Monthly'!BQ91</f>
        <v>0</v>
      </c>
    </row>
    <row r="92" spans="1:14">
      <c r="A92" s="4"/>
      <c r="B92" s="13"/>
      <c r="C92" s="46" t="s">
        <v>75</v>
      </c>
      <c r="D92" s="9"/>
      <c r="E92" s="9"/>
      <c r="F92" s="9"/>
      <c r="G92" s="9"/>
      <c r="H92" s="9"/>
      <c r="I92" s="9"/>
      <c r="J92" s="40">
        <f>'Financials Monthly'!U92</f>
        <v>0</v>
      </c>
      <c r="K92" s="40">
        <f>'Financials Monthly'!AG92</f>
        <v>0</v>
      </c>
      <c r="L92" s="40">
        <f>'Financials Monthly'!AS92</f>
        <v>0</v>
      </c>
      <c r="M92" s="40">
        <f>'Financials Monthly'!BE92</f>
        <v>0</v>
      </c>
      <c r="N92" s="40">
        <f>'Financials Monthly'!BQ92</f>
        <v>0</v>
      </c>
    </row>
    <row r="93" spans="1:14">
      <c r="A93" s="4"/>
      <c r="B93" s="14"/>
      <c r="C93" s="3" t="s">
        <v>33</v>
      </c>
      <c r="D93" s="4"/>
      <c r="E93" s="4"/>
      <c r="F93" s="4"/>
      <c r="G93" s="4"/>
      <c r="H93" s="4"/>
      <c r="I93" s="4"/>
      <c r="J93" s="38">
        <f>'Financials Monthly'!U93</f>
        <v>0</v>
      </c>
      <c r="K93" s="38">
        <f>'Financials Monthly'!AG93</f>
        <v>0</v>
      </c>
      <c r="L93" s="38">
        <f>'Financials Monthly'!AS93</f>
        <v>0</v>
      </c>
      <c r="M93" s="38">
        <f>'Financials Monthly'!BE93</f>
        <v>0</v>
      </c>
      <c r="N93" s="38">
        <f>'Financials Monthly'!BQ93</f>
        <v>0</v>
      </c>
    </row>
    <row r="94" spans="1:14">
      <c r="A94" s="4"/>
      <c r="B94" s="13"/>
      <c r="C94" s="22"/>
      <c r="D94" s="4"/>
      <c r="E94" s="4"/>
      <c r="F94" s="4"/>
      <c r="G94" s="4"/>
      <c r="H94" s="4"/>
      <c r="I94" s="4"/>
      <c r="J94" s="38"/>
      <c r="K94" s="38"/>
      <c r="L94" s="38"/>
      <c r="M94" s="38"/>
      <c r="N94" s="38"/>
    </row>
    <row r="95" spans="1:14">
      <c r="A95" s="4"/>
      <c r="B95" s="13"/>
      <c r="C95" s="26" t="s">
        <v>171</v>
      </c>
      <c r="D95" s="4"/>
      <c r="E95" s="4"/>
      <c r="F95" s="4"/>
      <c r="G95" s="4"/>
      <c r="H95" s="4"/>
      <c r="I95" s="4"/>
      <c r="J95" s="38">
        <f>'Financials Monthly'!U95</f>
        <v>0</v>
      </c>
      <c r="K95" s="38">
        <f>'Financials Monthly'!AG95</f>
        <v>0</v>
      </c>
      <c r="L95" s="38">
        <f>'Financials Monthly'!AS95</f>
        <v>0</v>
      </c>
      <c r="M95" s="38">
        <f>'Financials Monthly'!BE95</f>
        <v>0</v>
      </c>
      <c r="N95" s="38">
        <f>'Financials Monthly'!BQ95</f>
        <v>0</v>
      </c>
    </row>
    <row r="96" spans="1:14">
      <c r="A96" s="4"/>
      <c r="B96" s="13"/>
      <c r="C96" s="22"/>
      <c r="D96" s="4"/>
      <c r="E96" s="4"/>
      <c r="F96" s="4"/>
      <c r="G96" s="4"/>
      <c r="H96" s="4"/>
      <c r="I96" s="4"/>
      <c r="J96" s="83"/>
      <c r="K96" s="83"/>
      <c r="L96" s="83"/>
      <c r="M96" s="83"/>
      <c r="N96" s="83"/>
    </row>
    <row r="97" spans="1:14" s="89" customFormat="1">
      <c r="A97" s="90"/>
      <c r="B97" s="92"/>
      <c r="C97" s="94" t="s">
        <v>34</v>
      </c>
      <c r="D97" s="90"/>
      <c r="E97" s="90"/>
      <c r="F97" s="90"/>
      <c r="G97" s="90"/>
      <c r="H97" s="90"/>
      <c r="I97" s="90"/>
      <c r="J97" s="88">
        <f>'Financials Monthly'!U97</f>
        <v>101441.58796663121</v>
      </c>
      <c r="K97" s="88">
        <f>'Financials Monthly'!AG97</f>
        <v>321992.29073652823</v>
      </c>
      <c r="L97" s="88">
        <f>'Financials Monthly'!AS97</f>
        <v>1115946.9780174065</v>
      </c>
      <c r="M97" s="88">
        <f>'Financials Monthly'!BE97</f>
        <v>2187548.0484769186</v>
      </c>
      <c r="N97" s="88">
        <f>'Financials Monthly'!BQ97</f>
        <v>3249506.1533655543</v>
      </c>
    </row>
    <row r="98" spans="1:14">
      <c r="A98" s="4"/>
      <c r="B98" s="13"/>
      <c r="C98" s="45"/>
      <c r="D98" s="9"/>
      <c r="E98" s="9"/>
      <c r="F98" s="9"/>
      <c r="G98" s="9"/>
      <c r="H98" s="9"/>
      <c r="I98" s="9"/>
      <c r="J98" s="40"/>
      <c r="K98" s="40"/>
      <c r="L98" s="40"/>
      <c r="M98" s="40"/>
      <c r="N98" s="40"/>
    </row>
    <row r="99" spans="1:14">
      <c r="A99" s="4"/>
      <c r="B99" s="14"/>
      <c r="C99" s="3" t="s">
        <v>35</v>
      </c>
      <c r="D99" s="4"/>
      <c r="E99" s="4"/>
      <c r="F99" s="4"/>
      <c r="G99" s="4"/>
      <c r="H99" s="4"/>
      <c r="I99" s="4"/>
      <c r="J99" s="60">
        <f>'Financials Monthly'!U99</f>
        <v>-158418.16666666666</v>
      </c>
      <c r="K99" s="60">
        <f>'Financials Monthly'!AG99</f>
        <v>-3222.1666666668607</v>
      </c>
      <c r="L99" s="60">
        <f>'Financials Monthly'!AS99</f>
        <v>1743256.458333333</v>
      </c>
      <c r="M99" s="60">
        <f>'Financials Monthly'!BE99</f>
        <v>5884750.0083333319</v>
      </c>
      <c r="N99" s="60">
        <f>'Financials Monthly'!BQ99</f>
        <v>12336014.395833334</v>
      </c>
    </row>
    <row r="100" spans="1:14">
      <c r="A100" s="4"/>
      <c r="B100" s="13"/>
      <c r="C100" s="22"/>
      <c r="D100" s="4"/>
      <c r="E100" s="4"/>
      <c r="F100" s="4"/>
      <c r="G100" s="4"/>
      <c r="H100" s="4"/>
      <c r="I100" s="4"/>
      <c r="J100" s="38"/>
      <c r="K100" s="38"/>
      <c r="L100" s="38"/>
      <c r="M100" s="38"/>
      <c r="N100" s="38"/>
    </row>
    <row r="101" spans="1:14">
      <c r="A101" s="4"/>
      <c r="B101" s="13"/>
      <c r="C101" s="3" t="s">
        <v>36</v>
      </c>
      <c r="D101" s="4"/>
      <c r="E101" s="4"/>
      <c r="F101" s="4"/>
      <c r="G101" s="4"/>
      <c r="H101" s="4"/>
      <c r="I101" s="4"/>
      <c r="J101" s="38"/>
      <c r="K101" s="38"/>
      <c r="L101" s="38"/>
      <c r="M101" s="38"/>
      <c r="N101" s="38"/>
    </row>
    <row r="102" spans="1:14">
      <c r="A102" s="4"/>
      <c r="B102" s="13"/>
      <c r="C102" s="13" t="s">
        <v>78</v>
      </c>
      <c r="D102" s="4"/>
      <c r="E102" s="4"/>
      <c r="F102" s="4"/>
      <c r="G102" s="4"/>
      <c r="H102" s="4"/>
      <c r="I102" s="4"/>
      <c r="J102" s="38">
        <f>'Financials Monthly'!U102</f>
        <v>0</v>
      </c>
      <c r="K102" s="38">
        <f>'Financials Monthly'!AG102</f>
        <v>0</v>
      </c>
      <c r="L102" s="38">
        <f>'Financials Monthly'!AS102</f>
        <v>0</v>
      </c>
      <c r="M102" s="38">
        <f>'Financials Monthly'!BE102</f>
        <v>0</v>
      </c>
      <c r="N102" s="38">
        <f>'Financials Monthly'!BF102</f>
        <v>0</v>
      </c>
    </row>
    <row r="103" spans="1:14">
      <c r="A103" s="4"/>
      <c r="B103" s="13"/>
      <c r="C103" s="25" t="s">
        <v>79</v>
      </c>
      <c r="D103" s="4"/>
      <c r="E103" s="4"/>
      <c r="F103" s="4"/>
      <c r="G103" s="4"/>
      <c r="H103" s="4"/>
      <c r="I103" s="4"/>
      <c r="J103" s="38">
        <f>'Financials Monthly'!U103</f>
        <v>-158418.16666666669</v>
      </c>
      <c r="K103" s="38">
        <f>'Financials Monthly'!AG103</f>
        <v>-3222.1666666667006</v>
      </c>
      <c r="L103" s="38">
        <f>'Financials Monthly'!AS103</f>
        <v>1743256.4583333333</v>
      </c>
      <c r="M103" s="38">
        <f>'Financials Monthly'!BE103</f>
        <v>5884750.0083333338</v>
      </c>
      <c r="N103" s="38">
        <f>'Financials Monthly'!BQ103</f>
        <v>12336014.395833336</v>
      </c>
    </row>
    <row r="104" spans="1:14">
      <c r="A104" s="4"/>
      <c r="B104" s="13"/>
      <c r="C104" s="25" t="s">
        <v>77</v>
      </c>
      <c r="D104" s="4"/>
      <c r="E104" s="4"/>
      <c r="F104" s="4"/>
      <c r="G104" s="4"/>
      <c r="H104" s="4"/>
      <c r="I104" s="4"/>
      <c r="J104" s="83">
        <f>'Financials Monthly'!U104</f>
        <v>0</v>
      </c>
      <c r="K104" s="83">
        <f>'Financials Monthly'!AG104</f>
        <v>0</v>
      </c>
      <c r="L104" s="83">
        <f>'Financials Monthly'!AS104</f>
        <v>0</v>
      </c>
      <c r="M104" s="83">
        <f>'Financials Monthly'!BE104</f>
        <v>0</v>
      </c>
      <c r="N104" s="83">
        <f>'Financials Monthly'!BF104</f>
        <v>0</v>
      </c>
    </row>
    <row r="105" spans="1:14" s="89" customFormat="1">
      <c r="A105" s="90"/>
      <c r="B105" s="87"/>
      <c r="C105" s="86" t="s">
        <v>37</v>
      </c>
      <c r="D105" s="90"/>
      <c r="E105" s="90"/>
      <c r="F105" s="90"/>
      <c r="G105" s="90"/>
      <c r="H105" s="90"/>
      <c r="I105" s="90"/>
      <c r="J105" s="88">
        <f>'Financials Monthly'!U105</f>
        <v>-158418.16666666669</v>
      </c>
      <c r="K105" s="88">
        <f>'Financials Monthly'!AG105</f>
        <v>-3222.1666666667006</v>
      </c>
      <c r="L105" s="88">
        <f>'Financials Monthly'!AS105</f>
        <v>1743256.4583333333</v>
      </c>
      <c r="M105" s="88">
        <f>'Financials Monthly'!BE105</f>
        <v>5884750.0083333338</v>
      </c>
      <c r="N105" s="88">
        <f>'Financials Monthly'!BQ105</f>
        <v>12336014.395833336</v>
      </c>
    </row>
    <row r="106" spans="1:14">
      <c r="A106" s="4"/>
      <c r="B106" s="13"/>
      <c r="C106" s="22"/>
      <c r="D106" s="4"/>
      <c r="E106" s="4"/>
      <c r="F106" s="4"/>
      <c r="G106" s="4"/>
      <c r="H106" s="4"/>
      <c r="I106" s="4"/>
    </row>
    <row r="107" spans="1:14">
      <c r="A107" s="4"/>
      <c r="B107" s="13"/>
      <c r="C107" s="22" t="s">
        <v>38</v>
      </c>
      <c r="D107" s="4"/>
      <c r="E107" s="4"/>
      <c r="F107" s="4"/>
      <c r="G107" s="4"/>
      <c r="H107" s="4"/>
      <c r="I107" s="4"/>
      <c r="J107" s="48">
        <f>J99-J105</f>
        <v>0</v>
      </c>
      <c r="K107" s="48">
        <f t="shared" ref="K107:M107" si="7">K99-K105</f>
        <v>-1.6007106751203537E-10</v>
      </c>
      <c r="L107" s="48">
        <f t="shared" si="7"/>
        <v>0</v>
      </c>
      <c r="M107" s="48">
        <f t="shared" si="7"/>
        <v>0</v>
      </c>
      <c r="N107" s="48">
        <f>N99-N105</f>
        <v>0</v>
      </c>
    </row>
    <row r="108" spans="1:14">
      <c r="A108" s="4"/>
      <c r="B108" s="13"/>
      <c r="C108" s="22" t="s">
        <v>39</v>
      </c>
      <c r="D108" s="4"/>
      <c r="E108" s="4"/>
      <c r="F108" s="4"/>
      <c r="G108" s="4"/>
      <c r="H108" s="4"/>
      <c r="I108" s="4"/>
    </row>
    <row r="109" spans="1:14">
      <c r="A109" s="4"/>
      <c r="B109" s="13"/>
      <c r="C109" s="22"/>
      <c r="D109" s="4"/>
      <c r="E109" s="4"/>
      <c r="F109" s="4"/>
      <c r="G109" s="4"/>
      <c r="H109" s="4"/>
      <c r="I109" s="4"/>
    </row>
    <row r="110" spans="1:14" s="117" customFormat="1">
      <c r="A110" s="115"/>
      <c r="B110" s="142" t="s">
        <v>40</v>
      </c>
      <c r="C110" s="142"/>
      <c r="D110" s="115"/>
      <c r="E110" s="115"/>
      <c r="F110" s="115"/>
      <c r="G110" s="115"/>
      <c r="H110" s="115"/>
      <c r="I110" s="115"/>
      <c r="J110" s="116"/>
      <c r="K110" s="116"/>
      <c r="L110" s="116"/>
      <c r="M110" s="116"/>
      <c r="N110" s="116"/>
    </row>
    <row r="111" spans="1:14">
      <c r="A111" s="4"/>
      <c r="B111" s="13"/>
      <c r="C111" s="13"/>
      <c r="D111" s="4"/>
      <c r="E111" s="4"/>
      <c r="F111" s="4"/>
      <c r="G111" s="4"/>
      <c r="H111" s="4"/>
      <c r="I111" s="4"/>
    </row>
    <row r="112" spans="1:14">
      <c r="A112" s="4"/>
      <c r="B112" s="3" t="s">
        <v>223</v>
      </c>
      <c r="C112" s="14"/>
      <c r="D112" s="4"/>
      <c r="E112" s="4"/>
      <c r="F112" s="4"/>
      <c r="G112" s="4"/>
      <c r="H112" s="4"/>
      <c r="I112" s="4"/>
    </row>
    <row r="113" spans="1:14">
      <c r="A113" s="4"/>
      <c r="B113" s="4"/>
      <c r="C113" s="13"/>
      <c r="D113" s="4"/>
      <c r="E113" s="4"/>
      <c r="F113" s="4"/>
      <c r="G113" s="4"/>
      <c r="H113" s="4"/>
      <c r="I113" s="4"/>
    </row>
    <row r="114" spans="1:14">
      <c r="A114" s="4"/>
      <c r="B114" s="3" t="s">
        <v>224</v>
      </c>
      <c r="C114" s="14"/>
      <c r="D114" s="4"/>
      <c r="E114" s="4"/>
      <c r="F114" s="4"/>
      <c r="G114" s="4"/>
      <c r="H114" s="4"/>
      <c r="I114" s="4"/>
      <c r="J114" s="38">
        <f>SUM('Financials Monthly'!J114:U114)</f>
        <v>-158418.16666666669</v>
      </c>
      <c r="K114" s="38">
        <f>SUM('Financials Monthly'!V114:AG114)</f>
        <v>155196.00000000003</v>
      </c>
      <c r="L114" s="38">
        <f>SUM('Financials Monthly'!AH114:AS114)</f>
        <v>2328638.166666666</v>
      </c>
      <c r="M114" s="38">
        <f>SUM('Financials Monthly'!AT114:BE114)</f>
        <v>5521991.4000000004</v>
      </c>
      <c r="N114" s="38">
        <f>SUM('Financials Monthly'!BF114:BQ114)</f>
        <v>8601685.8500000015</v>
      </c>
    </row>
    <row r="115" spans="1:14">
      <c r="A115" s="4"/>
      <c r="B115" s="4"/>
      <c r="C115" s="13"/>
      <c r="D115" s="4"/>
      <c r="E115" s="4"/>
      <c r="F115" s="4"/>
      <c r="G115" s="4"/>
      <c r="H115" s="4"/>
      <c r="I115" s="4"/>
      <c r="K115" s="38"/>
      <c r="L115" s="38"/>
      <c r="M115" s="38"/>
      <c r="N115" s="38"/>
    </row>
    <row r="116" spans="1:14">
      <c r="A116" s="4"/>
      <c r="B116" s="3" t="s">
        <v>225</v>
      </c>
      <c r="C116" s="14"/>
      <c r="D116" s="4"/>
      <c r="E116" s="4"/>
      <c r="F116" s="4"/>
      <c r="G116" s="4"/>
      <c r="H116" s="4"/>
      <c r="I116" s="4"/>
      <c r="K116" s="38"/>
      <c r="L116" s="38"/>
      <c r="M116" s="38"/>
      <c r="N116" s="38"/>
    </row>
    <row r="117" spans="1:14">
      <c r="A117" s="4"/>
      <c r="B117" s="52" t="s">
        <v>226</v>
      </c>
      <c r="C117" s="13"/>
      <c r="D117" s="4"/>
      <c r="E117" s="4"/>
      <c r="F117" s="4"/>
      <c r="G117" s="4"/>
      <c r="H117" s="4"/>
      <c r="I117" s="4"/>
      <c r="J117" s="38">
        <f>SUM('Financials Monthly'!J117:U117)</f>
        <v>1077.9166666666665</v>
      </c>
      <c r="K117" s="38">
        <f>SUM('Financials Monthly'!V117:AG117)</f>
        <v>46117.500000000007</v>
      </c>
      <c r="L117" s="38">
        <f>SUM('Financials Monthly'!AH117:AS117)</f>
        <v>130974.99999999999</v>
      </c>
      <c r="M117" s="38">
        <f>SUM('Financials Monthly'!AT117:BE117)</f>
        <v>229287.5</v>
      </c>
      <c r="N117" s="38">
        <f>SUM('Financials Monthly'!BF117:BQ117)</f>
        <v>341055</v>
      </c>
    </row>
    <row r="118" spans="1:14">
      <c r="A118" s="4"/>
      <c r="B118" s="52" t="s">
        <v>227</v>
      </c>
      <c r="C118" s="13"/>
      <c r="D118" s="4"/>
      <c r="E118" s="4"/>
      <c r="F118" s="4"/>
      <c r="G118" s="4"/>
      <c r="H118" s="4"/>
      <c r="I118" s="4"/>
      <c r="J118" s="38">
        <f>SUM('Financials Monthly'!J118:U118)</f>
        <v>1093.75</v>
      </c>
      <c r="K118" s="38">
        <f>SUM('Financials Monthly'!V118:AG118)</f>
        <v>17135.416666666668</v>
      </c>
      <c r="L118" s="38">
        <f>SUM('Financials Monthly'!AH118:AS118)</f>
        <v>17500.000000000004</v>
      </c>
      <c r="M118" s="38">
        <f>SUM('Financials Monthly'!AT118:BE118)</f>
        <v>17500.000000000004</v>
      </c>
      <c r="N118" s="38">
        <f>SUM('Financials Monthly'!BF118:BQ118)</f>
        <v>17500.000000000004</v>
      </c>
    </row>
    <row r="119" spans="1:14">
      <c r="A119" s="4"/>
      <c r="B119" s="56" t="s">
        <v>228</v>
      </c>
      <c r="C119" s="18"/>
      <c r="D119" s="9"/>
      <c r="E119" s="9"/>
      <c r="F119" s="9"/>
      <c r="G119" s="9"/>
      <c r="H119" s="9"/>
      <c r="I119" s="9"/>
      <c r="J119" s="40">
        <f>SUM('Financials Monthly'!J119:U119)</f>
        <v>0</v>
      </c>
      <c r="K119" s="40">
        <f>SUM('Financials Monthly'!V119:AG119)</f>
        <v>0</v>
      </c>
      <c r="L119" s="40">
        <f>SUM('Financials Monthly'!AH119:AS119)</f>
        <v>0</v>
      </c>
      <c r="M119" s="40">
        <f>SUM('Financials Monthly'!AT119:BE119)</f>
        <v>0</v>
      </c>
      <c r="N119" s="40">
        <f>SUM('Financials Monthly'!BF119:BQ119)</f>
        <v>0</v>
      </c>
    </row>
    <row r="120" spans="1:14" s="99" customFormat="1">
      <c r="A120" s="95"/>
      <c r="B120" s="96" t="s">
        <v>229</v>
      </c>
      <c r="C120" s="97"/>
      <c r="D120" s="95"/>
      <c r="E120" s="95"/>
      <c r="F120" s="95"/>
      <c r="G120" s="95"/>
      <c r="H120" s="95"/>
      <c r="I120" s="95"/>
      <c r="J120" s="98">
        <f>SUM('Financials Monthly'!J120:U120)</f>
        <v>-156246.5</v>
      </c>
      <c r="K120" s="98">
        <f>SUM('Financials Monthly'!V120:AG120)</f>
        <v>218448.91666666666</v>
      </c>
      <c r="L120" s="98">
        <f>SUM('Financials Monthly'!AH120:AS120)</f>
        <v>2477113.166666667</v>
      </c>
      <c r="M120" s="98">
        <f>SUM('Financials Monthly'!AT120:BE120)</f>
        <v>5768778.8999999994</v>
      </c>
      <c r="N120" s="98">
        <f>SUM('Financials Monthly'!BF120:BQ120)</f>
        <v>8960240.8500000015</v>
      </c>
    </row>
    <row r="121" spans="1:14">
      <c r="A121" s="4"/>
      <c r="B121" s="4"/>
      <c r="C121" s="13"/>
      <c r="D121" s="4"/>
      <c r="E121" s="4"/>
      <c r="F121" s="4"/>
      <c r="G121" s="4"/>
      <c r="H121" s="4"/>
      <c r="I121" s="4"/>
      <c r="K121" s="38"/>
      <c r="L121" s="38"/>
      <c r="M121" s="38"/>
      <c r="N121" s="38"/>
    </row>
    <row r="122" spans="1:14">
      <c r="A122" s="4"/>
      <c r="B122" s="3" t="s">
        <v>41</v>
      </c>
      <c r="C122" s="13"/>
      <c r="D122" s="4"/>
      <c r="E122" s="4"/>
      <c r="F122" s="4"/>
      <c r="G122" s="4"/>
      <c r="H122" s="4"/>
      <c r="I122" s="4"/>
      <c r="K122" s="38"/>
      <c r="L122" s="38"/>
      <c r="M122" s="38"/>
      <c r="N122" s="38"/>
    </row>
    <row r="123" spans="1:14">
      <c r="A123" s="4"/>
      <c r="B123" s="52" t="s">
        <v>230</v>
      </c>
      <c r="C123" s="14"/>
      <c r="D123" s="4"/>
      <c r="E123" s="4"/>
      <c r="F123" s="4"/>
      <c r="G123" s="4"/>
      <c r="H123" s="4"/>
      <c r="I123" s="4"/>
      <c r="J123" s="38">
        <f>SUM('Financials Monthly'!J123:U123)</f>
        <v>-95545.88537947413</v>
      </c>
      <c r="K123" s="38">
        <f>SUM('Financials Monthly'!V123:AG123)</f>
        <v>-476073.46797274938</v>
      </c>
      <c r="L123" s="38">
        <f>SUM('Financials Monthly'!AH123:AS123)</f>
        <v>-558884.1626419886</v>
      </c>
      <c r="M123" s="38">
        <f>SUM('Financials Monthly'!AT123:BE123)</f>
        <v>-764924.56392517639</v>
      </c>
      <c r="N123" s="38">
        <f>SUM('Financials Monthly'!BF123:BQ123)</f>
        <v>-769001.29560157051</v>
      </c>
    </row>
    <row r="124" spans="1:14">
      <c r="A124" s="4"/>
      <c r="B124" s="52" t="s">
        <v>231</v>
      </c>
      <c r="C124" s="13"/>
      <c r="D124" s="4"/>
      <c r="E124" s="4"/>
      <c r="F124" s="4"/>
      <c r="G124" s="4"/>
      <c r="H124" s="4"/>
      <c r="I124" s="4"/>
      <c r="J124" s="38">
        <f>SUM('Financials Monthly'!J124:U124)</f>
        <v>0</v>
      </c>
      <c r="K124" s="38">
        <f>SUM('Financials Monthly'!V124:AG124)</f>
        <v>0</v>
      </c>
      <c r="L124" s="38">
        <f>SUM('Financials Monthly'!AH124:AS124)</f>
        <v>0</v>
      </c>
      <c r="M124" s="38">
        <f>SUM('Financials Monthly'!AT124:BE124)</f>
        <v>0</v>
      </c>
      <c r="N124" s="38">
        <f>SUM('Financials Monthly'!AU124:BF124)</f>
        <v>0</v>
      </c>
    </row>
    <row r="125" spans="1:14">
      <c r="A125" s="4"/>
      <c r="B125" s="52" t="s">
        <v>232</v>
      </c>
      <c r="C125" s="13"/>
      <c r="D125" s="4"/>
      <c r="E125" s="4"/>
      <c r="F125" s="4"/>
      <c r="G125" s="4"/>
      <c r="H125" s="4"/>
      <c r="I125" s="4"/>
      <c r="J125" s="38">
        <f>SUM('Financials Monthly'!J125:U125)</f>
        <v>111612.63796663121</v>
      </c>
      <c r="K125" s="38">
        <f>SUM('Financials Monthly'!V125:AG125)</f>
        <v>123090.95276989701</v>
      </c>
      <c r="L125" s="38">
        <f>SUM('Financials Monthly'!AH125:AS125)</f>
        <v>121928.54561421182</v>
      </c>
      <c r="M125" s="38">
        <f>SUM('Financials Monthly'!AT125:BE125)</f>
        <v>145712.35712617828</v>
      </c>
      <c r="N125" s="38">
        <f>SUM('Financials Monthly'!BF125:BQ125)</f>
        <v>173562.57738863607</v>
      </c>
    </row>
    <row r="126" spans="1:14">
      <c r="A126" s="4"/>
      <c r="B126" s="56" t="s">
        <v>233</v>
      </c>
      <c r="C126" s="18"/>
      <c r="D126" s="9"/>
      <c r="E126" s="9"/>
      <c r="F126" s="9"/>
      <c r="G126" s="9"/>
      <c r="H126" s="9"/>
      <c r="I126" s="9"/>
      <c r="J126" s="40">
        <f>SUM('Financials Monthly'!J126:U126)</f>
        <v>-10171.050000000003</v>
      </c>
      <c r="K126" s="40">
        <f>SUM('Financials Monthly'!V126:AG126)</f>
        <v>97459.750000000015</v>
      </c>
      <c r="L126" s="40">
        <f>SUM('Financials Monthly'!AH126:AS126)</f>
        <v>89866.599999999977</v>
      </c>
      <c r="M126" s="40">
        <f>SUM('Financials Monthly'!AT126:BE126)</f>
        <v>127550.40499999997</v>
      </c>
      <c r="N126" s="40">
        <f>SUM('Financials Monthly'!BF126:BQ126)</f>
        <v>118471.91499999992</v>
      </c>
    </row>
    <row r="127" spans="1:14" s="99" customFormat="1">
      <c r="A127" s="95"/>
      <c r="B127" s="96" t="s">
        <v>42</v>
      </c>
      <c r="C127" s="100"/>
      <c r="D127" s="95"/>
      <c r="E127" s="95"/>
      <c r="F127" s="95"/>
      <c r="G127" s="95"/>
      <c r="H127" s="95"/>
      <c r="I127" s="95"/>
      <c r="J127" s="98">
        <f>SUM('Financials Monthly'!J127:U127)</f>
        <v>-150350.79741284292</v>
      </c>
      <c r="K127" s="98">
        <f>SUM('Financials Monthly'!V127:AG127)</f>
        <v>-37073.848536185687</v>
      </c>
      <c r="L127" s="98">
        <f>SUM('Financials Monthly'!AH127:AS127)</f>
        <v>2130024.1496388894</v>
      </c>
      <c r="M127" s="98">
        <f>SUM('Financials Monthly'!AT127:BE127)</f>
        <v>5277117.098201002</v>
      </c>
      <c r="N127" s="98">
        <f>SUM('Financials Monthly'!BF127:BQ127)</f>
        <v>8483274.0467870664</v>
      </c>
    </row>
    <row r="128" spans="1:14">
      <c r="A128" s="4"/>
      <c r="B128" s="4"/>
      <c r="C128" s="13"/>
      <c r="D128" s="4"/>
      <c r="E128" s="4"/>
      <c r="F128" s="4"/>
      <c r="G128" s="4"/>
      <c r="H128" s="4"/>
      <c r="I128" s="4"/>
      <c r="K128" s="38"/>
      <c r="L128" s="38"/>
      <c r="M128" s="38"/>
      <c r="N128" s="38"/>
    </row>
    <row r="129" spans="1:14">
      <c r="A129" s="4"/>
      <c r="B129" s="4"/>
      <c r="C129" s="14"/>
      <c r="D129" s="4"/>
      <c r="E129" s="4"/>
      <c r="F129" s="4"/>
      <c r="G129" s="4"/>
      <c r="H129" s="4"/>
      <c r="I129" s="4"/>
      <c r="K129" s="38"/>
      <c r="L129" s="38"/>
      <c r="M129" s="38"/>
      <c r="N129" s="38"/>
    </row>
    <row r="130" spans="1:14">
      <c r="A130" s="4"/>
      <c r="B130" s="3" t="s">
        <v>234</v>
      </c>
      <c r="C130" s="13"/>
      <c r="D130" s="4"/>
      <c r="E130" s="4"/>
      <c r="F130" s="4"/>
      <c r="G130" s="4"/>
      <c r="H130" s="4"/>
      <c r="I130" s="4"/>
      <c r="K130" s="38"/>
      <c r="L130" s="38"/>
      <c r="M130" s="38"/>
      <c r="N130" s="38"/>
    </row>
    <row r="131" spans="1:14">
      <c r="A131" s="4"/>
      <c r="B131" s="4"/>
      <c r="C131" s="14"/>
      <c r="D131" s="4"/>
      <c r="E131" s="4"/>
      <c r="F131" s="4"/>
      <c r="G131" s="4"/>
      <c r="H131" s="4"/>
      <c r="I131" s="4"/>
      <c r="K131" s="38"/>
      <c r="L131" s="38"/>
      <c r="M131" s="38"/>
      <c r="N131" s="38"/>
    </row>
    <row r="132" spans="1:14">
      <c r="A132" s="4"/>
      <c r="B132" s="3" t="s">
        <v>42</v>
      </c>
      <c r="C132" s="13"/>
      <c r="D132" s="4"/>
      <c r="E132" s="4"/>
      <c r="F132" s="4"/>
      <c r="G132" s="4"/>
      <c r="H132" s="4"/>
      <c r="I132" s="4"/>
      <c r="K132" s="38"/>
      <c r="L132" s="38"/>
      <c r="M132" s="38"/>
      <c r="N132" s="38"/>
    </row>
    <row r="133" spans="1:14">
      <c r="A133" s="4"/>
      <c r="B133" s="52" t="s">
        <v>235</v>
      </c>
      <c r="C133" s="13"/>
      <c r="D133" s="4"/>
      <c r="E133" s="4"/>
      <c r="F133" s="4"/>
      <c r="G133" s="4"/>
      <c r="H133" s="4"/>
      <c r="I133" s="4"/>
      <c r="J133" s="38">
        <f>SUM('Financials Monthly'!J133:U133)</f>
        <v>0</v>
      </c>
      <c r="K133" s="38">
        <f>SUM('Financials Monthly'!V133:AG133)</f>
        <v>0</v>
      </c>
      <c r="L133" s="38">
        <f>SUM('Financials Monthly'!AH133:AS133)</f>
        <v>0</v>
      </c>
      <c r="M133" s="38">
        <f>SUM('Financials Monthly'!AT133:BE133)</f>
        <v>0</v>
      </c>
      <c r="N133" s="38">
        <f>SUM('Financials Monthly'!BF133:BQ133)</f>
        <v>0</v>
      </c>
    </row>
    <row r="134" spans="1:14">
      <c r="A134" s="4"/>
      <c r="B134" s="56" t="s">
        <v>236</v>
      </c>
      <c r="C134" s="55"/>
      <c r="D134" s="9"/>
      <c r="E134" s="9"/>
      <c r="F134" s="9"/>
      <c r="G134" s="9"/>
      <c r="H134" s="9"/>
      <c r="I134" s="9"/>
      <c r="J134" s="40">
        <f>SUM('Financials Monthly'!J134:U134)</f>
        <v>0</v>
      </c>
      <c r="K134" s="40">
        <f>SUM('Financials Monthly'!V134:AG134)</f>
        <v>0</v>
      </c>
      <c r="L134" s="40">
        <f>SUM('Financials Monthly'!AH134:AS134)</f>
        <v>0</v>
      </c>
      <c r="M134" s="40">
        <f>SUM('Financials Monthly'!AT134:BE134)</f>
        <v>-582159.54166666651</v>
      </c>
      <c r="N134" s="40">
        <f>SUM('Financials Monthly'!BF134:BQ134)</f>
        <v>-1380497.85</v>
      </c>
    </row>
    <row r="135" spans="1:14">
      <c r="A135" s="4"/>
      <c r="B135" s="53" t="s">
        <v>43</v>
      </c>
      <c r="C135" s="13"/>
      <c r="D135" s="4"/>
      <c r="E135" s="4"/>
      <c r="F135" s="4"/>
      <c r="G135" s="4"/>
      <c r="H135" s="4"/>
      <c r="I135" s="4"/>
      <c r="J135" s="60">
        <f>SUM('Financials Monthly'!J135:U135)</f>
        <v>-150350.79741284292</v>
      </c>
      <c r="K135" s="60">
        <f>SUM('Financials Monthly'!V135:AG135)</f>
        <v>-37073.848536185687</v>
      </c>
      <c r="L135" s="60">
        <f>SUM('Financials Monthly'!AH135:AS135)</f>
        <v>2130024.1496388894</v>
      </c>
      <c r="M135" s="60">
        <f>SUM('Financials Monthly'!AT135:BE135)</f>
        <v>4694957.556534335</v>
      </c>
      <c r="N135" s="60">
        <f>SUM('Financials Monthly'!BF135:BQ135)</f>
        <v>7102776.1967870668</v>
      </c>
    </row>
    <row r="136" spans="1:14">
      <c r="A136" s="4"/>
      <c r="B136" s="4"/>
      <c r="C136" s="14"/>
      <c r="D136" s="4"/>
      <c r="E136" s="4"/>
      <c r="F136" s="4"/>
      <c r="G136" s="4"/>
      <c r="H136" s="4"/>
      <c r="I136" s="4"/>
      <c r="K136" s="38"/>
      <c r="L136" s="38"/>
      <c r="M136" s="38"/>
      <c r="N136" s="38"/>
    </row>
    <row r="137" spans="1:14">
      <c r="A137" s="4"/>
      <c r="B137" s="3" t="s">
        <v>44</v>
      </c>
      <c r="C137" s="13"/>
      <c r="D137" s="4"/>
      <c r="E137" s="4"/>
      <c r="F137" s="4"/>
      <c r="G137" s="4"/>
      <c r="H137" s="4"/>
      <c r="I137" s="4"/>
      <c r="K137" s="38"/>
      <c r="L137" s="38"/>
      <c r="M137" s="38"/>
      <c r="N137" s="38"/>
    </row>
    <row r="138" spans="1:14">
      <c r="A138" s="4"/>
      <c r="B138" s="52" t="s">
        <v>237</v>
      </c>
      <c r="C138" s="13"/>
      <c r="D138" s="4"/>
      <c r="E138" s="4"/>
      <c r="F138" s="4"/>
      <c r="G138" s="4"/>
      <c r="H138" s="4"/>
      <c r="I138" s="4"/>
      <c r="J138" s="38">
        <f>SUM('Financials Monthly'!J138:U138)</f>
        <v>0</v>
      </c>
      <c r="K138" s="38">
        <f>SUM('Financials Monthly'!V138:AG138)</f>
        <v>0</v>
      </c>
      <c r="L138" s="38">
        <f>SUM('Financials Monthly'!AH138:AS138)</f>
        <v>0</v>
      </c>
      <c r="M138" s="38">
        <f>SUM('Financials Monthly'!AT138:BE138)</f>
        <v>0</v>
      </c>
      <c r="N138" s="38">
        <f>SUM('Financials Monthly'!BF138:BQ138)</f>
        <v>0</v>
      </c>
    </row>
    <row r="139" spans="1:14">
      <c r="A139" s="4"/>
      <c r="B139" s="52" t="s">
        <v>238</v>
      </c>
      <c r="C139" s="13"/>
      <c r="D139" s="4"/>
      <c r="E139" s="4"/>
      <c r="F139" s="4"/>
      <c r="G139" s="4"/>
      <c r="H139" s="4"/>
      <c r="I139" s="4"/>
      <c r="J139" s="38">
        <f>SUM('Financials Monthly'!J139:U139)</f>
        <v>0</v>
      </c>
      <c r="K139" s="38">
        <f>SUM('Financials Monthly'!V139:AG139)</f>
        <v>0</v>
      </c>
      <c r="L139" s="38">
        <f>SUM('Financials Monthly'!AH139:AS139)</f>
        <v>0</v>
      </c>
      <c r="M139" s="38">
        <f>SUM('Financials Monthly'!AT139:BE139)</f>
        <v>0</v>
      </c>
      <c r="N139" s="38">
        <f>SUM('Financials Monthly'!BF139:BQ139)</f>
        <v>0</v>
      </c>
    </row>
    <row r="140" spans="1:14">
      <c r="A140" s="4"/>
      <c r="B140" s="56" t="s">
        <v>239</v>
      </c>
      <c r="C140" s="18"/>
      <c r="D140" s="9"/>
      <c r="E140" s="9"/>
      <c r="F140" s="9"/>
      <c r="G140" s="9"/>
      <c r="H140" s="9"/>
      <c r="I140" s="9"/>
      <c r="J140" s="40">
        <f>SUM('Financials Monthly'!J140:U140)</f>
        <v>-100170</v>
      </c>
      <c r="K140" s="40">
        <f>SUM('Financials Monthly'!V140:AG140)</f>
        <v>-363050</v>
      </c>
      <c r="L140" s="40">
        <f>SUM('Financials Monthly'!AH140:AS140)</f>
        <v>-364680</v>
      </c>
      <c r="M140" s="40">
        <f>SUM('Financials Monthly'!AT140:BE140)</f>
        <v>-414960</v>
      </c>
      <c r="N140" s="40">
        <f>SUM('Financials Monthly'!BF140:BQ140)</f>
        <v>-474240</v>
      </c>
    </row>
    <row r="141" spans="1:14">
      <c r="A141" s="4"/>
      <c r="B141" s="53" t="s">
        <v>45</v>
      </c>
      <c r="C141" s="13"/>
      <c r="D141" s="4"/>
      <c r="E141" s="4"/>
      <c r="F141" s="4"/>
      <c r="G141" s="4"/>
      <c r="H141" s="4"/>
      <c r="I141" s="4"/>
      <c r="J141" s="60">
        <f>SUM('Financials Monthly'!J141:U141)</f>
        <v>-100170</v>
      </c>
      <c r="K141" s="60">
        <f>SUM('Financials Monthly'!V141:AG141)</f>
        <v>-363050</v>
      </c>
      <c r="L141" s="60">
        <f>SUM('Financials Monthly'!AH141:AS141)</f>
        <v>-364680</v>
      </c>
      <c r="M141" s="60">
        <f>SUM('Financials Monthly'!AT141:BE141)</f>
        <v>-414960</v>
      </c>
      <c r="N141" s="60">
        <f>SUM('Financials Monthly'!BF141:BQ141)</f>
        <v>-474240</v>
      </c>
    </row>
    <row r="142" spans="1:14">
      <c r="A142" s="4"/>
      <c r="B142" s="4"/>
      <c r="C142" s="13"/>
      <c r="D142" s="4"/>
      <c r="E142" s="4"/>
      <c r="F142" s="4"/>
      <c r="G142" s="4"/>
      <c r="H142" s="4"/>
      <c r="I142" s="4"/>
      <c r="K142" s="38"/>
      <c r="L142" s="38"/>
      <c r="M142" s="38"/>
      <c r="N142" s="38"/>
    </row>
    <row r="143" spans="1:14">
      <c r="A143" s="4"/>
      <c r="B143" s="3" t="s">
        <v>46</v>
      </c>
      <c r="C143" s="13"/>
      <c r="D143" s="4"/>
      <c r="E143" s="4"/>
      <c r="F143" s="4"/>
      <c r="G143" s="4"/>
      <c r="H143" s="4"/>
      <c r="I143" s="4"/>
      <c r="K143" s="38"/>
      <c r="L143" s="38"/>
      <c r="M143" s="38"/>
      <c r="N143" s="38"/>
    </row>
    <row r="144" spans="1:14">
      <c r="A144" s="4"/>
      <c r="B144" s="52" t="s">
        <v>240</v>
      </c>
      <c r="C144" s="13"/>
      <c r="D144" s="4"/>
      <c r="E144" s="4"/>
      <c r="F144" s="4"/>
      <c r="G144" s="4"/>
      <c r="H144" s="4"/>
      <c r="I144" s="4"/>
      <c r="J144" s="38">
        <f>SUM('Financials Monthly'!J144:U144)</f>
        <v>0</v>
      </c>
      <c r="K144" s="38">
        <f>SUM('Financials Monthly'!V144:AG144)</f>
        <v>0</v>
      </c>
      <c r="L144" s="38">
        <f>SUM('Financials Monthly'!AH144:AS144)</f>
        <v>0</v>
      </c>
      <c r="M144" s="38">
        <f>SUM('Financials Monthly'!AT144:BE144)</f>
        <v>0</v>
      </c>
      <c r="N144" s="38">
        <f>SUM('Financials Monthly'!BF144:BQ144)</f>
        <v>0</v>
      </c>
    </row>
    <row r="145" spans="1:14">
      <c r="A145" s="4"/>
      <c r="B145" s="52" t="s">
        <v>241</v>
      </c>
      <c r="C145" s="14"/>
      <c r="D145" s="4"/>
      <c r="E145" s="4"/>
      <c r="F145" s="4"/>
      <c r="G145" s="4"/>
      <c r="H145" s="4"/>
      <c r="I145" s="4"/>
      <c r="J145" s="38">
        <f>SUM('Financials Monthly'!J145:U145)</f>
        <v>0</v>
      </c>
      <c r="K145" s="38">
        <f>SUM('Financials Monthly'!V145:AG145)</f>
        <v>0</v>
      </c>
      <c r="L145" s="38">
        <f>SUM('Financials Monthly'!AH145:AS145)</f>
        <v>0</v>
      </c>
      <c r="M145" s="38">
        <f>SUM('Financials Monthly'!AT145:BE145)</f>
        <v>0</v>
      </c>
      <c r="N145" s="38">
        <f>SUM('Financials Monthly'!BF145:BQ145)</f>
        <v>0</v>
      </c>
    </row>
    <row r="146" spans="1:14">
      <c r="A146" s="4"/>
      <c r="B146" s="53" t="s">
        <v>47</v>
      </c>
      <c r="C146" s="13"/>
      <c r="D146" s="4"/>
      <c r="E146" s="4"/>
      <c r="F146" s="4"/>
      <c r="G146" s="4"/>
      <c r="H146" s="4"/>
      <c r="I146" s="4"/>
      <c r="J146" s="38">
        <f>SUM('Financials Monthly'!J146:U146)</f>
        <v>0</v>
      </c>
      <c r="K146" s="38">
        <f>SUM('Financials Monthly'!V146:AG146)</f>
        <v>0</v>
      </c>
      <c r="L146" s="38">
        <f>SUM('Financials Monthly'!AH146:AS146)</f>
        <v>0</v>
      </c>
      <c r="M146" s="38">
        <f>SUM('Financials Monthly'!AT146:BE146)</f>
        <v>0</v>
      </c>
      <c r="N146" s="38">
        <f>SUM('Financials Monthly'!BF146:BQ146)</f>
        <v>0</v>
      </c>
    </row>
    <row r="147" spans="1:14">
      <c r="A147" s="4"/>
      <c r="B147" s="4"/>
      <c r="C147" s="13"/>
      <c r="D147" s="4"/>
      <c r="E147" s="4"/>
      <c r="F147" s="4"/>
      <c r="G147" s="4"/>
      <c r="H147" s="4"/>
      <c r="I147" s="4"/>
      <c r="K147" s="38">
        <f>SUM('Financials Monthly'!V147:AG147)</f>
        <v>0</v>
      </c>
      <c r="L147" s="38">
        <f>SUM('Financials Monthly'!AH147:AS147)</f>
        <v>0</v>
      </c>
      <c r="M147" s="38">
        <f>SUM('Financials Monthly'!AT147:BE147)</f>
        <v>0</v>
      </c>
      <c r="N147" s="38">
        <f>SUM('Financials Monthly'!BF147:BQ147)</f>
        <v>0</v>
      </c>
    </row>
    <row r="148" spans="1:14">
      <c r="A148" s="4"/>
      <c r="B148" s="3" t="s">
        <v>48</v>
      </c>
      <c r="C148" s="13"/>
      <c r="D148" s="4"/>
      <c r="E148" s="4"/>
      <c r="F148" s="4"/>
      <c r="G148" s="4"/>
      <c r="H148" s="4"/>
      <c r="I148" s="4"/>
      <c r="J148" s="60">
        <f>SUM('Financials Monthly'!J148:U148)</f>
        <v>-250520.79741284292</v>
      </c>
      <c r="K148" s="60">
        <f>SUM('Financials Monthly'!V148:AG148)</f>
        <v>-400123.84853618569</v>
      </c>
      <c r="L148" s="60">
        <f>SUM('Financials Monthly'!AH148:AS148)</f>
        <v>1765344.1496388894</v>
      </c>
      <c r="M148" s="60">
        <f>SUM('Financials Monthly'!AT148:BE148)</f>
        <v>4279997.556534335</v>
      </c>
      <c r="N148" s="60">
        <f>SUM('Financials Monthly'!BF148:BQ148)</f>
        <v>6628536.1967870668</v>
      </c>
    </row>
    <row r="149" spans="1:14">
      <c r="A149" s="4"/>
      <c r="B149" s="4" t="s">
        <v>242</v>
      </c>
      <c r="C149" s="14"/>
      <c r="D149" s="4"/>
      <c r="E149" s="4"/>
      <c r="F149" s="4"/>
      <c r="G149" s="4"/>
      <c r="H149" s="4"/>
      <c r="I149" s="4"/>
      <c r="J149">
        <f>'Financials Monthly'!J149</f>
        <v>0</v>
      </c>
      <c r="K149" s="83">
        <f>'Financials Monthly'!V149</f>
        <v>-250520.79741284292</v>
      </c>
      <c r="L149" s="83">
        <f>'Financials Monthly'!AH149</f>
        <v>-650644.64594902878</v>
      </c>
      <c r="M149" s="83">
        <f>'Financials Monthly'!AT149</f>
        <v>1114699.5036898609</v>
      </c>
      <c r="N149" s="83">
        <f>'Financials Monthly'!BF149</f>
        <v>5394697.060224195</v>
      </c>
    </row>
    <row r="150" spans="1:14" s="89" customFormat="1">
      <c r="A150" s="86"/>
      <c r="B150" s="86" t="s">
        <v>243</v>
      </c>
      <c r="C150" s="87"/>
      <c r="D150" s="86"/>
      <c r="E150" s="86"/>
      <c r="F150" s="86"/>
      <c r="G150" s="86"/>
      <c r="H150" s="86"/>
      <c r="I150" s="86"/>
      <c r="J150" s="88">
        <f>'Financials Monthly'!U150</f>
        <v>-250520.79741284292</v>
      </c>
      <c r="K150" s="88">
        <f>'Financials Monthly'!AG150</f>
        <v>-650644.64594902878</v>
      </c>
      <c r="L150" s="88">
        <f>'Financials Monthly'!AS150</f>
        <v>1114699.5036898609</v>
      </c>
      <c r="M150" s="88">
        <f>'Financials Monthly'!BE150</f>
        <v>5394697.060224195</v>
      </c>
      <c r="N150" s="88">
        <f>'Financials Monthly'!BQ150</f>
        <v>12023233.257011263</v>
      </c>
    </row>
    <row r="151" spans="1:14">
      <c r="A151" s="4"/>
      <c r="B151" s="14" t="s">
        <v>346</v>
      </c>
      <c r="C151" s="13"/>
      <c r="D151" s="4"/>
      <c r="E151" s="4"/>
      <c r="F151" s="4"/>
      <c r="G151" s="4"/>
      <c r="H151" s="4"/>
      <c r="I151" s="4"/>
      <c r="J151" s="48">
        <f>SUM(J148:J149)-J150</f>
        <v>0</v>
      </c>
      <c r="K151" s="48">
        <f>SUM(K148:K149)-K150</f>
        <v>0</v>
      </c>
      <c r="L151" s="48">
        <f>SUM(L148:L149)-L150</f>
        <v>0</v>
      </c>
      <c r="M151" s="48">
        <f>SUM(M148:M149)-M150</f>
        <v>0</v>
      </c>
      <c r="N151" s="48">
        <f>SUM(N148:N149)-N150</f>
        <v>0</v>
      </c>
    </row>
    <row r="152" spans="1:14">
      <c r="A152" s="4"/>
      <c r="B152" s="13"/>
      <c r="C152" s="13"/>
      <c r="D152" s="4"/>
      <c r="E152" s="4"/>
      <c r="F152" s="4"/>
      <c r="G152" s="4"/>
      <c r="H152" s="4"/>
      <c r="I152" s="4"/>
    </row>
    <row r="153" spans="1:14">
      <c r="A153" s="4"/>
      <c r="B153" s="27" t="str">
        <f>REPT("End of Sheet                                                                                   ",200)</f>
        <v xml:space="preserve">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v>
      </c>
      <c r="C153" s="28"/>
      <c r="D153" s="4"/>
      <c r="E153" s="4"/>
      <c r="F153" s="4"/>
      <c r="G153" s="4"/>
      <c r="H153" s="4"/>
      <c r="I153" s="4"/>
    </row>
  </sheetData>
  <mergeCells count="3">
    <mergeCell ref="B4:C4"/>
    <mergeCell ref="B64:C64"/>
    <mergeCell ref="B110:C110"/>
  </mergeCell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153"/>
  <sheetViews>
    <sheetView zoomScale="167" workbookViewId="0">
      <pane xSplit="3" ySplit="3" topLeftCell="AM146" activePane="bottomRight" state="frozen"/>
      <selection pane="topRight" activeCell="D1" sqref="D1"/>
      <selection pane="bottomLeft" activeCell="A4" sqref="A4"/>
      <selection pane="bottomRight" activeCell="U61" sqref="U61"/>
    </sheetView>
  </sheetViews>
  <sheetFormatPr defaultColWidth="8.77734375" defaultRowHeight="13.8"/>
  <cols>
    <col min="1" max="2" width="8.77734375" style="4"/>
    <col min="3" max="3" width="35.6640625" style="4" bestFit="1" customWidth="1"/>
    <col min="4" max="4" width="1.6640625" style="4" customWidth="1"/>
    <col min="5" max="9" width="0" style="4" hidden="1" customWidth="1"/>
    <col min="10" max="10" width="9.33203125" style="4" bestFit="1" customWidth="1"/>
    <col min="11" max="11" width="9.109375" style="4" bestFit="1" customWidth="1"/>
    <col min="12" max="12" width="9.6640625" style="4" bestFit="1" customWidth="1"/>
    <col min="13" max="17" width="9.33203125" style="4" bestFit="1" customWidth="1"/>
    <col min="18" max="18" width="10.109375" style="4" bestFit="1" customWidth="1"/>
    <col min="19" max="19" width="10.33203125" style="4" bestFit="1" customWidth="1"/>
    <col min="20" max="20" width="11.77734375" style="4" bestFit="1" customWidth="1"/>
    <col min="21" max="21" width="10.33203125" style="4" bestFit="1" customWidth="1"/>
    <col min="22" max="42" width="10.77734375" style="4" bestFit="1" customWidth="1"/>
    <col min="43" max="57" width="11.77734375" style="4" bestFit="1" customWidth="1"/>
    <col min="58" max="69" width="10" style="4" bestFit="1" customWidth="1"/>
    <col min="70" max="16384" width="8.77734375" style="4"/>
  </cols>
  <sheetData>
    <row r="1" spans="1:71">
      <c r="A1" s="3" t="s">
        <v>80</v>
      </c>
      <c r="J1" s="59" t="s">
        <v>345</v>
      </c>
      <c r="K1" s="59" t="s">
        <v>345</v>
      </c>
      <c r="L1" s="59" t="s">
        <v>345</v>
      </c>
      <c r="M1" s="59" t="s">
        <v>345</v>
      </c>
      <c r="N1" s="59" t="s">
        <v>345</v>
      </c>
      <c r="O1" s="59" t="s">
        <v>345</v>
      </c>
      <c r="P1" s="59" t="s">
        <v>345</v>
      </c>
      <c r="Q1" s="59" t="s">
        <v>345</v>
      </c>
    </row>
    <row r="2" spans="1:71">
      <c r="A2" s="3" t="s">
        <v>348</v>
      </c>
      <c r="J2" s="6">
        <f>Timing!J2</f>
        <v>44986</v>
      </c>
      <c r="K2" s="6">
        <f>Timing!K2</f>
        <v>45017</v>
      </c>
      <c r="L2" s="6">
        <f>Timing!L2</f>
        <v>45047</v>
      </c>
      <c r="M2" s="6">
        <f>Timing!M2</f>
        <v>45078</v>
      </c>
      <c r="N2" s="6">
        <f>Timing!N2</f>
        <v>45108</v>
      </c>
      <c r="O2" s="6">
        <f>Timing!O2</f>
        <v>45139</v>
      </c>
      <c r="P2" s="6">
        <f>Timing!P2</f>
        <v>45170</v>
      </c>
      <c r="Q2" s="6">
        <f>Timing!Q2</f>
        <v>45200</v>
      </c>
      <c r="R2" s="6">
        <f>Timing!R2</f>
        <v>45231</v>
      </c>
      <c r="S2" s="6">
        <f>Timing!S2</f>
        <v>45261</v>
      </c>
      <c r="T2" s="6">
        <f>Timing!T2</f>
        <v>45292</v>
      </c>
      <c r="U2" s="6">
        <f>Timing!U2</f>
        <v>45323</v>
      </c>
      <c r="V2" s="6">
        <f>Timing!V2</f>
        <v>45352</v>
      </c>
      <c r="W2" s="6">
        <f>Timing!W2</f>
        <v>45383</v>
      </c>
      <c r="X2" s="6">
        <f>Timing!X2</f>
        <v>45413</v>
      </c>
      <c r="Y2" s="6">
        <f>Timing!Y2</f>
        <v>45444</v>
      </c>
      <c r="Z2" s="6">
        <f>Timing!Z2</f>
        <v>45474</v>
      </c>
      <c r="AA2" s="6">
        <f>Timing!AA2</f>
        <v>45505</v>
      </c>
      <c r="AB2" s="6">
        <f>Timing!AB2</f>
        <v>45536</v>
      </c>
      <c r="AC2" s="6">
        <f>Timing!AC2</f>
        <v>45566</v>
      </c>
      <c r="AD2" s="6">
        <f>Timing!AD2</f>
        <v>45597</v>
      </c>
      <c r="AE2" s="6">
        <f>Timing!AE2</f>
        <v>45627</v>
      </c>
      <c r="AF2" s="6">
        <f>Timing!AF2</f>
        <v>45658</v>
      </c>
      <c r="AG2" s="6">
        <f>Timing!AG2</f>
        <v>45689</v>
      </c>
      <c r="AH2" s="6">
        <f>Timing!AH2</f>
        <v>45717</v>
      </c>
      <c r="AI2" s="6">
        <f>Timing!AI2</f>
        <v>45748</v>
      </c>
      <c r="AJ2" s="6">
        <f>Timing!AJ2</f>
        <v>45778</v>
      </c>
      <c r="AK2" s="6">
        <f>Timing!AK2</f>
        <v>45809</v>
      </c>
      <c r="AL2" s="6">
        <f>Timing!AL2</f>
        <v>45839</v>
      </c>
      <c r="AM2" s="6">
        <f>Timing!AM2</f>
        <v>45870</v>
      </c>
      <c r="AN2" s="6">
        <f>Timing!AN2</f>
        <v>45901</v>
      </c>
      <c r="AO2" s="6">
        <f>Timing!AO2</f>
        <v>45931</v>
      </c>
      <c r="AP2" s="6">
        <f>Timing!AP2</f>
        <v>45962</v>
      </c>
      <c r="AQ2" s="6">
        <f>Timing!AQ2</f>
        <v>45992</v>
      </c>
      <c r="AR2" s="6">
        <f>Timing!AR2</f>
        <v>46023</v>
      </c>
      <c r="AS2" s="6">
        <f>Timing!AS2</f>
        <v>46054</v>
      </c>
      <c r="AT2" s="6">
        <f>Timing!AT2</f>
        <v>46082</v>
      </c>
      <c r="AU2" s="6">
        <f>Timing!AU2</f>
        <v>46113</v>
      </c>
      <c r="AV2" s="6">
        <f>Timing!AV2</f>
        <v>46143</v>
      </c>
      <c r="AW2" s="6">
        <f>Timing!AW2</f>
        <v>46174</v>
      </c>
      <c r="AX2" s="6">
        <f>Timing!AX2</f>
        <v>46204</v>
      </c>
      <c r="AY2" s="6">
        <f>Timing!AY2</f>
        <v>46235</v>
      </c>
      <c r="AZ2" s="6">
        <f>Timing!AZ2</f>
        <v>46266</v>
      </c>
      <c r="BA2" s="6">
        <f>Timing!BA2</f>
        <v>46296</v>
      </c>
      <c r="BB2" s="6">
        <f>Timing!BB2</f>
        <v>46327</v>
      </c>
      <c r="BC2" s="6">
        <f>Timing!BC2</f>
        <v>46357</v>
      </c>
      <c r="BD2" s="6">
        <f>Timing!BD2</f>
        <v>46388</v>
      </c>
      <c r="BE2" s="6">
        <f>Timing!BE2</f>
        <v>46419</v>
      </c>
      <c r="BF2" s="6">
        <f>Timing!BF2</f>
        <v>46447</v>
      </c>
      <c r="BG2" s="6">
        <f>Timing!BG2</f>
        <v>46478</v>
      </c>
      <c r="BH2" s="6">
        <f>Timing!BH2</f>
        <v>46508</v>
      </c>
      <c r="BI2" s="6">
        <f>Timing!BI2</f>
        <v>46539</v>
      </c>
      <c r="BJ2" s="6">
        <f>Timing!BJ2</f>
        <v>46569</v>
      </c>
      <c r="BK2" s="6">
        <f>Timing!BK2</f>
        <v>46600</v>
      </c>
      <c r="BL2" s="6">
        <f>Timing!BL2</f>
        <v>46631</v>
      </c>
      <c r="BM2" s="6">
        <f>Timing!BM2</f>
        <v>46661</v>
      </c>
      <c r="BN2" s="6">
        <f>Timing!BN2</f>
        <v>46692</v>
      </c>
      <c r="BO2" s="6">
        <f>Timing!BO2</f>
        <v>46722</v>
      </c>
      <c r="BP2" s="6">
        <f>Timing!BP2</f>
        <v>46753</v>
      </c>
      <c r="BQ2" s="6">
        <f>Timing!BQ2</f>
        <v>46784</v>
      </c>
      <c r="BR2" s="6"/>
      <c r="BS2" s="6"/>
    </row>
    <row r="3" spans="1:71">
      <c r="J3" s="6">
        <f>Timing!J3</f>
        <v>45016</v>
      </c>
      <c r="K3" s="6">
        <f>Timing!K3</f>
        <v>45046</v>
      </c>
      <c r="L3" s="6">
        <f>Timing!L3</f>
        <v>45077</v>
      </c>
      <c r="M3" s="6">
        <f>Timing!M3</f>
        <v>45107</v>
      </c>
      <c r="N3" s="6">
        <f>Timing!N3</f>
        <v>45138</v>
      </c>
      <c r="O3" s="6">
        <f>Timing!O3</f>
        <v>45169</v>
      </c>
      <c r="P3" s="6">
        <f>Timing!P3</f>
        <v>45199</v>
      </c>
      <c r="Q3" s="6">
        <f>Timing!Q3</f>
        <v>45230</v>
      </c>
      <c r="R3" s="6">
        <f>Timing!R3</f>
        <v>45260</v>
      </c>
      <c r="S3" s="6">
        <f>Timing!S3</f>
        <v>45291</v>
      </c>
      <c r="T3" s="6">
        <f>Timing!T3</f>
        <v>45322</v>
      </c>
      <c r="U3" s="6">
        <f>Timing!U3</f>
        <v>45351</v>
      </c>
      <c r="V3" s="6">
        <f>Timing!V3</f>
        <v>45382</v>
      </c>
      <c r="W3" s="6">
        <f>Timing!W3</f>
        <v>45412</v>
      </c>
      <c r="X3" s="6">
        <f>Timing!X3</f>
        <v>45443</v>
      </c>
      <c r="Y3" s="6">
        <f>Timing!Y3</f>
        <v>45473</v>
      </c>
      <c r="Z3" s="6">
        <f>Timing!Z3</f>
        <v>45504</v>
      </c>
      <c r="AA3" s="6">
        <f>Timing!AA3</f>
        <v>45535</v>
      </c>
      <c r="AB3" s="6">
        <f>Timing!AB3</f>
        <v>45565</v>
      </c>
      <c r="AC3" s="6">
        <f>Timing!AC3</f>
        <v>45596</v>
      </c>
      <c r="AD3" s="6">
        <f>Timing!AD3</f>
        <v>45626</v>
      </c>
      <c r="AE3" s="6">
        <f>Timing!AE3</f>
        <v>45657</v>
      </c>
      <c r="AF3" s="6">
        <f>Timing!AF3</f>
        <v>45688</v>
      </c>
      <c r="AG3" s="6">
        <f>Timing!AG3</f>
        <v>45716</v>
      </c>
      <c r="AH3" s="6">
        <f>Timing!AH3</f>
        <v>45747</v>
      </c>
      <c r="AI3" s="6">
        <f>Timing!AI3</f>
        <v>45777</v>
      </c>
      <c r="AJ3" s="6">
        <f>Timing!AJ3</f>
        <v>45808</v>
      </c>
      <c r="AK3" s="6">
        <f>Timing!AK3</f>
        <v>45838</v>
      </c>
      <c r="AL3" s="6">
        <f>Timing!AL3</f>
        <v>45869</v>
      </c>
      <c r="AM3" s="6">
        <f>Timing!AM3</f>
        <v>45900</v>
      </c>
      <c r="AN3" s="6">
        <f>Timing!AN3</f>
        <v>45930</v>
      </c>
      <c r="AO3" s="6">
        <f>Timing!AO3</f>
        <v>45961</v>
      </c>
      <c r="AP3" s="6">
        <f>Timing!AP3</f>
        <v>45991</v>
      </c>
      <c r="AQ3" s="6">
        <f>Timing!AQ3</f>
        <v>46022</v>
      </c>
      <c r="AR3" s="6">
        <f>Timing!AR3</f>
        <v>46053</v>
      </c>
      <c r="AS3" s="6">
        <f>Timing!AS3</f>
        <v>46081</v>
      </c>
      <c r="AT3" s="6">
        <f>Timing!AT3</f>
        <v>46112</v>
      </c>
      <c r="AU3" s="6">
        <f>Timing!AU3</f>
        <v>46142</v>
      </c>
      <c r="AV3" s="6">
        <f>Timing!AV3</f>
        <v>46173</v>
      </c>
      <c r="AW3" s="6">
        <f>Timing!AW3</f>
        <v>46203</v>
      </c>
      <c r="AX3" s="6">
        <f>Timing!AX3</f>
        <v>46234</v>
      </c>
      <c r="AY3" s="6">
        <f>Timing!AY3</f>
        <v>46265</v>
      </c>
      <c r="AZ3" s="6">
        <f>Timing!AZ3</f>
        <v>46295</v>
      </c>
      <c r="BA3" s="6">
        <f>Timing!BA3</f>
        <v>46326</v>
      </c>
      <c r="BB3" s="6">
        <f>Timing!BB3</f>
        <v>46356</v>
      </c>
      <c r="BC3" s="6">
        <f>Timing!BC3</f>
        <v>46387</v>
      </c>
      <c r="BD3" s="6">
        <f>Timing!BD3</f>
        <v>46418</v>
      </c>
      <c r="BE3" s="6">
        <f>Timing!BE3</f>
        <v>46446</v>
      </c>
      <c r="BF3" s="6">
        <f>Timing!BF3</f>
        <v>46477</v>
      </c>
      <c r="BG3" s="6">
        <f>Timing!BG3</f>
        <v>46507</v>
      </c>
      <c r="BH3" s="6">
        <f>Timing!BH3</f>
        <v>46538</v>
      </c>
      <c r="BI3" s="6">
        <f>Timing!BI3</f>
        <v>46568</v>
      </c>
      <c r="BJ3" s="6">
        <f>Timing!BJ3</f>
        <v>46599</v>
      </c>
      <c r="BK3" s="6">
        <f>Timing!BK3</f>
        <v>46630</v>
      </c>
      <c r="BL3" s="6">
        <f>Timing!BL3</f>
        <v>46660</v>
      </c>
      <c r="BM3" s="6">
        <f>Timing!BM3</f>
        <v>46691</v>
      </c>
      <c r="BN3" s="6">
        <f>Timing!BN3</f>
        <v>46721</v>
      </c>
      <c r="BO3" s="6">
        <f>Timing!BO3</f>
        <v>46752</v>
      </c>
      <c r="BP3" s="6">
        <f>Timing!BP3</f>
        <v>46783</v>
      </c>
      <c r="BQ3" s="6">
        <f>Timing!BQ3</f>
        <v>46812</v>
      </c>
      <c r="BR3" s="6"/>
      <c r="BS3" s="6"/>
    </row>
    <row r="4" spans="1:71" s="120" customFormat="1" ht="13.05" customHeight="1">
      <c r="A4" s="118"/>
      <c r="B4" s="142" t="s">
        <v>394</v>
      </c>
      <c r="C4" s="142"/>
      <c r="D4" s="118"/>
      <c r="E4" s="118"/>
      <c r="F4" s="118"/>
      <c r="G4" s="118"/>
      <c r="H4" s="118"/>
      <c r="I4" s="118"/>
      <c r="J4" s="119"/>
      <c r="K4" s="119"/>
      <c r="L4" s="119"/>
      <c r="M4" s="119"/>
      <c r="N4" s="119"/>
    </row>
    <row r="5" spans="1:71">
      <c r="B5" s="13"/>
      <c r="C5" s="13"/>
    </row>
    <row r="6" spans="1:71">
      <c r="B6" s="14" t="s">
        <v>1</v>
      </c>
      <c r="C6" s="13"/>
    </row>
    <row r="7" spans="1:71">
      <c r="B7" s="13"/>
      <c r="C7" s="15" t="s">
        <v>49</v>
      </c>
      <c r="J7" s="39">
        <f>Revenue!J15</f>
        <v>36800</v>
      </c>
      <c r="K7" s="39">
        <f>Revenue!K15</f>
        <v>41550</v>
      </c>
      <c r="L7" s="39">
        <f>Revenue!L15</f>
        <v>5620</v>
      </c>
      <c r="M7" s="39">
        <f>Revenue!M15</f>
        <v>49673</v>
      </c>
      <c r="N7" s="39">
        <f>Revenue!N15</f>
        <v>46274</v>
      </c>
      <c r="O7" s="39">
        <f>Revenue!O15</f>
        <v>144234</v>
      </c>
      <c r="P7" s="39">
        <f>Revenue!P15</f>
        <v>107457</v>
      </c>
      <c r="Q7" s="39">
        <f>Revenue!Q15</f>
        <v>17450</v>
      </c>
      <c r="R7" s="39">
        <f>Revenue!R15</f>
        <v>15750</v>
      </c>
      <c r="S7" s="39">
        <f>Revenue!S15</f>
        <v>600</v>
      </c>
      <c r="T7" s="39">
        <f>Revenue!T15</f>
        <v>6000</v>
      </c>
      <c r="U7" s="39">
        <f>Revenue!U15</f>
        <v>6000</v>
      </c>
      <c r="V7" s="39">
        <f>Revenue!V15</f>
        <v>6000</v>
      </c>
      <c r="W7" s="39">
        <f>Revenue!W15</f>
        <v>72750</v>
      </c>
      <c r="X7" s="39">
        <f>Revenue!X15</f>
        <v>72750</v>
      </c>
      <c r="Y7" s="39">
        <f>Revenue!Y15</f>
        <v>72750</v>
      </c>
      <c r="Z7" s="39">
        <f>Revenue!Z15</f>
        <v>72750</v>
      </c>
      <c r="AA7" s="39">
        <f>Revenue!AA15</f>
        <v>72750</v>
      </c>
      <c r="AB7" s="39">
        <f>Revenue!AB15</f>
        <v>72750</v>
      </c>
      <c r="AC7" s="39">
        <f>Revenue!AC15</f>
        <v>72750</v>
      </c>
      <c r="AD7" s="39">
        <f>Revenue!AD15</f>
        <v>72750</v>
      </c>
      <c r="AE7" s="39">
        <f>Revenue!AE15</f>
        <v>72750</v>
      </c>
      <c r="AF7" s="39">
        <f>Revenue!AF15</f>
        <v>72750</v>
      </c>
      <c r="AG7" s="39">
        <f>Revenue!AG15</f>
        <v>72750</v>
      </c>
      <c r="AH7" s="39">
        <f>Revenue!AH15</f>
        <v>96030</v>
      </c>
      <c r="AI7" s="39">
        <f>Revenue!AI15</f>
        <v>96030</v>
      </c>
      <c r="AJ7" s="39">
        <f>Revenue!AJ15</f>
        <v>96030</v>
      </c>
      <c r="AK7" s="39">
        <f>Revenue!AK15</f>
        <v>96030</v>
      </c>
      <c r="AL7" s="39">
        <f>Revenue!AL15</f>
        <v>96030</v>
      </c>
      <c r="AM7" s="39">
        <f>Revenue!AM15</f>
        <v>96030</v>
      </c>
      <c r="AN7" s="39">
        <f>Revenue!AN15</f>
        <v>96030</v>
      </c>
      <c r="AO7" s="39">
        <f>Revenue!AO15</f>
        <v>96030</v>
      </c>
      <c r="AP7" s="39">
        <f>Revenue!AP15</f>
        <v>96030</v>
      </c>
      <c r="AQ7" s="39">
        <f>Revenue!AQ15</f>
        <v>96030</v>
      </c>
      <c r="AR7" s="39">
        <f>Revenue!AR15</f>
        <v>96030</v>
      </c>
      <c r="AS7" s="39">
        <f>Revenue!AS15</f>
        <v>96030</v>
      </c>
      <c r="AT7" s="39">
        <f>Revenue!AT15</f>
        <v>125809.75</v>
      </c>
      <c r="AU7" s="39">
        <f>Revenue!AU15</f>
        <v>125809.75</v>
      </c>
      <c r="AV7" s="39">
        <f>Revenue!AV15</f>
        <v>125809.75</v>
      </c>
      <c r="AW7" s="39">
        <f>Revenue!AW15</f>
        <v>125809.75</v>
      </c>
      <c r="AX7" s="39">
        <f>Revenue!AX15</f>
        <v>125809.75</v>
      </c>
      <c r="AY7" s="39">
        <f>Revenue!AY15</f>
        <v>125809.75</v>
      </c>
      <c r="AZ7" s="39">
        <f>Revenue!AZ15</f>
        <v>125809.75</v>
      </c>
      <c r="BA7" s="39">
        <f>Revenue!BA15</f>
        <v>125809.75</v>
      </c>
      <c r="BB7" s="39">
        <f>Revenue!BB15</f>
        <v>125809.75</v>
      </c>
      <c r="BC7" s="39">
        <f>Revenue!BC15</f>
        <v>125809.75</v>
      </c>
      <c r="BD7" s="39">
        <f>Revenue!BD15</f>
        <v>125809.75</v>
      </c>
      <c r="BE7" s="39">
        <f>Revenue!BE15</f>
        <v>125809.75</v>
      </c>
      <c r="BF7" s="39">
        <f>Revenue!BF15</f>
        <v>151129</v>
      </c>
      <c r="BG7" s="39">
        <f>Revenue!BG15</f>
        <v>151129</v>
      </c>
      <c r="BH7" s="39">
        <f>Revenue!BH15</f>
        <v>151129</v>
      </c>
      <c r="BI7" s="39">
        <f>Revenue!BI15</f>
        <v>151129</v>
      </c>
      <c r="BJ7" s="39">
        <f>Revenue!BJ15</f>
        <v>151129</v>
      </c>
      <c r="BK7" s="39">
        <f>Revenue!BK15</f>
        <v>151129</v>
      </c>
      <c r="BL7" s="39">
        <f>Revenue!BL15</f>
        <v>151129</v>
      </c>
      <c r="BM7" s="39">
        <f>Revenue!BM15</f>
        <v>151129</v>
      </c>
      <c r="BN7" s="39">
        <f>Revenue!BN15</f>
        <v>151129</v>
      </c>
      <c r="BO7" s="39">
        <f>Revenue!BO15</f>
        <v>151129</v>
      </c>
      <c r="BP7" s="39">
        <f>Revenue!BP15</f>
        <v>151129</v>
      </c>
      <c r="BQ7" s="39">
        <f>Revenue!BQ15</f>
        <v>151129</v>
      </c>
    </row>
    <row r="8" spans="1:71">
      <c r="B8" s="13"/>
      <c r="C8" s="15" t="s">
        <v>50</v>
      </c>
      <c r="J8" s="39">
        <f>Revenue!J31</f>
        <v>0</v>
      </c>
      <c r="K8" s="39">
        <f>Revenue!K31</f>
        <v>6750</v>
      </c>
      <c r="L8" s="39">
        <f>Revenue!L31</f>
        <v>9000</v>
      </c>
      <c r="M8" s="39">
        <f>Revenue!M31</f>
        <v>12750</v>
      </c>
      <c r="N8" s="39">
        <f>Revenue!N31</f>
        <v>13500</v>
      </c>
      <c r="O8" s="39">
        <f>Revenue!O31</f>
        <v>13500</v>
      </c>
      <c r="P8" s="39">
        <f>Revenue!P31</f>
        <v>16275</v>
      </c>
      <c r="Q8" s="39">
        <f>Revenue!Q31</f>
        <v>17175</v>
      </c>
      <c r="R8" s="39">
        <f>Revenue!R31</f>
        <v>22500</v>
      </c>
      <c r="S8" s="39">
        <f>Revenue!S31</f>
        <v>22750</v>
      </c>
      <c r="T8" s="39">
        <f>Revenue!T31</f>
        <v>35850</v>
      </c>
      <c r="U8" s="39">
        <f>Revenue!U31</f>
        <v>55600</v>
      </c>
      <c r="V8" s="39">
        <f>Revenue!V31</f>
        <v>60350</v>
      </c>
      <c r="W8" s="39">
        <f>Revenue!W31</f>
        <v>66350</v>
      </c>
      <c r="X8" s="39">
        <f>Revenue!X31</f>
        <v>87125</v>
      </c>
      <c r="Y8" s="39">
        <f>Revenue!Y31</f>
        <v>129800</v>
      </c>
      <c r="Z8" s="39">
        <f>Revenue!Z31</f>
        <v>143275</v>
      </c>
      <c r="AA8" s="39">
        <f>Revenue!AA31</f>
        <v>156750</v>
      </c>
      <c r="AB8" s="39">
        <f>Revenue!AB31</f>
        <v>170225</v>
      </c>
      <c r="AC8" s="39">
        <f>Revenue!AC31</f>
        <v>187700</v>
      </c>
      <c r="AD8" s="39">
        <f>Revenue!AD31</f>
        <v>205175</v>
      </c>
      <c r="AE8" s="39">
        <f>Revenue!AE31</f>
        <v>222650</v>
      </c>
      <c r="AF8" s="39">
        <f>Revenue!AF31</f>
        <v>240125</v>
      </c>
      <c r="AG8" s="39">
        <f>Revenue!AG31</f>
        <v>257600</v>
      </c>
      <c r="AH8" s="39">
        <f>Revenue!AH31</f>
        <v>303572.5</v>
      </c>
      <c r="AI8" s="39">
        <f>Revenue!AI31</f>
        <v>325539.5</v>
      </c>
      <c r="AJ8" s="39">
        <f>Revenue!AJ31</f>
        <v>347506.5</v>
      </c>
      <c r="AK8" s="39">
        <f>Revenue!AK31</f>
        <v>369473.5</v>
      </c>
      <c r="AL8" s="39">
        <f>Revenue!AL31</f>
        <v>391440.5</v>
      </c>
      <c r="AM8" s="39">
        <f>Revenue!AM31</f>
        <v>413407.5</v>
      </c>
      <c r="AN8" s="39">
        <f>Revenue!AN31</f>
        <v>436474.5</v>
      </c>
      <c r="AO8" s="39">
        <f>Revenue!AO31</f>
        <v>459541.5</v>
      </c>
      <c r="AP8" s="39">
        <f>Revenue!AP31</f>
        <v>482608.5</v>
      </c>
      <c r="AQ8" s="39">
        <f>Revenue!AQ31</f>
        <v>505675.5</v>
      </c>
      <c r="AR8" s="39">
        <f>Revenue!AR31</f>
        <v>528742.5</v>
      </c>
      <c r="AS8" s="39">
        <f>Revenue!AS31</f>
        <v>551809.5</v>
      </c>
      <c r="AT8" s="39">
        <f>Revenue!AT31</f>
        <v>633453.15</v>
      </c>
      <c r="AU8" s="39">
        <f>Revenue!AU31</f>
        <v>662066.625</v>
      </c>
      <c r="AV8" s="39">
        <f>Revenue!AV31</f>
        <v>690680.1</v>
      </c>
      <c r="AW8" s="39">
        <f>Revenue!AW31</f>
        <v>719293.57499999995</v>
      </c>
      <c r="AX8" s="39">
        <f>Revenue!AX31</f>
        <v>747907.05</v>
      </c>
      <c r="AY8" s="39">
        <f>Revenue!AY31</f>
        <v>776520.52500000002</v>
      </c>
      <c r="AZ8" s="39">
        <f>Revenue!AZ31</f>
        <v>806465</v>
      </c>
      <c r="BA8" s="39">
        <f>Revenue!BA31</f>
        <v>836409.47499999998</v>
      </c>
      <c r="BB8" s="39">
        <f>Revenue!BB31</f>
        <v>866353.95</v>
      </c>
      <c r="BC8" s="39">
        <f>Revenue!BC31</f>
        <v>896298.42500000005</v>
      </c>
      <c r="BD8" s="39">
        <f>Revenue!BD31</f>
        <v>926242.9</v>
      </c>
      <c r="BE8" s="39">
        <f>Revenue!BE31</f>
        <v>956187.375</v>
      </c>
      <c r="BF8" s="39">
        <f>Revenue!BF31</f>
        <v>987220.85</v>
      </c>
      <c r="BG8" s="39">
        <f>Revenue!BG31</f>
        <v>1020846.75</v>
      </c>
      <c r="BH8" s="39">
        <f>Revenue!BH31</f>
        <v>1054472.6499999999</v>
      </c>
      <c r="BI8" s="39">
        <f>Revenue!BI31</f>
        <v>1088098.55</v>
      </c>
      <c r="BJ8" s="39">
        <f>Revenue!BJ31</f>
        <v>1121724.45</v>
      </c>
      <c r="BK8" s="39">
        <f>Revenue!BK31</f>
        <v>1155350.3500000001</v>
      </c>
      <c r="BL8" s="39">
        <f>Revenue!BL31</f>
        <v>1190549.25</v>
      </c>
      <c r="BM8" s="39">
        <f>Revenue!BM31</f>
        <v>1225748.1499999999</v>
      </c>
      <c r="BN8" s="39">
        <f>Revenue!BN31</f>
        <v>1260947.05</v>
      </c>
      <c r="BO8" s="39">
        <f>Revenue!BO31</f>
        <v>1296145.95</v>
      </c>
      <c r="BP8" s="39">
        <f>Revenue!BP31</f>
        <v>1331344.8500000001</v>
      </c>
      <c r="BQ8" s="39">
        <f>Revenue!BQ31</f>
        <v>1366543.75</v>
      </c>
    </row>
    <row r="9" spans="1:71">
      <c r="B9" s="13"/>
      <c r="C9" s="15" t="s">
        <v>53</v>
      </c>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1"/>
      <c r="BK9" s="101"/>
      <c r="BL9" s="101"/>
      <c r="BM9" s="101"/>
      <c r="BN9" s="101"/>
      <c r="BO9" s="101"/>
      <c r="BP9" s="101"/>
      <c r="BQ9" s="101"/>
    </row>
    <row r="10" spans="1:71" s="86" customFormat="1">
      <c r="B10" s="87"/>
      <c r="C10" s="87" t="s">
        <v>6</v>
      </c>
      <c r="J10" s="103">
        <f>SUM(J7:J9)</f>
        <v>36800</v>
      </c>
      <c r="K10" s="103">
        <f t="shared" ref="K10:BE10" si="0">SUM(K7:K9)</f>
        <v>48300</v>
      </c>
      <c r="L10" s="103">
        <f t="shared" si="0"/>
        <v>14620</v>
      </c>
      <c r="M10" s="103">
        <f t="shared" si="0"/>
        <v>62423</v>
      </c>
      <c r="N10" s="103">
        <f t="shared" si="0"/>
        <v>59774</v>
      </c>
      <c r="O10" s="103">
        <f t="shared" si="0"/>
        <v>157734</v>
      </c>
      <c r="P10" s="103">
        <f t="shared" si="0"/>
        <v>123732</v>
      </c>
      <c r="Q10" s="103">
        <f t="shared" si="0"/>
        <v>34625</v>
      </c>
      <c r="R10" s="103">
        <f t="shared" si="0"/>
        <v>38250</v>
      </c>
      <c r="S10" s="103">
        <f t="shared" si="0"/>
        <v>23350</v>
      </c>
      <c r="T10" s="103">
        <f t="shared" si="0"/>
        <v>41850</v>
      </c>
      <c r="U10" s="103">
        <f t="shared" si="0"/>
        <v>61600</v>
      </c>
      <c r="V10" s="103">
        <f t="shared" si="0"/>
        <v>66350</v>
      </c>
      <c r="W10" s="103">
        <f t="shared" si="0"/>
        <v>139100</v>
      </c>
      <c r="X10" s="103">
        <f t="shared" si="0"/>
        <v>159875</v>
      </c>
      <c r="Y10" s="103">
        <f t="shared" si="0"/>
        <v>202550</v>
      </c>
      <c r="Z10" s="103">
        <f t="shared" si="0"/>
        <v>216025</v>
      </c>
      <c r="AA10" s="103">
        <f t="shared" si="0"/>
        <v>229500</v>
      </c>
      <c r="AB10" s="103">
        <f t="shared" si="0"/>
        <v>242975</v>
      </c>
      <c r="AC10" s="103">
        <f t="shared" si="0"/>
        <v>260450</v>
      </c>
      <c r="AD10" s="103">
        <f t="shared" si="0"/>
        <v>277925</v>
      </c>
      <c r="AE10" s="103">
        <f t="shared" si="0"/>
        <v>295400</v>
      </c>
      <c r="AF10" s="103">
        <f t="shared" si="0"/>
        <v>312875</v>
      </c>
      <c r="AG10" s="103">
        <f t="shared" si="0"/>
        <v>330350</v>
      </c>
      <c r="AH10" s="103">
        <f t="shared" si="0"/>
        <v>399602.5</v>
      </c>
      <c r="AI10" s="103">
        <f t="shared" si="0"/>
        <v>421569.5</v>
      </c>
      <c r="AJ10" s="103">
        <f t="shared" si="0"/>
        <v>443536.5</v>
      </c>
      <c r="AK10" s="103">
        <f t="shared" si="0"/>
        <v>465503.5</v>
      </c>
      <c r="AL10" s="103">
        <f t="shared" si="0"/>
        <v>487470.5</v>
      </c>
      <c r="AM10" s="103">
        <f t="shared" si="0"/>
        <v>509437.5</v>
      </c>
      <c r="AN10" s="103">
        <f t="shared" si="0"/>
        <v>532504.5</v>
      </c>
      <c r="AO10" s="103">
        <f t="shared" si="0"/>
        <v>555571.5</v>
      </c>
      <c r="AP10" s="103">
        <f t="shared" si="0"/>
        <v>578638.5</v>
      </c>
      <c r="AQ10" s="103">
        <f t="shared" si="0"/>
        <v>601705.5</v>
      </c>
      <c r="AR10" s="103">
        <f t="shared" si="0"/>
        <v>624772.5</v>
      </c>
      <c r="AS10" s="103">
        <f t="shared" si="0"/>
        <v>647839.5</v>
      </c>
      <c r="AT10" s="103">
        <f t="shared" si="0"/>
        <v>759262.9</v>
      </c>
      <c r="AU10" s="103">
        <f t="shared" si="0"/>
        <v>787876.375</v>
      </c>
      <c r="AV10" s="103">
        <f t="shared" si="0"/>
        <v>816489.85</v>
      </c>
      <c r="AW10" s="103">
        <f t="shared" si="0"/>
        <v>845103.32499999995</v>
      </c>
      <c r="AX10" s="103">
        <f t="shared" si="0"/>
        <v>873716.8</v>
      </c>
      <c r="AY10" s="103">
        <f t="shared" si="0"/>
        <v>902330.27500000002</v>
      </c>
      <c r="AZ10" s="103">
        <f t="shared" si="0"/>
        <v>932274.75</v>
      </c>
      <c r="BA10" s="103">
        <f t="shared" si="0"/>
        <v>962219.22499999998</v>
      </c>
      <c r="BB10" s="103">
        <f t="shared" si="0"/>
        <v>992163.7</v>
      </c>
      <c r="BC10" s="103">
        <f t="shared" si="0"/>
        <v>1022108.175</v>
      </c>
      <c r="BD10" s="103">
        <f t="shared" si="0"/>
        <v>1052052.6499999999</v>
      </c>
      <c r="BE10" s="103">
        <f t="shared" si="0"/>
        <v>1081997.125</v>
      </c>
      <c r="BF10" s="103">
        <f t="shared" ref="BF10:BQ10" si="1">SUM(BF7:BF9)</f>
        <v>1138349.8500000001</v>
      </c>
      <c r="BG10" s="103">
        <f t="shared" si="1"/>
        <v>1171975.75</v>
      </c>
      <c r="BH10" s="103">
        <f t="shared" si="1"/>
        <v>1205601.6499999999</v>
      </c>
      <c r="BI10" s="103">
        <f t="shared" si="1"/>
        <v>1239227.55</v>
      </c>
      <c r="BJ10" s="103">
        <f t="shared" si="1"/>
        <v>1272853.45</v>
      </c>
      <c r="BK10" s="103">
        <f t="shared" si="1"/>
        <v>1306479.3500000001</v>
      </c>
      <c r="BL10" s="103">
        <f t="shared" si="1"/>
        <v>1341678.25</v>
      </c>
      <c r="BM10" s="103">
        <f t="shared" si="1"/>
        <v>1376877.15</v>
      </c>
      <c r="BN10" s="103">
        <f t="shared" si="1"/>
        <v>1412076.05</v>
      </c>
      <c r="BO10" s="103">
        <f t="shared" si="1"/>
        <v>1447274.95</v>
      </c>
      <c r="BP10" s="103">
        <f t="shared" si="1"/>
        <v>1482473.85</v>
      </c>
      <c r="BQ10" s="103">
        <f t="shared" si="1"/>
        <v>1517672.75</v>
      </c>
    </row>
    <row r="11" spans="1:71">
      <c r="B11" s="13"/>
      <c r="C11" s="13"/>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row>
    <row r="12" spans="1:71">
      <c r="B12" s="14" t="s">
        <v>7</v>
      </c>
      <c r="C12" s="13"/>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row>
    <row r="13" spans="1:71">
      <c r="B13" s="13"/>
      <c r="C13" s="15" t="s">
        <v>54</v>
      </c>
      <c r="J13" s="39">
        <f>'COS and Overheads'!J25</f>
        <v>19425</v>
      </c>
      <c r="K13" s="39">
        <f>'COS and Overheads'!K25</f>
        <v>7364</v>
      </c>
      <c r="L13" s="39">
        <f>'COS and Overheads'!L25</f>
        <v>28805</v>
      </c>
      <c r="M13" s="39">
        <f>'COS and Overheads'!M25</f>
        <v>25039</v>
      </c>
      <c r="N13" s="39">
        <f>'COS and Overheads'!N25</f>
        <v>31307</v>
      </c>
      <c r="O13" s="39">
        <f>'COS and Overheads'!O25</f>
        <v>103407</v>
      </c>
      <c r="P13" s="39">
        <f>'COS and Overheads'!P25</f>
        <v>64290</v>
      </c>
      <c r="Q13" s="39">
        <f>'COS and Overheads'!Q25</f>
        <v>10629</v>
      </c>
      <c r="R13" s="39">
        <f>'COS and Overheads'!R25</f>
        <v>6750</v>
      </c>
      <c r="S13" s="39">
        <f>'COS and Overheads'!S25</f>
        <v>16801</v>
      </c>
      <c r="T13" s="39">
        <f>'COS and Overheads'!T25</f>
        <v>33166</v>
      </c>
      <c r="U13" s="39">
        <f>'COS and Overheads'!U25</f>
        <v>34431</v>
      </c>
      <c r="V13" s="39">
        <f>'COS and Overheads'!V25</f>
        <v>43696</v>
      </c>
      <c r="W13" s="39">
        <f>'COS and Overheads'!W25</f>
        <v>92021</v>
      </c>
      <c r="X13" s="39">
        <f>'COS and Overheads'!X25</f>
        <v>98016</v>
      </c>
      <c r="Y13" s="39">
        <f>'COS and Overheads'!Y25</f>
        <v>104011</v>
      </c>
      <c r="Z13" s="39">
        <f>'COS and Overheads'!Z25</f>
        <v>110006</v>
      </c>
      <c r="AA13" s="39">
        <f>'COS and Overheads'!AA25</f>
        <v>116001</v>
      </c>
      <c r="AB13" s="39">
        <f>'COS and Overheads'!AB25</f>
        <v>121996</v>
      </c>
      <c r="AC13" s="39">
        <f>'COS and Overheads'!AC25</f>
        <v>127991</v>
      </c>
      <c r="AD13" s="39">
        <f>'COS and Overheads'!AD25</f>
        <v>133986</v>
      </c>
      <c r="AE13" s="39">
        <f>'COS and Overheads'!AE25</f>
        <v>139981</v>
      </c>
      <c r="AF13" s="39">
        <f>'COS and Overheads'!AF25</f>
        <v>145976</v>
      </c>
      <c r="AG13" s="39">
        <f>'COS and Overheads'!AG25</f>
        <v>151971</v>
      </c>
      <c r="AH13" s="39">
        <f>'COS and Overheads'!AH25</f>
        <v>167631</v>
      </c>
      <c r="AI13" s="39">
        <f>'COS and Overheads'!AI25</f>
        <v>174825</v>
      </c>
      <c r="AJ13" s="39">
        <f>'COS and Overheads'!AJ25</f>
        <v>182019</v>
      </c>
      <c r="AK13" s="39">
        <f>'COS and Overheads'!AK25</f>
        <v>189213</v>
      </c>
      <c r="AL13" s="39">
        <f>'COS and Overheads'!AL25</f>
        <v>196407</v>
      </c>
      <c r="AM13" s="39">
        <f>'COS and Overheads'!AM25</f>
        <v>203601</v>
      </c>
      <c r="AN13" s="39">
        <f>'COS and Overheads'!AN25</f>
        <v>210795</v>
      </c>
      <c r="AO13" s="39">
        <f>'COS and Overheads'!AO25</f>
        <v>217989</v>
      </c>
      <c r="AP13" s="39">
        <f>'COS and Overheads'!AP25</f>
        <v>225183</v>
      </c>
      <c r="AQ13" s="39">
        <f>'COS and Overheads'!AQ25</f>
        <v>232377</v>
      </c>
      <c r="AR13" s="39">
        <f>'COS and Overheads'!AR25</f>
        <v>239571</v>
      </c>
      <c r="AS13" s="39">
        <f>'COS and Overheads'!AS25</f>
        <v>246765</v>
      </c>
      <c r="AT13" s="39">
        <f>'COS and Overheads'!AT25</f>
        <v>265167.5</v>
      </c>
      <c r="AU13" s="39">
        <f>'COS and Overheads'!AU25</f>
        <v>273693</v>
      </c>
      <c r="AV13" s="39">
        <f>'COS and Overheads'!AV25</f>
        <v>282218.5</v>
      </c>
      <c r="AW13" s="39">
        <f>'COS and Overheads'!AW25</f>
        <v>290744</v>
      </c>
      <c r="AX13" s="39">
        <f>'COS and Overheads'!AX25</f>
        <v>299269.5</v>
      </c>
      <c r="AY13" s="39">
        <f>'COS and Overheads'!AY25</f>
        <v>307795</v>
      </c>
      <c r="AZ13" s="39">
        <f>'COS and Overheads'!AZ25</f>
        <v>316320.5</v>
      </c>
      <c r="BA13" s="39">
        <f>'COS and Overheads'!BA25</f>
        <v>324846</v>
      </c>
      <c r="BB13" s="39">
        <f>'COS and Overheads'!BB25</f>
        <v>333371.5</v>
      </c>
      <c r="BC13" s="39">
        <f>'COS and Overheads'!BC25</f>
        <v>341897</v>
      </c>
      <c r="BD13" s="39">
        <f>'COS and Overheads'!BD25</f>
        <v>350422.5</v>
      </c>
      <c r="BE13" s="39">
        <f>'COS and Overheads'!BE25</f>
        <v>358948</v>
      </c>
      <c r="BF13" s="39">
        <f>'COS and Overheads'!BF25</f>
        <v>381769</v>
      </c>
      <c r="BG13" s="39">
        <f>'COS and Overheads'!BG25</f>
        <v>391891</v>
      </c>
      <c r="BH13" s="39">
        <f>'COS and Overheads'!BH25</f>
        <v>402013</v>
      </c>
      <c r="BI13" s="39">
        <f>'COS and Overheads'!BI25</f>
        <v>412135</v>
      </c>
      <c r="BJ13" s="39">
        <f>'COS and Overheads'!BJ25</f>
        <v>422257</v>
      </c>
      <c r="BK13" s="39">
        <f>'COS and Overheads'!BK25</f>
        <v>432379</v>
      </c>
      <c r="BL13" s="39">
        <f>'COS and Overheads'!BL25</f>
        <v>442501</v>
      </c>
      <c r="BM13" s="39">
        <f>'COS and Overheads'!BM25</f>
        <v>452623</v>
      </c>
      <c r="BN13" s="39">
        <f>'COS and Overheads'!BN25</f>
        <v>462745</v>
      </c>
      <c r="BO13" s="39">
        <f>'COS and Overheads'!BO25</f>
        <v>472867</v>
      </c>
      <c r="BP13" s="39">
        <f>'COS and Overheads'!BP25</f>
        <v>482989</v>
      </c>
      <c r="BQ13" s="39">
        <f>'COS and Overheads'!BQ25</f>
        <v>493111</v>
      </c>
    </row>
    <row r="14" spans="1:71">
      <c r="B14" s="13"/>
      <c r="C14" s="15" t="s">
        <v>55</v>
      </c>
      <c r="J14" s="39">
        <f>'Wages and Salaries'!J21</f>
        <v>0</v>
      </c>
      <c r="K14" s="39">
        <f>'Wages and Salaries'!K21</f>
        <v>0</v>
      </c>
      <c r="L14" s="39">
        <f>'Wages and Salaries'!L21</f>
        <v>0</v>
      </c>
      <c r="M14" s="39">
        <f>'Wages and Salaries'!M21</f>
        <v>0</v>
      </c>
      <c r="N14" s="39">
        <f>'Wages and Salaries'!N21</f>
        <v>0</v>
      </c>
      <c r="O14" s="39">
        <f>'Wages and Salaries'!O21</f>
        <v>0</v>
      </c>
      <c r="P14" s="39">
        <f>'Wages and Salaries'!P21</f>
        <v>0</v>
      </c>
      <c r="Q14" s="39">
        <f>'Wages and Salaries'!Q21</f>
        <v>0</v>
      </c>
      <c r="R14" s="39">
        <f>'Wages and Salaries'!R21</f>
        <v>0</v>
      </c>
      <c r="S14" s="39">
        <f>'Wages and Salaries'!S21</f>
        <v>2916.6666666666665</v>
      </c>
      <c r="T14" s="39">
        <f>'Wages and Salaries'!T21</f>
        <v>9166.6666666666661</v>
      </c>
      <c r="U14" s="39">
        <f>'Wages and Salaries'!U21</f>
        <v>9166.6666666666661</v>
      </c>
      <c r="V14" s="39">
        <f>'Wages and Salaries'!V21</f>
        <v>9166.6666666666661</v>
      </c>
      <c r="W14" s="39">
        <f>'Wages and Salaries'!W21</f>
        <v>21666.666666666668</v>
      </c>
      <c r="X14" s="39">
        <f>'Wages and Salaries'!X21</f>
        <v>21666.666666666668</v>
      </c>
      <c r="Y14" s="39">
        <f>'Wages and Salaries'!Y21</f>
        <v>21666.666666666668</v>
      </c>
      <c r="Z14" s="39">
        <f>'Wages and Salaries'!Z21</f>
        <v>21666.666666666668</v>
      </c>
      <c r="AA14" s="39">
        <f>'Wages and Salaries'!AA21</f>
        <v>21666.666666666668</v>
      </c>
      <c r="AB14" s="39">
        <f>'Wages and Salaries'!AB21</f>
        <v>21666.666666666668</v>
      </c>
      <c r="AC14" s="39">
        <f>'Wages and Salaries'!AC21</f>
        <v>21666.666666666668</v>
      </c>
      <c r="AD14" s="39">
        <f>'Wages and Salaries'!AD21</f>
        <v>21666.666666666668</v>
      </c>
      <c r="AE14" s="39">
        <f>'Wages and Salaries'!AE21</f>
        <v>21666.666666666668</v>
      </c>
      <c r="AF14" s="39">
        <f>'Wages and Salaries'!AF21</f>
        <v>21666.666666666668</v>
      </c>
      <c r="AG14" s="39">
        <f>'Wages and Salaries'!AG21</f>
        <v>21666.666666666668</v>
      </c>
      <c r="AH14" s="39">
        <f>'Wages and Salaries'!AH21</f>
        <v>25000</v>
      </c>
      <c r="AI14" s="39">
        <f>'Wages and Salaries'!AI21</f>
        <v>25000</v>
      </c>
      <c r="AJ14" s="39">
        <f>'Wages and Salaries'!AJ21</f>
        <v>25000</v>
      </c>
      <c r="AK14" s="39">
        <f>'Wages and Salaries'!AK21</f>
        <v>25000</v>
      </c>
      <c r="AL14" s="39">
        <f>'Wages and Salaries'!AL21</f>
        <v>25000</v>
      </c>
      <c r="AM14" s="39">
        <f>'Wages and Salaries'!AM21</f>
        <v>25000</v>
      </c>
      <c r="AN14" s="39">
        <f>'Wages and Salaries'!AN21</f>
        <v>25000</v>
      </c>
      <c r="AO14" s="39">
        <f>'Wages and Salaries'!AO21</f>
        <v>25000</v>
      </c>
      <c r="AP14" s="39">
        <f>'Wages and Salaries'!AP21</f>
        <v>25000</v>
      </c>
      <c r="AQ14" s="39">
        <f>'Wages and Salaries'!AQ21</f>
        <v>25000</v>
      </c>
      <c r="AR14" s="39">
        <f>'Wages and Salaries'!AR21</f>
        <v>25000</v>
      </c>
      <c r="AS14" s="39">
        <f>'Wages and Salaries'!AS21</f>
        <v>28333.333333333336</v>
      </c>
      <c r="AT14" s="39">
        <f>'Wages and Salaries'!AT21</f>
        <v>32083.333333333336</v>
      </c>
      <c r="AU14" s="39">
        <f>'Wages and Salaries'!AU21</f>
        <v>32083.333333333336</v>
      </c>
      <c r="AV14" s="39">
        <f>'Wages and Salaries'!AV21</f>
        <v>32083.333333333336</v>
      </c>
      <c r="AW14" s="39">
        <f>'Wages and Salaries'!AW21</f>
        <v>32083.333333333336</v>
      </c>
      <c r="AX14" s="39">
        <f>'Wages and Salaries'!AX21</f>
        <v>32083.333333333336</v>
      </c>
      <c r="AY14" s="39">
        <f>'Wages and Salaries'!AY21</f>
        <v>32083.333333333336</v>
      </c>
      <c r="AZ14" s="39">
        <f>'Wages and Salaries'!AZ21</f>
        <v>32083.333333333336</v>
      </c>
      <c r="BA14" s="39">
        <f>'Wages and Salaries'!BA21</f>
        <v>32083.333333333336</v>
      </c>
      <c r="BB14" s="39">
        <f>'Wages and Salaries'!BB21</f>
        <v>32083.333333333336</v>
      </c>
      <c r="BC14" s="39">
        <f>'Wages and Salaries'!BC21</f>
        <v>32083.333333333336</v>
      </c>
      <c r="BD14" s="39">
        <f>'Wages and Salaries'!BD21</f>
        <v>32083.333333333336</v>
      </c>
      <c r="BE14" s="39">
        <f>'Wages and Salaries'!BE21</f>
        <v>32083.333333333336</v>
      </c>
      <c r="BF14" s="39">
        <f>'Wages and Salaries'!BF21</f>
        <v>35833.333333333336</v>
      </c>
      <c r="BG14" s="39">
        <f>'Wages and Salaries'!BG21</f>
        <v>35833.333333333336</v>
      </c>
      <c r="BH14" s="39">
        <f>'Wages and Salaries'!BH21</f>
        <v>35833.333333333336</v>
      </c>
      <c r="BI14" s="39">
        <f>'Wages and Salaries'!BI21</f>
        <v>35833.333333333336</v>
      </c>
      <c r="BJ14" s="39">
        <f>'Wages and Salaries'!BJ21</f>
        <v>35833.333333333336</v>
      </c>
      <c r="BK14" s="39">
        <f>'Wages and Salaries'!BK21</f>
        <v>35833.333333333336</v>
      </c>
      <c r="BL14" s="39">
        <f>'Wages and Salaries'!BL21</f>
        <v>35833.333333333336</v>
      </c>
      <c r="BM14" s="39">
        <f>'Wages and Salaries'!BM21</f>
        <v>35833.333333333336</v>
      </c>
      <c r="BN14" s="39">
        <f>'Wages and Salaries'!BN21</f>
        <v>35833.333333333336</v>
      </c>
      <c r="BO14" s="39">
        <f>'Wages and Salaries'!BO21</f>
        <v>35833.333333333336</v>
      </c>
      <c r="BP14" s="39">
        <f>'Wages and Salaries'!BP21</f>
        <v>35833.333333333336</v>
      </c>
      <c r="BQ14" s="39">
        <f>'Wages and Salaries'!BQ21</f>
        <v>35833.333333333336</v>
      </c>
    </row>
    <row r="15" spans="1:71">
      <c r="B15" s="13"/>
      <c r="C15" s="15" t="s">
        <v>58</v>
      </c>
      <c r="J15" s="39">
        <f>'Wages and Salaries'!J24</f>
        <v>0</v>
      </c>
      <c r="K15" s="39">
        <f>'Wages and Salaries'!K24</f>
        <v>0</v>
      </c>
      <c r="L15" s="39">
        <f>'Wages and Salaries'!L24</f>
        <v>0</v>
      </c>
      <c r="M15" s="39">
        <f>'Wages and Salaries'!M24</f>
        <v>0</v>
      </c>
      <c r="N15" s="39">
        <f>'Wages and Salaries'!N24</f>
        <v>0</v>
      </c>
      <c r="O15" s="39">
        <f>'Wages and Salaries'!O24</f>
        <v>0</v>
      </c>
      <c r="P15" s="39">
        <f>'Wages and Salaries'!P24</f>
        <v>0</v>
      </c>
      <c r="Q15" s="39">
        <f>'Wages and Salaries'!Q24</f>
        <v>0</v>
      </c>
      <c r="R15" s="39">
        <f>'Wages and Salaries'!R24</f>
        <v>0</v>
      </c>
      <c r="S15" s="39">
        <f>'Wages and Salaries'!S24</f>
        <v>437.49999999999994</v>
      </c>
      <c r="T15" s="39">
        <f>'Wages and Salaries'!T24</f>
        <v>1374.9999999999998</v>
      </c>
      <c r="U15" s="39">
        <f>'Wages and Salaries'!U24</f>
        <v>1374.9999999999998</v>
      </c>
      <c r="V15" s="39">
        <f>'Wages and Salaries'!V24</f>
        <v>1374.9999999999998</v>
      </c>
      <c r="W15" s="39">
        <f>'Wages and Salaries'!W24</f>
        <v>3250</v>
      </c>
      <c r="X15" s="39">
        <f>'Wages and Salaries'!X24</f>
        <v>3250</v>
      </c>
      <c r="Y15" s="39">
        <f>'Wages and Salaries'!Y24</f>
        <v>3250</v>
      </c>
      <c r="Z15" s="39">
        <f>'Wages and Salaries'!Z24</f>
        <v>3250</v>
      </c>
      <c r="AA15" s="39">
        <f>'Wages and Salaries'!AA24</f>
        <v>3250</v>
      </c>
      <c r="AB15" s="39">
        <f>'Wages and Salaries'!AB24</f>
        <v>3250</v>
      </c>
      <c r="AC15" s="39">
        <f>'Wages and Salaries'!AC24</f>
        <v>3250</v>
      </c>
      <c r="AD15" s="39">
        <f>'Wages and Salaries'!AD24</f>
        <v>3250</v>
      </c>
      <c r="AE15" s="39">
        <f>'Wages and Salaries'!AE24</f>
        <v>3250</v>
      </c>
      <c r="AF15" s="39">
        <f>'Wages and Salaries'!AF24</f>
        <v>3250</v>
      </c>
      <c r="AG15" s="39">
        <f>'Wages and Salaries'!AG24</f>
        <v>3250</v>
      </c>
      <c r="AH15" s="39">
        <f>'Wages and Salaries'!AH24</f>
        <v>3750</v>
      </c>
      <c r="AI15" s="39">
        <f>'Wages and Salaries'!AI24</f>
        <v>3750</v>
      </c>
      <c r="AJ15" s="39">
        <f>'Wages and Salaries'!AJ24</f>
        <v>3750</v>
      </c>
      <c r="AK15" s="39">
        <f>'Wages and Salaries'!AK24</f>
        <v>3750</v>
      </c>
      <c r="AL15" s="39">
        <f>'Wages and Salaries'!AL24</f>
        <v>3750</v>
      </c>
      <c r="AM15" s="39">
        <f>'Wages and Salaries'!AM24</f>
        <v>3750</v>
      </c>
      <c r="AN15" s="39">
        <f>'Wages and Salaries'!AN24</f>
        <v>3750</v>
      </c>
      <c r="AO15" s="39">
        <f>'Wages and Salaries'!AO24</f>
        <v>3750</v>
      </c>
      <c r="AP15" s="39">
        <f>'Wages and Salaries'!AP24</f>
        <v>3750</v>
      </c>
      <c r="AQ15" s="39">
        <f>'Wages and Salaries'!AQ24</f>
        <v>3750</v>
      </c>
      <c r="AR15" s="39">
        <f>'Wages and Salaries'!AR24</f>
        <v>3750</v>
      </c>
      <c r="AS15" s="39">
        <f>'Wages and Salaries'!AS24</f>
        <v>4250</v>
      </c>
      <c r="AT15" s="39">
        <f>'Wages and Salaries'!AT24</f>
        <v>4812.5</v>
      </c>
      <c r="AU15" s="39">
        <f>'Wages and Salaries'!AU24</f>
        <v>4812.5</v>
      </c>
      <c r="AV15" s="39">
        <f>'Wages and Salaries'!AV24</f>
        <v>4812.5</v>
      </c>
      <c r="AW15" s="39">
        <f>'Wages and Salaries'!AW24</f>
        <v>4812.5</v>
      </c>
      <c r="AX15" s="39">
        <f>'Wages and Salaries'!AX24</f>
        <v>4812.5</v>
      </c>
      <c r="AY15" s="39">
        <f>'Wages and Salaries'!AY24</f>
        <v>4812.5</v>
      </c>
      <c r="AZ15" s="39">
        <f>'Wages and Salaries'!AZ24</f>
        <v>4812.5</v>
      </c>
      <c r="BA15" s="39">
        <f>'Wages and Salaries'!BA24</f>
        <v>4812.5</v>
      </c>
      <c r="BB15" s="39">
        <f>'Wages and Salaries'!BB24</f>
        <v>4812.5</v>
      </c>
      <c r="BC15" s="39">
        <f>'Wages and Salaries'!BC24</f>
        <v>4812.5</v>
      </c>
      <c r="BD15" s="39">
        <f>'Wages and Salaries'!BD24</f>
        <v>4812.5</v>
      </c>
      <c r="BE15" s="39">
        <f>'Wages and Salaries'!BE24</f>
        <v>4812.5</v>
      </c>
      <c r="BF15" s="39">
        <f>'Wages and Salaries'!BF24</f>
        <v>5375</v>
      </c>
      <c r="BG15" s="39">
        <f>'Wages and Salaries'!BG24</f>
        <v>5375</v>
      </c>
      <c r="BH15" s="39">
        <f>'Wages and Salaries'!BH24</f>
        <v>5375</v>
      </c>
      <c r="BI15" s="39">
        <f>'Wages and Salaries'!BI24</f>
        <v>5375</v>
      </c>
      <c r="BJ15" s="39">
        <f>'Wages and Salaries'!BJ24</f>
        <v>5375</v>
      </c>
      <c r="BK15" s="39">
        <f>'Wages and Salaries'!BK24</f>
        <v>5375</v>
      </c>
      <c r="BL15" s="39">
        <f>'Wages and Salaries'!BL24</f>
        <v>5375</v>
      </c>
      <c r="BM15" s="39">
        <f>'Wages and Salaries'!BM24</f>
        <v>5375</v>
      </c>
      <c r="BN15" s="39">
        <f>'Wages and Salaries'!BN24</f>
        <v>5375</v>
      </c>
      <c r="BO15" s="39">
        <f>'Wages and Salaries'!BO24</f>
        <v>5375</v>
      </c>
      <c r="BP15" s="39">
        <f>'Wages and Salaries'!BP24</f>
        <v>5375</v>
      </c>
      <c r="BQ15" s="39">
        <f>'Wages and Salaries'!BQ24</f>
        <v>5375</v>
      </c>
    </row>
    <row r="16" spans="1:71">
      <c r="B16" s="13"/>
      <c r="C16" s="16" t="s">
        <v>56</v>
      </c>
      <c r="D16" s="9"/>
      <c r="E16" s="9"/>
      <c r="F16" s="9"/>
      <c r="G16" s="9"/>
      <c r="H16" s="9"/>
      <c r="I16" s="9"/>
      <c r="J16" s="42">
        <f>'Wages and Salaries'!J25</f>
        <v>0</v>
      </c>
      <c r="K16" s="42">
        <f>'Wages and Salaries'!K25</f>
        <v>0</v>
      </c>
      <c r="L16" s="42">
        <f>'Wages and Salaries'!L25</f>
        <v>0</v>
      </c>
      <c r="M16" s="42">
        <f>'Wages and Salaries'!M25</f>
        <v>0</v>
      </c>
      <c r="N16" s="42">
        <f>'Wages and Salaries'!N25</f>
        <v>0</v>
      </c>
      <c r="O16" s="42">
        <f>'Wages and Salaries'!O25</f>
        <v>0</v>
      </c>
      <c r="P16" s="42">
        <f>'Wages and Salaries'!P25</f>
        <v>0</v>
      </c>
      <c r="Q16" s="42">
        <f>'Wages and Salaries'!Q25</f>
        <v>0</v>
      </c>
      <c r="R16" s="42">
        <f>'Wages and Salaries'!R25</f>
        <v>0</v>
      </c>
      <c r="S16" s="42">
        <f>'Wages and Salaries'!S25</f>
        <v>87.499999999999986</v>
      </c>
      <c r="T16" s="42">
        <f>'Wages and Salaries'!T25</f>
        <v>275</v>
      </c>
      <c r="U16" s="42">
        <f>'Wages and Salaries'!U25</f>
        <v>275</v>
      </c>
      <c r="V16" s="42">
        <f>'Wages and Salaries'!V25</f>
        <v>275</v>
      </c>
      <c r="W16" s="42">
        <f>'Wages and Salaries'!W25</f>
        <v>650</v>
      </c>
      <c r="X16" s="42">
        <f>'Wages and Salaries'!X25</f>
        <v>650</v>
      </c>
      <c r="Y16" s="42">
        <f>'Wages and Salaries'!Y25</f>
        <v>650</v>
      </c>
      <c r="Z16" s="42">
        <f>'Wages and Salaries'!Z25</f>
        <v>650</v>
      </c>
      <c r="AA16" s="42">
        <f>'Wages and Salaries'!AA25</f>
        <v>650</v>
      </c>
      <c r="AB16" s="42">
        <f>'Wages and Salaries'!AB25</f>
        <v>650</v>
      </c>
      <c r="AC16" s="42">
        <f>'Wages and Salaries'!AC25</f>
        <v>650</v>
      </c>
      <c r="AD16" s="42">
        <f>'Wages and Salaries'!AD25</f>
        <v>650</v>
      </c>
      <c r="AE16" s="42">
        <f>'Wages and Salaries'!AE25</f>
        <v>650</v>
      </c>
      <c r="AF16" s="42">
        <f>'Wages and Salaries'!AF25</f>
        <v>650</v>
      </c>
      <c r="AG16" s="42">
        <f>'Wages and Salaries'!AG25</f>
        <v>650</v>
      </c>
      <c r="AH16" s="42">
        <f>'Wages and Salaries'!AH25</f>
        <v>750</v>
      </c>
      <c r="AI16" s="42">
        <f>'Wages and Salaries'!AI25</f>
        <v>750</v>
      </c>
      <c r="AJ16" s="42">
        <f>'Wages and Salaries'!AJ25</f>
        <v>750</v>
      </c>
      <c r="AK16" s="42">
        <f>'Wages and Salaries'!AK25</f>
        <v>750</v>
      </c>
      <c r="AL16" s="42">
        <f>'Wages and Salaries'!AL25</f>
        <v>750</v>
      </c>
      <c r="AM16" s="42">
        <f>'Wages and Salaries'!AM25</f>
        <v>750</v>
      </c>
      <c r="AN16" s="42">
        <f>'Wages and Salaries'!AN25</f>
        <v>750</v>
      </c>
      <c r="AO16" s="42">
        <f>'Wages and Salaries'!AO25</f>
        <v>750</v>
      </c>
      <c r="AP16" s="42">
        <f>'Wages and Salaries'!AP25</f>
        <v>750</v>
      </c>
      <c r="AQ16" s="42">
        <f>'Wages and Salaries'!AQ25</f>
        <v>750</v>
      </c>
      <c r="AR16" s="42">
        <f>'Wages and Salaries'!AR25</f>
        <v>750</v>
      </c>
      <c r="AS16" s="42">
        <f>'Wages and Salaries'!AS25</f>
        <v>850</v>
      </c>
      <c r="AT16" s="42">
        <f>'Wages and Salaries'!AT25</f>
        <v>962.5</v>
      </c>
      <c r="AU16" s="42">
        <f>'Wages and Salaries'!AU25</f>
        <v>962.5</v>
      </c>
      <c r="AV16" s="42">
        <f>'Wages and Salaries'!AV25</f>
        <v>962.5</v>
      </c>
      <c r="AW16" s="42">
        <f>'Wages and Salaries'!AW25</f>
        <v>962.5</v>
      </c>
      <c r="AX16" s="42">
        <f>'Wages and Salaries'!AX25</f>
        <v>962.5</v>
      </c>
      <c r="AY16" s="42">
        <f>'Wages and Salaries'!AY25</f>
        <v>962.5</v>
      </c>
      <c r="AZ16" s="42">
        <f>'Wages and Salaries'!AZ25</f>
        <v>962.5</v>
      </c>
      <c r="BA16" s="42">
        <f>'Wages and Salaries'!BA25</f>
        <v>962.5</v>
      </c>
      <c r="BB16" s="42">
        <f>'Wages and Salaries'!BB25</f>
        <v>962.5</v>
      </c>
      <c r="BC16" s="42">
        <f>'Wages and Salaries'!BC25</f>
        <v>962.5</v>
      </c>
      <c r="BD16" s="42">
        <f>'Wages and Salaries'!BD25</f>
        <v>962.5</v>
      </c>
      <c r="BE16" s="42">
        <f>'Wages and Salaries'!BE25</f>
        <v>962.5</v>
      </c>
      <c r="BF16" s="42">
        <f>'Wages and Salaries'!BF25</f>
        <v>1075</v>
      </c>
      <c r="BG16" s="42">
        <f>'Wages and Salaries'!BG25</f>
        <v>1075</v>
      </c>
      <c r="BH16" s="42">
        <f>'Wages and Salaries'!BH25</f>
        <v>1075</v>
      </c>
      <c r="BI16" s="42">
        <f>'Wages and Salaries'!BI25</f>
        <v>1075</v>
      </c>
      <c r="BJ16" s="42">
        <f>'Wages and Salaries'!BJ25</f>
        <v>1075</v>
      </c>
      <c r="BK16" s="42">
        <f>'Wages and Salaries'!BK25</f>
        <v>1075</v>
      </c>
      <c r="BL16" s="42">
        <f>'Wages and Salaries'!BL25</f>
        <v>1075</v>
      </c>
      <c r="BM16" s="42">
        <f>'Wages and Salaries'!BM25</f>
        <v>1075</v>
      </c>
      <c r="BN16" s="42">
        <f>'Wages and Salaries'!BN25</f>
        <v>1075</v>
      </c>
      <c r="BO16" s="42">
        <f>'Wages and Salaries'!BO25</f>
        <v>1075</v>
      </c>
      <c r="BP16" s="42">
        <f>'Wages and Salaries'!BP25</f>
        <v>1075</v>
      </c>
      <c r="BQ16" s="42">
        <f>'Wages and Salaries'!BQ25</f>
        <v>1075</v>
      </c>
    </row>
    <row r="17" spans="2:69">
      <c r="B17" s="14"/>
      <c r="C17" s="14" t="s">
        <v>6</v>
      </c>
      <c r="J17" s="39">
        <f>SUM(J13:J16)</f>
        <v>19425</v>
      </c>
      <c r="K17" s="39">
        <f t="shared" ref="K17:BE17" si="2">SUM(K13:K16)</f>
        <v>7364</v>
      </c>
      <c r="L17" s="39">
        <f t="shared" si="2"/>
        <v>28805</v>
      </c>
      <c r="M17" s="39">
        <f t="shared" si="2"/>
        <v>25039</v>
      </c>
      <c r="N17" s="39">
        <f t="shared" si="2"/>
        <v>31307</v>
      </c>
      <c r="O17" s="39">
        <f t="shared" si="2"/>
        <v>103407</v>
      </c>
      <c r="P17" s="39">
        <f t="shared" si="2"/>
        <v>64290</v>
      </c>
      <c r="Q17" s="39">
        <f t="shared" si="2"/>
        <v>10629</v>
      </c>
      <c r="R17" s="39">
        <f t="shared" si="2"/>
        <v>6750</v>
      </c>
      <c r="S17" s="39">
        <f t="shared" si="2"/>
        <v>20242.666666666668</v>
      </c>
      <c r="T17" s="39">
        <f t="shared" si="2"/>
        <v>43982.666666666664</v>
      </c>
      <c r="U17" s="39">
        <f t="shared" si="2"/>
        <v>45247.666666666664</v>
      </c>
      <c r="V17" s="39">
        <f t="shared" si="2"/>
        <v>54512.666666666664</v>
      </c>
      <c r="W17" s="39">
        <f t="shared" si="2"/>
        <v>117587.66666666667</v>
      </c>
      <c r="X17" s="39">
        <f t="shared" si="2"/>
        <v>123582.66666666667</v>
      </c>
      <c r="Y17" s="39">
        <f t="shared" si="2"/>
        <v>129577.66666666667</v>
      </c>
      <c r="Z17" s="39">
        <f t="shared" si="2"/>
        <v>135572.66666666666</v>
      </c>
      <c r="AA17" s="39">
        <f t="shared" si="2"/>
        <v>141567.66666666666</v>
      </c>
      <c r="AB17" s="39">
        <f t="shared" si="2"/>
        <v>147562.66666666666</v>
      </c>
      <c r="AC17" s="39">
        <f t="shared" si="2"/>
        <v>153557.66666666666</v>
      </c>
      <c r="AD17" s="39">
        <f t="shared" si="2"/>
        <v>159552.66666666666</v>
      </c>
      <c r="AE17" s="39">
        <f t="shared" si="2"/>
        <v>165547.66666666666</v>
      </c>
      <c r="AF17" s="39">
        <f t="shared" si="2"/>
        <v>171542.66666666666</v>
      </c>
      <c r="AG17" s="39">
        <f t="shared" si="2"/>
        <v>177537.66666666666</v>
      </c>
      <c r="AH17" s="39">
        <f t="shared" si="2"/>
        <v>197131</v>
      </c>
      <c r="AI17" s="39">
        <f t="shared" si="2"/>
        <v>204325</v>
      </c>
      <c r="AJ17" s="39">
        <f t="shared" si="2"/>
        <v>211519</v>
      </c>
      <c r="AK17" s="39">
        <f t="shared" si="2"/>
        <v>218713</v>
      </c>
      <c r="AL17" s="39">
        <f t="shared" si="2"/>
        <v>225907</v>
      </c>
      <c r="AM17" s="39">
        <f t="shared" si="2"/>
        <v>233101</v>
      </c>
      <c r="AN17" s="39">
        <f t="shared" si="2"/>
        <v>240295</v>
      </c>
      <c r="AO17" s="39">
        <f t="shared" si="2"/>
        <v>247489</v>
      </c>
      <c r="AP17" s="39">
        <f t="shared" si="2"/>
        <v>254683</v>
      </c>
      <c r="AQ17" s="39">
        <f t="shared" si="2"/>
        <v>261877</v>
      </c>
      <c r="AR17" s="39">
        <f t="shared" si="2"/>
        <v>269071</v>
      </c>
      <c r="AS17" s="39">
        <f t="shared" si="2"/>
        <v>280198.33333333331</v>
      </c>
      <c r="AT17" s="39">
        <f t="shared" si="2"/>
        <v>303025.83333333331</v>
      </c>
      <c r="AU17" s="39">
        <f t="shared" si="2"/>
        <v>311551.33333333331</v>
      </c>
      <c r="AV17" s="39">
        <f t="shared" si="2"/>
        <v>320076.83333333331</v>
      </c>
      <c r="AW17" s="39">
        <f t="shared" si="2"/>
        <v>328602.33333333331</v>
      </c>
      <c r="AX17" s="39">
        <f t="shared" si="2"/>
        <v>337127.83333333331</v>
      </c>
      <c r="AY17" s="39">
        <f t="shared" si="2"/>
        <v>345653.33333333331</v>
      </c>
      <c r="AZ17" s="39">
        <f t="shared" si="2"/>
        <v>354178.83333333331</v>
      </c>
      <c r="BA17" s="39">
        <f t="shared" si="2"/>
        <v>362704.33333333331</v>
      </c>
      <c r="BB17" s="39">
        <f t="shared" si="2"/>
        <v>371229.83333333331</v>
      </c>
      <c r="BC17" s="39">
        <f t="shared" si="2"/>
        <v>379755.33333333331</v>
      </c>
      <c r="BD17" s="39">
        <f t="shared" si="2"/>
        <v>388280.83333333331</v>
      </c>
      <c r="BE17" s="39">
        <f t="shared" si="2"/>
        <v>396806.33333333331</v>
      </c>
      <c r="BF17" s="39">
        <f t="shared" ref="BF17:BQ17" si="3">SUM(BF13:BF16)</f>
        <v>424052.33333333331</v>
      </c>
      <c r="BG17" s="39">
        <f t="shared" si="3"/>
        <v>434174.33333333331</v>
      </c>
      <c r="BH17" s="39">
        <f t="shared" si="3"/>
        <v>444296.33333333331</v>
      </c>
      <c r="BI17" s="39">
        <f t="shared" si="3"/>
        <v>454418.33333333331</v>
      </c>
      <c r="BJ17" s="39">
        <f t="shared" si="3"/>
        <v>464540.33333333331</v>
      </c>
      <c r="BK17" s="39">
        <f t="shared" si="3"/>
        <v>474662.33333333331</v>
      </c>
      <c r="BL17" s="39">
        <f t="shared" si="3"/>
        <v>484784.33333333331</v>
      </c>
      <c r="BM17" s="39">
        <f t="shared" si="3"/>
        <v>494906.33333333331</v>
      </c>
      <c r="BN17" s="39">
        <f t="shared" si="3"/>
        <v>505028.33333333331</v>
      </c>
      <c r="BO17" s="39">
        <f t="shared" si="3"/>
        <v>515150.33333333331</v>
      </c>
      <c r="BP17" s="39">
        <f t="shared" si="3"/>
        <v>525272.33333333326</v>
      </c>
      <c r="BQ17" s="39">
        <f t="shared" si="3"/>
        <v>535394.33333333337</v>
      </c>
    </row>
    <row r="18" spans="2:69">
      <c r="B18" s="13"/>
      <c r="C18" s="13"/>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row>
    <row r="19" spans="2:69" s="90" customFormat="1">
      <c r="B19" s="87" t="s">
        <v>8</v>
      </c>
      <c r="C19" s="87"/>
      <c r="J19" s="104">
        <f>J10-J17</f>
        <v>17375</v>
      </c>
      <c r="K19" s="104">
        <f t="shared" ref="K19:BE19" si="4">K10-K17</f>
        <v>40936</v>
      </c>
      <c r="L19" s="104">
        <f t="shared" si="4"/>
        <v>-14185</v>
      </c>
      <c r="M19" s="104">
        <f t="shared" si="4"/>
        <v>37384</v>
      </c>
      <c r="N19" s="104">
        <f t="shared" si="4"/>
        <v>28467</v>
      </c>
      <c r="O19" s="104">
        <f t="shared" si="4"/>
        <v>54327</v>
      </c>
      <c r="P19" s="104">
        <f t="shared" si="4"/>
        <v>59442</v>
      </c>
      <c r="Q19" s="104">
        <f t="shared" si="4"/>
        <v>23996</v>
      </c>
      <c r="R19" s="104">
        <f t="shared" si="4"/>
        <v>31500</v>
      </c>
      <c r="S19" s="104">
        <f t="shared" si="4"/>
        <v>3107.3333333333321</v>
      </c>
      <c r="T19" s="104">
        <f t="shared" si="4"/>
        <v>-2132.6666666666642</v>
      </c>
      <c r="U19" s="104">
        <f t="shared" si="4"/>
        <v>16352.333333333336</v>
      </c>
      <c r="V19" s="104">
        <f t="shared" si="4"/>
        <v>11837.333333333336</v>
      </c>
      <c r="W19" s="104">
        <f t="shared" si="4"/>
        <v>21512.333333333328</v>
      </c>
      <c r="X19" s="104">
        <f t="shared" si="4"/>
        <v>36292.333333333328</v>
      </c>
      <c r="Y19" s="104">
        <f t="shared" si="4"/>
        <v>72972.333333333328</v>
      </c>
      <c r="Z19" s="104">
        <f t="shared" si="4"/>
        <v>80452.333333333343</v>
      </c>
      <c r="AA19" s="104">
        <f t="shared" si="4"/>
        <v>87932.333333333343</v>
      </c>
      <c r="AB19" s="104">
        <f t="shared" si="4"/>
        <v>95412.333333333343</v>
      </c>
      <c r="AC19" s="104">
        <f t="shared" si="4"/>
        <v>106892.33333333334</v>
      </c>
      <c r="AD19" s="104">
        <f t="shared" si="4"/>
        <v>118372.33333333334</v>
      </c>
      <c r="AE19" s="104">
        <f t="shared" si="4"/>
        <v>129852.33333333334</v>
      </c>
      <c r="AF19" s="104">
        <f t="shared" si="4"/>
        <v>141332.33333333334</v>
      </c>
      <c r="AG19" s="104">
        <f t="shared" si="4"/>
        <v>152812.33333333334</v>
      </c>
      <c r="AH19" s="104">
        <f t="shared" si="4"/>
        <v>202471.5</v>
      </c>
      <c r="AI19" s="104">
        <f t="shared" si="4"/>
        <v>217244.5</v>
      </c>
      <c r="AJ19" s="104">
        <f t="shared" si="4"/>
        <v>232017.5</v>
      </c>
      <c r="AK19" s="104">
        <f t="shared" si="4"/>
        <v>246790.5</v>
      </c>
      <c r="AL19" s="104">
        <f t="shared" si="4"/>
        <v>261563.5</v>
      </c>
      <c r="AM19" s="104">
        <f t="shared" si="4"/>
        <v>276336.5</v>
      </c>
      <c r="AN19" s="104">
        <f t="shared" si="4"/>
        <v>292209.5</v>
      </c>
      <c r="AO19" s="104">
        <f t="shared" si="4"/>
        <v>308082.5</v>
      </c>
      <c r="AP19" s="104">
        <f t="shared" si="4"/>
        <v>323955.5</v>
      </c>
      <c r="AQ19" s="104">
        <f t="shared" si="4"/>
        <v>339828.5</v>
      </c>
      <c r="AR19" s="104">
        <f t="shared" si="4"/>
        <v>355701.5</v>
      </c>
      <c r="AS19" s="104">
        <f t="shared" si="4"/>
        <v>367641.16666666669</v>
      </c>
      <c r="AT19" s="104">
        <f t="shared" si="4"/>
        <v>456237.06666666671</v>
      </c>
      <c r="AU19" s="104">
        <f t="shared" si="4"/>
        <v>476325.04166666669</v>
      </c>
      <c r="AV19" s="104">
        <f t="shared" si="4"/>
        <v>496413.01666666666</v>
      </c>
      <c r="AW19" s="104">
        <f t="shared" si="4"/>
        <v>516500.99166666664</v>
      </c>
      <c r="AX19" s="104">
        <f t="shared" si="4"/>
        <v>536588.96666666679</v>
      </c>
      <c r="AY19" s="104">
        <f t="shared" si="4"/>
        <v>556676.94166666665</v>
      </c>
      <c r="AZ19" s="104">
        <f t="shared" si="4"/>
        <v>578095.91666666674</v>
      </c>
      <c r="BA19" s="104">
        <f t="shared" si="4"/>
        <v>599514.8916666666</v>
      </c>
      <c r="BB19" s="104">
        <f t="shared" si="4"/>
        <v>620933.8666666667</v>
      </c>
      <c r="BC19" s="104">
        <f t="shared" si="4"/>
        <v>642352.84166666679</v>
      </c>
      <c r="BD19" s="104">
        <f t="shared" si="4"/>
        <v>663771.81666666665</v>
      </c>
      <c r="BE19" s="104">
        <f t="shared" si="4"/>
        <v>685190.79166666674</v>
      </c>
      <c r="BF19" s="104">
        <f t="shared" ref="BF19:BQ19" si="5">BF10-BF17</f>
        <v>714297.51666666684</v>
      </c>
      <c r="BG19" s="104">
        <f t="shared" si="5"/>
        <v>737801.41666666674</v>
      </c>
      <c r="BH19" s="104">
        <f t="shared" si="5"/>
        <v>761305.31666666665</v>
      </c>
      <c r="BI19" s="104">
        <f t="shared" si="5"/>
        <v>784809.21666666679</v>
      </c>
      <c r="BJ19" s="104">
        <f t="shared" si="5"/>
        <v>808313.1166666667</v>
      </c>
      <c r="BK19" s="104">
        <f t="shared" si="5"/>
        <v>831817.01666666684</v>
      </c>
      <c r="BL19" s="104">
        <f t="shared" si="5"/>
        <v>856893.91666666674</v>
      </c>
      <c r="BM19" s="104">
        <f t="shared" si="5"/>
        <v>881970.81666666665</v>
      </c>
      <c r="BN19" s="104">
        <f t="shared" si="5"/>
        <v>907047.71666666679</v>
      </c>
      <c r="BO19" s="104">
        <f t="shared" si="5"/>
        <v>932124.6166666667</v>
      </c>
      <c r="BP19" s="104">
        <f t="shared" si="5"/>
        <v>957201.51666666684</v>
      </c>
      <c r="BQ19" s="104">
        <f t="shared" si="5"/>
        <v>982278.41666666663</v>
      </c>
    </row>
    <row r="20" spans="2:69">
      <c r="B20" s="17"/>
      <c r="C20" s="17" t="s">
        <v>9</v>
      </c>
      <c r="J20" s="31">
        <f>J19/J10</f>
        <v>0.47214673913043476</v>
      </c>
      <c r="K20" s="31">
        <f t="shared" ref="K20:BE20" si="6">K19/K10</f>
        <v>0.84753623188405802</v>
      </c>
      <c r="L20" s="31">
        <f t="shared" si="6"/>
        <v>-0.9702462380300958</v>
      </c>
      <c r="M20" s="31">
        <f t="shared" si="6"/>
        <v>0.59888182240520316</v>
      </c>
      <c r="N20" s="31">
        <f t="shared" si="6"/>
        <v>0.47624385184193796</v>
      </c>
      <c r="O20" s="31">
        <f t="shared" si="6"/>
        <v>0.34442162121039216</v>
      </c>
      <c r="P20" s="31">
        <f t="shared" si="6"/>
        <v>0.48040927165163416</v>
      </c>
      <c r="Q20" s="31">
        <f t="shared" si="6"/>
        <v>0.6930252707581227</v>
      </c>
      <c r="R20" s="31">
        <f t="shared" si="6"/>
        <v>0.82352941176470584</v>
      </c>
      <c r="S20" s="31">
        <f t="shared" si="6"/>
        <v>0.13307637401855812</v>
      </c>
      <c r="T20" s="31">
        <f t="shared" si="6"/>
        <v>-5.0959776981282297E-2</v>
      </c>
      <c r="U20" s="31">
        <f t="shared" si="6"/>
        <v>0.26545995670995676</v>
      </c>
      <c r="V20" s="31">
        <f t="shared" si="6"/>
        <v>0.17840743531775941</v>
      </c>
      <c r="W20" s="31">
        <f t="shared" si="6"/>
        <v>0.1546537263359693</v>
      </c>
      <c r="X20" s="31">
        <f t="shared" si="6"/>
        <v>0.22700443054469635</v>
      </c>
      <c r="Y20" s="31">
        <f t="shared" si="6"/>
        <v>0.3602682465234921</v>
      </c>
      <c r="Z20" s="31">
        <f t="shared" si="6"/>
        <v>0.37242140184392242</v>
      </c>
      <c r="AA20" s="31">
        <f t="shared" si="6"/>
        <v>0.38314742193173568</v>
      </c>
      <c r="AB20" s="31">
        <f t="shared" si="6"/>
        <v>0.39268374661316324</v>
      </c>
      <c r="AC20" s="31">
        <f t="shared" si="6"/>
        <v>0.41041402700454344</v>
      </c>
      <c r="AD20" s="31">
        <f t="shared" si="6"/>
        <v>0.42591466522742949</v>
      </c>
      <c r="AE20" s="31">
        <f t="shared" si="6"/>
        <v>0.43958135860979464</v>
      </c>
      <c r="AF20" s="31">
        <f t="shared" si="6"/>
        <v>0.45172140098548413</v>
      </c>
      <c r="AG20" s="31">
        <f t="shared" si="6"/>
        <v>0.46257706472932753</v>
      </c>
      <c r="AH20" s="31">
        <f t="shared" si="6"/>
        <v>0.50668226550134199</v>
      </c>
      <c r="AI20" s="31">
        <f t="shared" si="6"/>
        <v>0.51532309619173111</v>
      </c>
      <c r="AJ20" s="31">
        <f t="shared" si="6"/>
        <v>0.52310801929491713</v>
      </c>
      <c r="AK20" s="31">
        <f t="shared" si="6"/>
        <v>0.53015820504034883</v>
      </c>
      <c r="AL20" s="31">
        <f t="shared" si="6"/>
        <v>0.53657298236508666</v>
      </c>
      <c r="AM20" s="31">
        <f t="shared" si="6"/>
        <v>0.54243454790823209</v>
      </c>
      <c r="AN20" s="31">
        <f t="shared" si="6"/>
        <v>0.54874559745504503</v>
      </c>
      <c r="AO20" s="31">
        <f t="shared" si="6"/>
        <v>0.55453258491481294</v>
      </c>
      <c r="AP20" s="31">
        <f t="shared" si="6"/>
        <v>0.55985818434134615</v>
      </c>
      <c r="AQ20" s="31">
        <f t="shared" si="6"/>
        <v>0.56477545909086757</v>
      </c>
      <c r="AR20" s="31">
        <f t="shared" si="6"/>
        <v>0.56932963598749942</v>
      </c>
      <c r="AS20" s="31">
        <f t="shared" si="6"/>
        <v>0.56748803780360213</v>
      </c>
      <c r="AT20" s="31">
        <f t="shared" si="6"/>
        <v>0.60089471863654431</v>
      </c>
      <c r="AU20" s="31">
        <f t="shared" si="6"/>
        <v>0.60456825052872876</v>
      </c>
      <c r="AV20" s="31">
        <f t="shared" si="6"/>
        <v>0.6079843082760511</v>
      </c>
      <c r="AW20" s="31">
        <f t="shared" si="6"/>
        <v>0.61116904452679399</v>
      </c>
      <c r="AX20" s="31">
        <f t="shared" si="6"/>
        <v>0.61414518602213752</v>
      </c>
      <c r="AY20" s="31">
        <f t="shared" si="6"/>
        <v>0.6169325767847772</v>
      </c>
      <c r="AZ20" s="31">
        <f t="shared" si="6"/>
        <v>0.62009178803423215</v>
      </c>
      <c r="BA20" s="31">
        <f t="shared" si="6"/>
        <v>0.62305436857870578</v>
      </c>
      <c r="BB20" s="31">
        <f t="shared" si="6"/>
        <v>0.62583812194163801</v>
      </c>
      <c r="BC20" s="31">
        <f t="shared" si="6"/>
        <v>0.62845876530306277</v>
      </c>
      <c r="BD20" s="31">
        <f t="shared" si="6"/>
        <v>0.63093022641658358</v>
      </c>
      <c r="BE20" s="31">
        <f t="shared" si="6"/>
        <v>0.63326489122294738</v>
      </c>
      <c r="BF20" s="31">
        <f t="shared" ref="BF20:BQ20" si="7">BF19/BF10</f>
        <v>0.62748505362096441</v>
      </c>
      <c r="BG20" s="31">
        <f t="shared" si="7"/>
        <v>0.62953641887783662</v>
      </c>
      <c r="BH20" s="31">
        <f t="shared" si="7"/>
        <v>0.63147335329763921</v>
      </c>
      <c r="BI20" s="31">
        <f t="shared" si="7"/>
        <v>0.63330517197319147</v>
      </c>
      <c r="BJ20" s="31">
        <f t="shared" si="7"/>
        <v>0.63504020566284891</v>
      </c>
      <c r="BK20" s="31">
        <f t="shared" si="7"/>
        <v>0.63668592746350472</v>
      </c>
      <c r="BL20" s="31">
        <f t="shared" si="7"/>
        <v>0.63867318164147535</v>
      </c>
      <c r="BM20" s="31">
        <f t="shared" si="7"/>
        <v>0.64055883029699978</v>
      </c>
      <c r="BN20" s="31">
        <f t="shared" si="7"/>
        <v>0.64235047160998637</v>
      </c>
      <c r="BO20" s="31">
        <f t="shared" si="7"/>
        <v>0.64405496458476441</v>
      </c>
      <c r="BP20" s="31">
        <f t="shared" si="7"/>
        <v>0.64567851680261801</v>
      </c>
      <c r="BQ20" s="31">
        <f t="shared" si="7"/>
        <v>0.64722675996302015</v>
      </c>
    </row>
    <row r="21" spans="2:69">
      <c r="B21" s="13"/>
      <c r="C21" s="13"/>
    </row>
    <row r="22" spans="2:69">
      <c r="B22" s="14" t="s">
        <v>10</v>
      </c>
      <c r="C22" s="13"/>
    </row>
    <row r="23" spans="2:69">
      <c r="B23" s="13"/>
      <c r="C23" s="13" t="s">
        <v>57</v>
      </c>
      <c r="J23" s="39">
        <f>'Wages and Salaries'!J47</f>
        <v>5000</v>
      </c>
      <c r="K23" s="39">
        <f>'Wages and Salaries'!K47</f>
        <v>0</v>
      </c>
      <c r="L23" s="39">
        <f>'Wages and Salaries'!L47</f>
        <v>5000</v>
      </c>
      <c r="M23" s="39">
        <f>'Wages and Salaries'!M47</f>
        <v>5000</v>
      </c>
      <c r="N23" s="39">
        <f>'Wages and Salaries'!N47</f>
        <v>5000</v>
      </c>
      <c r="O23" s="39">
        <f>'Wages and Salaries'!O47</f>
        <v>5000</v>
      </c>
      <c r="P23" s="39">
        <f>'Wages and Salaries'!P47</f>
        <v>0</v>
      </c>
      <c r="Q23" s="39">
        <f>'Wages and Salaries'!Q47</f>
        <v>0</v>
      </c>
      <c r="R23" s="39">
        <f>'Wages and Salaries'!R47</f>
        <v>0</v>
      </c>
      <c r="S23" s="39">
        <f>'Wages and Salaries'!S47</f>
        <v>4166.666666666667</v>
      </c>
      <c r="T23" s="39">
        <f>'Wages and Salaries'!T47</f>
        <v>4166.666666666667</v>
      </c>
      <c r="U23" s="39">
        <f>'Wages and Salaries'!U47</f>
        <v>4166.666666666667</v>
      </c>
      <c r="V23" s="39">
        <f>'Wages and Salaries'!V47</f>
        <v>4166.666666666667</v>
      </c>
      <c r="W23" s="39">
        <f>'Wages and Salaries'!W47</f>
        <v>7916.666666666667</v>
      </c>
      <c r="X23" s="39">
        <f>'Wages and Salaries'!X47</f>
        <v>7916.666666666667</v>
      </c>
      <c r="Y23" s="39">
        <f>'Wages and Salaries'!Y47</f>
        <v>7916.666666666667</v>
      </c>
      <c r="Z23" s="39">
        <f>'Wages and Salaries'!Z47</f>
        <v>7916.666666666667</v>
      </c>
      <c r="AA23" s="39">
        <f>'Wages and Salaries'!AA47</f>
        <v>7916.666666666667</v>
      </c>
      <c r="AB23" s="39">
        <f>'Wages and Salaries'!AB47</f>
        <v>7916.666666666667</v>
      </c>
      <c r="AC23" s="39">
        <f>'Wages and Salaries'!AC47</f>
        <v>7916.666666666667</v>
      </c>
      <c r="AD23" s="39">
        <f>'Wages and Salaries'!AD47</f>
        <v>7916.666666666667</v>
      </c>
      <c r="AE23" s="39">
        <f>'Wages and Salaries'!AE47</f>
        <v>7916.666666666667</v>
      </c>
      <c r="AF23" s="39">
        <f>'Wages and Salaries'!AF47</f>
        <v>7916.666666666667</v>
      </c>
      <c r="AG23" s="39">
        <f>'Wages and Salaries'!AG47</f>
        <v>7916.666666666667</v>
      </c>
      <c r="AH23" s="39">
        <f>'Wages and Salaries'!AH47</f>
        <v>10416.666666666668</v>
      </c>
      <c r="AI23" s="39">
        <f>'Wages and Salaries'!AI47</f>
        <v>10416.666666666668</v>
      </c>
      <c r="AJ23" s="39">
        <f>'Wages and Salaries'!AJ47</f>
        <v>10416.666666666668</v>
      </c>
      <c r="AK23" s="39">
        <f>'Wages and Salaries'!AK47</f>
        <v>10416.666666666668</v>
      </c>
      <c r="AL23" s="39">
        <f>'Wages and Salaries'!AL47</f>
        <v>10416.666666666668</v>
      </c>
      <c r="AM23" s="39">
        <f>'Wages and Salaries'!AM47</f>
        <v>10416.666666666668</v>
      </c>
      <c r="AN23" s="39">
        <f>'Wages and Salaries'!AN47</f>
        <v>10416.666666666668</v>
      </c>
      <c r="AO23" s="39">
        <f>'Wages and Salaries'!AO47</f>
        <v>10416.666666666668</v>
      </c>
      <c r="AP23" s="39">
        <f>'Wages and Salaries'!AP47</f>
        <v>10416.666666666668</v>
      </c>
      <c r="AQ23" s="39">
        <f>'Wages and Salaries'!AQ47</f>
        <v>10416.666666666668</v>
      </c>
      <c r="AR23" s="39">
        <f>'Wages and Salaries'!AR47</f>
        <v>10416.666666666668</v>
      </c>
      <c r="AS23" s="39">
        <f>'Wages and Salaries'!AS47</f>
        <v>10416.666666666668</v>
      </c>
      <c r="AT23" s="39">
        <f>'Wages and Salaries'!AT47</f>
        <v>13333.333333333334</v>
      </c>
      <c r="AU23" s="39">
        <f>'Wages and Salaries'!AU47</f>
        <v>13333.333333333334</v>
      </c>
      <c r="AV23" s="39">
        <f>'Wages and Salaries'!AV47</f>
        <v>13333.333333333334</v>
      </c>
      <c r="AW23" s="39">
        <f>'Wages and Salaries'!AW47</f>
        <v>13333.333333333334</v>
      </c>
      <c r="AX23" s="39">
        <f>'Wages and Salaries'!AX47</f>
        <v>13333.333333333334</v>
      </c>
      <c r="AY23" s="39">
        <f>'Wages and Salaries'!AY47</f>
        <v>13333.333333333334</v>
      </c>
      <c r="AZ23" s="39">
        <f>'Wages and Salaries'!AZ47</f>
        <v>13333.333333333334</v>
      </c>
      <c r="BA23" s="39">
        <f>'Wages and Salaries'!BA47</f>
        <v>13333.333333333334</v>
      </c>
      <c r="BB23" s="39">
        <f>'Wages and Salaries'!BB47</f>
        <v>13333.333333333334</v>
      </c>
      <c r="BC23" s="39">
        <f>'Wages and Salaries'!BC47</f>
        <v>13333.333333333334</v>
      </c>
      <c r="BD23" s="39">
        <f>'Wages and Salaries'!BD47</f>
        <v>13333.333333333334</v>
      </c>
      <c r="BE23" s="39">
        <f>'Wages and Salaries'!BE47</f>
        <v>13333.333333333334</v>
      </c>
      <c r="BF23" s="39">
        <f>'Wages and Salaries'!BF47</f>
        <v>16250</v>
      </c>
      <c r="BG23" s="39">
        <f>'Wages and Salaries'!BG47</f>
        <v>16250</v>
      </c>
      <c r="BH23" s="39">
        <f>'Wages and Salaries'!BH47</f>
        <v>16250</v>
      </c>
      <c r="BI23" s="39">
        <f>'Wages and Salaries'!BI47</f>
        <v>16250</v>
      </c>
      <c r="BJ23" s="39">
        <f>'Wages and Salaries'!BJ47</f>
        <v>16250</v>
      </c>
      <c r="BK23" s="39">
        <f>'Wages and Salaries'!BK47</f>
        <v>16250</v>
      </c>
      <c r="BL23" s="39">
        <f>'Wages and Salaries'!BL47</f>
        <v>16250</v>
      </c>
      <c r="BM23" s="39">
        <f>'Wages and Salaries'!BM47</f>
        <v>16250</v>
      </c>
      <c r="BN23" s="39">
        <f>'Wages and Salaries'!BN47</f>
        <v>16250</v>
      </c>
      <c r="BO23" s="39">
        <f>'Wages and Salaries'!BO47</f>
        <v>16250</v>
      </c>
      <c r="BP23" s="39">
        <f>'Wages and Salaries'!BP47</f>
        <v>16250</v>
      </c>
      <c r="BQ23" s="39">
        <f>'Wages and Salaries'!BQ47</f>
        <v>16250</v>
      </c>
    </row>
    <row r="24" spans="2:69">
      <c r="B24" s="13"/>
      <c r="C24" s="13" t="s">
        <v>59</v>
      </c>
      <c r="J24" s="39">
        <f>'Wages and Salaries'!J50</f>
        <v>0</v>
      </c>
      <c r="K24" s="39">
        <f>'Wages and Salaries'!K50</f>
        <v>0</v>
      </c>
      <c r="L24" s="39">
        <f>'Wages and Salaries'!L50</f>
        <v>0</v>
      </c>
      <c r="M24" s="39">
        <f>'Wages and Salaries'!M50</f>
        <v>0</v>
      </c>
      <c r="N24" s="39">
        <f>'Wages and Salaries'!N50</f>
        <v>0</v>
      </c>
      <c r="O24" s="39">
        <f>'Wages and Salaries'!O50</f>
        <v>0</v>
      </c>
      <c r="P24" s="39">
        <f>'Wages and Salaries'!P50</f>
        <v>0</v>
      </c>
      <c r="Q24" s="39">
        <f>'Wages and Salaries'!Q50</f>
        <v>0</v>
      </c>
      <c r="R24" s="39">
        <f>'Wages and Salaries'!R50</f>
        <v>0</v>
      </c>
      <c r="S24" s="39">
        <f>'Wages and Salaries'!S50</f>
        <v>625</v>
      </c>
      <c r="T24" s="39">
        <f>'Wages and Salaries'!T50</f>
        <v>625</v>
      </c>
      <c r="U24" s="39">
        <f>'Wages and Salaries'!U50</f>
        <v>625</v>
      </c>
      <c r="V24" s="39">
        <f>'Wages and Salaries'!V50</f>
        <v>625</v>
      </c>
      <c r="W24" s="39">
        <f>'Wages and Salaries'!W50</f>
        <v>1187.5</v>
      </c>
      <c r="X24" s="39">
        <f>'Wages and Salaries'!X50</f>
        <v>1187.5</v>
      </c>
      <c r="Y24" s="39">
        <f>'Wages and Salaries'!Y50</f>
        <v>1187.5</v>
      </c>
      <c r="Z24" s="39">
        <f>'Wages and Salaries'!Z50</f>
        <v>1187.5</v>
      </c>
      <c r="AA24" s="39">
        <f>'Wages and Salaries'!AA50</f>
        <v>1187.5</v>
      </c>
      <c r="AB24" s="39">
        <f>'Wages and Salaries'!AB50</f>
        <v>1187.5</v>
      </c>
      <c r="AC24" s="39">
        <f>'Wages and Salaries'!AC50</f>
        <v>1187.5</v>
      </c>
      <c r="AD24" s="39">
        <f>'Wages and Salaries'!AD50</f>
        <v>1187.5</v>
      </c>
      <c r="AE24" s="39">
        <f>'Wages and Salaries'!AE50</f>
        <v>1187.5</v>
      </c>
      <c r="AF24" s="39">
        <f>'Wages and Salaries'!AF50</f>
        <v>1187.5</v>
      </c>
      <c r="AG24" s="39">
        <f>'Wages and Salaries'!AG50</f>
        <v>1187.5</v>
      </c>
      <c r="AH24" s="39">
        <f>'Wages and Salaries'!AH50</f>
        <v>1562.5000000000002</v>
      </c>
      <c r="AI24" s="39">
        <f>'Wages and Salaries'!AI50</f>
        <v>1562.5000000000002</v>
      </c>
      <c r="AJ24" s="39">
        <f>'Wages and Salaries'!AJ50</f>
        <v>1562.5000000000002</v>
      </c>
      <c r="AK24" s="39">
        <f>'Wages and Salaries'!AK50</f>
        <v>1562.5000000000002</v>
      </c>
      <c r="AL24" s="39">
        <f>'Wages and Salaries'!AL50</f>
        <v>1562.5000000000002</v>
      </c>
      <c r="AM24" s="39">
        <f>'Wages and Salaries'!AM50</f>
        <v>1562.5000000000002</v>
      </c>
      <c r="AN24" s="39">
        <f>'Wages and Salaries'!AN50</f>
        <v>1562.5000000000002</v>
      </c>
      <c r="AO24" s="39">
        <f>'Wages and Salaries'!AO50</f>
        <v>1562.5000000000002</v>
      </c>
      <c r="AP24" s="39">
        <f>'Wages and Salaries'!AP50</f>
        <v>1562.5000000000002</v>
      </c>
      <c r="AQ24" s="39">
        <f>'Wages and Salaries'!AQ50</f>
        <v>1562.5000000000002</v>
      </c>
      <c r="AR24" s="39">
        <f>'Wages and Salaries'!AR50</f>
        <v>1562.5000000000002</v>
      </c>
      <c r="AS24" s="39">
        <f>'Wages and Salaries'!AS50</f>
        <v>1562.5000000000002</v>
      </c>
      <c r="AT24" s="39">
        <f>'Wages and Salaries'!AT50</f>
        <v>2000</v>
      </c>
      <c r="AU24" s="39">
        <f>'Wages and Salaries'!AU50</f>
        <v>2000</v>
      </c>
      <c r="AV24" s="39">
        <f>'Wages and Salaries'!AV50</f>
        <v>2000</v>
      </c>
      <c r="AW24" s="39">
        <f>'Wages and Salaries'!AW50</f>
        <v>2000</v>
      </c>
      <c r="AX24" s="39">
        <f>'Wages and Salaries'!AX50</f>
        <v>2000</v>
      </c>
      <c r="AY24" s="39">
        <f>'Wages and Salaries'!AY50</f>
        <v>2000</v>
      </c>
      <c r="AZ24" s="39">
        <f>'Wages and Salaries'!AZ50</f>
        <v>2000</v>
      </c>
      <c r="BA24" s="39">
        <f>'Wages and Salaries'!BA50</f>
        <v>2000</v>
      </c>
      <c r="BB24" s="39">
        <f>'Wages and Salaries'!BB50</f>
        <v>2000</v>
      </c>
      <c r="BC24" s="39">
        <f>'Wages and Salaries'!BC50</f>
        <v>2000</v>
      </c>
      <c r="BD24" s="39">
        <f>'Wages and Salaries'!BD50</f>
        <v>2000</v>
      </c>
      <c r="BE24" s="39">
        <f>'Wages and Salaries'!BE50</f>
        <v>2000</v>
      </c>
      <c r="BF24" s="39">
        <f>'Wages and Salaries'!BF50</f>
        <v>2437.5</v>
      </c>
      <c r="BG24" s="39">
        <f>'Wages and Salaries'!BG50</f>
        <v>2437.5</v>
      </c>
      <c r="BH24" s="39">
        <f>'Wages and Salaries'!BH50</f>
        <v>2437.5</v>
      </c>
      <c r="BI24" s="39">
        <f>'Wages and Salaries'!BI50</f>
        <v>2437.5</v>
      </c>
      <c r="BJ24" s="39">
        <f>'Wages and Salaries'!BJ50</f>
        <v>2437.5</v>
      </c>
      <c r="BK24" s="39">
        <f>'Wages and Salaries'!BK50</f>
        <v>2437.5</v>
      </c>
      <c r="BL24" s="39">
        <f>'Wages and Salaries'!BL50</f>
        <v>2437.5</v>
      </c>
      <c r="BM24" s="39">
        <f>'Wages and Salaries'!BM50</f>
        <v>2437.5</v>
      </c>
      <c r="BN24" s="39">
        <f>'Wages and Salaries'!BN50</f>
        <v>2437.5</v>
      </c>
      <c r="BO24" s="39">
        <f>'Wages and Salaries'!BO50</f>
        <v>2437.5</v>
      </c>
      <c r="BP24" s="39">
        <f>'Wages and Salaries'!BP50</f>
        <v>2437.5</v>
      </c>
      <c r="BQ24" s="39">
        <f>'Wages and Salaries'!BQ50</f>
        <v>2437.5</v>
      </c>
    </row>
    <row r="25" spans="2:69">
      <c r="B25" s="13"/>
      <c r="C25" s="13" t="s">
        <v>60</v>
      </c>
      <c r="J25" s="39">
        <f>'Wages and Salaries'!J51</f>
        <v>0</v>
      </c>
      <c r="K25" s="39">
        <f>'Wages and Salaries'!K51</f>
        <v>0</v>
      </c>
      <c r="L25" s="39">
        <f>'Wages and Salaries'!L51</f>
        <v>0</v>
      </c>
      <c r="M25" s="39">
        <f>'Wages and Salaries'!M51</f>
        <v>0</v>
      </c>
      <c r="N25" s="39">
        <f>'Wages and Salaries'!N51</f>
        <v>0</v>
      </c>
      <c r="O25" s="39">
        <f>'Wages and Salaries'!O51</f>
        <v>0</v>
      </c>
      <c r="P25" s="39">
        <f>'Wages and Salaries'!P51</f>
        <v>0</v>
      </c>
      <c r="Q25" s="39">
        <f>'Wages and Salaries'!Q51</f>
        <v>0</v>
      </c>
      <c r="R25" s="39">
        <f>'Wages and Salaries'!R51</f>
        <v>0</v>
      </c>
      <c r="S25" s="39">
        <f>'Wages and Salaries'!S51</f>
        <v>125</v>
      </c>
      <c r="T25" s="39">
        <f>'Wages and Salaries'!T51</f>
        <v>125</v>
      </c>
      <c r="U25" s="39">
        <f>'Wages and Salaries'!U51</f>
        <v>125</v>
      </c>
      <c r="V25" s="39">
        <f>'Wages and Salaries'!V51</f>
        <v>125</v>
      </c>
      <c r="W25" s="39">
        <f>'Wages and Salaries'!W51</f>
        <v>237.5</v>
      </c>
      <c r="X25" s="39">
        <f>'Wages and Salaries'!X51</f>
        <v>237.5</v>
      </c>
      <c r="Y25" s="39">
        <f>'Wages and Salaries'!Y51</f>
        <v>237.5</v>
      </c>
      <c r="Z25" s="39">
        <f>'Wages and Salaries'!Z51</f>
        <v>237.5</v>
      </c>
      <c r="AA25" s="39">
        <f>'Wages and Salaries'!AA51</f>
        <v>237.5</v>
      </c>
      <c r="AB25" s="39">
        <f>'Wages and Salaries'!AB51</f>
        <v>237.5</v>
      </c>
      <c r="AC25" s="39">
        <f>'Wages and Salaries'!AC51</f>
        <v>237.5</v>
      </c>
      <c r="AD25" s="39">
        <f>'Wages and Salaries'!AD51</f>
        <v>237.5</v>
      </c>
      <c r="AE25" s="39">
        <f>'Wages and Salaries'!AE51</f>
        <v>237.5</v>
      </c>
      <c r="AF25" s="39">
        <f>'Wages and Salaries'!AF51</f>
        <v>237.5</v>
      </c>
      <c r="AG25" s="39">
        <f>'Wages and Salaries'!AG51</f>
        <v>237.5</v>
      </c>
      <c r="AH25" s="39">
        <f>'Wages and Salaries'!AH51</f>
        <v>312.5</v>
      </c>
      <c r="AI25" s="39">
        <f>'Wages and Salaries'!AI51</f>
        <v>312.5</v>
      </c>
      <c r="AJ25" s="39">
        <f>'Wages and Salaries'!AJ51</f>
        <v>312.5</v>
      </c>
      <c r="AK25" s="39">
        <f>'Wages and Salaries'!AK51</f>
        <v>312.5</v>
      </c>
      <c r="AL25" s="39">
        <f>'Wages and Salaries'!AL51</f>
        <v>312.5</v>
      </c>
      <c r="AM25" s="39">
        <f>'Wages and Salaries'!AM51</f>
        <v>312.5</v>
      </c>
      <c r="AN25" s="39">
        <f>'Wages and Salaries'!AN51</f>
        <v>312.5</v>
      </c>
      <c r="AO25" s="39">
        <f>'Wages and Salaries'!AO51</f>
        <v>312.5</v>
      </c>
      <c r="AP25" s="39">
        <f>'Wages and Salaries'!AP51</f>
        <v>312.5</v>
      </c>
      <c r="AQ25" s="39">
        <f>'Wages and Salaries'!AQ51</f>
        <v>312.5</v>
      </c>
      <c r="AR25" s="39">
        <f>'Wages and Salaries'!AR51</f>
        <v>312.5</v>
      </c>
      <c r="AS25" s="39">
        <f>'Wages and Salaries'!AS51</f>
        <v>312.5</v>
      </c>
      <c r="AT25" s="39">
        <f>'Wages and Salaries'!AT51</f>
        <v>400</v>
      </c>
      <c r="AU25" s="39">
        <f>'Wages and Salaries'!AU51</f>
        <v>400</v>
      </c>
      <c r="AV25" s="39">
        <f>'Wages and Salaries'!AV51</f>
        <v>400</v>
      </c>
      <c r="AW25" s="39">
        <f>'Wages and Salaries'!AW51</f>
        <v>400</v>
      </c>
      <c r="AX25" s="39">
        <f>'Wages and Salaries'!AX51</f>
        <v>400</v>
      </c>
      <c r="AY25" s="39">
        <f>'Wages and Salaries'!AY51</f>
        <v>400</v>
      </c>
      <c r="AZ25" s="39">
        <f>'Wages and Salaries'!AZ51</f>
        <v>400</v>
      </c>
      <c r="BA25" s="39">
        <f>'Wages and Salaries'!BA51</f>
        <v>400</v>
      </c>
      <c r="BB25" s="39">
        <f>'Wages and Salaries'!BB51</f>
        <v>400</v>
      </c>
      <c r="BC25" s="39">
        <f>'Wages and Salaries'!BC51</f>
        <v>400</v>
      </c>
      <c r="BD25" s="39">
        <f>'Wages and Salaries'!BD51</f>
        <v>400</v>
      </c>
      <c r="BE25" s="39">
        <f>'Wages and Salaries'!BE51</f>
        <v>400</v>
      </c>
      <c r="BF25" s="39">
        <f>'Wages and Salaries'!BF51</f>
        <v>487.5</v>
      </c>
      <c r="BG25" s="39">
        <f>'Wages and Salaries'!BG51</f>
        <v>487.5</v>
      </c>
      <c r="BH25" s="39">
        <f>'Wages and Salaries'!BH51</f>
        <v>487.5</v>
      </c>
      <c r="BI25" s="39">
        <f>'Wages and Salaries'!BI51</f>
        <v>487.5</v>
      </c>
      <c r="BJ25" s="39">
        <f>'Wages and Salaries'!BJ51</f>
        <v>487.5</v>
      </c>
      <c r="BK25" s="39">
        <f>'Wages and Salaries'!BK51</f>
        <v>487.5</v>
      </c>
      <c r="BL25" s="39">
        <f>'Wages and Salaries'!BL51</f>
        <v>487.5</v>
      </c>
      <c r="BM25" s="39">
        <f>'Wages and Salaries'!BM51</f>
        <v>487.5</v>
      </c>
      <c r="BN25" s="39">
        <f>'Wages and Salaries'!BN51</f>
        <v>487.5</v>
      </c>
      <c r="BO25" s="39">
        <f>'Wages and Salaries'!BO51</f>
        <v>487.5</v>
      </c>
      <c r="BP25" s="39">
        <f>'Wages and Salaries'!BP51</f>
        <v>487.5</v>
      </c>
      <c r="BQ25" s="39">
        <f>'Wages and Salaries'!BQ51</f>
        <v>487.5</v>
      </c>
    </row>
    <row r="26" spans="2:69">
      <c r="B26" s="13"/>
      <c r="C26" s="13" t="s">
        <v>313</v>
      </c>
      <c r="J26" s="39">
        <f>'Wages and Salaries'!J73+'Wages and Salaries'!J76+'Wages and Salaries'!J77</f>
        <v>0</v>
      </c>
      <c r="K26" s="39">
        <f>'Wages and Salaries'!K73+'Wages and Salaries'!K76+'Wages and Salaries'!K77</f>
        <v>0</v>
      </c>
      <c r="L26" s="39">
        <f>'Wages and Salaries'!L73+'Wages and Salaries'!L76+'Wages and Salaries'!L77</f>
        <v>0</v>
      </c>
      <c r="M26" s="39">
        <f>'Wages and Salaries'!M73+'Wages and Salaries'!M76+'Wages and Salaries'!M77</f>
        <v>0</v>
      </c>
      <c r="N26" s="39">
        <f>'Wages and Salaries'!N73+'Wages and Salaries'!N76+'Wages and Salaries'!N77</f>
        <v>0</v>
      </c>
      <c r="O26" s="39">
        <f>'Wages and Salaries'!O73+'Wages and Salaries'!O76+'Wages and Salaries'!O77</f>
        <v>0</v>
      </c>
      <c r="P26" s="39">
        <f>'Wages and Salaries'!P73+'Wages and Salaries'!P76+'Wages and Salaries'!P77</f>
        <v>0</v>
      </c>
      <c r="Q26" s="39">
        <f>'Wages and Salaries'!Q73+'Wages and Salaries'!Q76+'Wages and Salaries'!Q77</f>
        <v>0</v>
      </c>
      <c r="R26" s="39">
        <f>'Wages and Salaries'!R73+'Wages and Salaries'!R76+'Wages and Salaries'!R77</f>
        <v>0</v>
      </c>
      <c r="S26" s="39">
        <f>'Wages and Salaries'!S73+'Wages and Salaries'!S76+'Wages and Salaries'!S77</f>
        <v>0</v>
      </c>
      <c r="T26" s="39">
        <f>'Wages and Salaries'!T73+'Wages and Salaries'!T76+'Wages and Salaries'!T77</f>
        <v>0</v>
      </c>
      <c r="U26" s="39">
        <f>'Wages and Salaries'!U73+'Wages and Salaries'!U76+'Wages and Salaries'!U77</f>
        <v>0</v>
      </c>
      <c r="V26" s="39">
        <f>'Wages and Salaries'!V73+'Wages and Salaries'!V76+'Wages and Salaries'!V77</f>
        <v>0</v>
      </c>
      <c r="W26" s="39">
        <f>'Wages and Salaries'!W73+'Wages and Salaries'!W76+'Wages and Salaries'!W77</f>
        <v>14625</v>
      </c>
      <c r="X26" s="39">
        <f>'Wages and Salaries'!X73+'Wages and Salaries'!X76+'Wages and Salaries'!X77</f>
        <v>43875</v>
      </c>
      <c r="Y26" s="39">
        <f>'Wages and Salaries'!Y73+'Wages and Salaries'!Y76+'Wages and Salaries'!Y77</f>
        <v>43875</v>
      </c>
      <c r="Z26" s="39">
        <f>'Wages and Salaries'!Z73+'Wages and Salaries'!Z76+'Wages and Salaries'!Z77</f>
        <v>43875</v>
      </c>
      <c r="AA26" s="39">
        <f>'Wages and Salaries'!AA73+'Wages and Salaries'!AA76+'Wages and Salaries'!AA77</f>
        <v>43875</v>
      </c>
      <c r="AB26" s="39">
        <f>'Wages and Salaries'!AB73+'Wages and Salaries'!AB76+'Wages and Salaries'!AB77</f>
        <v>43875</v>
      </c>
      <c r="AC26" s="39">
        <f>'Wages and Salaries'!AC73+'Wages and Salaries'!AC76+'Wages and Salaries'!AC77</f>
        <v>43875</v>
      </c>
      <c r="AD26" s="39">
        <f>'Wages and Salaries'!AD73+'Wages and Salaries'!AD76+'Wages and Salaries'!AD77</f>
        <v>43875</v>
      </c>
      <c r="AE26" s="39">
        <f>'Wages and Salaries'!AE73+'Wages and Salaries'!AE76+'Wages and Salaries'!AE77</f>
        <v>43875</v>
      </c>
      <c r="AF26" s="39">
        <f>'Wages and Salaries'!AF73+'Wages and Salaries'!AF76+'Wages and Salaries'!AF77</f>
        <v>43875</v>
      </c>
      <c r="AG26" s="39">
        <f>'Wages and Salaries'!AG73+'Wages and Salaries'!AG76+'Wages and Salaries'!AG77</f>
        <v>43875</v>
      </c>
      <c r="AH26" s="39">
        <f>'Wages and Salaries'!AH73+'Wages and Salaries'!AH76+'Wages and Salaries'!AH77</f>
        <v>43875</v>
      </c>
      <c r="AI26" s="39">
        <f>'Wages and Salaries'!AI73+'Wages and Salaries'!AI76+'Wages and Salaries'!AI77</f>
        <v>43875</v>
      </c>
      <c r="AJ26" s="39">
        <f>'Wages and Salaries'!AJ73+'Wages and Salaries'!AJ76+'Wages and Salaries'!AJ77</f>
        <v>43875</v>
      </c>
      <c r="AK26" s="39">
        <f>'Wages and Salaries'!AK73+'Wages and Salaries'!AK76+'Wages and Salaries'!AK77</f>
        <v>43875</v>
      </c>
      <c r="AL26" s="39">
        <f>'Wages and Salaries'!AL73+'Wages and Salaries'!AL76+'Wages and Salaries'!AL77</f>
        <v>43875</v>
      </c>
      <c r="AM26" s="39">
        <f>'Wages and Salaries'!AM73+'Wages and Salaries'!AM76+'Wages and Salaries'!AM77</f>
        <v>43875</v>
      </c>
      <c r="AN26" s="39">
        <f>'Wages and Salaries'!AN73+'Wages and Salaries'!AN76+'Wages and Salaries'!AN77</f>
        <v>43875</v>
      </c>
      <c r="AO26" s="39">
        <f>'Wages and Salaries'!AO73+'Wages and Salaries'!AO76+'Wages and Salaries'!AO77</f>
        <v>43875</v>
      </c>
      <c r="AP26" s="39">
        <f>'Wages and Salaries'!AP73+'Wages and Salaries'!AP76+'Wages and Salaries'!AP77</f>
        <v>43875</v>
      </c>
      <c r="AQ26" s="39">
        <f>'Wages and Salaries'!AQ73+'Wages and Salaries'!AQ76+'Wages and Salaries'!AQ77</f>
        <v>43875</v>
      </c>
      <c r="AR26" s="39">
        <f>'Wages and Salaries'!AR73+'Wages and Salaries'!AR76+'Wages and Salaries'!AR77</f>
        <v>43875</v>
      </c>
      <c r="AS26" s="39">
        <f>'Wages and Salaries'!AS73+'Wages and Salaries'!AS76+'Wages and Salaries'!AS77</f>
        <v>43875</v>
      </c>
      <c r="AT26" s="39">
        <f>'Wages and Salaries'!AT73+'Wages and Salaries'!AT76+'Wages and Salaries'!AT77</f>
        <v>43875</v>
      </c>
      <c r="AU26" s="39">
        <f>'Wages and Salaries'!AU73+'Wages and Salaries'!AU76+'Wages and Salaries'!AU77</f>
        <v>43875</v>
      </c>
      <c r="AV26" s="39">
        <f>'Wages and Salaries'!AV73+'Wages and Salaries'!AV76+'Wages and Salaries'!AV77</f>
        <v>43875</v>
      </c>
      <c r="AW26" s="39">
        <f>'Wages and Salaries'!AW73+'Wages and Salaries'!AW76+'Wages and Salaries'!AW77</f>
        <v>43875</v>
      </c>
      <c r="AX26" s="39">
        <f>'Wages and Salaries'!AX73+'Wages and Salaries'!AX76+'Wages and Salaries'!AX77</f>
        <v>43875</v>
      </c>
      <c r="AY26" s="39">
        <f>'Wages and Salaries'!AY73+'Wages and Salaries'!AY76+'Wages and Salaries'!AY77</f>
        <v>43875</v>
      </c>
      <c r="AZ26" s="39">
        <f>'Wages and Salaries'!AZ73+'Wages and Salaries'!AZ76+'Wages and Salaries'!AZ77</f>
        <v>43875</v>
      </c>
      <c r="BA26" s="39">
        <f>'Wages and Salaries'!BA73+'Wages and Salaries'!BA76+'Wages and Salaries'!BA77</f>
        <v>43875</v>
      </c>
      <c r="BB26" s="39">
        <f>'Wages and Salaries'!BB73+'Wages and Salaries'!BB76+'Wages and Salaries'!BB77</f>
        <v>43875</v>
      </c>
      <c r="BC26" s="39">
        <f>'Wages and Salaries'!BC73+'Wages and Salaries'!BC76+'Wages and Salaries'!BC77</f>
        <v>43875</v>
      </c>
      <c r="BD26" s="39">
        <f>'Wages and Salaries'!BD73+'Wages and Salaries'!BD76+'Wages and Salaries'!BD77</f>
        <v>43875</v>
      </c>
      <c r="BE26" s="39">
        <f>'Wages and Salaries'!BE73+'Wages and Salaries'!BE76+'Wages and Salaries'!BE77</f>
        <v>43875</v>
      </c>
      <c r="BF26" s="39">
        <f>'Wages and Salaries'!BF73+'Wages and Salaries'!BF76+'Wages and Salaries'!BF77</f>
        <v>43875</v>
      </c>
      <c r="BG26" s="39">
        <f>'Wages and Salaries'!BG73+'Wages and Salaries'!BG76+'Wages and Salaries'!BG77</f>
        <v>43875</v>
      </c>
      <c r="BH26" s="39">
        <f>'Wages and Salaries'!BH73+'Wages and Salaries'!BH76+'Wages and Salaries'!BH77</f>
        <v>43875</v>
      </c>
      <c r="BI26" s="39">
        <f>'Wages and Salaries'!BI73+'Wages and Salaries'!BI76+'Wages and Salaries'!BI77</f>
        <v>43875</v>
      </c>
      <c r="BJ26" s="39">
        <f>'Wages and Salaries'!BJ73+'Wages and Salaries'!BJ76+'Wages and Salaries'!BJ77</f>
        <v>43875</v>
      </c>
      <c r="BK26" s="39">
        <f>'Wages and Salaries'!BK73+'Wages and Salaries'!BK76+'Wages and Salaries'!BK77</f>
        <v>43875</v>
      </c>
      <c r="BL26" s="39">
        <f>'Wages and Salaries'!BL73+'Wages and Salaries'!BL76+'Wages and Salaries'!BL77</f>
        <v>43875</v>
      </c>
      <c r="BM26" s="39">
        <f>'Wages and Salaries'!BM73+'Wages and Salaries'!BM76+'Wages and Salaries'!BM77</f>
        <v>43875</v>
      </c>
      <c r="BN26" s="39">
        <f>'Wages and Salaries'!BN73+'Wages and Salaries'!BN76+'Wages and Salaries'!BN77</f>
        <v>43875</v>
      </c>
      <c r="BO26" s="39">
        <f>'Wages and Salaries'!BO73+'Wages and Salaries'!BO76+'Wages and Salaries'!BO77</f>
        <v>43875</v>
      </c>
      <c r="BP26" s="39">
        <f>'Wages and Salaries'!BP73+'Wages and Salaries'!BP76+'Wages and Salaries'!BP77</f>
        <v>43875</v>
      </c>
      <c r="BQ26" s="39">
        <f>'Wages and Salaries'!BQ73+'Wages and Salaries'!BQ76+'Wages and Salaries'!BQ77</f>
        <v>43875</v>
      </c>
    </row>
    <row r="27" spans="2:69">
      <c r="B27" s="13"/>
      <c r="C27" s="18" t="s">
        <v>51</v>
      </c>
      <c r="D27" s="9"/>
      <c r="E27" s="9"/>
      <c r="F27" s="9"/>
      <c r="G27" s="9"/>
      <c r="H27" s="9"/>
      <c r="I27" s="9"/>
      <c r="J27" s="42">
        <f>'COS and Overheads'!J46</f>
        <v>3252</v>
      </c>
      <c r="K27" s="42">
        <f>'COS and Overheads'!K46</f>
        <v>2398</v>
      </c>
      <c r="L27" s="42">
        <f>'COS and Overheads'!L46</f>
        <v>16019</v>
      </c>
      <c r="M27" s="42">
        <f>'COS and Overheads'!M46</f>
        <v>35404</v>
      </c>
      <c r="N27" s="42">
        <f>'COS and Overheads'!N46</f>
        <v>33427</v>
      </c>
      <c r="O27" s="42">
        <f>'COS and Overheads'!O46</f>
        <v>31398</v>
      </c>
      <c r="P27" s="42">
        <f>'COS and Overheads'!P46</f>
        <v>31033</v>
      </c>
      <c r="Q27" s="42">
        <f>'COS and Overheads'!Q46</f>
        <v>66424</v>
      </c>
      <c r="R27" s="42">
        <f>'COS and Overheads'!R46</f>
        <v>39148</v>
      </c>
      <c r="S27" s="42">
        <f>'COS and Overheads'!S46</f>
        <v>60648</v>
      </c>
      <c r="T27" s="42">
        <f>'COS and Overheads'!T46</f>
        <v>47461</v>
      </c>
      <c r="U27" s="42">
        <f>'COS and Overheads'!U46</f>
        <v>47547.25</v>
      </c>
      <c r="V27" s="42">
        <f>'COS and Overheads'!V46</f>
        <v>47847.25</v>
      </c>
      <c r="W27" s="42">
        <f>'COS and Overheads'!W46</f>
        <v>53847.25</v>
      </c>
      <c r="X27" s="42">
        <f>'COS and Overheads'!X46</f>
        <v>17933.5</v>
      </c>
      <c r="Y27" s="42">
        <f>'COS and Overheads'!Y46</f>
        <v>18233.5</v>
      </c>
      <c r="Z27" s="42">
        <f>'COS and Overheads'!Z46</f>
        <v>18019.75</v>
      </c>
      <c r="AA27" s="42">
        <f>'COS and Overheads'!AA46</f>
        <v>18019.75</v>
      </c>
      <c r="AB27" s="42">
        <f>'COS and Overheads'!AB46</f>
        <v>18319.75</v>
      </c>
      <c r="AC27" s="42">
        <f>'COS and Overheads'!AC46</f>
        <v>19006</v>
      </c>
      <c r="AD27" s="42">
        <f>'COS and Overheads'!AD46</f>
        <v>19006</v>
      </c>
      <c r="AE27" s="42">
        <f>'COS and Overheads'!AE46</f>
        <v>19892.25</v>
      </c>
      <c r="AF27" s="42">
        <f>'COS and Overheads'!AF46</f>
        <v>21592.25</v>
      </c>
      <c r="AG27" s="42">
        <f>'COS and Overheads'!AG46</f>
        <v>21592.25</v>
      </c>
      <c r="AH27" s="42">
        <f>'COS and Overheads'!AH46</f>
        <v>22428.5</v>
      </c>
      <c r="AI27" s="42">
        <f>'COS and Overheads'!AI46</f>
        <v>21928.5</v>
      </c>
      <c r="AJ27" s="42">
        <f>'COS and Overheads'!AJ46</f>
        <v>22014.75</v>
      </c>
      <c r="AK27" s="42">
        <f>'COS and Overheads'!AK46</f>
        <v>25014.75</v>
      </c>
      <c r="AL27" s="42">
        <f>'COS and Overheads'!AL46</f>
        <v>24601</v>
      </c>
      <c r="AM27" s="42">
        <f>'COS and Overheads'!AM46</f>
        <v>24601</v>
      </c>
      <c r="AN27" s="42">
        <f>'COS and Overheads'!AN46</f>
        <v>25187.25</v>
      </c>
      <c r="AO27" s="42">
        <f>'COS and Overheads'!AO46</f>
        <v>24687.25</v>
      </c>
      <c r="AP27" s="42">
        <f>'COS and Overheads'!AP46</f>
        <v>24773.5</v>
      </c>
      <c r="AQ27" s="42">
        <f>'COS and Overheads'!AQ46</f>
        <v>25273.5</v>
      </c>
      <c r="AR27" s="42">
        <f>'COS and Overheads'!AR46</f>
        <v>24859.75</v>
      </c>
      <c r="AS27" s="42">
        <f>'COS and Overheads'!AS46</f>
        <v>24859.75</v>
      </c>
      <c r="AT27" s="42">
        <f>'COS and Overheads'!AT46</f>
        <v>28746</v>
      </c>
      <c r="AU27" s="42">
        <f>'COS and Overheads'!AU46</f>
        <v>28246</v>
      </c>
      <c r="AV27" s="42">
        <f>'COS and Overheads'!AV46</f>
        <v>28332.25</v>
      </c>
      <c r="AW27" s="42">
        <f>'COS and Overheads'!AW46</f>
        <v>30857.25</v>
      </c>
      <c r="AX27" s="42">
        <f>'COS and Overheads'!AX46</f>
        <v>30443.5</v>
      </c>
      <c r="AY27" s="42">
        <f>'COS and Overheads'!AY46</f>
        <v>30443.5</v>
      </c>
      <c r="AZ27" s="42">
        <f>'COS and Overheads'!AZ46</f>
        <v>31029.75</v>
      </c>
      <c r="BA27" s="42">
        <f>'COS and Overheads'!BA46</f>
        <v>30616</v>
      </c>
      <c r="BB27" s="42">
        <f>'COS and Overheads'!BB46</f>
        <v>30616</v>
      </c>
      <c r="BC27" s="42">
        <f>'COS and Overheads'!BC46</f>
        <v>31202.25</v>
      </c>
      <c r="BD27" s="42">
        <f>'COS and Overheads'!BD46</f>
        <v>30702.25</v>
      </c>
      <c r="BE27" s="42">
        <f>'COS and Overheads'!BE46</f>
        <v>30788.5</v>
      </c>
      <c r="BF27" s="42">
        <f>'COS and Overheads'!BF46</f>
        <v>37705.5</v>
      </c>
      <c r="BG27" s="42">
        <f>'COS and Overheads'!BG46</f>
        <v>37791.75</v>
      </c>
      <c r="BH27" s="42">
        <f>'COS and Overheads'!BH46</f>
        <v>37878</v>
      </c>
      <c r="BI27" s="42">
        <f>'COS and Overheads'!BI46</f>
        <v>37878</v>
      </c>
      <c r="BJ27" s="42">
        <f>'COS and Overheads'!BJ46</f>
        <v>37964.25</v>
      </c>
      <c r="BK27" s="42">
        <f>'COS and Overheads'!BK46</f>
        <v>38050.5</v>
      </c>
      <c r="BL27" s="42">
        <f>'COS and Overheads'!BL46</f>
        <v>38050.5</v>
      </c>
      <c r="BM27" s="42">
        <f>'COS and Overheads'!BM46</f>
        <v>38136.75</v>
      </c>
      <c r="BN27" s="42">
        <f>'COS and Overheads'!BN46</f>
        <v>38223</v>
      </c>
      <c r="BO27" s="42">
        <f>'COS and Overheads'!BO46</f>
        <v>38223</v>
      </c>
      <c r="BP27" s="42">
        <f>'COS and Overheads'!BP46</f>
        <v>38309.25</v>
      </c>
      <c r="BQ27" s="42">
        <f>'COS and Overheads'!BQ46</f>
        <v>38309.25</v>
      </c>
    </row>
    <row r="28" spans="2:69">
      <c r="B28" s="14"/>
      <c r="C28" s="14" t="s">
        <v>6</v>
      </c>
      <c r="J28" s="39">
        <f>SUM(J23:J27)</f>
        <v>8252</v>
      </c>
      <c r="K28" s="39">
        <f t="shared" ref="K28:BE28" si="8">SUM(K23:K27)</f>
        <v>2398</v>
      </c>
      <c r="L28" s="39">
        <f t="shared" si="8"/>
        <v>21019</v>
      </c>
      <c r="M28" s="39">
        <f t="shared" si="8"/>
        <v>40404</v>
      </c>
      <c r="N28" s="39">
        <f t="shared" si="8"/>
        <v>38427</v>
      </c>
      <c r="O28" s="39">
        <f t="shared" si="8"/>
        <v>36398</v>
      </c>
      <c r="P28" s="39">
        <f t="shared" si="8"/>
        <v>31033</v>
      </c>
      <c r="Q28" s="39">
        <f t="shared" si="8"/>
        <v>66424</v>
      </c>
      <c r="R28" s="39">
        <f t="shared" si="8"/>
        <v>39148</v>
      </c>
      <c r="S28" s="39">
        <f t="shared" si="8"/>
        <v>65564.666666666672</v>
      </c>
      <c r="T28" s="39">
        <f t="shared" si="8"/>
        <v>52377.666666666664</v>
      </c>
      <c r="U28" s="39">
        <f t="shared" si="8"/>
        <v>52463.916666666664</v>
      </c>
      <c r="V28" s="39">
        <f t="shared" si="8"/>
        <v>52763.916666666664</v>
      </c>
      <c r="W28" s="39">
        <f t="shared" si="8"/>
        <v>77813.916666666672</v>
      </c>
      <c r="X28" s="39">
        <f t="shared" si="8"/>
        <v>71150.166666666672</v>
      </c>
      <c r="Y28" s="39">
        <f t="shared" si="8"/>
        <v>71450.166666666672</v>
      </c>
      <c r="Z28" s="39">
        <f t="shared" si="8"/>
        <v>71236.416666666672</v>
      </c>
      <c r="AA28" s="39">
        <f t="shared" si="8"/>
        <v>71236.416666666672</v>
      </c>
      <c r="AB28" s="39">
        <f t="shared" si="8"/>
        <v>71536.416666666672</v>
      </c>
      <c r="AC28" s="39">
        <f t="shared" si="8"/>
        <v>72222.666666666672</v>
      </c>
      <c r="AD28" s="39">
        <f t="shared" si="8"/>
        <v>72222.666666666672</v>
      </c>
      <c r="AE28" s="39">
        <f t="shared" si="8"/>
        <v>73108.916666666672</v>
      </c>
      <c r="AF28" s="39">
        <f t="shared" si="8"/>
        <v>74808.916666666672</v>
      </c>
      <c r="AG28" s="39">
        <f t="shared" si="8"/>
        <v>74808.916666666672</v>
      </c>
      <c r="AH28" s="39">
        <f t="shared" si="8"/>
        <v>78595.166666666672</v>
      </c>
      <c r="AI28" s="39">
        <f t="shared" si="8"/>
        <v>78095.166666666672</v>
      </c>
      <c r="AJ28" s="39">
        <f t="shared" si="8"/>
        <v>78181.416666666672</v>
      </c>
      <c r="AK28" s="39">
        <f t="shared" si="8"/>
        <v>81181.416666666672</v>
      </c>
      <c r="AL28" s="39">
        <f t="shared" si="8"/>
        <v>80767.666666666672</v>
      </c>
      <c r="AM28" s="39">
        <f t="shared" si="8"/>
        <v>80767.666666666672</v>
      </c>
      <c r="AN28" s="39">
        <f t="shared" si="8"/>
        <v>81353.916666666672</v>
      </c>
      <c r="AO28" s="39">
        <f t="shared" si="8"/>
        <v>80853.916666666672</v>
      </c>
      <c r="AP28" s="39">
        <f t="shared" si="8"/>
        <v>80940.166666666672</v>
      </c>
      <c r="AQ28" s="39">
        <f t="shared" si="8"/>
        <v>81440.166666666672</v>
      </c>
      <c r="AR28" s="39">
        <f t="shared" si="8"/>
        <v>81026.416666666672</v>
      </c>
      <c r="AS28" s="39">
        <f t="shared" si="8"/>
        <v>81026.416666666672</v>
      </c>
      <c r="AT28" s="39">
        <f t="shared" si="8"/>
        <v>88354.333333333343</v>
      </c>
      <c r="AU28" s="39">
        <f t="shared" si="8"/>
        <v>87854.333333333343</v>
      </c>
      <c r="AV28" s="39">
        <f t="shared" si="8"/>
        <v>87940.583333333343</v>
      </c>
      <c r="AW28" s="39">
        <f t="shared" si="8"/>
        <v>90465.583333333343</v>
      </c>
      <c r="AX28" s="39">
        <f t="shared" si="8"/>
        <v>90051.833333333343</v>
      </c>
      <c r="AY28" s="39">
        <f t="shared" si="8"/>
        <v>90051.833333333343</v>
      </c>
      <c r="AZ28" s="39">
        <f t="shared" si="8"/>
        <v>90638.083333333343</v>
      </c>
      <c r="BA28" s="39">
        <f t="shared" si="8"/>
        <v>90224.333333333343</v>
      </c>
      <c r="BB28" s="39">
        <f t="shared" si="8"/>
        <v>90224.333333333343</v>
      </c>
      <c r="BC28" s="39">
        <f t="shared" si="8"/>
        <v>90810.583333333343</v>
      </c>
      <c r="BD28" s="39">
        <f t="shared" si="8"/>
        <v>90310.583333333343</v>
      </c>
      <c r="BE28" s="39">
        <f t="shared" si="8"/>
        <v>90396.833333333343</v>
      </c>
      <c r="BF28" s="39">
        <f t="shared" ref="BF28:BQ28" si="9">SUM(BF23:BF27)</f>
        <v>100755.5</v>
      </c>
      <c r="BG28" s="39">
        <f t="shared" si="9"/>
        <v>100841.75</v>
      </c>
      <c r="BH28" s="39">
        <f t="shared" si="9"/>
        <v>100928</v>
      </c>
      <c r="BI28" s="39">
        <f t="shared" si="9"/>
        <v>100928</v>
      </c>
      <c r="BJ28" s="39">
        <f t="shared" si="9"/>
        <v>101014.25</v>
      </c>
      <c r="BK28" s="39">
        <f t="shared" si="9"/>
        <v>101100.5</v>
      </c>
      <c r="BL28" s="39">
        <f t="shared" si="9"/>
        <v>101100.5</v>
      </c>
      <c r="BM28" s="39">
        <f t="shared" si="9"/>
        <v>101186.75</v>
      </c>
      <c r="BN28" s="39">
        <f t="shared" si="9"/>
        <v>101273</v>
      </c>
      <c r="BO28" s="39">
        <f t="shared" si="9"/>
        <v>101273</v>
      </c>
      <c r="BP28" s="39">
        <f t="shared" si="9"/>
        <v>101359.25</v>
      </c>
      <c r="BQ28" s="39">
        <f t="shared" si="9"/>
        <v>101359.25</v>
      </c>
    </row>
    <row r="29" spans="2:69">
      <c r="B29" s="13"/>
      <c r="C29" s="84"/>
      <c r="D29" s="85"/>
      <c r="E29" s="85"/>
      <c r="F29" s="85"/>
      <c r="G29" s="85"/>
      <c r="H29" s="85"/>
      <c r="I29" s="85"/>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row>
    <row r="30" spans="2:69" s="86" customFormat="1">
      <c r="B30" s="87"/>
      <c r="C30" s="87" t="s">
        <v>11</v>
      </c>
      <c r="J30" s="105">
        <f>J19-J28</f>
        <v>9123</v>
      </c>
      <c r="K30" s="105">
        <f t="shared" ref="K30:BE30" si="10">K19-K28</f>
        <v>38538</v>
      </c>
      <c r="L30" s="105">
        <f t="shared" si="10"/>
        <v>-35204</v>
      </c>
      <c r="M30" s="105">
        <f t="shared" si="10"/>
        <v>-3020</v>
      </c>
      <c r="N30" s="105">
        <f t="shared" si="10"/>
        <v>-9960</v>
      </c>
      <c r="O30" s="105">
        <f t="shared" si="10"/>
        <v>17929</v>
      </c>
      <c r="P30" s="105">
        <f t="shared" si="10"/>
        <v>28409</v>
      </c>
      <c r="Q30" s="105">
        <f t="shared" si="10"/>
        <v>-42428</v>
      </c>
      <c r="R30" s="105">
        <f t="shared" si="10"/>
        <v>-7648</v>
      </c>
      <c r="S30" s="105">
        <f t="shared" si="10"/>
        <v>-62457.333333333343</v>
      </c>
      <c r="T30" s="105">
        <f t="shared" si="10"/>
        <v>-54510.333333333328</v>
      </c>
      <c r="U30" s="105">
        <f t="shared" si="10"/>
        <v>-36111.583333333328</v>
      </c>
      <c r="V30" s="105">
        <f t="shared" si="10"/>
        <v>-40926.583333333328</v>
      </c>
      <c r="W30" s="105">
        <f t="shared" si="10"/>
        <v>-56301.583333333343</v>
      </c>
      <c r="X30" s="105">
        <f t="shared" si="10"/>
        <v>-34857.833333333343</v>
      </c>
      <c r="Y30" s="105">
        <f t="shared" si="10"/>
        <v>1522.166666666657</v>
      </c>
      <c r="Z30" s="105">
        <f t="shared" si="10"/>
        <v>9215.9166666666715</v>
      </c>
      <c r="AA30" s="105">
        <f t="shared" si="10"/>
        <v>16695.916666666672</v>
      </c>
      <c r="AB30" s="105">
        <f t="shared" si="10"/>
        <v>23875.916666666672</v>
      </c>
      <c r="AC30" s="105">
        <f t="shared" si="10"/>
        <v>34669.666666666672</v>
      </c>
      <c r="AD30" s="105">
        <f t="shared" si="10"/>
        <v>46149.666666666672</v>
      </c>
      <c r="AE30" s="105">
        <f t="shared" si="10"/>
        <v>56743.416666666672</v>
      </c>
      <c r="AF30" s="105">
        <f t="shared" si="10"/>
        <v>66523.416666666672</v>
      </c>
      <c r="AG30" s="105">
        <f t="shared" si="10"/>
        <v>78003.416666666672</v>
      </c>
      <c r="AH30" s="105">
        <f t="shared" si="10"/>
        <v>123876.33333333333</v>
      </c>
      <c r="AI30" s="105">
        <f t="shared" si="10"/>
        <v>139149.33333333331</v>
      </c>
      <c r="AJ30" s="105">
        <f t="shared" si="10"/>
        <v>153836.08333333331</v>
      </c>
      <c r="AK30" s="105">
        <f t="shared" si="10"/>
        <v>165609.08333333331</v>
      </c>
      <c r="AL30" s="105">
        <f t="shared" si="10"/>
        <v>180795.83333333331</v>
      </c>
      <c r="AM30" s="105">
        <f t="shared" si="10"/>
        <v>195568.83333333331</v>
      </c>
      <c r="AN30" s="105">
        <f t="shared" si="10"/>
        <v>210855.58333333331</v>
      </c>
      <c r="AO30" s="105">
        <f t="shared" si="10"/>
        <v>227228.58333333331</v>
      </c>
      <c r="AP30" s="105">
        <f t="shared" si="10"/>
        <v>243015.33333333331</v>
      </c>
      <c r="AQ30" s="105">
        <f t="shared" si="10"/>
        <v>258388.33333333331</v>
      </c>
      <c r="AR30" s="105">
        <f t="shared" si="10"/>
        <v>274675.08333333331</v>
      </c>
      <c r="AS30" s="105">
        <f t="shared" si="10"/>
        <v>286614.75</v>
      </c>
      <c r="AT30" s="105">
        <f t="shared" si="10"/>
        <v>367882.7333333334</v>
      </c>
      <c r="AU30" s="105">
        <f t="shared" si="10"/>
        <v>388470.70833333337</v>
      </c>
      <c r="AV30" s="105">
        <f t="shared" si="10"/>
        <v>408472.43333333335</v>
      </c>
      <c r="AW30" s="105">
        <f t="shared" si="10"/>
        <v>426035.40833333333</v>
      </c>
      <c r="AX30" s="105">
        <f t="shared" si="10"/>
        <v>446537.13333333342</v>
      </c>
      <c r="AY30" s="105">
        <f t="shared" si="10"/>
        <v>466625.10833333328</v>
      </c>
      <c r="AZ30" s="105">
        <f t="shared" si="10"/>
        <v>487457.83333333337</v>
      </c>
      <c r="BA30" s="105">
        <f t="shared" si="10"/>
        <v>509290.55833333323</v>
      </c>
      <c r="BB30" s="105">
        <f t="shared" si="10"/>
        <v>530709.53333333333</v>
      </c>
      <c r="BC30" s="105">
        <f t="shared" si="10"/>
        <v>551542.25833333342</v>
      </c>
      <c r="BD30" s="105">
        <f t="shared" si="10"/>
        <v>573461.23333333328</v>
      </c>
      <c r="BE30" s="105">
        <f t="shared" si="10"/>
        <v>594793.95833333337</v>
      </c>
      <c r="BF30" s="105">
        <f t="shared" ref="BF30:BQ30" si="11">BF19-BF28</f>
        <v>613542.01666666684</v>
      </c>
      <c r="BG30" s="105">
        <f t="shared" si="11"/>
        <v>636959.66666666674</v>
      </c>
      <c r="BH30" s="105">
        <f t="shared" si="11"/>
        <v>660377.31666666665</v>
      </c>
      <c r="BI30" s="105">
        <f t="shared" si="11"/>
        <v>683881.21666666679</v>
      </c>
      <c r="BJ30" s="105">
        <f t="shared" si="11"/>
        <v>707298.8666666667</v>
      </c>
      <c r="BK30" s="105">
        <f t="shared" si="11"/>
        <v>730716.51666666684</v>
      </c>
      <c r="BL30" s="105">
        <f t="shared" si="11"/>
        <v>755793.41666666674</v>
      </c>
      <c r="BM30" s="105">
        <f t="shared" si="11"/>
        <v>780784.06666666665</v>
      </c>
      <c r="BN30" s="105">
        <f t="shared" si="11"/>
        <v>805774.71666666679</v>
      </c>
      <c r="BO30" s="105">
        <f t="shared" si="11"/>
        <v>830851.6166666667</v>
      </c>
      <c r="BP30" s="105">
        <f t="shared" si="11"/>
        <v>855842.26666666684</v>
      </c>
      <c r="BQ30" s="105">
        <f t="shared" si="11"/>
        <v>880919.16666666663</v>
      </c>
    </row>
    <row r="31" spans="2:69">
      <c r="B31" s="19"/>
      <c r="C31" s="19" t="s">
        <v>12</v>
      </c>
      <c r="J31" s="31">
        <f>J30/J10</f>
        <v>0.24790760869565218</v>
      </c>
      <c r="K31" s="31">
        <f t="shared" ref="K31:BE31" si="12">K30/K10</f>
        <v>0.79788819875776396</v>
      </c>
      <c r="L31" s="31">
        <f t="shared" si="12"/>
        <v>-2.4079343365253076</v>
      </c>
      <c r="M31" s="31">
        <f t="shared" si="12"/>
        <v>-4.8379603671723566E-2</v>
      </c>
      <c r="N31" s="31">
        <f t="shared" si="12"/>
        <v>-0.16662763074246328</v>
      </c>
      <c r="O31" s="31">
        <f t="shared" si="12"/>
        <v>0.11366604536751747</v>
      </c>
      <c r="P31" s="31">
        <f t="shared" si="12"/>
        <v>0.22960107328742765</v>
      </c>
      <c r="Q31" s="31">
        <f t="shared" si="12"/>
        <v>-1.2253574007220216</v>
      </c>
      <c r="R31" s="31">
        <f t="shared" si="12"/>
        <v>-0.19994771241830064</v>
      </c>
      <c r="S31" s="31">
        <f t="shared" si="12"/>
        <v>-2.674832262669522</v>
      </c>
      <c r="T31" s="31">
        <f t="shared" si="12"/>
        <v>-1.3025169255276781</v>
      </c>
      <c r="U31" s="31">
        <f t="shared" si="12"/>
        <v>-0.58622700216450208</v>
      </c>
      <c r="V31" s="31">
        <f t="shared" si="12"/>
        <v>-0.61682868625973364</v>
      </c>
      <c r="W31" s="31">
        <f t="shared" si="12"/>
        <v>-0.40475617062065666</v>
      </c>
      <c r="X31" s="31">
        <f t="shared" si="12"/>
        <v>-0.21803179567370348</v>
      </c>
      <c r="Y31" s="31">
        <f t="shared" si="12"/>
        <v>7.5150168682629323E-3</v>
      </c>
      <c r="Z31" s="31">
        <f t="shared" si="12"/>
        <v>4.2661343208733576E-2</v>
      </c>
      <c r="AA31" s="31">
        <f t="shared" si="12"/>
        <v>7.2749092229484405E-2</v>
      </c>
      <c r="AB31" s="31">
        <f t="shared" si="12"/>
        <v>9.8264910656103183E-2</v>
      </c>
      <c r="AC31" s="31">
        <f t="shared" si="12"/>
        <v>0.13311448134638768</v>
      </c>
      <c r="AD31" s="31">
        <f t="shared" si="12"/>
        <v>0.1660507930796678</v>
      </c>
      <c r="AE31" s="31">
        <f t="shared" si="12"/>
        <v>0.19209010381403749</v>
      </c>
      <c r="AF31" s="31">
        <f t="shared" si="12"/>
        <v>0.21261978958583036</v>
      </c>
      <c r="AG31" s="31">
        <f t="shared" si="12"/>
        <v>0.23612355582463046</v>
      </c>
      <c r="AH31" s="31">
        <f t="shared" si="12"/>
        <v>0.30999889473497622</v>
      </c>
      <c r="AI31" s="31">
        <f t="shared" si="12"/>
        <v>0.33007447961328634</v>
      </c>
      <c r="AJ31" s="31">
        <f t="shared" si="12"/>
        <v>0.3468397377292135</v>
      </c>
      <c r="AK31" s="31">
        <f t="shared" si="12"/>
        <v>0.35576334728596737</v>
      </c>
      <c r="AL31" s="31">
        <f t="shared" si="12"/>
        <v>0.37088569120251036</v>
      </c>
      <c r="AM31" s="31">
        <f t="shared" si="12"/>
        <v>0.38389171062855271</v>
      </c>
      <c r="AN31" s="31">
        <f t="shared" si="12"/>
        <v>0.39596958022576956</v>
      </c>
      <c r="AO31" s="31">
        <f t="shared" si="12"/>
        <v>0.40899971170827393</v>
      </c>
      <c r="AP31" s="31">
        <f t="shared" si="12"/>
        <v>0.41997781574045506</v>
      </c>
      <c r="AQ31" s="31">
        <f t="shared" si="12"/>
        <v>0.42942657717659771</v>
      </c>
      <c r="AR31" s="31">
        <f t="shared" si="12"/>
        <v>0.43964016235242959</v>
      </c>
      <c r="AS31" s="31">
        <f t="shared" si="12"/>
        <v>0.44241629292440487</v>
      </c>
      <c r="AT31" s="31">
        <f t="shared" si="12"/>
        <v>0.48452615468678029</v>
      </c>
      <c r="AU31" s="31">
        <f t="shared" si="12"/>
        <v>0.49306048595927676</v>
      </c>
      <c r="AV31" s="31">
        <f t="shared" si="12"/>
        <v>0.50027864196148109</v>
      </c>
      <c r="AW31" s="31">
        <f t="shared" si="12"/>
        <v>0.50412227207049898</v>
      </c>
      <c r="AX31" s="31">
        <f t="shared" si="12"/>
        <v>0.51107765506321201</v>
      </c>
      <c r="AY31" s="31">
        <f t="shared" si="12"/>
        <v>0.51713338370845785</v>
      </c>
      <c r="AZ31" s="31">
        <f t="shared" si="12"/>
        <v>0.52286928647733233</v>
      </c>
      <c r="BA31" s="31">
        <f t="shared" si="12"/>
        <v>0.52928744832897434</v>
      </c>
      <c r="BB31" s="31">
        <f t="shared" si="12"/>
        <v>0.53490117944582471</v>
      </c>
      <c r="BC31" s="31">
        <f t="shared" si="12"/>
        <v>0.53961241268159643</v>
      </c>
      <c r="BD31" s="31">
        <f t="shared" si="12"/>
        <v>0.54508796050590558</v>
      </c>
      <c r="BE31" s="31">
        <f t="shared" si="12"/>
        <v>0.54971861254560483</v>
      </c>
      <c r="BF31" s="31">
        <f t="shared" ref="BF31:BQ31" si="13">BF30/BF10</f>
        <v>0.53897491765529448</v>
      </c>
      <c r="BG31" s="31">
        <f t="shared" si="13"/>
        <v>0.54349218972036473</v>
      </c>
      <c r="BH31" s="31">
        <f t="shared" si="13"/>
        <v>0.54775747583512902</v>
      </c>
      <c r="BI31" s="31">
        <f t="shared" si="13"/>
        <v>0.55186088839508673</v>
      </c>
      <c r="BJ31" s="31">
        <f t="shared" si="13"/>
        <v>0.55567973411759752</v>
      </c>
      <c r="BK31" s="31">
        <f t="shared" si="13"/>
        <v>0.55930200248987239</v>
      </c>
      <c r="BL31" s="31">
        <f t="shared" si="13"/>
        <v>0.56331942227331089</v>
      </c>
      <c r="BM31" s="31">
        <f t="shared" si="13"/>
        <v>0.56706879525647347</v>
      </c>
      <c r="BN31" s="31">
        <f t="shared" si="13"/>
        <v>0.57063124657249642</v>
      </c>
      <c r="BO31" s="31">
        <f t="shared" si="13"/>
        <v>0.57408000923851177</v>
      </c>
      <c r="BP31" s="31">
        <f t="shared" si="13"/>
        <v>0.57730682174708636</v>
      </c>
      <c r="BQ31" s="31">
        <f t="shared" si="13"/>
        <v>0.58044078782245156</v>
      </c>
    </row>
    <row r="32" spans="2:69">
      <c r="B32" s="13"/>
      <c r="C32" s="13"/>
    </row>
    <row r="33" spans="2:69">
      <c r="B33" s="14" t="s">
        <v>13</v>
      </c>
      <c r="C33" s="13"/>
    </row>
    <row r="34" spans="2:69">
      <c r="B34" s="13"/>
      <c r="C34" s="13" t="s">
        <v>61</v>
      </c>
      <c r="J34" s="4">
        <f>'COS and Overheads'!J245</f>
        <v>0</v>
      </c>
      <c r="K34" s="4">
        <f>'COS and Overheads'!K245</f>
        <v>0</v>
      </c>
      <c r="L34" s="4">
        <f>'COS and Overheads'!L245</f>
        <v>0</v>
      </c>
      <c r="M34" s="4">
        <f>'COS and Overheads'!M245</f>
        <v>0</v>
      </c>
      <c r="N34" s="4">
        <f>'COS and Overheads'!N245</f>
        <v>0</v>
      </c>
      <c r="O34" s="4">
        <f>'COS and Overheads'!O245</f>
        <v>0</v>
      </c>
      <c r="P34" s="4">
        <f>'COS and Overheads'!P245</f>
        <v>0</v>
      </c>
      <c r="Q34" s="4">
        <f>'COS and Overheads'!Q245</f>
        <v>0</v>
      </c>
      <c r="R34" s="4">
        <f>'COS and Overheads'!R245</f>
        <v>0</v>
      </c>
      <c r="S34" s="4">
        <f>'COS and Overheads'!S245</f>
        <v>0</v>
      </c>
      <c r="T34" s="4">
        <f>'COS and Overheads'!T245</f>
        <v>0</v>
      </c>
      <c r="U34" s="4">
        <f>'COS and Overheads'!U245</f>
        <v>0</v>
      </c>
      <c r="V34" s="4">
        <f>'COS and Overheads'!V245</f>
        <v>0</v>
      </c>
      <c r="W34" s="4">
        <f>'COS and Overheads'!W245</f>
        <v>0</v>
      </c>
      <c r="X34" s="4">
        <f>'COS and Overheads'!X245</f>
        <v>0</v>
      </c>
      <c r="Y34" s="4">
        <f>'COS and Overheads'!Y245</f>
        <v>0</v>
      </c>
      <c r="Z34" s="4">
        <f>'COS and Overheads'!Z245</f>
        <v>0</v>
      </c>
      <c r="AA34" s="4">
        <f>'COS and Overheads'!AA245</f>
        <v>0</v>
      </c>
      <c r="AB34" s="4">
        <f>'COS and Overheads'!AB245</f>
        <v>0</v>
      </c>
      <c r="AC34" s="4">
        <f>'COS and Overheads'!AC245</f>
        <v>0</v>
      </c>
      <c r="AD34" s="4">
        <f>'COS and Overheads'!AD245</f>
        <v>0</v>
      </c>
      <c r="AE34" s="4">
        <f>'COS and Overheads'!AE245</f>
        <v>0</v>
      </c>
      <c r="AF34" s="4">
        <f>'COS and Overheads'!AF245</f>
        <v>0</v>
      </c>
      <c r="AG34" s="4">
        <f>'COS and Overheads'!AG245</f>
        <v>0</v>
      </c>
      <c r="AH34" s="4">
        <f>'COS and Overheads'!AH245</f>
        <v>0</v>
      </c>
      <c r="AI34" s="4">
        <f>'COS and Overheads'!AI245</f>
        <v>0</v>
      </c>
      <c r="AJ34" s="4">
        <f>'COS and Overheads'!AJ245</f>
        <v>0</v>
      </c>
      <c r="AK34" s="4">
        <f>'COS and Overheads'!AK245</f>
        <v>0</v>
      </c>
      <c r="AL34" s="4">
        <f>'COS and Overheads'!AL245</f>
        <v>0</v>
      </c>
      <c r="AM34" s="4">
        <f>'COS and Overheads'!AM245</f>
        <v>0</v>
      </c>
      <c r="AN34" s="4">
        <f>'COS and Overheads'!AN245</f>
        <v>0</v>
      </c>
      <c r="AO34" s="4">
        <f>'COS and Overheads'!AO245</f>
        <v>0</v>
      </c>
      <c r="AP34" s="4">
        <f>'COS and Overheads'!AP245</f>
        <v>0</v>
      </c>
      <c r="AQ34" s="4">
        <f>'COS and Overheads'!AQ245</f>
        <v>0</v>
      </c>
      <c r="AR34" s="4">
        <f>'COS and Overheads'!AR245</f>
        <v>0</v>
      </c>
      <c r="AS34" s="4">
        <f>'COS and Overheads'!AS245</f>
        <v>0</v>
      </c>
      <c r="AT34" s="4">
        <f>'COS and Overheads'!AT245</f>
        <v>0</v>
      </c>
      <c r="AU34" s="4">
        <f>'COS and Overheads'!AU245</f>
        <v>0</v>
      </c>
      <c r="AV34" s="4">
        <f>'COS and Overheads'!AV245</f>
        <v>0</v>
      </c>
      <c r="AW34" s="4">
        <f>'COS and Overheads'!AW245</f>
        <v>0</v>
      </c>
      <c r="AX34" s="4">
        <f>'COS and Overheads'!AX245</f>
        <v>0</v>
      </c>
      <c r="AY34" s="4">
        <f>'COS and Overheads'!AY245</f>
        <v>0</v>
      </c>
      <c r="AZ34" s="4">
        <f>'COS and Overheads'!AZ245</f>
        <v>0</v>
      </c>
      <c r="BA34" s="4">
        <f>'COS and Overheads'!BA245</f>
        <v>0</v>
      </c>
      <c r="BB34" s="4">
        <f>'COS and Overheads'!BB245</f>
        <v>0</v>
      </c>
      <c r="BC34" s="4">
        <f>'COS and Overheads'!BC245</f>
        <v>0</v>
      </c>
      <c r="BD34" s="4">
        <f>'COS and Overheads'!BD245</f>
        <v>0</v>
      </c>
      <c r="BE34" s="4">
        <f>'COS and Overheads'!BE245</f>
        <v>0</v>
      </c>
      <c r="BF34" s="4">
        <f>'COS and Overheads'!BF245</f>
        <v>0</v>
      </c>
      <c r="BG34" s="4">
        <f>'COS and Overheads'!BG245</f>
        <v>0</v>
      </c>
      <c r="BH34" s="4">
        <f>'COS and Overheads'!BH245</f>
        <v>0</v>
      </c>
      <c r="BI34" s="4">
        <f>'COS and Overheads'!BI245</f>
        <v>0</v>
      </c>
      <c r="BJ34" s="4">
        <f>'COS and Overheads'!BJ245</f>
        <v>0</v>
      </c>
      <c r="BK34" s="4">
        <f>'COS and Overheads'!BK245</f>
        <v>0</v>
      </c>
      <c r="BL34" s="4">
        <f>'COS and Overheads'!BL245</f>
        <v>0</v>
      </c>
      <c r="BM34" s="4">
        <f>'COS and Overheads'!BM245</f>
        <v>0</v>
      </c>
      <c r="BN34" s="4">
        <f>'COS and Overheads'!BN245</f>
        <v>0</v>
      </c>
      <c r="BO34" s="4">
        <f>'COS and Overheads'!BO245</f>
        <v>0</v>
      </c>
      <c r="BP34" s="4">
        <f>'COS and Overheads'!BP245</f>
        <v>0</v>
      </c>
      <c r="BQ34" s="4">
        <f>'COS and Overheads'!BQ245</f>
        <v>0</v>
      </c>
    </row>
    <row r="35" spans="2:69">
      <c r="B35" s="13"/>
      <c r="C35" s="18" t="s">
        <v>120</v>
      </c>
      <c r="D35" s="9"/>
      <c r="E35" s="9"/>
      <c r="F35" s="9"/>
      <c r="G35" s="9"/>
      <c r="H35" s="9"/>
      <c r="I35" s="9"/>
      <c r="J35" s="9">
        <f>'COS and Overheads'!J252</f>
        <v>0</v>
      </c>
      <c r="K35" s="9">
        <f>'COS and Overheads'!K252</f>
        <v>0</v>
      </c>
      <c r="L35" s="9">
        <f>'COS and Overheads'!L252</f>
        <v>0</v>
      </c>
      <c r="M35" s="9">
        <f>'COS and Overheads'!M252</f>
        <v>0</v>
      </c>
      <c r="N35" s="9">
        <f>'COS and Overheads'!N252</f>
        <v>0</v>
      </c>
      <c r="O35" s="9">
        <f>'COS and Overheads'!O252</f>
        <v>0</v>
      </c>
      <c r="P35" s="9">
        <f>'COS and Overheads'!P252</f>
        <v>0</v>
      </c>
      <c r="Q35" s="9">
        <f>'COS and Overheads'!Q252</f>
        <v>0</v>
      </c>
      <c r="R35" s="9">
        <f>'COS and Overheads'!R252</f>
        <v>0</v>
      </c>
      <c r="S35" s="9">
        <f>'COS and Overheads'!S252</f>
        <v>0</v>
      </c>
      <c r="T35" s="9">
        <f>'COS and Overheads'!T252</f>
        <v>0</v>
      </c>
      <c r="U35" s="9">
        <f>'COS and Overheads'!U252</f>
        <v>0</v>
      </c>
      <c r="V35" s="9">
        <f>'COS and Overheads'!V252</f>
        <v>0</v>
      </c>
      <c r="W35" s="9">
        <f>'COS and Overheads'!W252</f>
        <v>0</v>
      </c>
      <c r="X35" s="9">
        <f>'COS and Overheads'!X252</f>
        <v>0</v>
      </c>
      <c r="Y35" s="9">
        <f>'COS and Overheads'!Y252</f>
        <v>0</v>
      </c>
      <c r="Z35" s="9">
        <f>'COS and Overheads'!Z252</f>
        <v>0</v>
      </c>
      <c r="AA35" s="9">
        <f>'COS and Overheads'!AA252</f>
        <v>0</v>
      </c>
      <c r="AB35" s="9">
        <f>'COS and Overheads'!AB252</f>
        <v>0</v>
      </c>
      <c r="AC35" s="9">
        <f>'COS and Overheads'!AC252</f>
        <v>0</v>
      </c>
      <c r="AD35" s="9">
        <f>'COS and Overheads'!AD252</f>
        <v>0</v>
      </c>
      <c r="AE35" s="9">
        <f>'COS and Overheads'!AE252</f>
        <v>0</v>
      </c>
      <c r="AF35" s="9">
        <f>'COS and Overheads'!AF252</f>
        <v>0</v>
      </c>
      <c r="AG35" s="9">
        <f>'COS and Overheads'!AG252</f>
        <v>0</v>
      </c>
      <c r="AH35" s="9">
        <f>'COS and Overheads'!AH252</f>
        <v>0</v>
      </c>
      <c r="AI35" s="9">
        <f>'COS and Overheads'!AI252</f>
        <v>0</v>
      </c>
      <c r="AJ35" s="9">
        <f>'COS and Overheads'!AJ252</f>
        <v>0</v>
      </c>
      <c r="AK35" s="9">
        <f>'COS and Overheads'!AK252</f>
        <v>0</v>
      </c>
      <c r="AL35" s="9">
        <f>'COS and Overheads'!AL252</f>
        <v>0</v>
      </c>
      <c r="AM35" s="9">
        <f>'COS and Overheads'!AM252</f>
        <v>0</v>
      </c>
      <c r="AN35" s="9">
        <f>'COS and Overheads'!AN252</f>
        <v>0</v>
      </c>
      <c r="AO35" s="9">
        <f>'COS and Overheads'!AO252</f>
        <v>0</v>
      </c>
      <c r="AP35" s="9">
        <f>'COS and Overheads'!AP252</f>
        <v>0</v>
      </c>
      <c r="AQ35" s="9">
        <f>'COS and Overheads'!AQ252</f>
        <v>0</v>
      </c>
      <c r="AR35" s="9">
        <f>'COS and Overheads'!AR252</f>
        <v>0</v>
      </c>
      <c r="AS35" s="9">
        <f>'COS and Overheads'!AS252</f>
        <v>0</v>
      </c>
      <c r="AT35" s="9">
        <f>'COS and Overheads'!AT252</f>
        <v>0</v>
      </c>
      <c r="AU35" s="9">
        <f>'COS and Overheads'!AU252</f>
        <v>0</v>
      </c>
      <c r="AV35" s="9">
        <f>'COS and Overheads'!AV252</f>
        <v>0</v>
      </c>
      <c r="AW35" s="9">
        <f>'COS and Overheads'!AW252</f>
        <v>0</v>
      </c>
      <c r="AX35" s="9">
        <f>'COS and Overheads'!AX252</f>
        <v>0</v>
      </c>
      <c r="AY35" s="9">
        <f>'COS and Overheads'!AY252</f>
        <v>0</v>
      </c>
      <c r="AZ35" s="9">
        <f>'COS and Overheads'!AZ252</f>
        <v>0</v>
      </c>
      <c r="BA35" s="9">
        <f>'COS and Overheads'!BA252</f>
        <v>0</v>
      </c>
      <c r="BB35" s="9">
        <f>'COS and Overheads'!BB252</f>
        <v>0</v>
      </c>
      <c r="BC35" s="9">
        <f>'COS and Overheads'!BC252</f>
        <v>0</v>
      </c>
      <c r="BD35" s="9">
        <f>'COS and Overheads'!BD252</f>
        <v>0</v>
      </c>
      <c r="BE35" s="9">
        <f>'COS and Overheads'!BE252</f>
        <v>0</v>
      </c>
      <c r="BF35" s="9">
        <f>'COS and Overheads'!BF252</f>
        <v>0</v>
      </c>
      <c r="BG35" s="9">
        <f>'COS and Overheads'!BG252</f>
        <v>0</v>
      </c>
      <c r="BH35" s="9">
        <f>'COS and Overheads'!BH252</f>
        <v>0</v>
      </c>
      <c r="BI35" s="9">
        <f>'COS and Overheads'!BI252</f>
        <v>0</v>
      </c>
      <c r="BJ35" s="9">
        <f>'COS and Overheads'!BJ252</f>
        <v>0</v>
      </c>
      <c r="BK35" s="9">
        <f>'COS and Overheads'!BK252</f>
        <v>0</v>
      </c>
      <c r="BL35" s="9">
        <f>'COS and Overheads'!BL252</f>
        <v>0</v>
      </c>
      <c r="BM35" s="9">
        <f>'COS and Overheads'!BM252</f>
        <v>0</v>
      </c>
      <c r="BN35" s="9">
        <f>'COS and Overheads'!BN252</f>
        <v>0</v>
      </c>
      <c r="BO35" s="9">
        <f>'COS and Overheads'!BO252</f>
        <v>0</v>
      </c>
      <c r="BP35" s="9">
        <f>'COS and Overheads'!BP252</f>
        <v>0</v>
      </c>
      <c r="BQ35" s="9">
        <f>'COS and Overheads'!BQ252</f>
        <v>0</v>
      </c>
    </row>
    <row r="36" spans="2:69">
      <c r="B36" s="14"/>
      <c r="C36" s="14" t="s">
        <v>14</v>
      </c>
      <c r="J36" s="32">
        <f>J30-J34-J35</f>
        <v>9123</v>
      </c>
      <c r="K36" s="32">
        <f t="shared" ref="K36:BE36" si="14">K30-K34-K35</f>
        <v>38538</v>
      </c>
      <c r="L36" s="32">
        <f t="shared" si="14"/>
        <v>-35204</v>
      </c>
      <c r="M36" s="32">
        <f t="shared" si="14"/>
        <v>-3020</v>
      </c>
      <c r="N36" s="32">
        <f t="shared" si="14"/>
        <v>-9960</v>
      </c>
      <c r="O36" s="32">
        <f t="shared" si="14"/>
        <v>17929</v>
      </c>
      <c r="P36" s="32">
        <f t="shared" si="14"/>
        <v>28409</v>
      </c>
      <c r="Q36" s="32">
        <f t="shared" si="14"/>
        <v>-42428</v>
      </c>
      <c r="R36" s="32">
        <f t="shared" si="14"/>
        <v>-7648</v>
      </c>
      <c r="S36" s="32">
        <f t="shared" si="14"/>
        <v>-62457.333333333343</v>
      </c>
      <c r="T36" s="32">
        <f t="shared" si="14"/>
        <v>-54510.333333333328</v>
      </c>
      <c r="U36" s="32">
        <f t="shared" si="14"/>
        <v>-36111.583333333328</v>
      </c>
      <c r="V36" s="32">
        <f t="shared" si="14"/>
        <v>-40926.583333333328</v>
      </c>
      <c r="W36" s="32">
        <f t="shared" si="14"/>
        <v>-56301.583333333343</v>
      </c>
      <c r="X36" s="32">
        <f t="shared" si="14"/>
        <v>-34857.833333333343</v>
      </c>
      <c r="Y36" s="32">
        <f t="shared" si="14"/>
        <v>1522.166666666657</v>
      </c>
      <c r="Z36" s="32">
        <f t="shared" si="14"/>
        <v>9215.9166666666715</v>
      </c>
      <c r="AA36" s="32">
        <f t="shared" si="14"/>
        <v>16695.916666666672</v>
      </c>
      <c r="AB36" s="32">
        <f t="shared" si="14"/>
        <v>23875.916666666672</v>
      </c>
      <c r="AC36" s="32">
        <f t="shared" si="14"/>
        <v>34669.666666666672</v>
      </c>
      <c r="AD36" s="32">
        <f t="shared" si="14"/>
        <v>46149.666666666672</v>
      </c>
      <c r="AE36" s="32">
        <f t="shared" si="14"/>
        <v>56743.416666666672</v>
      </c>
      <c r="AF36" s="32">
        <f t="shared" si="14"/>
        <v>66523.416666666672</v>
      </c>
      <c r="AG36" s="32">
        <f t="shared" si="14"/>
        <v>78003.416666666672</v>
      </c>
      <c r="AH36" s="32">
        <f t="shared" si="14"/>
        <v>123876.33333333333</v>
      </c>
      <c r="AI36" s="32">
        <f t="shared" si="14"/>
        <v>139149.33333333331</v>
      </c>
      <c r="AJ36" s="32">
        <f t="shared" si="14"/>
        <v>153836.08333333331</v>
      </c>
      <c r="AK36" s="32">
        <f t="shared" si="14"/>
        <v>165609.08333333331</v>
      </c>
      <c r="AL36" s="32">
        <f t="shared" si="14"/>
        <v>180795.83333333331</v>
      </c>
      <c r="AM36" s="32">
        <f t="shared" si="14"/>
        <v>195568.83333333331</v>
      </c>
      <c r="AN36" s="32">
        <f t="shared" si="14"/>
        <v>210855.58333333331</v>
      </c>
      <c r="AO36" s="32">
        <f t="shared" si="14"/>
        <v>227228.58333333331</v>
      </c>
      <c r="AP36" s="32">
        <f t="shared" si="14"/>
        <v>243015.33333333331</v>
      </c>
      <c r="AQ36" s="32">
        <f t="shared" si="14"/>
        <v>258388.33333333331</v>
      </c>
      <c r="AR36" s="32">
        <f t="shared" si="14"/>
        <v>274675.08333333331</v>
      </c>
      <c r="AS36" s="32">
        <f t="shared" si="14"/>
        <v>286614.75</v>
      </c>
      <c r="AT36" s="32">
        <f t="shared" si="14"/>
        <v>367882.7333333334</v>
      </c>
      <c r="AU36" s="32">
        <f t="shared" si="14"/>
        <v>388470.70833333337</v>
      </c>
      <c r="AV36" s="32">
        <f t="shared" si="14"/>
        <v>408472.43333333335</v>
      </c>
      <c r="AW36" s="32">
        <f t="shared" si="14"/>
        <v>426035.40833333333</v>
      </c>
      <c r="AX36" s="32">
        <f t="shared" si="14"/>
        <v>446537.13333333342</v>
      </c>
      <c r="AY36" s="32">
        <f t="shared" si="14"/>
        <v>466625.10833333328</v>
      </c>
      <c r="AZ36" s="32">
        <f t="shared" si="14"/>
        <v>487457.83333333337</v>
      </c>
      <c r="BA36" s="32">
        <f t="shared" si="14"/>
        <v>509290.55833333323</v>
      </c>
      <c r="BB36" s="32">
        <f t="shared" si="14"/>
        <v>530709.53333333333</v>
      </c>
      <c r="BC36" s="32">
        <f t="shared" si="14"/>
        <v>551542.25833333342</v>
      </c>
      <c r="BD36" s="32">
        <f t="shared" si="14"/>
        <v>573461.23333333328</v>
      </c>
      <c r="BE36" s="32">
        <f t="shared" si="14"/>
        <v>594793.95833333337</v>
      </c>
      <c r="BF36" s="32">
        <f t="shared" ref="BF36:BQ36" si="15">BF30-BF34-BF35</f>
        <v>613542.01666666684</v>
      </c>
      <c r="BG36" s="32">
        <f t="shared" si="15"/>
        <v>636959.66666666674</v>
      </c>
      <c r="BH36" s="32">
        <f t="shared" si="15"/>
        <v>660377.31666666665</v>
      </c>
      <c r="BI36" s="32">
        <f t="shared" si="15"/>
        <v>683881.21666666679</v>
      </c>
      <c r="BJ36" s="32">
        <f t="shared" si="15"/>
        <v>707298.8666666667</v>
      </c>
      <c r="BK36" s="32">
        <f t="shared" si="15"/>
        <v>730716.51666666684</v>
      </c>
      <c r="BL36" s="32">
        <f t="shared" si="15"/>
        <v>755793.41666666674</v>
      </c>
      <c r="BM36" s="32">
        <f t="shared" si="15"/>
        <v>780784.06666666665</v>
      </c>
      <c r="BN36" s="32">
        <f t="shared" si="15"/>
        <v>805774.71666666679</v>
      </c>
      <c r="BO36" s="32">
        <f t="shared" si="15"/>
        <v>830851.6166666667</v>
      </c>
      <c r="BP36" s="32">
        <f t="shared" si="15"/>
        <v>855842.26666666684</v>
      </c>
      <c r="BQ36" s="32">
        <f t="shared" si="15"/>
        <v>880919.16666666663</v>
      </c>
    </row>
    <row r="37" spans="2:69">
      <c r="B37" s="13"/>
      <c r="C37" s="13"/>
    </row>
    <row r="38" spans="2:69">
      <c r="B38" s="14" t="s">
        <v>15</v>
      </c>
      <c r="C38" s="13"/>
    </row>
    <row r="39" spans="2:69">
      <c r="B39" s="13"/>
      <c r="C39" s="20" t="s">
        <v>52</v>
      </c>
      <c r="D39" s="9"/>
      <c r="E39" s="9"/>
      <c r="F39" s="9"/>
      <c r="G39" s="9"/>
      <c r="H39" s="9"/>
      <c r="I39" s="9"/>
      <c r="J39" s="42">
        <f>'Fixed Assets'!J73</f>
        <v>0</v>
      </c>
      <c r="K39" s="42">
        <f>'Fixed Assets'!K73</f>
        <v>0</v>
      </c>
      <c r="L39" s="42">
        <f>'Fixed Assets'!L73</f>
        <v>0</v>
      </c>
      <c r="M39" s="42">
        <f>'Fixed Assets'!M73</f>
        <v>0</v>
      </c>
      <c r="N39" s="42">
        <f>'Fixed Assets'!N73</f>
        <v>0</v>
      </c>
      <c r="O39" s="42">
        <f>'Fixed Assets'!O73</f>
        <v>0</v>
      </c>
      <c r="P39" s="42">
        <f>'Fixed Assets'!P73</f>
        <v>0</v>
      </c>
      <c r="Q39" s="42">
        <f>'Fixed Assets'!Q73</f>
        <v>0</v>
      </c>
      <c r="R39" s="42">
        <f>'Fixed Assets'!R73</f>
        <v>0</v>
      </c>
      <c r="S39" s="42">
        <f>'Fixed Assets'!S73</f>
        <v>51.458333333333336</v>
      </c>
      <c r="T39" s="42">
        <f>'Fixed Assets'!T73</f>
        <v>384.58333333333331</v>
      </c>
      <c r="U39" s="42">
        <f>'Fixed Assets'!U73</f>
        <v>641.875</v>
      </c>
      <c r="V39" s="42">
        <f>'Fixed Assets'!V73</f>
        <v>899.16666666666674</v>
      </c>
      <c r="W39" s="42">
        <f>'Fixed Assets'!W73</f>
        <v>1413.75</v>
      </c>
      <c r="X39" s="42">
        <f>'Fixed Assets'!X73</f>
        <v>2004.1666666666667</v>
      </c>
      <c r="Y39" s="42">
        <f>'Fixed Assets'!Y73</f>
        <v>2518.75</v>
      </c>
      <c r="Z39" s="42">
        <f>'Fixed Assets'!Z73</f>
        <v>3033.333333333333</v>
      </c>
      <c r="AA39" s="42">
        <f>'Fixed Assets'!AA73</f>
        <v>3547.9166666666665</v>
      </c>
      <c r="AB39" s="42">
        <f>'Fixed Assets'!AB73</f>
        <v>4138.3333333333339</v>
      </c>
      <c r="AC39" s="42">
        <f>'Fixed Assets'!AC73</f>
        <v>4652.916666666667</v>
      </c>
      <c r="AD39" s="42">
        <f>'Fixed Assets'!AD73</f>
        <v>5167.5</v>
      </c>
      <c r="AE39" s="42">
        <f>'Fixed Assets'!AE73</f>
        <v>5682.083333333333</v>
      </c>
      <c r="AF39" s="42">
        <f>'Fixed Assets'!AF73</f>
        <v>6272.5</v>
      </c>
      <c r="AG39" s="42">
        <f>'Fixed Assets'!AG73</f>
        <v>6787.083333333333</v>
      </c>
      <c r="AH39" s="42">
        <f>'Fixed Assets'!AH73</f>
        <v>7404.583333333333</v>
      </c>
      <c r="AI39" s="42">
        <f>'Fixed Assets'!AI73</f>
        <v>8022.083333333333</v>
      </c>
      <c r="AJ39" s="42">
        <f>'Fixed Assets'!AJ73</f>
        <v>8715.4166666666661</v>
      </c>
      <c r="AK39" s="42">
        <f>'Fixed Assets'!AK73</f>
        <v>9332.9166666666661</v>
      </c>
      <c r="AL39" s="42">
        <f>'Fixed Assets'!AL73</f>
        <v>9950.4166666666661</v>
      </c>
      <c r="AM39" s="42">
        <f>'Fixed Assets'!AM73</f>
        <v>10567.916666666666</v>
      </c>
      <c r="AN39" s="42">
        <f>'Fixed Assets'!AN73</f>
        <v>11261.25</v>
      </c>
      <c r="AO39" s="42">
        <f>'Fixed Assets'!AO73</f>
        <v>11878.75</v>
      </c>
      <c r="AP39" s="42">
        <f>'Fixed Assets'!AP73</f>
        <v>12496.25</v>
      </c>
      <c r="AQ39" s="42">
        <f>'Fixed Assets'!AQ73</f>
        <v>13113.75</v>
      </c>
      <c r="AR39" s="42">
        <f>'Fixed Assets'!AR73</f>
        <v>13807.083333333334</v>
      </c>
      <c r="AS39" s="42">
        <f>'Fixed Assets'!AS73</f>
        <v>14424.583333333334</v>
      </c>
      <c r="AT39" s="42">
        <f>'Fixed Assets'!AT73</f>
        <v>15145</v>
      </c>
      <c r="AU39" s="42">
        <f>'Fixed Assets'!AU73</f>
        <v>15865.416666666668</v>
      </c>
      <c r="AV39" s="42">
        <f>'Fixed Assets'!AV73</f>
        <v>16585.833333333336</v>
      </c>
      <c r="AW39" s="42">
        <f>'Fixed Assets'!AW73</f>
        <v>17306.25</v>
      </c>
      <c r="AX39" s="42">
        <f>'Fixed Assets'!AX73</f>
        <v>18026.666666666664</v>
      </c>
      <c r="AY39" s="42">
        <f>'Fixed Assets'!AY73</f>
        <v>18747.083333333332</v>
      </c>
      <c r="AZ39" s="42">
        <f>'Fixed Assets'!AZ73</f>
        <v>19467.5</v>
      </c>
      <c r="BA39" s="42">
        <f>'Fixed Assets'!BA73</f>
        <v>20187.916666666664</v>
      </c>
      <c r="BB39" s="42">
        <f>'Fixed Assets'!BB73</f>
        <v>20908.333333333332</v>
      </c>
      <c r="BC39" s="42">
        <f>'Fixed Assets'!BC73</f>
        <v>21628.75</v>
      </c>
      <c r="BD39" s="42">
        <f>'Fixed Assets'!BD73</f>
        <v>22349.166666666664</v>
      </c>
      <c r="BE39" s="42">
        <f>'Fixed Assets'!BE73</f>
        <v>23069.583333333332</v>
      </c>
      <c r="BF39" s="42">
        <f>'Fixed Assets'!BF73</f>
        <v>23892.916666666664</v>
      </c>
      <c r="BG39" s="42">
        <f>'Fixed Assets'!BG73</f>
        <v>24716.25</v>
      </c>
      <c r="BH39" s="42">
        <f>'Fixed Assets'!BH73</f>
        <v>25539.583333333332</v>
      </c>
      <c r="BI39" s="42">
        <f>'Fixed Assets'!BI73</f>
        <v>26362.916666666664</v>
      </c>
      <c r="BJ39" s="42">
        <f>'Fixed Assets'!BJ73</f>
        <v>27186.25</v>
      </c>
      <c r="BK39" s="42">
        <f>'Fixed Assets'!BK73</f>
        <v>28009.583333333332</v>
      </c>
      <c r="BL39" s="42">
        <f>'Fixed Assets'!BL73</f>
        <v>28832.916666666664</v>
      </c>
      <c r="BM39" s="42">
        <f>'Fixed Assets'!BM73</f>
        <v>29656.25</v>
      </c>
      <c r="BN39" s="42">
        <f>'Fixed Assets'!BN73</f>
        <v>30479.583333333332</v>
      </c>
      <c r="BO39" s="42">
        <f>'Fixed Assets'!BO73</f>
        <v>31302.916666666664</v>
      </c>
      <c r="BP39" s="42">
        <f>'Fixed Assets'!BP73</f>
        <v>32126.25</v>
      </c>
      <c r="BQ39" s="42">
        <f>'Fixed Assets'!BQ73</f>
        <v>32949.583333333328</v>
      </c>
    </row>
    <row r="40" spans="2:69">
      <c r="B40" s="14"/>
      <c r="C40" s="14" t="s">
        <v>6</v>
      </c>
      <c r="J40" s="39">
        <f>SUM(J39)</f>
        <v>0</v>
      </c>
      <c r="K40" s="4">
        <f t="shared" ref="K40:BE40" si="16">SUM(K39)</f>
        <v>0</v>
      </c>
      <c r="L40" s="4">
        <f t="shared" si="16"/>
        <v>0</v>
      </c>
      <c r="M40" s="4">
        <f t="shared" si="16"/>
        <v>0</v>
      </c>
      <c r="N40" s="4">
        <f t="shared" si="16"/>
        <v>0</v>
      </c>
      <c r="O40" s="4">
        <f t="shared" si="16"/>
        <v>0</v>
      </c>
      <c r="P40" s="4">
        <f t="shared" si="16"/>
        <v>0</v>
      </c>
      <c r="Q40" s="4">
        <f t="shared" si="16"/>
        <v>0</v>
      </c>
      <c r="R40" s="39">
        <f t="shared" si="16"/>
        <v>0</v>
      </c>
      <c r="S40" s="39">
        <f t="shared" si="16"/>
        <v>51.458333333333336</v>
      </c>
      <c r="T40" s="39">
        <f t="shared" si="16"/>
        <v>384.58333333333331</v>
      </c>
      <c r="U40" s="39">
        <f t="shared" si="16"/>
        <v>641.875</v>
      </c>
      <c r="V40" s="39">
        <f t="shared" si="16"/>
        <v>899.16666666666674</v>
      </c>
      <c r="W40" s="39">
        <f t="shared" si="16"/>
        <v>1413.75</v>
      </c>
      <c r="X40" s="39">
        <f t="shared" si="16"/>
        <v>2004.1666666666667</v>
      </c>
      <c r="Y40" s="39">
        <f t="shared" si="16"/>
        <v>2518.75</v>
      </c>
      <c r="Z40" s="39">
        <f t="shared" si="16"/>
        <v>3033.333333333333</v>
      </c>
      <c r="AA40" s="39">
        <f t="shared" si="16"/>
        <v>3547.9166666666665</v>
      </c>
      <c r="AB40" s="39">
        <f t="shared" si="16"/>
        <v>4138.3333333333339</v>
      </c>
      <c r="AC40" s="39">
        <f t="shared" si="16"/>
        <v>4652.916666666667</v>
      </c>
      <c r="AD40" s="39">
        <f t="shared" si="16"/>
        <v>5167.5</v>
      </c>
      <c r="AE40" s="39">
        <f t="shared" si="16"/>
        <v>5682.083333333333</v>
      </c>
      <c r="AF40" s="39">
        <f t="shared" si="16"/>
        <v>6272.5</v>
      </c>
      <c r="AG40" s="39">
        <f t="shared" si="16"/>
        <v>6787.083333333333</v>
      </c>
      <c r="AH40" s="39">
        <f t="shared" si="16"/>
        <v>7404.583333333333</v>
      </c>
      <c r="AI40" s="39">
        <f t="shared" si="16"/>
        <v>8022.083333333333</v>
      </c>
      <c r="AJ40" s="39">
        <f t="shared" si="16"/>
        <v>8715.4166666666661</v>
      </c>
      <c r="AK40" s="39">
        <f t="shared" si="16"/>
        <v>9332.9166666666661</v>
      </c>
      <c r="AL40" s="39">
        <f t="shared" si="16"/>
        <v>9950.4166666666661</v>
      </c>
      <c r="AM40" s="39">
        <f t="shared" si="16"/>
        <v>10567.916666666666</v>
      </c>
      <c r="AN40" s="39">
        <f t="shared" si="16"/>
        <v>11261.25</v>
      </c>
      <c r="AO40" s="39">
        <f t="shared" si="16"/>
        <v>11878.75</v>
      </c>
      <c r="AP40" s="39">
        <f t="shared" si="16"/>
        <v>12496.25</v>
      </c>
      <c r="AQ40" s="39">
        <f t="shared" si="16"/>
        <v>13113.75</v>
      </c>
      <c r="AR40" s="39">
        <f t="shared" si="16"/>
        <v>13807.083333333334</v>
      </c>
      <c r="AS40" s="39">
        <f t="shared" si="16"/>
        <v>14424.583333333334</v>
      </c>
      <c r="AT40" s="39">
        <f t="shared" si="16"/>
        <v>15145</v>
      </c>
      <c r="AU40" s="39">
        <f t="shared" si="16"/>
        <v>15865.416666666668</v>
      </c>
      <c r="AV40" s="39">
        <f t="shared" si="16"/>
        <v>16585.833333333336</v>
      </c>
      <c r="AW40" s="39">
        <f t="shared" si="16"/>
        <v>17306.25</v>
      </c>
      <c r="AX40" s="39">
        <f t="shared" si="16"/>
        <v>18026.666666666664</v>
      </c>
      <c r="AY40" s="39">
        <f t="shared" si="16"/>
        <v>18747.083333333332</v>
      </c>
      <c r="AZ40" s="39">
        <f t="shared" si="16"/>
        <v>19467.5</v>
      </c>
      <c r="BA40" s="39">
        <f t="shared" si="16"/>
        <v>20187.916666666664</v>
      </c>
      <c r="BB40" s="39">
        <f t="shared" si="16"/>
        <v>20908.333333333332</v>
      </c>
      <c r="BC40" s="39">
        <f t="shared" si="16"/>
        <v>21628.75</v>
      </c>
      <c r="BD40" s="39">
        <f t="shared" si="16"/>
        <v>22349.166666666664</v>
      </c>
      <c r="BE40" s="39">
        <f t="shared" si="16"/>
        <v>23069.583333333332</v>
      </c>
      <c r="BF40" s="39">
        <f t="shared" ref="BF40:BQ40" si="17">SUM(BF39)</f>
        <v>23892.916666666664</v>
      </c>
      <c r="BG40" s="39">
        <f t="shared" si="17"/>
        <v>24716.25</v>
      </c>
      <c r="BH40" s="39">
        <f t="shared" si="17"/>
        <v>25539.583333333332</v>
      </c>
      <c r="BI40" s="39">
        <f t="shared" si="17"/>
        <v>26362.916666666664</v>
      </c>
      <c r="BJ40" s="39">
        <f t="shared" si="17"/>
        <v>27186.25</v>
      </c>
      <c r="BK40" s="39">
        <f t="shared" si="17"/>
        <v>28009.583333333332</v>
      </c>
      <c r="BL40" s="39">
        <f t="shared" si="17"/>
        <v>28832.916666666664</v>
      </c>
      <c r="BM40" s="39">
        <f t="shared" si="17"/>
        <v>29656.25</v>
      </c>
      <c r="BN40" s="39">
        <f t="shared" si="17"/>
        <v>30479.583333333332</v>
      </c>
      <c r="BO40" s="39">
        <f t="shared" si="17"/>
        <v>31302.916666666664</v>
      </c>
      <c r="BP40" s="39">
        <f t="shared" si="17"/>
        <v>32126.25</v>
      </c>
      <c r="BQ40" s="39">
        <f t="shared" si="17"/>
        <v>32949.583333333328</v>
      </c>
    </row>
    <row r="41" spans="2:69">
      <c r="B41" s="13"/>
      <c r="C41" s="1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row>
    <row r="42" spans="2:69">
      <c r="B42" s="14"/>
      <c r="C42" s="14" t="s">
        <v>16</v>
      </c>
      <c r="J42" s="32">
        <f>J36-J40</f>
        <v>9123</v>
      </c>
      <c r="K42" s="32">
        <f t="shared" ref="K42:BE42" si="18">K36-K40</f>
        <v>38538</v>
      </c>
      <c r="L42" s="32">
        <f t="shared" si="18"/>
        <v>-35204</v>
      </c>
      <c r="M42" s="32">
        <f t="shared" si="18"/>
        <v>-3020</v>
      </c>
      <c r="N42" s="32">
        <f t="shared" si="18"/>
        <v>-9960</v>
      </c>
      <c r="O42" s="32">
        <f t="shared" si="18"/>
        <v>17929</v>
      </c>
      <c r="P42" s="32">
        <f t="shared" si="18"/>
        <v>28409</v>
      </c>
      <c r="Q42" s="32">
        <f t="shared" si="18"/>
        <v>-42428</v>
      </c>
      <c r="R42" s="32">
        <f t="shared" si="18"/>
        <v>-7648</v>
      </c>
      <c r="S42" s="32">
        <f t="shared" si="18"/>
        <v>-62508.791666666679</v>
      </c>
      <c r="T42" s="32">
        <f t="shared" si="18"/>
        <v>-54894.916666666664</v>
      </c>
      <c r="U42" s="32">
        <f t="shared" si="18"/>
        <v>-36753.458333333328</v>
      </c>
      <c r="V42" s="32">
        <f t="shared" si="18"/>
        <v>-41825.749999999993</v>
      </c>
      <c r="W42" s="32">
        <f t="shared" si="18"/>
        <v>-57715.333333333343</v>
      </c>
      <c r="X42" s="32">
        <f t="shared" si="18"/>
        <v>-36862.000000000007</v>
      </c>
      <c r="Y42" s="32">
        <f t="shared" si="18"/>
        <v>-996.58333333334303</v>
      </c>
      <c r="Z42" s="32">
        <f t="shared" si="18"/>
        <v>6182.5833333333385</v>
      </c>
      <c r="AA42" s="32">
        <f t="shared" si="18"/>
        <v>13148.000000000005</v>
      </c>
      <c r="AB42" s="32">
        <f t="shared" si="18"/>
        <v>19737.583333333336</v>
      </c>
      <c r="AC42" s="32">
        <f t="shared" si="18"/>
        <v>30016.750000000004</v>
      </c>
      <c r="AD42" s="32">
        <f t="shared" si="18"/>
        <v>40982.166666666672</v>
      </c>
      <c r="AE42" s="32">
        <f t="shared" si="18"/>
        <v>51061.333333333336</v>
      </c>
      <c r="AF42" s="32">
        <f t="shared" si="18"/>
        <v>60250.916666666672</v>
      </c>
      <c r="AG42" s="32">
        <f t="shared" si="18"/>
        <v>71216.333333333343</v>
      </c>
      <c r="AH42" s="32">
        <f t="shared" si="18"/>
        <v>116471.75</v>
      </c>
      <c r="AI42" s="32">
        <f t="shared" si="18"/>
        <v>131127.24999999997</v>
      </c>
      <c r="AJ42" s="32">
        <f t="shared" si="18"/>
        <v>145120.66666666666</v>
      </c>
      <c r="AK42" s="32">
        <f t="shared" si="18"/>
        <v>156276.16666666666</v>
      </c>
      <c r="AL42" s="32">
        <f t="shared" si="18"/>
        <v>170845.41666666666</v>
      </c>
      <c r="AM42" s="32">
        <f t="shared" si="18"/>
        <v>185000.91666666666</v>
      </c>
      <c r="AN42" s="32">
        <f t="shared" si="18"/>
        <v>199594.33333333331</v>
      </c>
      <c r="AO42" s="32">
        <f t="shared" si="18"/>
        <v>215349.83333333331</v>
      </c>
      <c r="AP42" s="32">
        <f t="shared" si="18"/>
        <v>230519.08333333331</v>
      </c>
      <c r="AQ42" s="32">
        <f t="shared" si="18"/>
        <v>245274.58333333331</v>
      </c>
      <c r="AR42" s="32">
        <f t="shared" si="18"/>
        <v>260867.99999999997</v>
      </c>
      <c r="AS42" s="32">
        <f t="shared" si="18"/>
        <v>272190.16666666669</v>
      </c>
      <c r="AT42" s="32">
        <f t="shared" si="18"/>
        <v>352737.7333333334</v>
      </c>
      <c r="AU42" s="32">
        <f t="shared" si="18"/>
        <v>372605.29166666669</v>
      </c>
      <c r="AV42" s="32">
        <f t="shared" si="18"/>
        <v>391886.60000000003</v>
      </c>
      <c r="AW42" s="32">
        <f t="shared" si="18"/>
        <v>408729.15833333333</v>
      </c>
      <c r="AX42" s="32">
        <f t="shared" si="18"/>
        <v>428510.46666666673</v>
      </c>
      <c r="AY42" s="32">
        <f t="shared" si="18"/>
        <v>447878.02499999997</v>
      </c>
      <c r="AZ42" s="32">
        <f t="shared" si="18"/>
        <v>467990.33333333337</v>
      </c>
      <c r="BA42" s="32">
        <f t="shared" si="18"/>
        <v>489102.64166666655</v>
      </c>
      <c r="BB42" s="32">
        <f t="shared" si="18"/>
        <v>509801.2</v>
      </c>
      <c r="BC42" s="32">
        <f t="shared" si="18"/>
        <v>529913.50833333342</v>
      </c>
      <c r="BD42" s="32">
        <f t="shared" si="18"/>
        <v>551112.06666666665</v>
      </c>
      <c r="BE42" s="32">
        <f t="shared" si="18"/>
        <v>571724.375</v>
      </c>
      <c r="BF42" s="32">
        <f t="shared" ref="BF42:BQ42" si="19">BF36-BF40</f>
        <v>589649.10000000021</v>
      </c>
      <c r="BG42" s="32">
        <f t="shared" si="19"/>
        <v>612243.41666666674</v>
      </c>
      <c r="BH42" s="32">
        <f t="shared" si="19"/>
        <v>634837.73333333328</v>
      </c>
      <c r="BI42" s="32">
        <f t="shared" si="19"/>
        <v>657518.30000000016</v>
      </c>
      <c r="BJ42" s="32">
        <f t="shared" si="19"/>
        <v>680112.6166666667</v>
      </c>
      <c r="BK42" s="32">
        <f t="shared" si="19"/>
        <v>702706.93333333347</v>
      </c>
      <c r="BL42" s="32">
        <f t="shared" si="19"/>
        <v>726960.50000000012</v>
      </c>
      <c r="BM42" s="32">
        <f t="shared" si="19"/>
        <v>751127.81666666665</v>
      </c>
      <c r="BN42" s="32">
        <f t="shared" si="19"/>
        <v>775295.13333333342</v>
      </c>
      <c r="BO42" s="32">
        <f t="shared" si="19"/>
        <v>799548.70000000007</v>
      </c>
      <c r="BP42" s="32">
        <f t="shared" si="19"/>
        <v>823716.01666666684</v>
      </c>
      <c r="BQ42" s="32">
        <f t="shared" si="19"/>
        <v>847969.58333333326</v>
      </c>
    </row>
    <row r="43" spans="2:69">
      <c r="B43" s="19"/>
      <c r="C43" s="33" t="s">
        <v>17</v>
      </c>
    </row>
    <row r="44" spans="2:69">
      <c r="B44" s="13"/>
      <c r="C44" s="13"/>
    </row>
    <row r="45" spans="2:69">
      <c r="B45" s="14" t="s">
        <v>18</v>
      </c>
      <c r="C45" s="13"/>
    </row>
    <row r="46" spans="2:69">
      <c r="B46" s="13"/>
      <c r="C46" s="13"/>
    </row>
    <row r="47" spans="2:69">
      <c r="B47" s="13"/>
      <c r="C47" s="18" t="s">
        <v>62</v>
      </c>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row>
    <row r="48" spans="2:69">
      <c r="B48" s="14"/>
      <c r="C48" s="14" t="s">
        <v>6</v>
      </c>
      <c r="J48" s="32">
        <f>J42-J47</f>
        <v>9123</v>
      </c>
      <c r="K48" s="32">
        <f t="shared" ref="K48:BE48" si="20">K42-K47</f>
        <v>38538</v>
      </c>
      <c r="L48" s="32">
        <f t="shared" si="20"/>
        <v>-35204</v>
      </c>
      <c r="M48" s="32">
        <f t="shared" si="20"/>
        <v>-3020</v>
      </c>
      <c r="N48" s="32">
        <f t="shared" si="20"/>
        <v>-9960</v>
      </c>
      <c r="O48" s="32">
        <f t="shared" si="20"/>
        <v>17929</v>
      </c>
      <c r="P48" s="32">
        <f t="shared" si="20"/>
        <v>28409</v>
      </c>
      <c r="Q48" s="32">
        <f t="shared" si="20"/>
        <v>-42428</v>
      </c>
      <c r="R48" s="32">
        <f t="shared" si="20"/>
        <v>-7648</v>
      </c>
      <c r="S48" s="32">
        <f t="shared" si="20"/>
        <v>-62508.791666666679</v>
      </c>
      <c r="T48" s="32">
        <f t="shared" si="20"/>
        <v>-54894.916666666664</v>
      </c>
      <c r="U48" s="32">
        <f t="shared" si="20"/>
        <v>-36753.458333333328</v>
      </c>
      <c r="V48" s="32">
        <f t="shared" si="20"/>
        <v>-41825.749999999993</v>
      </c>
      <c r="W48" s="32">
        <f t="shared" si="20"/>
        <v>-57715.333333333343</v>
      </c>
      <c r="X48" s="32">
        <f t="shared" si="20"/>
        <v>-36862.000000000007</v>
      </c>
      <c r="Y48" s="32">
        <f t="shared" si="20"/>
        <v>-996.58333333334303</v>
      </c>
      <c r="Z48" s="32">
        <f t="shared" si="20"/>
        <v>6182.5833333333385</v>
      </c>
      <c r="AA48" s="32">
        <f t="shared" si="20"/>
        <v>13148.000000000005</v>
      </c>
      <c r="AB48" s="32">
        <f t="shared" si="20"/>
        <v>19737.583333333336</v>
      </c>
      <c r="AC48" s="32">
        <f t="shared" si="20"/>
        <v>30016.750000000004</v>
      </c>
      <c r="AD48" s="32">
        <f t="shared" si="20"/>
        <v>40982.166666666672</v>
      </c>
      <c r="AE48" s="32">
        <f t="shared" si="20"/>
        <v>51061.333333333336</v>
      </c>
      <c r="AF48" s="32">
        <f t="shared" si="20"/>
        <v>60250.916666666672</v>
      </c>
      <c r="AG48" s="32">
        <f t="shared" si="20"/>
        <v>71216.333333333343</v>
      </c>
      <c r="AH48" s="32">
        <f t="shared" si="20"/>
        <v>116471.75</v>
      </c>
      <c r="AI48" s="32">
        <f t="shared" si="20"/>
        <v>131127.24999999997</v>
      </c>
      <c r="AJ48" s="32">
        <f t="shared" si="20"/>
        <v>145120.66666666666</v>
      </c>
      <c r="AK48" s="32">
        <f t="shared" si="20"/>
        <v>156276.16666666666</v>
      </c>
      <c r="AL48" s="32">
        <f t="shared" si="20"/>
        <v>170845.41666666666</v>
      </c>
      <c r="AM48" s="32">
        <f t="shared" si="20"/>
        <v>185000.91666666666</v>
      </c>
      <c r="AN48" s="32">
        <f t="shared" si="20"/>
        <v>199594.33333333331</v>
      </c>
      <c r="AO48" s="32">
        <f t="shared" si="20"/>
        <v>215349.83333333331</v>
      </c>
      <c r="AP48" s="32">
        <f t="shared" si="20"/>
        <v>230519.08333333331</v>
      </c>
      <c r="AQ48" s="32">
        <f t="shared" si="20"/>
        <v>245274.58333333331</v>
      </c>
      <c r="AR48" s="32">
        <f t="shared" si="20"/>
        <v>260867.99999999997</v>
      </c>
      <c r="AS48" s="32">
        <f t="shared" si="20"/>
        <v>272190.16666666669</v>
      </c>
      <c r="AT48" s="32">
        <f t="shared" si="20"/>
        <v>352737.7333333334</v>
      </c>
      <c r="AU48" s="32">
        <f t="shared" si="20"/>
        <v>372605.29166666669</v>
      </c>
      <c r="AV48" s="32">
        <f t="shared" si="20"/>
        <v>391886.60000000003</v>
      </c>
      <c r="AW48" s="32">
        <f t="shared" si="20"/>
        <v>408729.15833333333</v>
      </c>
      <c r="AX48" s="32">
        <f t="shared" si="20"/>
        <v>428510.46666666673</v>
      </c>
      <c r="AY48" s="32">
        <f t="shared" si="20"/>
        <v>447878.02499999997</v>
      </c>
      <c r="AZ48" s="32">
        <f t="shared" si="20"/>
        <v>467990.33333333337</v>
      </c>
      <c r="BA48" s="32">
        <f t="shared" si="20"/>
        <v>489102.64166666655</v>
      </c>
      <c r="BB48" s="32">
        <f t="shared" si="20"/>
        <v>509801.2</v>
      </c>
      <c r="BC48" s="32">
        <f t="shared" si="20"/>
        <v>529913.50833333342</v>
      </c>
      <c r="BD48" s="32">
        <f t="shared" si="20"/>
        <v>551112.06666666665</v>
      </c>
      <c r="BE48" s="32">
        <f t="shared" si="20"/>
        <v>571724.375</v>
      </c>
      <c r="BF48" s="32">
        <f t="shared" ref="BF48:BQ48" si="21">BF42-BF47</f>
        <v>589649.10000000021</v>
      </c>
      <c r="BG48" s="32">
        <f t="shared" si="21"/>
        <v>612243.41666666674</v>
      </c>
      <c r="BH48" s="32">
        <f t="shared" si="21"/>
        <v>634837.73333333328</v>
      </c>
      <c r="BI48" s="32">
        <f t="shared" si="21"/>
        <v>657518.30000000016</v>
      </c>
      <c r="BJ48" s="32">
        <f t="shared" si="21"/>
        <v>680112.6166666667</v>
      </c>
      <c r="BK48" s="32">
        <f t="shared" si="21"/>
        <v>702706.93333333347</v>
      </c>
      <c r="BL48" s="32">
        <f t="shared" si="21"/>
        <v>726960.50000000012</v>
      </c>
      <c r="BM48" s="32">
        <f t="shared" si="21"/>
        <v>751127.81666666665</v>
      </c>
      <c r="BN48" s="32">
        <f t="shared" si="21"/>
        <v>775295.13333333342</v>
      </c>
      <c r="BO48" s="32">
        <f t="shared" si="21"/>
        <v>799548.70000000007</v>
      </c>
      <c r="BP48" s="32">
        <f t="shared" si="21"/>
        <v>823716.01666666684</v>
      </c>
      <c r="BQ48" s="32">
        <f t="shared" si="21"/>
        <v>847969.58333333326</v>
      </c>
    </row>
    <row r="49" spans="1:69">
      <c r="B49" s="13"/>
      <c r="C49" s="13"/>
    </row>
    <row r="50" spans="1:69" s="90" customFormat="1">
      <c r="B50" s="87"/>
      <c r="C50" s="87" t="s">
        <v>19</v>
      </c>
      <c r="J50" s="106">
        <f>J48</f>
        <v>9123</v>
      </c>
      <c r="K50" s="106">
        <f t="shared" ref="K50:BE50" si="22">K48</f>
        <v>38538</v>
      </c>
      <c r="L50" s="106">
        <f t="shared" si="22"/>
        <v>-35204</v>
      </c>
      <c r="M50" s="106">
        <f t="shared" si="22"/>
        <v>-3020</v>
      </c>
      <c r="N50" s="106">
        <f t="shared" si="22"/>
        <v>-9960</v>
      </c>
      <c r="O50" s="106">
        <f t="shared" si="22"/>
        <v>17929</v>
      </c>
      <c r="P50" s="106">
        <f t="shared" si="22"/>
        <v>28409</v>
      </c>
      <c r="Q50" s="106">
        <f t="shared" si="22"/>
        <v>-42428</v>
      </c>
      <c r="R50" s="106">
        <f t="shared" si="22"/>
        <v>-7648</v>
      </c>
      <c r="S50" s="106">
        <f t="shared" si="22"/>
        <v>-62508.791666666679</v>
      </c>
      <c r="T50" s="106">
        <f t="shared" si="22"/>
        <v>-54894.916666666664</v>
      </c>
      <c r="U50" s="106">
        <f t="shared" si="22"/>
        <v>-36753.458333333328</v>
      </c>
      <c r="V50" s="106">
        <f t="shared" si="22"/>
        <v>-41825.749999999993</v>
      </c>
      <c r="W50" s="106">
        <f t="shared" si="22"/>
        <v>-57715.333333333343</v>
      </c>
      <c r="X50" s="106">
        <f t="shared" si="22"/>
        <v>-36862.000000000007</v>
      </c>
      <c r="Y50" s="106">
        <f t="shared" si="22"/>
        <v>-996.58333333334303</v>
      </c>
      <c r="Z50" s="106">
        <f t="shared" si="22"/>
        <v>6182.5833333333385</v>
      </c>
      <c r="AA50" s="106">
        <f t="shared" si="22"/>
        <v>13148.000000000005</v>
      </c>
      <c r="AB50" s="106">
        <f t="shared" si="22"/>
        <v>19737.583333333336</v>
      </c>
      <c r="AC50" s="106">
        <f t="shared" si="22"/>
        <v>30016.750000000004</v>
      </c>
      <c r="AD50" s="106">
        <f t="shared" si="22"/>
        <v>40982.166666666672</v>
      </c>
      <c r="AE50" s="106">
        <f t="shared" si="22"/>
        <v>51061.333333333336</v>
      </c>
      <c r="AF50" s="106">
        <f t="shared" si="22"/>
        <v>60250.916666666672</v>
      </c>
      <c r="AG50" s="106">
        <f t="shared" si="22"/>
        <v>71216.333333333343</v>
      </c>
      <c r="AH50" s="106">
        <f t="shared" si="22"/>
        <v>116471.75</v>
      </c>
      <c r="AI50" s="106">
        <f t="shared" si="22"/>
        <v>131127.24999999997</v>
      </c>
      <c r="AJ50" s="106">
        <f t="shared" si="22"/>
        <v>145120.66666666666</v>
      </c>
      <c r="AK50" s="106">
        <f t="shared" si="22"/>
        <v>156276.16666666666</v>
      </c>
      <c r="AL50" s="106">
        <f t="shared" si="22"/>
        <v>170845.41666666666</v>
      </c>
      <c r="AM50" s="106">
        <f t="shared" si="22"/>
        <v>185000.91666666666</v>
      </c>
      <c r="AN50" s="106">
        <f t="shared" si="22"/>
        <v>199594.33333333331</v>
      </c>
      <c r="AO50" s="106">
        <f t="shared" si="22"/>
        <v>215349.83333333331</v>
      </c>
      <c r="AP50" s="106">
        <f t="shared" si="22"/>
        <v>230519.08333333331</v>
      </c>
      <c r="AQ50" s="106">
        <f t="shared" si="22"/>
        <v>245274.58333333331</v>
      </c>
      <c r="AR50" s="106">
        <f t="shared" si="22"/>
        <v>260867.99999999997</v>
      </c>
      <c r="AS50" s="106">
        <f t="shared" si="22"/>
        <v>272190.16666666669</v>
      </c>
      <c r="AT50" s="106">
        <f t="shared" si="22"/>
        <v>352737.7333333334</v>
      </c>
      <c r="AU50" s="106">
        <f t="shared" si="22"/>
        <v>372605.29166666669</v>
      </c>
      <c r="AV50" s="106">
        <f t="shared" si="22"/>
        <v>391886.60000000003</v>
      </c>
      <c r="AW50" s="106">
        <f t="shared" si="22"/>
        <v>408729.15833333333</v>
      </c>
      <c r="AX50" s="106">
        <f t="shared" si="22"/>
        <v>428510.46666666673</v>
      </c>
      <c r="AY50" s="106">
        <f t="shared" si="22"/>
        <v>447878.02499999997</v>
      </c>
      <c r="AZ50" s="106">
        <f t="shared" si="22"/>
        <v>467990.33333333337</v>
      </c>
      <c r="BA50" s="106">
        <f t="shared" si="22"/>
        <v>489102.64166666655</v>
      </c>
      <c r="BB50" s="106">
        <f t="shared" si="22"/>
        <v>509801.2</v>
      </c>
      <c r="BC50" s="106">
        <f t="shared" si="22"/>
        <v>529913.50833333342</v>
      </c>
      <c r="BD50" s="106">
        <f t="shared" si="22"/>
        <v>551112.06666666665</v>
      </c>
      <c r="BE50" s="106">
        <f t="shared" si="22"/>
        <v>571724.375</v>
      </c>
      <c r="BF50" s="106">
        <f t="shared" ref="BF50:BQ50" si="23">BF48</f>
        <v>589649.10000000021</v>
      </c>
      <c r="BG50" s="106">
        <f t="shared" si="23"/>
        <v>612243.41666666674</v>
      </c>
      <c r="BH50" s="106">
        <f t="shared" si="23"/>
        <v>634837.73333333328</v>
      </c>
      <c r="BI50" s="106">
        <f t="shared" si="23"/>
        <v>657518.30000000016</v>
      </c>
      <c r="BJ50" s="106">
        <f t="shared" si="23"/>
        <v>680112.6166666667</v>
      </c>
      <c r="BK50" s="106">
        <f t="shared" si="23"/>
        <v>702706.93333333347</v>
      </c>
      <c r="BL50" s="106">
        <f t="shared" si="23"/>
        <v>726960.50000000012</v>
      </c>
      <c r="BM50" s="106">
        <f t="shared" si="23"/>
        <v>751127.81666666665</v>
      </c>
      <c r="BN50" s="106">
        <f t="shared" si="23"/>
        <v>775295.13333333342</v>
      </c>
      <c r="BO50" s="106">
        <f t="shared" si="23"/>
        <v>799548.70000000007</v>
      </c>
      <c r="BP50" s="106">
        <f t="shared" si="23"/>
        <v>823716.01666666684</v>
      </c>
      <c r="BQ50" s="106">
        <f t="shared" si="23"/>
        <v>847969.58333333326</v>
      </c>
    </row>
    <row r="51" spans="1:69">
      <c r="B51" s="13"/>
      <c r="C51" s="13"/>
    </row>
    <row r="52" spans="1:69">
      <c r="B52" s="13"/>
      <c r="C52" s="14" t="s">
        <v>20</v>
      </c>
    </row>
    <row r="53" spans="1:69">
      <c r="B53" s="14"/>
      <c r="C53" s="14" t="s">
        <v>63</v>
      </c>
      <c r="J53" s="32">
        <f>'Corporation tax'!J34</f>
        <v>2280.75</v>
      </c>
      <c r="K53" s="32">
        <f>'Corporation tax'!K34</f>
        <v>9634.5</v>
      </c>
      <c r="L53" s="32">
        <f>'Corporation tax'!L34</f>
        <v>-8801</v>
      </c>
      <c r="M53" s="32">
        <f>'Corporation tax'!M34</f>
        <v>-755</v>
      </c>
      <c r="N53" s="32">
        <f>'Corporation tax'!N34</f>
        <v>-2359.25</v>
      </c>
      <c r="O53" s="32">
        <f>'Corporation tax'!O34</f>
        <v>4351.5</v>
      </c>
      <c r="P53" s="32">
        <f>'Corporation tax'!P34</f>
        <v>7102.25</v>
      </c>
      <c r="Q53" s="32">
        <f>'Corporation tax'!Q34</f>
        <v>-10607</v>
      </c>
      <c r="R53" s="32">
        <f>'Corporation tax'!R34</f>
        <v>-846.75</v>
      </c>
      <c r="S53" s="32">
        <f>'Corporation tax'!S34</f>
        <v>0</v>
      </c>
      <c r="T53" s="32">
        <f>'Corporation tax'!T34</f>
        <v>0</v>
      </c>
      <c r="U53" s="32">
        <f>'Corporation tax'!U34</f>
        <v>0</v>
      </c>
      <c r="V53" s="32">
        <f>'Corporation tax'!V34</f>
        <v>0</v>
      </c>
      <c r="W53" s="32">
        <f>'Corporation tax'!W34</f>
        <v>0</v>
      </c>
      <c r="X53" s="32">
        <f>'Corporation tax'!X34</f>
        <v>0</v>
      </c>
      <c r="Y53" s="32">
        <f>'Corporation tax'!Y34</f>
        <v>0</v>
      </c>
      <c r="Z53" s="32">
        <f>'Corporation tax'!Z34</f>
        <v>0</v>
      </c>
      <c r="AA53" s="32">
        <f>'Corporation tax'!AA34</f>
        <v>0</v>
      </c>
      <c r="AB53" s="32">
        <f>'Corporation tax'!AB34</f>
        <v>0</v>
      </c>
      <c r="AC53" s="32">
        <f>'Corporation tax'!AC34</f>
        <v>0</v>
      </c>
      <c r="AD53" s="32">
        <f>'Corporation tax'!AD34</f>
        <v>0</v>
      </c>
      <c r="AE53" s="32">
        <f>'Corporation tax'!AE34</f>
        <v>0</v>
      </c>
      <c r="AF53" s="32">
        <f>'Corporation tax'!AF34</f>
        <v>0</v>
      </c>
      <c r="AG53" s="32">
        <f>'Corporation tax'!AG34</f>
        <v>0</v>
      </c>
      <c r="AH53" s="32">
        <f>'Corporation tax'!AH34</f>
        <v>29117.9375</v>
      </c>
      <c r="AI53" s="32">
        <f>'Corporation tax'!AI34</f>
        <v>32781.812499999993</v>
      </c>
      <c r="AJ53" s="32">
        <f>'Corporation tax'!AJ34</f>
        <v>36280.166666666664</v>
      </c>
      <c r="AK53" s="32">
        <f>'Corporation tax'!AK34</f>
        <v>39069.041666666664</v>
      </c>
      <c r="AL53" s="32">
        <f>'Corporation tax'!AL34</f>
        <v>42711.354166666664</v>
      </c>
      <c r="AM53" s="32">
        <f>'Corporation tax'!AM34</f>
        <v>46250.229166666664</v>
      </c>
      <c r="AN53" s="32">
        <f>'Corporation tax'!AN34</f>
        <v>49898.583333333328</v>
      </c>
      <c r="AO53" s="32">
        <f>'Corporation tax'!AO34</f>
        <v>53837.458333333328</v>
      </c>
      <c r="AP53" s="32">
        <f>'Corporation tax'!AP34</f>
        <v>57629.770833333328</v>
      </c>
      <c r="AQ53" s="32">
        <f>'Corporation tax'!AQ34</f>
        <v>61318.645833333328</v>
      </c>
      <c r="AR53" s="32">
        <f>'Corporation tax'!AR34</f>
        <v>65216.999999999993</v>
      </c>
      <c r="AS53" s="32">
        <f>'Corporation tax'!AS34</f>
        <v>68047.541666666672</v>
      </c>
      <c r="AT53" s="32">
        <f>'Corporation tax'!AT34</f>
        <v>88184.433333333349</v>
      </c>
      <c r="AU53" s="32">
        <f>'Corporation tax'!AU34</f>
        <v>93151.322916666672</v>
      </c>
      <c r="AV53" s="32">
        <f>'Corporation tax'!AV34</f>
        <v>97971.650000000009</v>
      </c>
      <c r="AW53" s="32">
        <f>'Corporation tax'!AW34</f>
        <v>102182.28958333333</v>
      </c>
      <c r="AX53" s="32">
        <f>'Corporation tax'!AX34</f>
        <v>107127.61666666668</v>
      </c>
      <c r="AY53" s="32">
        <f>'Corporation tax'!AY34</f>
        <v>111969.50624999999</v>
      </c>
      <c r="AZ53" s="32">
        <f>'Corporation tax'!AZ34</f>
        <v>116997.58333333334</v>
      </c>
      <c r="BA53" s="32">
        <f>'Corporation tax'!BA34</f>
        <v>122275.66041666664</v>
      </c>
      <c r="BB53" s="32">
        <f>'Corporation tax'!BB34</f>
        <v>127450.3</v>
      </c>
      <c r="BC53" s="32">
        <f>'Corporation tax'!BC34</f>
        <v>132478.37708333335</v>
      </c>
      <c r="BD53" s="32">
        <f>'Corporation tax'!BD34</f>
        <v>137778.01666666666</v>
      </c>
      <c r="BE53" s="32">
        <f>'Corporation tax'!BE34</f>
        <v>142931.09375</v>
      </c>
      <c r="BF53" s="32">
        <f>'Corporation tax'!BF34</f>
        <v>147412.27500000005</v>
      </c>
      <c r="BG53" s="32">
        <f>'Corporation tax'!BG34</f>
        <v>153060.85416666669</v>
      </c>
      <c r="BH53" s="32">
        <f>'Corporation tax'!BH34</f>
        <v>158709.43333333332</v>
      </c>
      <c r="BI53" s="32">
        <f>'Corporation tax'!BI34</f>
        <v>164379.57500000004</v>
      </c>
      <c r="BJ53" s="32">
        <f>'Corporation tax'!BJ34</f>
        <v>170028.15416666667</v>
      </c>
      <c r="BK53" s="32">
        <f>'Corporation tax'!BK34</f>
        <v>175676.73333333337</v>
      </c>
      <c r="BL53" s="32">
        <f>'Corporation tax'!BL34</f>
        <v>181740.12500000003</v>
      </c>
      <c r="BM53" s="32">
        <f>'Corporation tax'!BM34</f>
        <v>187781.95416666666</v>
      </c>
      <c r="BN53" s="32">
        <f>'Corporation tax'!BN34</f>
        <v>193823.78333333335</v>
      </c>
      <c r="BO53" s="32">
        <f>'Corporation tax'!BO34</f>
        <v>199887.17500000002</v>
      </c>
      <c r="BP53" s="32">
        <f>'Corporation tax'!BP34</f>
        <v>205929.00416666671</v>
      </c>
      <c r="BQ53" s="32">
        <f>'Corporation tax'!BQ34</f>
        <v>211992.39583333331</v>
      </c>
    </row>
    <row r="54" spans="1:69">
      <c r="B54" s="13"/>
      <c r="C54" s="1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row>
    <row r="55" spans="1:69">
      <c r="B55" s="14"/>
      <c r="C55" s="14" t="s">
        <v>21</v>
      </c>
      <c r="J55" s="32">
        <f>J50-J52-J53</f>
        <v>6842.25</v>
      </c>
      <c r="K55" s="32">
        <f t="shared" ref="K55:BE55" si="24">K50-K52-K53</f>
        <v>28903.5</v>
      </c>
      <c r="L55" s="32">
        <f t="shared" si="24"/>
        <v>-26403</v>
      </c>
      <c r="M55" s="32">
        <f t="shared" si="24"/>
        <v>-2265</v>
      </c>
      <c r="N55" s="32">
        <f t="shared" si="24"/>
        <v>-7600.75</v>
      </c>
      <c r="O55" s="32">
        <f t="shared" si="24"/>
        <v>13577.5</v>
      </c>
      <c r="P55" s="32">
        <f t="shared" si="24"/>
        <v>21306.75</v>
      </c>
      <c r="Q55" s="32">
        <f t="shared" si="24"/>
        <v>-31821</v>
      </c>
      <c r="R55" s="32">
        <f t="shared" si="24"/>
        <v>-6801.25</v>
      </c>
      <c r="S55" s="32">
        <f t="shared" si="24"/>
        <v>-62508.791666666679</v>
      </c>
      <c r="T55" s="32">
        <f t="shared" si="24"/>
        <v>-54894.916666666664</v>
      </c>
      <c r="U55" s="32">
        <f t="shared" si="24"/>
        <v>-36753.458333333328</v>
      </c>
      <c r="V55" s="32">
        <f t="shared" si="24"/>
        <v>-41825.749999999993</v>
      </c>
      <c r="W55" s="32">
        <f t="shared" si="24"/>
        <v>-57715.333333333343</v>
      </c>
      <c r="X55" s="32">
        <f t="shared" si="24"/>
        <v>-36862.000000000007</v>
      </c>
      <c r="Y55" s="32">
        <f t="shared" si="24"/>
        <v>-996.58333333334303</v>
      </c>
      <c r="Z55" s="32">
        <f t="shared" si="24"/>
        <v>6182.5833333333385</v>
      </c>
      <c r="AA55" s="32">
        <f t="shared" si="24"/>
        <v>13148.000000000005</v>
      </c>
      <c r="AB55" s="32">
        <f t="shared" si="24"/>
        <v>19737.583333333336</v>
      </c>
      <c r="AC55" s="32">
        <f t="shared" si="24"/>
        <v>30016.750000000004</v>
      </c>
      <c r="AD55" s="32">
        <f t="shared" si="24"/>
        <v>40982.166666666672</v>
      </c>
      <c r="AE55" s="32">
        <f t="shared" si="24"/>
        <v>51061.333333333336</v>
      </c>
      <c r="AF55" s="32">
        <f t="shared" si="24"/>
        <v>60250.916666666672</v>
      </c>
      <c r="AG55" s="32">
        <f t="shared" si="24"/>
        <v>71216.333333333343</v>
      </c>
      <c r="AH55" s="32">
        <f t="shared" si="24"/>
        <v>87353.8125</v>
      </c>
      <c r="AI55" s="32">
        <f t="shared" si="24"/>
        <v>98345.437499999971</v>
      </c>
      <c r="AJ55" s="32">
        <f t="shared" si="24"/>
        <v>108840.5</v>
      </c>
      <c r="AK55" s="32">
        <f t="shared" si="24"/>
        <v>117207.125</v>
      </c>
      <c r="AL55" s="32">
        <f t="shared" si="24"/>
        <v>128134.0625</v>
      </c>
      <c r="AM55" s="32">
        <f t="shared" si="24"/>
        <v>138750.6875</v>
      </c>
      <c r="AN55" s="32">
        <f t="shared" si="24"/>
        <v>149695.75</v>
      </c>
      <c r="AO55" s="32">
        <f t="shared" si="24"/>
        <v>161512.375</v>
      </c>
      <c r="AP55" s="32">
        <f t="shared" si="24"/>
        <v>172889.3125</v>
      </c>
      <c r="AQ55" s="32">
        <f t="shared" si="24"/>
        <v>183955.9375</v>
      </c>
      <c r="AR55" s="32">
        <f t="shared" si="24"/>
        <v>195650.99999999997</v>
      </c>
      <c r="AS55" s="32">
        <f t="shared" si="24"/>
        <v>204142.625</v>
      </c>
      <c r="AT55" s="32">
        <f t="shared" si="24"/>
        <v>264553.30000000005</v>
      </c>
      <c r="AU55" s="32">
        <f t="shared" si="24"/>
        <v>279453.96875</v>
      </c>
      <c r="AV55" s="32">
        <f t="shared" si="24"/>
        <v>293914.95</v>
      </c>
      <c r="AW55" s="32">
        <f t="shared" si="24"/>
        <v>306546.86875000002</v>
      </c>
      <c r="AX55" s="32">
        <f t="shared" si="24"/>
        <v>321382.85000000003</v>
      </c>
      <c r="AY55" s="32">
        <f t="shared" si="24"/>
        <v>335908.51874999999</v>
      </c>
      <c r="AZ55" s="32">
        <f t="shared" si="24"/>
        <v>350992.75</v>
      </c>
      <c r="BA55" s="32">
        <f t="shared" si="24"/>
        <v>366826.9812499999</v>
      </c>
      <c r="BB55" s="32">
        <f t="shared" si="24"/>
        <v>382350.9</v>
      </c>
      <c r="BC55" s="32">
        <f t="shared" si="24"/>
        <v>397435.13125000009</v>
      </c>
      <c r="BD55" s="32">
        <f t="shared" si="24"/>
        <v>413334.05</v>
      </c>
      <c r="BE55" s="32">
        <f t="shared" si="24"/>
        <v>428793.28125</v>
      </c>
      <c r="BF55" s="32">
        <f t="shared" ref="BF55:BQ55" si="25">BF50-BF52-BF53</f>
        <v>442236.82500000019</v>
      </c>
      <c r="BG55" s="32">
        <f t="shared" si="25"/>
        <v>459182.56250000006</v>
      </c>
      <c r="BH55" s="32">
        <f t="shared" si="25"/>
        <v>476128.29999999993</v>
      </c>
      <c r="BI55" s="32">
        <f t="shared" si="25"/>
        <v>493138.72500000009</v>
      </c>
      <c r="BJ55" s="32">
        <f t="shared" si="25"/>
        <v>510084.46250000002</v>
      </c>
      <c r="BK55" s="32">
        <f t="shared" si="25"/>
        <v>527030.20000000007</v>
      </c>
      <c r="BL55" s="32">
        <f t="shared" si="25"/>
        <v>545220.37500000012</v>
      </c>
      <c r="BM55" s="32">
        <f t="shared" si="25"/>
        <v>563345.86250000005</v>
      </c>
      <c r="BN55" s="32">
        <f t="shared" si="25"/>
        <v>581471.35000000009</v>
      </c>
      <c r="BO55" s="32">
        <f t="shared" si="25"/>
        <v>599661.52500000002</v>
      </c>
      <c r="BP55" s="32">
        <f t="shared" si="25"/>
        <v>617787.01250000019</v>
      </c>
      <c r="BQ55" s="32">
        <f t="shared" si="25"/>
        <v>635977.1875</v>
      </c>
    </row>
    <row r="56" spans="1:69">
      <c r="B56" s="13"/>
      <c r="C56" s="13"/>
    </row>
    <row r="57" spans="1:69">
      <c r="B57" s="14" t="s">
        <v>22</v>
      </c>
      <c r="C57" s="13"/>
    </row>
    <row r="58" spans="1:69">
      <c r="B58" s="13"/>
      <c r="C58" s="13" t="s">
        <v>23</v>
      </c>
      <c r="J58" s="4">
        <v>0</v>
      </c>
      <c r="K58" s="32">
        <f>J61</f>
        <v>6842.25</v>
      </c>
      <c r="L58" s="32">
        <f t="shared" ref="L58:BE58" si="26">K61</f>
        <v>35745.75</v>
      </c>
      <c r="M58" s="32">
        <f t="shared" si="26"/>
        <v>9342.75</v>
      </c>
      <c r="N58" s="32">
        <f t="shared" si="26"/>
        <v>7077.75</v>
      </c>
      <c r="O58" s="32">
        <f t="shared" si="26"/>
        <v>-523</v>
      </c>
      <c r="P58" s="32">
        <f t="shared" si="26"/>
        <v>13054.5</v>
      </c>
      <c r="Q58" s="32">
        <f t="shared" si="26"/>
        <v>34361.25</v>
      </c>
      <c r="R58" s="32">
        <f t="shared" si="26"/>
        <v>2540.25</v>
      </c>
      <c r="S58" s="32">
        <f>R61</f>
        <v>-4261</v>
      </c>
      <c r="T58" s="32">
        <f>S61</f>
        <v>-66769.791666666686</v>
      </c>
      <c r="U58" s="32">
        <f t="shared" si="26"/>
        <v>-121664.70833333334</v>
      </c>
      <c r="V58" s="32">
        <f t="shared" si="26"/>
        <v>-158418.16666666669</v>
      </c>
      <c r="W58" s="32">
        <f t="shared" si="26"/>
        <v>-200243.91666666669</v>
      </c>
      <c r="X58" s="32">
        <f t="shared" si="26"/>
        <v>-257959.25000000003</v>
      </c>
      <c r="Y58" s="32">
        <f t="shared" si="26"/>
        <v>-294821.25000000006</v>
      </c>
      <c r="Z58" s="32">
        <f t="shared" si="26"/>
        <v>-295817.83333333337</v>
      </c>
      <c r="AA58" s="32">
        <f t="shared" si="26"/>
        <v>-289635.25000000006</v>
      </c>
      <c r="AB58" s="32">
        <f t="shared" si="26"/>
        <v>-276487.25000000006</v>
      </c>
      <c r="AC58" s="32">
        <f t="shared" si="26"/>
        <v>-256749.66666666672</v>
      </c>
      <c r="AD58" s="32">
        <f t="shared" si="26"/>
        <v>-226732.91666666672</v>
      </c>
      <c r="AE58" s="32">
        <f t="shared" si="26"/>
        <v>-185750.75000000006</v>
      </c>
      <c r="AF58" s="32">
        <f t="shared" si="26"/>
        <v>-134689.41666666672</v>
      </c>
      <c r="AG58" s="32">
        <f t="shared" si="26"/>
        <v>-74438.500000000044</v>
      </c>
      <c r="AH58" s="32">
        <f t="shared" si="26"/>
        <v>-3222.1666666667006</v>
      </c>
      <c r="AI58" s="32">
        <f t="shared" si="26"/>
        <v>84131.645833333299</v>
      </c>
      <c r="AJ58" s="32">
        <f t="shared" si="26"/>
        <v>182477.08333333326</v>
      </c>
      <c r="AK58" s="32">
        <f t="shared" si="26"/>
        <v>291317.58333333326</v>
      </c>
      <c r="AL58" s="32">
        <f t="shared" si="26"/>
        <v>408524.70833333326</v>
      </c>
      <c r="AM58" s="32">
        <f t="shared" si="26"/>
        <v>536658.77083333326</v>
      </c>
      <c r="AN58" s="32">
        <f t="shared" si="26"/>
        <v>675409.45833333326</v>
      </c>
      <c r="AO58" s="32">
        <f t="shared" si="26"/>
        <v>825105.20833333326</v>
      </c>
      <c r="AP58" s="32">
        <f t="shared" si="26"/>
        <v>986617.58333333326</v>
      </c>
      <c r="AQ58" s="32">
        <f t="shared" si="26"/>
        <v>1159506.8958333333</v>
      </c>
      <c r="AR58" s="32">
        <f t="shared" si="26"/>
        <v>1343462.8333333333</v>
      </c>
      <c r="AS58" s="32">
        <f t="shared" si="26"/>
        <v>1539113.8333333333</v>
      </c>
      <c r="AT58" s="32">
        <f t="shared" si="26"/>
        <v>1743256.4583333333</v>
      </c>
      <c r="AU58" s="32">
        <f t="shared" si="26"/>
        <v>2007809.7583333333</v>
      </c>
      <c r="AV58" s="32">
        <f t="shared" si="26"/>
        <v>2287263.7270833333</v>
      </c>
      <c r="AW58" s="32">
        <f t="shared" si="26"/>
        <v>2581178.6770833335</v>
      </c>
      <c r="AX58" s="32">
        <f t="shared" si="26"/>
        <v>2887725.5458333334</v>
      </c>
      <c r="AY58" s="32">
        <f t="shared" si="26"/>
        <v>3209108.3958333335</v>
      </c>
      <c r="AZ58" s="32">
        <f t="shared" si="26"/>
        <v>3545016.9145833333</v>
      </c>
      <c r="BA58" s="32">
        <f t="shared" si="26"/>
        <v>3896009.6645833333</v>
      </c>
      <c r="BB58" s="32">
        <f t="shared" si="26"/>
        <v>4262836.645833333</v>
      </c>
      <c r="BC58" s="32">
        <f t="shared" si="26"/>
        <v>4645187.5458333334</v>
      </c>
      <c r="BD58" s="32">
        <f t="shared" si="26"/>
        <v>5042622.677083334</v>
      </c>
      <c r="BE58" s="32">
        <f t="shared" si="26"/>
        <v>5455956.7270833338</v>
      </c>
      <c r="BF58" s="32">
        <f t="shared" ref="BF58" si="27">BE61</f>
        <v>5884750.0083333338</v>
      </c>
      <c r="BG58" s="32">
        <f t="shared" ref="BG58" si="28">BF61</f>
        <v>6326986.833333334</v>
      </c>
      <c r="BH58" s="32">
        <f t="shared" ref="BH58" si="29">BG61</f>
        <v>6786169.395833334</v>
      </c>
      <c r="BI58" s="32">
        <f t="shared" ref="BI58" si="30">BH61</f>
        <v>7262297.6958333338</v>
      </c>
      <c r="BJ58" s="32">
        <f t="shared" ref="BJ58" si="31">BI61</f>
        <v>7755436.4208333343</v>
      </c>
      <c r="BK58" s="32">
        <f t="shared" ref="BK58" si="32">BJ61</f>
        <v>8265520.8833333347</v>
      </c>
      <c r="BL58" s="32">
        <f t="shared" ref="BL58" si="33">BK61</f>
        <v>8792551.083333334</v>
      </c>
      <c r="BM58" s="32">
        <f t="shared" ref="BM58" si="34">BL61</f>
        <v>9337771.458333334</v>
      </c>
      <c r="BN58" s="32">
        <f t="shared" ref="BN58" si="35">BM61</f>
        <v>9901117.3208333347</v>
      </c>
      <c r="BO58" s="32">
        <f t="shared" ref="BO58" si="36">BN61</f>
        <v>10482588.670833334</v>
      </c>
      <c r="BP58" s="32">
        <f t="shared" ref="BP58" si="37">BO61</f>
        <v>11082250.195833335</v>
      </c>
      <c r="BQ58" s="32">
        <f t="shared" ref="BQ58" si="38">BP61</f>
        <v>11700037.208333336</v>
      </c>
    </row>
    <row r="59" spans="1:69">
      <c r="B59" s="13"/>
      <c r="C59" s="13" t="s">
        <v>122</v>
      </c>
      <c r="J59" s="32">
        <f>J55</f>
        <v>6842.25</v>
      </c>
      <c r="K59" s="32">
        <f>K55</f>
        <v>28903.5</v>
      </c>
      <c r="L59" s="32">
        <f t="shared" ref="L59:BE59" si="39">L55</f>
        <v>-26403</v>
      </c>
      <c r="M59" s="32">
        <f t="shared" si="39"/>
        <v>-2265</v>
      </c>
      <c r="N59" s="32">
        <f t="shared" si="39"/>
        <v>-7600.75</v>
      </c>
      <c r="O59" s="32">
        <f t="shared" si="39"/>
        <v>13577.5</v>
      </c>
      <c r="P59" s="32">
        <f t="shared" si="39"/>
        <v>21306.75</v>
      </c>
      <c r="Q59" s="32">
        <f t="shared" si="39"/>
        <v>-31821</v>
      </c>
      <c r="R59" s="32">
        <f t="shared" si="39"/>
        <v>-6801.25</v>
      </c>
      <c r="S59" s="32">
        <f>S55</f>
        <v>-62508.791666666679</v>
      </c>
      <c r="T59" s="32">
        <f>T55</f>
        <v>-54894.916666666664</v>
      </c>
      <c r="U59" s="32">
        <f t="shared" si="39"/>
        <v>-36753.458333333328</v>
      </c>
      <c r="V59" s="32">
        <f t="shared" si="39"/>
        <v>-41825.749999999993</v>
      </c>
      <c r="W59" s="32">
        <f t="shared" si="39"/>
        <v>-57715.333333333343</v>
      </c>
      <c r="X59" s="32">
        <f t="shared" si="39"/>
        <v>-36862.000000000007</v>
      </c>
      <c r="Y59" s="32">
        <f t="shared" si="39"/>
        <v>-996.58333333334303</v>
      </c>
      <c r="Z59" s="32">
        <f t="shared" si="39"/>
        <v>6182.5833333333385</v>
      </c>
      <c r="AA59" s="32">
        <f t="shared" si="39"/>
        <v>13148.000000000005</v>
      </c>
      <c r="AB59" s="32">
        <f t="shared" si="39"/>
        <v>19737.583333333336</v>
      </c>
      <c r="AC59" s="32">
        <f t="shared" si="39"/>
        <v>30016.750000000004</v>
      </c>
      <c r="AD59" s="32">
        <f t="shared" si="39"/>
        <v>40982.166666666672</v>
      </c>
      <c r="AE59" s="32">
        <f t="shared" si="39"/>
        <v>51061.333333333336</v>
      </c>
      <c r="AF59" s="32">
        <f t="shared" si="39"/>
        <v>60250.916666666672</v>
      </c>
      <c r="AG59" s="32">
        <f t="shared" si="39"/>
        <v>71216.333333333343</v>
      </c>
      <c r="AH59" s="32">
        <f t="shared" si="39"/>
        <v>87353.8125</v>
      </c>
      <c r="AI59" s="32">
        <f t="shared" si="39"/>
        <v>98345.437499999971</v>
      </c>
      <c r="AJ59" s="32">
        <f t="shared" si="39"/>
        <v>108840.5</v>
      </c>
      <c r="AK59" s="32">
        <f t="shared" si="39"/>
        <v>117207.125</v>
      </c>
      <c r="AL59" s="32">
        <f t="shared" si="39"/>
        <v>128134.0625</v>
      </c>
      <c r="AM59" s="32">
        <f t="shared" si="39"/>
        <v>138750.6875</v>
      </c>
      <c r="AN59" s="32">
        <f t="shared" si="39"/>
        <v>149695.75</v>
      </c>
      <c r="AO59" s="32">
        <f t="shared" si="39"/>
        <v>161512.375</v>
      </c>
      <c r="AP59" s="32">
        <f t="shared" si="39"/>
        <v>172889.3125</v>
      </c>
      <c r="AQ59" s="32">
        <f t="shared" si="39"/>
        <v>183955.9375</v>
      </c>
      <c r="AR59" s="32">
        <f t="shared" si="39"/>
        <v>195650.99999999997</v>
      </c>
      <c r="AS59" s="32">
        <f t="shared" si="39"/>
        <v>204142.625</v>
      </c>
      <c r="AT59" s="32">
        <f t="shared" si="39"/>
        <v>264553.30000000005</v>
      </c>
      <c r="AU59" s="32">
        <f t="shared" si="39"/>
        <v>279453.96875</v>
      </c>
      <c r="AV59" s="32">
        <f t="shared" si="39"/>
        <v>293914.95</v>
      </c>
      <c r="AW59" s="32">
        <f t="shared" si="39"/>
        <v>306546.86875000002</v>
      </c>
      <c r="AX59" s="32">
        <f t="shared" si="39"/>
        <v>321382.85000000003</v>
      </c>
      <c r="AY59" s="32">
        <f t="shared" si="39"/>
        <v>335908.51874999999</v>
      </c>
      <c r="AZ59" s="32">
        <f t="shared" si="39"/>
        <v>350992.75</v>
      </c>
      <c r="BA59" s="32">
        <f t="shared" si="39"/>
        <v>366826.9812499999</v>
      </c>
      <c r="BB59" s="32">
        <f t="shared" si="39"/>
        <v>382350.9</v>
      </c>
      <c r="BC59" s="32">
        <f t="shared" si="39"/>
        <v>397435.13125000009</v>
      </c>
      <c r="BD59" s="32">
        <f t="shared" si="39"/>
        <v>413334.05</v>
      </c>
      <c r="BE59" s="32">
        <f t="shared" si="39"/>
        <v>428793.28125</v>
      </c>
      <c r="BF59" s="32">
        <f t="shared" ref="BF59:BQ59" si="40">BF55</f>
        <v>442236.82500000019</v>
      </c>
      <c r="BG59" s="32">
        <f t="shared" si="40"/>
        <v>459182.56250000006</v>
      </c>
      <c r="BH59" s="32">
        <f t="shared" si="40"/>
        <v>476128.29999999993</v>
      </c>
      <c r="BI59" s="32">
        <f t="shared" si="40"/>
        <v>493138.72500000009</v>
      </c>
      <c r="BJ59" s="32">
        <f t="shared" si="40"/>
        <v>510084.46250000002</v>
      </c>
      <c r="BK59" s="32">
        <f t="shared" si="40"/>
        <v>527030.20000000007</v>
      </c>
      <c r="BL59" s="32">
        <f t="shared" si="40"/>
        <v>545220.37500000012</v>
      </c>
      <c r="BM59" s="32">
        <f t="shared" si="40"/>
        <v>563345.86250000005</v>
      </c>
      <c r="BN59" s="32">
        <f t="shared" si="40"/>
        <v>581471.35000000009</v>
      </c>
      <c r="BO59" s="32">
        <f t="shared" si="40"/>
        <v>599661.52500000002</v>
      </c>
      <c r="BP59" s="32">
        <f t="shared" si="40"/>
        <v>617787.01250000019</v>
      </c>
      <c r="BQ59" s="32">
        <f t="shared" si="40"/>
        <v>635977.1875</v>
      </c>
    </row>
    <row r="60" spans="1:69">
      <c r="B60" s="13"/>
      <c r="C60" s="13" t="str">
        <f>[1]Funding!C$35</f>
        <v>Dividends Paid</v>
      </c>
    </row>
    <row r="61" spans="1:69">
      <c r="B61" s="13"/>
      <c r="C61" s="34" t="s">
        <v>24</v>
      </c>
      <c r="D61" s="35"/>
      <c r="E61" s="35"/>
      <c r="F61" s="35"/>
      <c r="G61" s="35"/>
      <c r="H61" s="35"/>
      <c r="I61" s="35"/>
      <c r="J61" s="36">
        <f>J58+J59-J60</f>
        <v>6842.25</v>
      </c>
      <c r="K61" s="36">
        <f>K58+K59-K60</f>
        <v>35745.75</v>
      </c>
      <c r="L61" s="36">
        <f t="shared" ref="L61:BE61" si="41">L58+L59-L60</f>
        <v>9342.75</v>
      </c>
      <c r="M61" s="36">
        <f>M58+M59-M60</f>
        <v>7077.75</v>
      </c>
      <c r="N61" s="36">
        <f t="shared" si="41"/>
        <v>-523</v>
      </c>
      <c r="O61" s="36">
        <f t="shared" si="41"/>
        <v>13054.5</v>
      </c>
      <c r="P61" s="36">
        <f t="shared" si="41"/>
        <v>34361.25</v>
      </c>
      <c r="Q61" s="36">
        <f t="shared" si="41"/>
        <v>2540.25</v>
      </c>
      <c r="R61" s="36">
        <f t="shared" si="41"/>
        <v>-4261</v>
      </c>
      <c r="S61" s="36">
        <f t="shared" si="41"/>
        <v>-66769.791666666686</v>
      </c>
      <c r="T61" s="36">
        <f t="shared" si="41"/>
        <v>-121664.70833333334</v>
      </c>
      <c r="U61" s="36">
        <f t="shared" si="41"/>
        <v>-158418.16666666669</v>
      </c>
      <c r="V61" s="36">
        <f t="shared" si="41"/>
        <v>-200243.91666666669</v>
      </c>
      <c r="W61" s="36">
        <f t="shared" si="41"/>
        <v>-257959.25000000003</v>
      </c>
      <c r="X61" s="36">
        <f t="shared" si="41"/>
        <v>-294821.25000000006</v>
      </c>
      <c r="Y61" s="36">
        <f t="shared" si="41"/>
        <v>-295817.83333333337</v>
      </c>
      <c r="Z61" s="36">
        <f t="shared" si="41"/>
        <v>-289635.25000000006</v>
      </c>
      <c r="AA61" s="36">
        <f t="shared" si="41"/>
        <v>-276487.25000000006</v>
      </c>
      <c r="AB61" s="36">
        <f t="shared" si="41"/>
        <v>-256749.66666666672</v>
      </c>
      <c r="AC61" s="36">
        <f t="shared" si="41"/>
        <v>-226732.91666666672</v>
      </c>
      <c r="AD61" s="36">
        <f t="shared" si="41"/>
        <v>-185750.75000000006</v>
      </c>
      <c r="AE61" s="36">
        <f t="shared" si="41"/>
        <v>-134689.41666666672</v>
      </c>
      <c r="AF61" s="36">
        <f t="shared" si="41"/>
        <v>-74438.500000000044</v>
      </c>
      <c r="AG61" s="36">
        <f t="shared" si="41"/>
        <v>-3222.1666666667006</v>
      </c>
      <c r="AH61" s="36">
        <f t="shared" si="41"/>
        <v>84131.645833333299</v>
      </c>
      <c r="AI61" s="36">
        <f t="shared" si="41"/>
        <v>182477.08333333326</v>
      </c>
      <c r="AJ61" s="36">
        <f t="shared" si="41"/>
        <v>291317.58333333326</v>
      </c>
      <c r="AK61" s="36">
        <f t="shared" si="41"/>
        <v>408524.70833333326</v>
      </c>
      <c r="AL61" s="36">
        <f t="shared" si="41"/>
        <v>536658.77083333326</v>
      </c>
      <c r="AM61" s="36">
        <f t="shared" si="41"/>
        <v>675409.45833333326</v>
      </c>
      <c r="AN61" s="36">
        <f t="shared" si="41"/>
        <v>825105.20833333326</v>
      </c>
      <c r="AO61" s="36">
        <f t="shared" si="41"/>
        <v>986617.58333333326</v>
      </c>
      <c r="AP61" s="36">
        <f t="shared" si="41"/>
        <v>1159506.8958333333</v>
      </c>
      <c r="AQ61" s="36">
        <f t="shared" si="41"/>
        <v>1343462.8333333333</v>
      </c>
      <c r="AR61" s="36">
        <f t="shared" si="41"/>
        <v>1539113.8333333333</v>
      </c>
      <c r="AS61" s="36">
        <f t="shared" si="41"/>
        <v>1743256.4583333333</v>
      </c>
      <c r="AT61" s="36">
        <f t="shared" si="41"/>
        <v>2007809.7583333333</v>
      </c>
      <c r="AU61" s="36">
        <f t="shared" si="41"/>
        <v>2287263.7270833333</v>
      </c>
      <c r="AV61" s="36">
        <f t="shared" si="41"/>
        <v>2581178.6770833335</v>
      </c>
      <c r="AW61" s="36">
        <f t="shared" si="41"/>
        <v>2887725.5458333334</v>
      </c>
      <c r="AX61" s="36">
        <f t="shared" si="41"/>
        <v>3209108.3958333335</v>
      </c>
      <c r="AY61" s="36">
        <f t="shared" si="41"/>
        <v>3545016.9145833333</v>
      </c>
      <c r="AZ61" s="36">
        <f t="shared" si="41"/>
        <v>3896009.6645833333</v>
      </c>
      <c r="BA61" s="36">
        <f t="shared" si="41"/>
        <v>4262836.645833333</v>
      </c>
      <c r="BB61" s="36">
        <f t="shared" si="41"/>
        <v>4645187.5458333334</v>
      </c>
      <c r="BC61" s="36">
        <f t="shared" si="41"/>
        <v>5042622.677083334</v>
      </c>
      <c r="BD61" s="36">
        <f t="shared" si="41"/>
        <v>5455956.7270833338</v>
      </c>
      <c r="BE61" s="36">
        <f t="shared" si="41"/>
        <v>5884750.0083333338</v>
      </c>
      <c r="BF61" s="36">
        <f t="shared" ref="BF61:BQ61" si="42">BF58+BF59-BF60</f>
        <v>6326986.833333334</v>
      </c>
      <c r="BG61" s="36">
        <f t="shared" si="42"/>
        <v>6786169.395833334</v>
      </c>
      <c r="BH61" s="36">
        <f t="shared" si="42"/>
        <v>7262297.6958333338</v>
      </c>
      <c r="BI61" s="36">
        <f t="shared" si="42"/>
        <v>7755436.4208333343</v>
      </c>
      <c r="BJ61" s="36">
        <f t="shared" si="42"/>
        <v>8265520.8833333347</v>
      </c>
      <c r="BK61" s="36">
        <f t="shared" si="42"/>
        <v>8792551.083333334</v>
      </c>
      <c r="BL61" s="36">
        <f t="shared" si="42"/>
        <v>9337771.458333334</v>
      </c>
      <c r="BM61" s="36">
        <f t="shared" si="42"/>
        <v>9901117.3208333347</v>
      </c>
      <c r="BN61" s="36">
        <f t="shared" si="42"/>
        <v>10482588.670833334</v>
      </c>
      <c r="BO61" s="36">
        <f t="shared" si="42"/>
        <v>11082250.195833335</v>
      </c>
      <c r="BP61" s="36">
        <f t="shared" si="42"/>
        <v>11700037.208333336</v>
      </c>
      <c r="BQ61" s="36">
        <f t="shared" si="42"/>
        <v>12336014.395833336</v>
      </c>
    </row>
    <row r="62" spans="1:69">
      <c r="B62" s="13"/>
      <c r="C62" s="13"/>
    </row>
    <row r="63" spans="1:69">
      <c r="B63" s="13"/>
      <c r="C63" s="13"/>
    </row>
    <row r="64" spans="1:69" s="120" customFormat="1" ht="14.4">
      <c r="A64" s="118"/>
      <c r="B64" s="142" t="s">
        <v>395</v>
      </c>
      <c r="C64" s="142"/>
      <c r="D64" s="118"/>
      <c r="E64" s="118"/>
      <c r="F64" s="118"/>
      <c r="G64" s="118"/>
      <c r="H64" s="118"/>
      <c r="I64" s="118"/>
      <c r="J64" s="119"/>
      <c r="K64" s="119"/>
      <c r="L64" s="119"/>
      <c r="M64" s="119"/>
      <c r="N64" s="119"/>
    </row>
    <row r="65" spans="2:69">
      <c r="B65" s="13"/>
      <c r="C65" s="13"/>
    </row>
    <row r="66" spans="2:69">
      <c r="B66" s="14" t="s">
        <v>25</v>
      </c>
      <c r="C66" s="13"/>
    </row>
    <row r="67" spans="2:69">
      <c r="B67" s="13"/>
      <c r="C67" s="107" t="s">
        <v>64</v>
      </c>
      <c r="D67" s="66"/>
      <c r="E67" s="63"/>
      <c r="F67" s="63"/>
      <c r="G67" s="63"/>
      <c r="H67" s="63"/>
      <c r="I67" s="63"/>
      <c r="J67" s="4">
        <f>'Fixed Assets'!J19</f>
        <v>0</v>
      </c>
      <c r="K67" s="4">
        <f>'Fixed Assets'!K19</f>
        <v>0</v>
      </c>
      <c r="L67" s="4">
        <f>'Fixed Assets'!L19</f>
        <v>0</v>
      </c>
      <c r="M67" s="4">
        <f>'Fixed Assets'!M19</f>
        <v>0</v>
      </c>
      <c r="N67" s="4">
        <f>'Fixed Assets'!N19</f>
        <v>0</v>
      </c>
      <c r="O67" s="4">
        <f>'Fixed Assets'!O19</f>
        <v>0</v>
      </c>
      <c r="P67" s="4">
        <f>'Fixed Assets'!P19</f>
        <v>0</v>
      </c>
      <c r="Q67" s="4">
        <f>'Fixed Assets'!Q19</f>
        <v>0</v>
      </c>
      <c r="R67" s="4">
        <f>'Fixed Assets'!R19</f>
        <v>0</v>
      </c>
      <c r="S67" s="4">
        <f>'Fixed Assets'!S19</f>
        <v>0</v>
      </c>
      <c r="T67" s="64">
        <f>'Fixed Assets'!T19</f>
        <v>34635.416666666664</v>
      </c>
      <c r="U67" s="64">
        <f>'Fixed Assets'!U19</f>
        <v>68906.25</v>
      </c>
      <c r="V67" s="64">
        <f>'Fixed Assets'!V19</f>
        <v>102812.5</v>
      </c>
      <c r="W67" s="64">
        <f>'Fixed Assets'!W19</f>
        <v>136354.16666666666</v>
      </c>
      <c r="X67" s="64">
        <f>'Fixed Assets'!X19</f>
        <v>134895.83333333334</v>
      </c>
      <c r="Y67" s="64">
        <f>'Fixed Assets'!Y19</f>
        <v>133437.5</v>
      </c>
      <c r="Z67" s="64">
        <f>'Fixed Assets'!Z19</f>
        <v>131979.16666666666</v>
      </c>
      <c r="AA67" s="64">
        <f>'Fixed Assets'!AA19</f>
        <v>130520.83333333333</v>
      </c>
      <c r="AB67" s="64">
        <f>'Fixed Assets'!AB19</f>
        <v>129062.5</v>
      </c>
      <c r="AC67" s="64">
        <f>'Fixed Assets'!AC19</f>
        <v>127604.16666666667</v>
      </c>
      <c r="AD67" s="64">
        <f>'Fixed Assets'!AD19</f>
        <v>126145.83333333333</v>
      </c>
      <c r="AE67" s="64">
        <f>'Fixed Assets'!AE19</f>
        <v>124687.5</v>
      </c>
      <c r="AF67" s="64">
        <f>'Fixed Assets'!AF19</f>
        <v>123229.16666666666</v>
      </c>
      <c r="AG67" s="64">
        <f>'Fixed Assets'!AG19</f>
        <v>121770.83333333333</v>
      </c>
      <c r="AH67" s="64">
        <f>'Fixed Assets'!AH19</f>
        <v>120312.5</v>
      </c>
      <c r="AI67" s="64">
        <f>'Fixed Assets'!AI19</f>
        <v>118854.16666666667</v>
      </c>
      <c r="AJ67" s="64">
        <f>'Fixed Assets'!AJ19</f>
        <v>117395.83333333334</v>
      </c>
      <c r="AK67" s="64">
        <f>'Fixed Assets'!AK19</f>
        <v>115937.5</v>
      </c>
      <c r="AL67" s="64">
        <f>'Fixed Assets'!AL19</f>
        <v>114479.16666666667</v>
      </c>
      <c r="AM67" s="64">
        <f>'Fixed Assets'!AM19</f>
        <v>113020.83333333334</v>
      </c>
      <c r="AN67" s="64">
        <f>'Fixed Assets'!AN19</f>
        <v>111562.5</v>
      </c>
      <c r="AO67" s="64">
        <f>'Fixed Assets'!AO19</f>
        <v>110104.16666666667</v>
      </c>
      <c r="AP67" s="64">
        <f>'Fixed Assets'!AP19</f>
        <v>108645.83333333334</v>
      </c>
      <c r="AQ67" s="64">
        <f>'Fixed Assets'!AQ19</f>
        <v>107187.5</v>
      </c>
      <c r="AR67" s="64">
        <f>'Fixed Assets'!AR19</f>
        <v>105729.16666666667</v>
      </c>
      <c r="AS67" s="64">
        <f>'Fixed Assets'!AS19</f>
        <v>104270.83333333334</v>
      </c>
      <c r="AT67" s="64">
        <f>'Fixed Assets'!AT19</f>
        <v>102812.5</v>
      </c>
      <c r="AU67" s="64">
        <f>'Fixed Assets'!AU19</f>
        <v>101354.16666666666</v>
      </c>
      <c r="AV67" s="64">
        <f>'Fixed Assets'!AV19</f>
        <v>99895.833333333328</v>
      </c>
      <c r="AW67" s="64">
        <f>'Fixed Assets'!AW19</f>
        <v>98437.5</v>
      </c>
      <c r="AX67" s="64">
        <f>'Fixed Assets'!AX19</f>
        <v>96979.166666666657</v>
      </c>
      <c r="AY67" s="64">
        <f>'Fixed Assets'!AY19</f>
        <v>95520.833333333314</v>
      </c>
      <c r="AZ67" s="64">
        <f>'Fixed Assets'!AZ19</f>
        <v>94062.499999999985</v>
      </c>
      <c r="BA67" s="64">
        <f>'Fixed Assets'!BA19</f>
        <v>92604.166666666657</v>
      </c>
      <c r="BB67" s="64">
        <f>'Fixed Assets'!BB19</f>
        <v>91145.833333333314</v>
      </c>
      <c r="BC67" s="64">
        <f>'Fixed Assets'!BC19</f>
        <v>89687.499999999971</v>
      </c>
      <c r="BD67" s="64">
        <f>'Fixed Assets'!BD19</f>
        <v>88229.166666666642</v>
      </c>
      <c r="BE67" s="64">
        <f>'Fixed Assets'!BE19</f>
        <v>86770.833333333314</v>
      </c>
      <c r="BF67" s="64">
        <f>'Fixed Assets'!BF19</f>
        <v>85312.499999999971</v>
      </c>
      <c r="BG67" s="64">
        <f>'Fixed Assets'!BG19</f>
        <v>83854.166666666628</v>
      </c>
      <c r="BH67" s="64">
        <f>'Fixed Assets'!BH19</f>
        <v>82395.833333333299</v>
      </c>
      <c r="BI67" s="64">
        <f>'Fixed Assets'!BI19</f>
        <v>80937.499999999971</v>
      </c>
      <c r="BJ67" s="64">
        <f>'Fixed Assets'!BJ19</f>
        <v>79479.166666666628</v>
      </c>
      <c r="BK67" s="64">
        <f>'Fixed Assets'!BK19</f>
        <v>78020.833333333285</v>
      </c>
      <c r="BL67" s="64">
        <f>'Fixed Assets'!BL19</f>
        <v>76562.499999999956</v>
      </c>
      <c r="BM67" s="64">
        <f>'Fixed Assets'!BM19</f>
        <v>75104.166666666628</v>
      </c>
      <c r="BN67" s="64">
        <f>'Fixed Assets'!BN19</f>
        <v>73645.833333333285</v>
      </c>
      <c r="BO67" s="64">
        <f>'Fixed Assets'!BO19</f>
        <v>72187.499999999956</v>
      </c>
      <c r="BP67" s="64">
        <f>'Fixed Assets'!BP19</f>
        <v>70729.166666666628</v>
      </c>
      <c r="BQ67" s="64">
        <f>'Fixed Assets'!BQ19</f>
        <v>69270.833333333299</v>
      </c>
    </row>
    <row r="68" spans="2:69">
      <c r="B68" s="13"/>
      <c r="C68" s="44" t="s">
        <v>65</v>
      </c>
      <c r="D68" s="9"/>
      <c r="E68" s="9"/>
      <c r="F68" s="9"/>
      <c r="G68" s="9"/>
      <c r="H68" s="9"/>
      <c r="I68" s="9"/>
      <c r="J68" s="42">
        <f>'Fixed Assets'!J77</f>
        <v>0</v>
      </c>
      <c r="K68" s="42">
        <f>'Fixed Assets'!K77</f>
        <v>0</v>
      </c>
      <c r="L68" s="42">
        <f>'Fixed Assets'!L77</f>
        <v>0</v>
      </c>
      <c r="M68" s="42">
        <f>'Fixed Assets'!M77</f>
        <v>0</v>
      </c>
      <c r="N68" s="42">
        <f>'Fixed Assets'!N77</f>
        <v>0</v>
      </c>
      <c r="O68" s="42">
        <f>'Fixed Assets'!O77</f>
        <v>0</v>
      </c>
      <c r="P68" s="42">
        <f>'Fixed Assets'!P77</f>
        <v>0</v>
      </c>
      <c r="Q68" s="42">
        <f>'Fixed Assets'!Q77</f>
        <v>0</v>
      </c>
      <c r="R68" s="42">
        <f>'Fixed Assets'!R77</f>
        <v>0</v>
      </c>
      <c r="S68" s="42">
        <f>'Fixed Assets'!S77</f>
        <v>2418.5416666666665</v>
      </c>
      <c r="T68" s="42">
        <f>'Fixed Assets'!T77</f>
        <v>17383.958333333332</v>
      </c>
      <c r="U68" s="42">
        <f>'Fixed Assets'!U77</f>
        <v>29092.083333333332</v>
      </c>
      <c r="V68" s="42">
        <f>'Fixed Assets'!V77</f>
        <v>40542.916666666664</v>
      </c>
      <c r="W68" s="42">
        <f>'Fixed Assets'!W77</f>
        <v>63829.166666666664</v>
      </c>
      <c r="X68" s="42">
        <f>'Fixed Assets'!X77</f>
        <v>89525</v>
      </c>
      <c r="Y68" s="42">
        <f>'Fixed Assets'!Y77</f>
        <v>111706.25</v>
      </c>
      <c r="Z68" s="42">
        <f>'Fixed Assets'!Z77</f>
        <v>133372.91666666666</v>
      </c>
      <c r="AA68" s="42">
        <f>'Fixed Assets'!AA77</f>
        <v>154525</v>
      </c>
      <c r="AB68" s="42">
        <f>'Fixed Assets'!AB77</f>
        <v>178086.66666666666</v>
      </c>
      <c r="AC68" s="42">
        <f>'Fixed Assets'!AC77</f>
        <v>198133.75</v>
      </c>
      <c r="AD68" s="42">
        <f>'Fixed Assets'!AD77</f>
        <v>217666.25</v>
      </c>
      <c r="AE68" s="42">
        <f>'Fixed Assets'!AE77</f>
        <v>236684.16666666666</v>
      </c>
      <c r="AF68" s="42">
        <f>'Fixed Assets'!AF77</f>
        <v>258111.66666666669</v>
      </c>
      <c r="AG68" s="42">
        <f>'Fixed Assets'!AG77</f>
        <v>276024.58333333331</v>
      </c>
      <c r="AH68" s="42">
        <f>'Fixed Assets'!AH77</f>
        <v>298260</v>
      </c>
      <c r="AI68" s="42">
        <f>'Fixed Assets'!AI77</f>
        <v>319877.91666666669</v>
      </c>
      <c r="AJ68" s="42">
        <f>'Fixed Assets'!AJ77</f>
        <v>343802.5</v>
      </c>
      <c r="AK68" s="42">
        <f>'Fixed Assets'!AK77</f>
        <v>364109.58333333331</v>
      </c>
      <c r="AL68" s="42">
        <f>'Fixed Assets'!AL77</f>
        <v>383799.16666666663</v>
      </c>
      <c r="AM68" s="42">
        <f>'Fixed Assets'!AM77</f>
        <v>402871.25</v>
      </c>
      <c r="AN68" s="42">
        <f>'Fixed Assets'!AN77</f>
        <v>424250</v>
      </c>
      <c r="AO68" s="42">
        <f>'Fixed Assets'!AO77</f>
        <v>442011.25</v>
      </c>
      <c r="AP68" s="42">
        <f>'Fixed Assets'!AP77</f>
        <v>459155</v>
      </c>
      <c r="AQ68" s="42">
        <f>'Fixed Assets'!AQ77</f>
        <v>475681.25</v>
      </c>
      <c r="AR68" s="42">
        <f>'Fixed Assets'!AR77</f>
        <v>494514.16666666663</v>
      </c>
      <c r="AS68" s="42">
        <f>'Fixed Assets'!AS77</f>
        <v>509729.58333333331</v>
      </c>
      <c r="AT68" s="42">
        <f>'Fixed Assets'!AT77</f>
        <v>529164.58333333337</v>
      </c>
      <c r="AU68" s="42">
        <f>'Fixed Assets'!AU77</f>
        <v>547879.16666666674</v>
      </c>
      <c r="AV68" s="42">
        <f>'Fixed Assets'!AV77</f>
        <v>565873.33333333326</v>
      </c>
      <c r="AW68" s="42">
        <f>'Fixed Assets'!AW77</f>
        <v>583147.08333333337</v>
      </c>
      <c r="AX68" s="42">
        <f>'Fixed Assets'!AX77</f>
        <v>599700.41666666674</v>
      </c>
      <c r="AY68" s="42">
        <f>'Fixed Assets'!AY77</f>
        <v>615533.33333333326</v>
      </c>
      <c r="AZ68" s="42">
        <f>'Fixed Assets'!AZ77</f>
        <v>630645.83333333326</v>
      </c>
      <c r="BA68" s="42">
        <f>'Fixed Assets'!BA77</f>
        <v>645037.91666666663</v>
      </c>
      <c r="BB68" s="42">
        <f>'Fixed Assets'!BB77</f>
        <v>658709.58333333337</v>
      </c>
      <c r="BC68" s="42">
        <f>'Fixed Assets'!BC77</f>
        <v>671660.83333333326</v>
      </c>
      <c r="BD68" s="42">
        <f>'Fixed Assets'!BD77</f>
        <v>683891.66666666663</v>
      </c>
      <c r="BE68" s="42">
        <f>'Fixed Assets'!BE77</f>
        <v>695402.08333333337</v>
      </c>
      <c r="BF68" s="42">
        <f>'Fixed Assets'!BF77</f>
        <v>711029.16666666663</v>
      </c>
      <c r="BG68" s="42">
        <f>'Fixed Assets'!BG77</f>
        <v>725832.91666666674</v>
      </c>
      <c r="BH68" s="42">
        <f>'Fixed Assets'!BH77</f>
        <v>739813.33333333337</v>
      </c>
      <c r="BI68" s="42">
        <f>'Fixed Assets'!BI77</f>
        <v>752970.41666666663</v>
      </c>
      <c r="BJ68" s="42">
        <f>'Fixed Assets'!BJ77</f>
        <v>765304.16666666674</v>
      </c>
      <c r="BK68" s="42">
        <f>'Fixed Assets'!BK77</f>
        <v>776814.58333333337</v>
      </c>
      <c r="BL68" s="42">
        <f>'Fixed Assets'!BL77</f>
        <v>787501.66666666674</v>
      </c>
      <c r="BM68" s="42">
        <f>'Fixed Assets'!BM77</f>
        <v>797365.41666666663</v>
      </c>
      <c r="BN68" s="42">
        <f>'Fixed Assets'!BN77</f>
        <v>806405.83333333326</v>
      </c>
      <c r="BO68" s="42">
        <f>'Fixed Assets'!BO77</f>
        <v>814622.91666666674</v>
      </c>
      <c r="BP68" s="42">
        <f>'Fixed Assets'!BP77</f>
        <v>822016.66666666663</v>
      </c>
      <c r="BQ68" s="42">
        <f>'Fixed Assets'!BQ77</f>
        <v>828587.08333333326</v>
      </c>
    </row>
    <row r="69" spans="2:69">
      <c r="B69" s="14"/>
      <c r="C69" s="3" t="s">
        <v>26</v>
      </c>
      <c r="J69" s="39">
        <f>SUM(J67:J68)</f>
        <v>0</v>
      </c>
      <c r="K69" s="39">
        <f t="shared" ref="K69:BE69" si="43">SUM(K67:K68)</f>
        <v>0</v>
      </c>
      <c r="L69" s="39">
        <f t="shared" si="43"/>
        <v>0</v>
      </c>
      <c r="M69" s="39">
        <f t="shared" si="43"/>
        <v>0</v>
      </c>
      <c r="N69" s="39">
        <f t="shared" si="43"/>
        <v>0</v>
      </c>
      <c r="O69" s="39">
        <f t="shared" si="43"/>
        <v>0</v>
      </c>
      <c r="P69" s="39">
        <f t="shared" si="43"/>
        <v>0</v>
      </c>
      <c r="Q69" s="39">
        <f t="shared" si="43"/>
        <v>0</v>
      </c>
      <c r="R69" s="39">
        <f t="shared" si="43"/>
        <v>0</v>
      </c>
      <c r="S69" s="39">
        <f t="shared" si="43"/>
        <v>2418.5416666666665</v>
      </c>
      <c r="T69" s="39">
        <f>SUM(T67:T68)</f>
        <v>52019.375</v>
      </c>
      <c r="U69" s="39">
        <f t="shared" si="43"/>
        <v>97998.333333333328</v>
      </c>
      <c r="V69" s="39">
        <f t="shared" si="43"/>
        <v>143355.41666666666</v>
      </c>
      <c r="W69" s="39">
        <f t="shared" si="43"/>
        <v>200183.33333333331</v>
      </c>
      <c r="X69" s="39">
        <f t="shared" si="43"/>
        <v>224420.83333333334</v>
      </c>
      <c r="Y69" s="39">
        <f t="shared" si="43"/>
        <v>245143.75</v>
      </c>
      <c r="Z69" s="39">
        <f t="shared" si="43"/>
        <v>265352.08333333331</v>
      </c>
      <c r="AA69" s="39">
        <f t="shared" si="43"/>
        <v>285045.83333333331</v>
      </c>
      <c r="AB69" s="39">
        <f t="shared" si="43"/>
        <v>307149.16666666663</v>
      </c>
      <c r="AC69" s="39">
        <f t="shared" si="43"/>
        <v>325737.91666666669</v>
      </c>
      <c r="AD69" s="39">
        <f t="shared" si="43"/>
        <v>343812.08333333331</v>
      </c>
      <c r="AE69" s="39">
        <f t="shared" si="43"/>
        <v>361371.66666666663</v>
      </c>
      <c r="AF69" s="39">
        <f t="shared" si="43"/>
        <v>381340.83333333337</v>
      </c>
      <c r="AG69" s="39">
        <f t="shared" si="43"/>
        <v>397795.41666666663</v>
      </c>
      <c r="AH69" s="39">
        <f t="shared" si="43"/>
        <v>418572.5</v>
      </c>
      <c r="AI69" s="39">
        <f t="shared" si="43"/>
        <v>438732.08333333337</v>
      </c>
      <c r="AJ69" s="39">
        <f t="shared" si="43"/>
        <v>461198.33333333337</v>
      </c>
      <c r="AK69" s="39">
        <f t="shared" si="43"/>
        <v>480047.08333333331</v>
      </c>
      <c r="AL69" s="39">
        <f t="shared" si="43"/>
        <v>498278.33333333331</v>
      </c>
      <c r="AM69" s="39">
        <f t="shared" si="43"/>
        <v>515892.08333333337</v>
      </c>
      <c r="AN69" s="39">
        <f t="shared" si="43"/>
        <v>535812.5</v>
      </c>
      <c r="AO69" s="39">
        <f t="shared" si="43"/>
        <v>552115.41666666663</v>
      </c>
      <c r="AP69" s="39">
        <f t="shared" si="43"/>
        <v>567800.83333333337</v>
      </c>
      <c r="AQ69" s="39">
        <f t="shared" si="43"/>
        <v>582868.75</v>
      </c>
      <c r="AR69" s="39">
        <f t="shared" si="43"/>
        <v>600243.33333333326</v>
      </c>
      <c r="AS69" s="39">
        <f t="shared" si="43"/>
        <v>614000.41666666663</v>
      </c>
      <c r="AT69" s="39">
        <f t="shared" si="43"/>
        <v>631977.08333333337</v>
      </c>
      <c r="AU69" s="39">
        <f t="shared" si="43"/>
        <v>649233.33333333337</v>
      </c>
      <c r="AV69" s="39">
        <f t="shared" si="43"/>
        <v>665769.16666666663</v>
      </c>
      <c r="AW69" s="39">
        <f t="shared" si="43"/>
        <v>681584.58333333337</v>
      </c>
      <c r="AX69" s="39">
        <f t="shared" si="43"/>
        <v>696679.58333333337</v>
      </c>
      <c r="AY69" s="39">
        <f t="shared" si="43"/>
        <v>711054.16666666651</v>
      </c>
      <c r="AZ69" s="39">
        <f t="shared" si="43"/>
        <v>724708.33333333326</v>
      </c>
      <c r="BA69" s="39">
        <f t="shared" si="43"/>
        <v>737642.08333333326</v>
      </c>
      <c r="BB69" s="39">
        <f t="shared" si="43"/>
        <v>749855.41666666674</v>
      </c>
      <c r="BC69" s="39">
        <f t="shared" si="43"/>
        <v>761348.33333333326</v>
      </c>
      <c r="BD69" s="39">
        <f t="shared" si="43"/>
        <v>772120.83333333326</v>
      </c>
      <c r="BE69" s="39">
        <f t="shared" si="43"/>
        <v>782172.91666666674</v>
      </c>
      <c r="BF69" s="39">
        <f t="shared" ref="BF69:BQ69" si="44">SUM(BF67:BF68)</f>
        <v>796341.66666666663</v>
      </c>
      <c r="BG69" s="39">
        <f t="shared" si="44"/>
        <v>809687.08333333337</v>
      </c>
      <c r="BH69" s="39">
        <f t="shared" si="44"/>
        <v>822209.16666666663</v>
      </c>
      <c r="BI69" s="39">
        <f t="shared" si="44"/>
        <v>833907.91666666663</v>
      </c>
      <c r="BJ69" s="39">
        <f t="shared" si="44"/>
        <v>844783.33333333337</v>
      </c>
      <c r="BK69" s="39">
        <f t="shared" si="44"/>
        <v>854835.41666666663</v>
      </c>
      <c r="BL69" s="39">
        <f t="shared" si="44"/>
        <v>864064.16666666674</v>
      </c>
      <c r="BM69" s="39">
        <f t="shared" si="44"/>
        <v>872469.58333333326</v>
      </c>
      <c r="BN69" s="39">
        <f t="shared" si="44"/>
        <v>880051.66666666651</v>
      </c>
      <c r="BO69" s="39">
        <f t="shared" si="44"/>
        <v>886810.41666666674</v>
      </c>
      <c r="BP69" s="39">
        <f t="shared" si="44"/>
        <v>892745.83333333326</v>
      </c>
      <c r="BQ69" s="39">
        <f t="shared" si="44"/>
        <v>897857.91666666651</v>
      </c>
    </row>
    <row r="70" spans="2:69">
      <c r="B70" s="13"/>
      <c r="C70" s="22"/>
    </row>
    <row r="71" spans="2:69">
      <c r="B71" s="3" t="s">
        <v>27</v>
      </c>
      <c r="C71" s="13"/>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row>
    <row r="72" spans="2:69">
      <c r="B72" s="13"/>
      <c r="C72" s="23" t="s">
        <v>66</v>
      </c>
      <c r="J72" s="39">
        <f>'Working Capital'!J12</f>
        <v>0</v>
      </c>
      <c r="K72" s="39">
        <f>'Working Capital'!K12</f>
        <v>40500</v>
      </c>
      <c r="L72" s="39">
        <f>'Working Capital'!L12</f>
        <v>17545</v>
      </c>
      <c r="M72" s="39">
        <f>'Working Capital'!M12</f>
        <v>92453</v>
      </c>
      <c r="N72" s="39">
        <f>'Working Capital'!N12</f>
        <v>93407</v>
      </c>
      <c r="O72" s="39">
        <f>'Working Capital'!O12</f>
        <v>220509</v>
      </c>
      <c r="P72" s="39">
        <f>'Working Capital'!P12</f>
        <v>297259.59999999998</v>
      </c>
      <c r="Q72" s="39">
        <f>'Working Capital'!Q12</f>
        <v>76688.800000000003</v>
      </c>
      <c r="R72" s="39">
        <f>'Working Capital'!R12</f>
        <v>70752.851851851854</v>
      </c>
      <c r="S72" s="39">
        <f>'Working Capital'!S12</f>
        <v>50949.164951989027</v>
      </c>
      <c r="T72" s="39">
        <f>'Working Capital'!T12</f>
        <v>66731.303456663096</v>
      </c>
      <c r="U72" s="39">
        <f>'Working Capital'!U12</f>
        <v>95545.885379474144</v>
      </c>
      <c r="V72" s="39">
        <f>'Working Capital'!V12</f>
        <v>110583.9443359407</v>
      </c>
      <c r="W72" s="39">
        <f>'Working Capital'!W12</f>
        <v>202757.38936812893</v>
      </c>
      <c r="X72" s="39">
        <f>'Working Capital'!X12</f>
        <v>257558.41322115291</v>
      </c>
      <c r="Y72" s="39">
        <f>'Working Capital'!Y12</f>
        <v>326528.00428463286</v>
      </c>
      <c r="Z72" s="39">
        <f>'Working Capital'!Z12</f>
        <v>365049.26064779767</v>
      </c>
      <c r="AA72" s="39">
        <f>'Working Capital'!AA12</f>
        <v>393703.0011358604</v>
      </c>
      <c r="AB72" s="39">
        <f>'Working Capital'!AB12</f>
        <v>419158.93555328803</v>
      </c>
      <c r="AC72" s="39">
        <f>'Working Capital'!AC12</f>
        <v>448378.54392930632</v>
      </c>
      <c r="AD72" s="39">
        <f>'Working Capital'!AD12</f>
        <v>478817.86145857145</v>
      </c>
      <c r="AE72" s="39">
        <f>'Working Capital'!AE12</f>
        <v>509652.45510231477</v>
      </c>
      <c r="AF72" s="39">
        <f>'Working Capital'!AF12</f>
        <v>540615.14748686121</v>
      </c>
      <c r="AG72" s="39">
        <f>'Working Capital'!AG12</f>
        <v>571619.35335222352</v>
      </c>
      <c r="AH72" s="39">
        <f>'Working Capital'!AH12</f>
        <v>664770.01266044285</v>
      </c>
      <c r="AI72" s="39">
        <f>'Working Capital'!AI12</f>
        <v>721318.12632514338</v>
      </c>
      <c r="AJ72" s="39">
        <f>'Working Capital'!AJ12</f>
        <v>766004.30390166678</v>
      </c>
      <c r="AK72" s="39">
        <f>'Working Capital'!AK12</f>
        <v>806846.33552368823</v>
      </c>
      <c r="AL72" s="39">
        <f>'Working Capital'!AL12</f>
        <v>846442.57910489908</v>
      </c>
      <c r="AM72" s="39">
        <f>'Working Capital'!AM12</f>
        <v>885635.09508029127</v>
      </c>
      <c r="AN72" s="39">
        <f>'Working Capital'!AN12</f>
        <v>926016.77340564993</v>
      </c>
      <c r="AO72" s="39">
        <f>'Working Capital'!AO12</f>
        <v>966783.82841849769</v>
      </c>
      <c r="AP72" s="39">
        <f>'Working Capital'!AP12</f>
        <v>1007675.7740245131</v>
      </c>
      <c r="AQ72" s="39">
        <f>'Working Capital'!AQ12</f>
        <v>1048608.1934338701</v>
      </c>
      <c r="AR72" s="39">
        <f>'Working Capital'!AR12</f>
        <v>1089553.729353569</v>
      </c>
      <c r="AS72" s="39">
        <f>'Working Capital'!AS12</f>
        <v>1130503.5159942121</v>
      </c>
      <c r="AT72" s="39">
        <f>'Working Capital'!AT12</f>
        <v>1277482.3601833093</v>
      </c>
      <c r="AU72" s="39">
        <f>'Working Capital'!AU12</f>
        <v>1359450.5630223686</v>
      </c>
      <c r="AV72" s="39">
        <f>'Working Capital'!AV12</f>
        <v>1420350.5024609526</v>
      </c>
      <c r="AW72" s="39">
        <f>'Working Capital'!AW12</f>
        <v>1474422.7639456792</v>
      </c>
      <c r="AX72" s="39">
        <f>'Working Capital'!AX12</f>
        <v>1526282.3520194332</v>
      </c>
      <c r="AY72" s="39">
        <f>'Working Capital'!AY12</f>
        <v>1577424.8700062977</v>
      </c>
      <c r="AZ72" s="39">
        <f>'Working Capital'!AZ12</f>
        <v>1629932.2041687078</v>
      </c>
      <c r="BA72" s="39">
        <f>'Working Capital'!BA12</f>
        <v>1682881.8398694887</v>
      </c>
      <c r="BB72" s="39">
        <f>'Working Capital'!BB12</f>
        <v>1735974.8140317784</v>
      </c>
      <c r="BC72" s="39">
        <f>'Working Capital'!BC12</f>
        <v>1789114.2404732616</v>
      </c>
      <c r="BD72" s="39">
        <f>'Working Capital'!BD12</f>
        <v>1842268.7208941127</v>
      </c>
      <c r="BE72" s="39">
        <f>'Working Capital'!BE12</f>
        <v>1895428.0799193885</v>
      </c>
      <c r="BF72" s="39">
        <f>'Working Capital'!BF12</f>
        <v>1980278.9199738761</v>
      </c>
      <c r="BG72" s="39">
        <f>'Working Capital'!BG12</f>
        <v>2048127.957398941</v>
      </c>
      <c r="BH72" s="39">
        <f>'Working Capital'!BH12</f>
        <v>2110467.1513792863</v>
      </c>
      <c r="BI72" s="39">
        <f>'Working Capital'!BI12</f>
        <v>2171020.7479469907</v>
      </c>
      <c r="BJ72" s="39">
        <f>'Working Capital'!BJ12</f>
        <v>2230995.6786865243</v>
      </c>
      <c r="BK72" s="39">
        <f>'Working Capital'!BK12</f>
        <v>2290783.0788335958</v>
      </c>
      <c r="BL72" s="39">
        <f>'Working Capital'!BL12</f>
        <v>2352397.305177554</v>
      </c>
      <c r="BM72" s="39">
        <f>'Working Capital'!BM12</f>
        <v>2414603.5585297626</v>
      </c>
      <c r="BN72" s="39">
        <f>'Working Capital'!BN12</f>
        <v>2477001.6724864971</v>
      </c>
      <c r="BO72" s="39">
        <f>'Working Capital'!BO12</f>
        <v>2539461.9634909937</v>
      </c>
      <c r="BP72" s="39">
        <f>'Working Capital'!BP12</f>
        <v>2601942.4044646742</v>
      </c>
      <c r="BQ72" s="39">
        <f>'Working Capital'!BQ12</f>
        <v>2664429.375520959</v>
      </c>
    </row>
    <row r="73" spans="2:69">
      <c r="B73" s="13"/>
      <c r="C73" s="24" t="s">
        <v>67</v>
      </c>
      <c r="J73" s="39">
        <f>'Working Capital'!J25</f>
        <v>0</v>
      </c>
      <c r="K73" s="39">
        <f>'Working Capital'!K25</f>
        <v>0</v>
      </c>
      <c r="L73" s="39">
        <f>'Working Capital'!L25</f>
        <v>0</v>
      </c>
      <c r="M73" s="39">
        <f>'Working Capital'!M25</f>
        <v>0</v>
      </c>
      <c r="N73" s="39">
        <f>'Working Capital'!N25</f>
        <v>0</v>
      </c>
      <c r="O73" s="39">
        <f>'Working Capital'!O25</f>
        <v>0</v>
      </c>
      <c r="P73" s="39">
        <f>'Working Capital'!P25</f>
        <v>0</v>
      </c>
      <c r="Q73" s="39">
        <f>'Working Capital'!Q25</f>
        <v>0</v>
      </c>
      <c r="R73" s="39">
        <f>'Working Capital'!R25</f>
        <v>0</v>
      </c>
      <c r="S73" s="39">
        <f>'Working Capital'!S25</f>
        <v>0</v>
      </c>
      <c r="T73" s="39">
        <f>'Working Capital'!T25</f>
        <v>0</v>
      </c>
      <c r="U73" s="39">
        <f>'Working Capital'!U25</f>
        <v>0</v>
      </c>
      <c r="V73" s="39">
        <f>'Working Capital'!V25</f>
        <v>0</v>
      </c>
      <c r="W73" s="39">
        <f>'Working Capital'!W25</f>
        <v>0</v>
      </c>
      <c r="X73" s="39">
        <f>'Working Capital'!X25</f>
        <v>0</v>
      </c>
      <c r="Y73" s="39">
        <f>'Working Capital'!Y25</f>
        <v>0</v>
      </c>
      <c r="Z73" s="39">
        <f>'Working Capital'!Z25</f>
        <v>0</v>
      </c>
      <c r="AA73" s="39">
        <f>'Working Capital'!AA25</f>
        <v>0</v>
      </c>
      <c r="AB73" s="39">
        <f>'Working Capital'!AB25</f>
        <v>0</v>
      </c>
      <c r="AC73" s="39">
        <f>'Working Capital'!AC25</f>
        <v>0</v>
      </c>
      <c r="AD73" s="39">
        <f>'Working Capital'!AD25</f>
        <v>0</v>
      </c>
      <c r="AE73" s="39">
        <f>'Working Capital'!AE25</f>
        <v>0</v>
      </c>
      <c r="AF73" s="39">
        <f>'Working Capital'!AF25</f>
        <v>0</v>
      </c>
      <c r="AG73" s="39">
        <f>'Working Capital'!AG25</f>
        <v>0</v>
      </c>
      <c r="AH73" s="39">
        <f>'Working Capital'!AH25</f>
        <v>0</v>
      </c>
      <c r="AI73" s="39">
        <f>'Working Capital'!AI25</f>
        <v>0</v>
      </c>
      <c r="AJ73" s="39">
        <f>'Working Capital'!AJ25</f>
        <v>0</v>
      </c>
      <c r="AK73" s="39">
        <f>'Working Capital'!AK25</f>
        <v>0</v>
      </c>
      <c r="AL73" s="39">
        <f>'Working Capital'!AL25</f>
        <v>0</v>
      </c>
      <c r="AM73" s="39">
        <f>'Working Capital'!AM25</f>
        <v>0</v>
      </c>
      <c r="AN73" s="39">
        <f>'Working Capital'!AN25</f>
        <v>0</v>
      </c>
      <c r="AO73" s="39">
        <f>'Working Capital'!AO25</f>
        <v>0</v>
      </c>
      <c r="AP73" s="39">
        <f>'Working Capital'!AP25</f>
        <v>0</v>
      </c>
      <c r="AQ73" s="39">
        <f>'Working Capital'!AQ25</f>
        <v>0</v>
      </c>
      <c r="AR73" s="39">
        <f>'Working Capital'!AR25</f>
        <v>0</v>
      </c>
      <c r="AS73" s="39">
        <f>'Working Capital'!AS25</f>
        <v>0</v>
      </c>
      <c r="AT73" s="39">
        <f>'Working Capital'!AT25</f>
        <v>0</v>
      </c>
      <c r="AU73" s="39">
        <f>'Working Capital'!AU25</f>
        <v>0</v>
      </c>
      <c r="AV73" s="39">
        <f>'Working Capital'!AV25</f>
        <v>0</v>
      </c>
      <c r="AW73" s="39">
        <f>'Working Capital'!AW25</f>
        <v>0</v>
      </c>
      <c r="AX73" s="39">
        <f>'Working Capital'!AX25</f>
        <v>0</v>
      </c>
      <c r="AY73" s="39">
        <f>'Working Capital'!AY25</f>
        <v>0</v>
      </c>
      <c r="AZ73" s="39">
        <f>'Working Capital'!AZ25</f>
        <v>0</v>
      </c>
      <c r="BA73" s="39">
        <f>'Working Capital'!BA25</f>
        <v>0</v>
      </c>
      <c r="BB73" s="39">
        <f>'Working Capital'!BB25</f>
        <v>0</v>
      </c>
      <c r="BC73" s="39">
        <f>'Working Capital'!BC25</f>
        <v>0</v>
      </c>
      <c r="BD73" s="39">
        <f>'Working Capital'!BD25</f>
        <v>0</v>
      </c>
      <c r="BE73" s="39">
        <f>'Working Capital'!BE25</f>
        <v>0</v>
      </c>
      <c r="BF73" s="39">
        <f>'Working Capital'!BF25</f>
        <v>0</v>
      </c>
      <c r="BG73" s="39">
        <f>'Working Capital'!BG25</f>
        <v>0</v>
      </c>
      <c r="BH73" s="39">
        <f>'Working Capital'!BH25</f>
        <v>0</v>
      </c>
      <c r="BI73" s="39">
        <f>'Working Capital'!BI25</f>
        <v>0</v>
      </c>
      <c r="BJ73" s="39">
        <f>'Working Capital'!BJ25</f>
        <v>0</v>
      </c>
      <c r="BK73" s="39">
        <f>'Working Capital'!BK25</f>
        <v>0</v>
      </c>
      <c r="BL73" s="39">
        <f>'Working Capital'!BL25</f>
        <v>0</v>
      </c>
      <c r="BM73" s="39">
        <f>'Working Capital'!BM25</f>
        <v>0</v>
      </c>
      <c r="BN73" s="39">
        <f>'Working Capital'!BN25</f>
        <v>0</v>
      </c>
      <c r="BO73" s="39">
        <f>'Working Capital'!BO25</f>
        <v>0</v>
      </c>
      <c r="BP73" s="39">
        <f>'Working Capital'!BP25</f>
        <v>0</v>
      </c>
      <c r="BQ73" s="39">
        <f>'Working Capital'!BQ25</f>
        <v>0</v>
      </c>
    </row>
    <row r="74" spans="2:69">
      <c r="B74" s="13"/>
      <c r="C74" s="43" t="s">
        <v>68</v>
      </c>
      <c r="D74" s="9"/>
      <c r="E74" s="9"/>
      <c r="F74" s="9"/>
      <c r="G74" s="9"/>
      <c r="H74" s="9"/>
      <c r="I74" s="9"/>
      <c r="J74" s="41">
        <f>J150</f>
        <v>15755</v>
      </c>
      <c r="K74" s="41">
        <f t="shared" ref="K74:BE74" si="45">K150</f>
        <v>25215</v>
      </c>
      <c r="L74" s="41">
        <f t="shared" si="45"/>
        <v>14112.000000000002</v>
      </c>
      <c r="M74" s="41">
        <f t="shared" si="45"/>
        <v>9474.0000000000018</v>
      </c>
      <c r="N74" s="41">
        <f t="shared" si="45"/>
        <v>3542.4799999999977</v>
      </c>
      <c r="O74" s="41">
        <f t="shared" si="45"/>
        <v>8489.7799999999861</v>
      </c>
      <c r="P74" s="41">
        <f>P150</f>
        <v>-53.189999999993233</v>
      </c>
      <c r="Q74" s="41">
        <f t="shared" si="45"/>
        <v>78547.250000000015</v>
      </c>
      <c r="R74" s="41">
        <f t="shared" si="45"/>
        <v>-8190.1010185184859</v>
      </c>
      <c r="S74" s="41">
        <f t="shared" si="45"/>
        <v>-53513.559269118639</v>
      </c>
      <c r="T74" s="41">
        <f t="shared" si="45"/>
        <v>-162541.40038744369</v>
      </c>
      <c r="U74" s="41">
        <f t="shared" si="45"/>
        <v>-250520.79741284292</v>
      </c>
      <c r="V74" s="41">
        <f t="shared" si="45"/>
        <v>-348741.25319658837</v>
      </c>
      <c r="W74" s="41">
        <f t="shared" si="45"/>
        <v>-466001.44665247179</v>
      </c>
      <c r="X74" s="41">
        <f t="shared" si="45"/>
        <v>-572938.7003885</v>
      </c>
      <c r="Y74" s="41">
        <f t="shared" si="45"/>
        <v>-648088.64242582722</v>
      </c>
      <c r="Z74" s="41">
        <f t="shared" si="45"/>
        <v>-681099.66058102192</v>
      </c>
      <c r="AA74" s="41">
        <f t="shared" si="45"/>
        <v>-703117.35298863973</v>
      </c>
      <c r="AB74" s="41">
        <f t="shared" si="45"/>
        <v>-704891.77765718475</v>
      </c>
      <c r="AC74" s="41">
        <f t="shared" si="45"/>
        <v>-700668.83339082636</v>
      </c>
      <c r="AD74" s="41">
        <f t="shared" si="45"/>
        <v>-722826.32248456893</v>
      </c>
      <c r="AE74" s="41">
        <f t="shared" si="45"/>
        <v>-689835.41027325008</v>
      </c>
      <c r="AF74" s="41">
        <f t="shared" si="45"/>
        <v>-644274.31385022798</v>
      </c>
      <c r="AG74" s="41">
        <f t="shared" si="45"/>
        <v>-650644.64594902878</v>
      </c>
      <c r="AH74" s="41">
        <f t="shared" si="45"/>
        <v>-583294.00142067252</v>
      </c>
      <c r="AI74" s="41">
        <f t="shared" si="45"/>
        <v>-482163.0600460663</v>
      </c>
      <c r="AJ74" s="41">
        <f t="shared" si="45"/>
        <v>-436511.88468332082</v>
      </c>
      <c r="AK74" s="41">
        <f t="shared" si="45"/>
        <v>-287136.40639246174</v>
      </c>
      <c r="AL74" s="41">
        <f t="shared" si="45"/>
        <v>-118735.22418542556</v>
      </c>
      <c r="AM74" s="41">
        <f t="shared" si="45"/>
        <v>-56434.945148617437</v>
      </c>
      <c r="AN74" s="41">
        <f t="shared" si="45"/>
        <v>148451.69002122476</v>
      </c>
      <c r="AO74" s="41">
        <f t="shared" si="45"/>
        <v>367637.37463575846</v>
      </c>
      <c r="AP74" s="41">
        <f t="shared" si="45"/>
        <v>459604.6516275109</v>
      </c>
      <c r="AQ74" s="41">
        <f t="shared" si="45"/>
        <v>720874.18213577755</v>
      </c>
      <c r="AR74" s="41">
        <f t="shared" si="45"/>
        <v>1000572.1533931487</v>
      </c>
      <c r="AS74" s="41">
        <f t="shared" si="45"/>
        <v>1114699.5036898609</v>
      </c>
      <c r="AT74" s="41">
        <f t="shared" si="45"/>
        <v>1424842.4457007078</v>
      </c>
      <c r="AU74" s="41">
        <f t="shared" si="45"/>
        <v>1797672.4867570198</v>
      </c>
      <c r="AV74" s="41">
        <f t="shared" si="45"/>
        <v>1995592.5855513704</v>
      </c>
      <c r="AW74" s="41">
        <f t="shared" si="45"/>
        <v>2445337.3219615566</v>
      </c>
      <c r="AX74" s="41">
        <f t="shared" si="45"/>
        <v>2918329.8544262992</v>
      </c>
      <c r="AY74" s="41">
        <f t="shared" si="45"/>
        <v>3134363.3579134368</v>
      </c>
      <c r="AZ74" s="41">
        <f t="shared" si="45"/>
        <v>3657054.9413231472</v>
      </c>
      <c r="BA74" s="41">
        <f t="shared" si="45"/>
        <v>4204293.8276931234</v>
      </c>
      <c r="BB74" s="41">
        <f t="shared" si="45"/>
        <v>3877589.8898446658</v>
      </c>
      <c r="BC74" s="41">
        <f t="shared" si="45"/>
        <v>4476550.6972043794</v>
      </c>
      <c r="BD74" s="41">
        <f t="shared" si="45"/>
        <v>5100486.0487677706</v>
      </c>
      <c r="BE74" s="41">
        <f t="shared" si="45"/>
        <v>5394697.060224195</v>
      </c>
      <c r="BF74" s="41">
        <f t="shared" ref="BF74:BQ74" si="46">BF150</f>
        <v>6066269.5398389436</v>
      </c>
      <c r="BG74" s="41">
        <f t="shared" si="46"/>
        <v>6749547.0038073622</v>
      </c>
      <c r="BH74" s="41">
        <f t="shared" si="46"/>
        <v>7072172.5773076629</v>
      </c>
      <c r="BI74" s="41">
        <f t="shared" si="46"/>
        <v>7819355.9551499505</v>
      </c>
      <c r="BJ74" s="41">
        <f t="shared" si="46"/>
        <v>8595324.1961547229</v>
      </c>
      <c r="BK74" s="41">
        <f t="shared" si="46"/>
        <v>8963848.0491778702</v>
      </c>
      <c r="BL74" s="41">
        <f t="shared" si="46"/>
        <v>9796265.5162621029</v>
      </c>
      <c r="BM74" s="41">
        <f t="shared" si="46"/>
        <v>10658184.673556725</v>
      </c>
      <c r="BN74" s="41">
        <f t="shared" si="46"/>
        <v>9691151.6827854514</v>
      </c>
      <c r="BO74" s="41">
        <f t="shared" si="46"/>
        <v>10612792.925208934</v>
      </c>
      <c r="BP74" s="41">
        <f t="shared" si="46"/>
        <v>11564507.734882087</v>
      </c>
      <c r="BQ74" s="41">
        <f t="shared" si="46"/>
        <v>12023233.257011263</v>
      </c>
    </row>
    <row r="75" spans="2:69">
      <c r="B75" s="13"/>
      <c r="C75" s="3" t="s">
        <v>28</v>
      </c>
      <c r="J75" s="39">
        <f>SUM(J72:J74)</f>
        <v>15755</v>
      </c>
      <c r="K75" s="39">
        <f t="shared" ref="K75:BE75" si="47">SUM(K72:K74)</f>
        <v>65715</v>
      </c>
      <c r="L75" s="39">
        <f t="shared" si="47"/>
        <v>31657</v>
      </c>
      <c r="M75" s="39">
        <f t="shared" si="47"/>
        <v>101927</v>
      </c>
      <c r="N75" s="39">
        <f t="shared" si="47"/>
        <v>96949.48</v>
      </c>
      <c r="O75" s="39">
        <f t="shared" si="47"/>
        <v>228998.78</v>
      </c>
      <c r="P75" s="39">
        <f t="shared" si="47"/>
        <v>297206.40999999997</v>
      </c>
      <c r="Q75" s="39">
        <f t="shared" si="47"/>
        <v>155236.05000000002</v>
      </c>
      <c r="R75" s="39">
        <f t="shared" si="47"/>
        <v>62562.750833333368</v>
      </c>
      <c r="S75" s="39">
        <f t="shared" si="47"/>
        <v>-2564.3943171296123</v>
      </c>
      <c r="T75" s="39">
        <f t="shared" si="47"/>
        <v>-95810.096930780594</v>
      </c>
      <c r="U75" s="39">
        <f t="shared" si="47"/>
        <v>-154974.91203336878</v>
      </c>
      <c r="V75" s="39">
        <f t="shared" si="47"/>
        <v>-238157.30886064767</v>
      </c>
      <c r="W75" s="39">
        <f t="shared" si="47"/>
        <v>-263244.05728434282</v>
      </c>
      <c r="X75" s="39">
        <f t="shared" si="47"/>
        <v>-315380.28716734709</v>
      </c>
      <c r="Y75" s="39">
        <f t="shared" si="47"/>
        <v>-321560.63814119436</v>
      </c>
      <c r="Z75" s="39">
        <f t="shared" si="47"/>
        <v>-316050.39993322425</v>
      </c>
      <c r="AA75" s="39">
        <f t="shared" si="47"/>
        <v>-309414.35185277933</v>
      </c>
      <c r="AB75" s="39">
        <f t="shared" si="47"/>
        <v>-285732.84210389672</v>
      </c>
      <c r="AC75" s="39">
        <f t="shared" si="47"/>
        <v>-252290.28946152003</v>
      </c>
      <c r="AD75" s="39">
        <f t="shared" si="47"/>
        <v>-244008.46102599747</v>
      </c>
      <c r="AE75" s="39">
        <f t="shared" si="47"/>
        <v>-180182.95517093531</v>
      </c>
      <c r="AF75" s="39">
        <f t="shared" si="47"/>
        <v>-103659.16636336676</v>
      </c>
      <c r="AG75" s="39">
        <f t="shared" si="47"/>
        <v>-79025.292596805259</v>
      </c>
      <c r="AH75" s="39">
        <f t="shared" si="47"/>
        <v>81476.011239770334</v>
      </c>
      <c r="AI75" s="39">
        <f t="shared" si="47"/>
        <v>239155.06627907709</v>
      </c>
      <c r="AJ75" s="39">
        <f t="shared" si="47"/>
        <v>329492.41921834595</v>
      </c>
      <c r="AK75" s="39">
        <f t="shared" si="47"/>
        <v>519709.9291312265</v>
      </c>
      <c r="AL75" s="39">
        <f t="shared" si="47"/>
        <v>727707.35491947352</v>
      </c>
      <c r="AM75" s="39">
        <f t="shared" si="47"/>
        <v>829200.14993167389</v>
      </c>
      <c r="AN75" s="39">
        <f t="shared" si="47"/>
        <v>1074468.4634268747</v>
      </c>
      <c r="AO75" s="39">
        <f t="shared" si="47"/>
        <v>1334421.2030542563</v>
      </c>
      <c r="AP75" s="39">
        <f t="shared" si="47"/>
        <v>1467280.4256520239</v>
      </c>
      <c r="AQ75" s="39">
        <f t="shared" si="47"/>
        <v>1769482.3755696476</v>
      </c>
      <c r="AR75" s="39">
        <f t="shared" si="47"/>
        <v>2090125.8827467177</v>
      </c>
      <c r="AS75" s="39">
        <f t="shared" si="47"/>
        <v>2245203.019684073</v>
      </c>
      <c r="AT75" s="39">
        <f t="shared" si="47"/>
        <v>2702324.8058840171</v>
      </c>
      <c r="AU75" s="39">
        <f t="shared" si="47"/>
        <v>3157123.0497793881</v>
      </c>
      <c r="AV75" s="39">
        <f t="shared" si="47"/>
        <v>3415943.0880123228</v>
      </c>
      <c r="AW75" s="39">
        <f t="shared" si="47"/>
        <v>3919760.0859072357</v>
      </c>
      <c r="AX75" s="39">
        <f t="shared" si="47"/>
        <v>4444612.2064457322</v>
      </c>
      <c r="AY75" s="39">
        <f t="shared" si="47"/>
        <v>4711788.227919735</v>
      </c>
      <c r="AZ75" s="39">
        <f t="shared" si="47"/>
        <v>5286987.1454918552</v>
      </c>
      <c r="BA75" s="39">
        <f t="shared" si="47"/>
        <v>5887175.6675626123</v>
      </c>
      <c r="BB75" s="39">
        <f t="shared" si="47"/>
        <v>5613564.7038764441</v>
      </c>
      <c r="BC75" s="39">
        <f t="shared" si="47"/>
        <v>6265664.9376776405</v>
      </c>
      <c r="BD75" s="39">
        <f t="shared" si="47"/>
        <v>6942754.7696618829</v>
      </c>
      <c r="BE75" s="39">
        <f t="shared" si="47"/>
        <v>7290125.1401435835</v>
      </c>
      <c r="BF75" s="39">
        <f t="shared" ref="BF75:BQ75" si="48">SUM(BF72:BF74)</f>
        <v>8046548.45981282</v>
      </c>
      <c r="BG75" s="39">
        <f t="shared" si="48"/>
        <v>8797674.9612063039</v>
      </c>
      <c r="BH75" s="39">
        <f t="shared" si="48"/>
        <v>9182639.7286869492</v>
      </c>
      <c r="BI75" s="39">
        <f t="shared" si="48"/>
        <v>9990376.7030969411</v>
      </c>
      <c r="BJ75" s="39">
        <f t="shared" si="48"/>
        <v>10826319.874841247</v>
      </c>
      <c r="BK75" s="39">
        <f t="shared" si="48"/>
        <v>11254631.128011465</v>
      </c>
      <c r="BL75" s="39">
        <f t="shared" si="48"/>
        <v>12148662.821439657</v>
      </c>
      <c r="BM75" s="39">
        <f t="shared" si="48"/>
        <v>13072788.232086487</v>
      </c>
      <c r="BN75" s="39">
        <f t="shared" si="48"/>
        <v>12168153.355271949</v>
      </c>
      <c r="BO75" s="39">
        <f t="shared" si="48"/>
        <v>13152254.888699926</v>
      </c>
      <c r="BP75" s="39">
        <f t="shared" si="48"/>
        <v>14166450.13934676</v>
      </c>
      <c r="BQ75" s="39">
        <f t="shared" si="48"/>
        <v>14687662.632532222</v>
      </c>
    </row>
    <row r="76" spans="2:69">
      <c r="B76" s="13"/>
      <c r="C76" s="22"/>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101"/>
      <c r="AL76" s="101"/>
      <c r="AM76" s="101"/>
      <c r="AN76" s="101"/>
      <c r="AO76" s="101"/>
      <c r="AP76" s="101"/>
      <c r="AQ76" s="101"/>
      <c r="AR76" s="101"/>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1"/>
      <c r="BO76" s="101"/>
      <c r="BP76" s="101"/>
      <c r="BQ76" s="101"/>
    </row>
    <row r="77" spans="2:69" s="90" customFormat="1">
      <c r="B77" s="92"/>
      <c r="C77" s="93" t="s">
        <v>29</v>
      </c>
      <c r="J77" s="108">
        <f>J69+J75</f>
        <v>15755</v>
      </c>
      <c r="K77" s="108">
        <f t="shared" ref="K77:BE77" si="49">K69+K75</f>
        <v>65715</v>
      </c>
      <c r="L77" s="108">
        <f t="shared" si="49"/>
        <v>31657</v>
      </c>
      <c r="M77" s="108">
        <f t="shared" si="49"/>
        <v>101927</v>
      </c>
      <c r="N77" s="108">
        <f t="shared" si="49"/>
        <v>96949.48</v>
      </c>
      <c r="O77" s="108">
        <f t="shared" si="49"/>
        <v>228998.78</v>
      </c>
      <c r="P77" s="108">
        <f t="shared" si="49"/>
        <v>297206.40999999997</v>
      </c>
      <c r="Q77" s="108">
        <f t="shared" si="49"/>
        <v>155236.05000000002</v>
      </c>
      <c r="R77" s="108">
        <f t="shared" si="49"/>
        <v>62562.750833333368</v>
      </c>
      <c r="S77" s="108">
        <f t="shared" si="49"/>
        <v>-145.8526504629458</v>
      </c>
      <c r="T77" s="108">
        <f t="shared" si="49"/>
        <v>-43790.721930780594</v>
      </c>
      <c r="U77" s="108">
        <f t="shared" si="49"/>
        <v>-56976.578700035447</v>
      </c>
      <c r="V77" s="108">
        <f t="shared" si="49"/>
        <v>-94801.89219398101</v>
      </c>
      <c r="W77" s="108">
        <f t="shared" si="49"/>
        <v>-63060.72395100951</v>
      </c>
      <c r="X77" s="108">
        <f t="shared" si="49"/>
        <v>-90959.453834013751</v>
      </c>
      <c r="Y77" s="108">
        <f t="shared" si="49"/>
        <v>-76416.888141194358</v>
      </c>
      <c r="Z77" s="108">
        <f t="shared" si="49"/>
        <v>-50698.316599890939</v>
      </c>
      <c r="AA77" s="108">
        <f t="shared" si="49"/>
        <v>-24368.518519446021</v>
      </c>
      <c r="AB77" s="108">
        <f t="shared" si="49"/>
        <v>21416.324562769907</v>
      </c>
      <c r="AC77" s="108">
        <f t="shared" si="49"/>
        <v>73447.627205146651</v>
      </c>
      <c r="AD77" s="108">
        <f t="shared" si="49"/>
        <v>99803.622307335841</v>
      </c>
      <c r="AE77" s="108">
        <f t="shared" si="49"/>
        <v>181188.71149573132</v>
      </c>
      <c r="AF77" s="108">
        <f t="shared" si="49"/>
        <v>277681.66696996661</v>
      </c>
      <c r="AG77" s="108">
        <f t="shared" si="49"/>
        <v>318770.12406986137</v>
      </c>
      <c r="AH77" s="108">
        <f t="shared" si="49"/>
        <v>500048.51123977033</v>
      </c>
      <c r="AI77" s="108">
        <f t="shared" si="49"/>
        <v>677887.14961241046</v>
      </c>
      <c r="AJ77" s="108">
        <f t="shared" si="49"/>
        <v>790690.75255167927</v>
      </c>
      <c r="AK77" s="108">
        <f t="shared" si="49"/>
        <v>999757.01246455987</v>
      </c>
      <c r="AL77" s="108">
        <f t="shared" si="49"/>
        <v>1225985.6882528069</v>
      </c>
      <c r="AM77" s="108">
        <f t="shared" si="49"/>
        <v>1345092.2332650074</v>
      </c>
      <c r="AN77" s="108">
        <f t="shared" si="49"/>
        <v>1610280.9634268747</v>
      </c>
      <c r="AO77" s="108">
        <f t="shared" si="49"/>
        <v>1886536.6197209228</v>
      </c>
      <c r="AP77" s="108">
        <f t="shared" si="49"/>
        <v>2035081.2589853574</v>
      </c>
      <c r="AQ77" s="108">
        <f t="shared" si="49"/>
        <v>2352351.1255696476</v>
      </c>
      <c r="AR77" s="108">
        <f t="shared" si="49"/>
        <v>2690369.2160800509</v>
      </c>
      <c r="AS77" s="108">
        <f t="shared" si="49"/>
        <v>2859203.4363507396</v>
      </c>
      <c r="AT77" s="108">
        <f t="shared" si="49"/>
        <v>3334301.8892173506</v>
      </c>
      <c r="AU77" s="108">
        <f t="shared" si="49"/>
        <v>3806356.3831127216</v>
      </c>
      <c r="AV77" s="108">
        <f t="shared" si="49"/>
        <v>4081712.2546789893</v>
      </c>
      <c r="AW77" s="108">
        <f t="shared" si="49"/>
        <v>4601344.6692405688</v>
      </c>
      <c r="AX77" s="108">
        <f t="shared" si="49"/>
        <v>5141291.7897790652</v>
      </c>
      <c r="AY77" s="108">
        <f t="shared" si="49"/>
        <v>5422842.3945864011</v>
      </c>
      <c r="AZ77" s="108">
        <f t="shared" si="49"/>
        <v>6011695.4788251882</v>
      </c>
      <c r="BA77" s="108">
        <f t="shared" si="49"/>
        <v>6624817.7508959454</v>
      </c>
      <c r="BB77" s="108">
        <f t="shared" si="49"/>
        <v>6363420.1205431111</v>
      </c>
      <c r="BC77" s="108">
        <f t="shared" si="49"/>
        <v>7027013.2710109735</v>
      </c>
      <c r="BD77" s="108">
        <f t="shared" si="49"/>
        <v>7714875.6029952159</v>
      </c>
      <c r="BE77" s="108">
        <f t="shared" si="49"/>
        <v>8072298.0568102505</v>
      </c>
      <c r="BF77" s="108">
        <f t="shared" ref="BF77:BQ77" si="50">BF69+BF75</f>
        <v>8842890.126479486</v>
      </c>
      <c r="BG77" s="108">
        <f t="shared" si="50"/>
        <v>9607362.0445396379</v>
      </c>
      <c r="BH77" s="108">
        <f t="shared" si="50"/>
        <v>10004848.895353615</v>
      </c>
      <c r="BI77" s="108">
        <f t="shared" si="50"/>
        <v>10824284.619763607</v>
      </c>
      <c r="BJ77" s="108">
        <f t="shared" si="50"/>
        <v>11671103.208174581</v>
      </c>
      <c r="BK77" s="108">
        <f t="shared" si="50"/>
        <v>12109466.544678131</v>
      </c>
      <c r="BL77" s="108">
        <f t="shared" si="50"/>
        <v>13012726.988106323</v>
      </c>
      <c r="BM77" s="108">
        <f t="shared" si="50"/>
        <v>13945257.815419821</v>
      </c>
      <c r="BN77" s="108">
        <f t="shared" si="50"/>
        <v>13048205.021938615</v>
      </c>
      <c r="BO77" s="108">
        <f t="shared" si="50"/>
        <v>14039065.305366592</v>
      </c>
      <c r="BP77" s="108">
        <f t="shared" si="50"/>
        <v>15059195.972680094</v>
      </c>
      <c r="BQ77" s="108">
        <f t="shared" si="50"/>
        <v>15585520.549198888</v>
      </c>
    </row>
    <row r="78" spans="2:69">
      <c r="B78" s="13"/>
      <c r="C78" s="22"/>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row>
    <row r="79" spans="2:69">
      <c r="B79" s="14" t="s">
        <v>30</v>
      </c>
      <c r="C79" s="3"/>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c r="AY79" s="39"/>
      <c r="AZ79" s="39"/>
      <c r="BA79" s="39"/>
      <c r="BB79" s="39"/>
      <c r="BC79" s="39"/>
      <c r="BD79" s="39"/>
      <c r="BE79" s="39"/>
      <c r="BF79" s="39"/>
      <c r="BG79" s="39"/>
      <c r="BH79" s="39"/>
      <c r="BI79" s="39"/>
      <c r="BJ79" s="39"/>
      <c r="BK79" s="39"/>
      <c r="BL79" s="39"/>
      <c r="BM79" s="39"/>
      <c r="BN79" s="39"/>
      <c r="BO79" s="39"/>
      <c r="BP79" s="39"/>
      <c r="BQ79" s="39"/>
    </row>
    <row r="80" spans="2:69">
      <c r="B80" s="13"/>
      <c r="C80" s="15" t="s">
        <v>69</v>
      </c>
      <c r="J80" s="39">
        <f>'Working Capital'!J37</f>
        <v>3171.6</v>
      </c>
      <c r="K80" s="39">
        <f>'Working Capital'!K37</f>
        <v>6628.7999999999993</v>
      </c>
      <c r="L80" s="39">
        <f>'Working Capital'!L37</f>
        <v>11647</v>
      </c>
      <c r="M80" s="39">
        <f>'Working Capital'!M37</f>
        <v>79497</v>
      </c>
      <c r="N80" s="39">
        <f>'Working Capital'!N37</f>
        <v>55824.5</v>
      </c>
      <c r="O80" s="39">
        <f>'Working Capital'!O37</f>
        <v>21864.6</v>
      </c>
      <c r="P80" s="39">
        <f>'Working Capital'!P37</f>
        <v>42040.639999999999</v>
      </c>
      <c r="Q80" s="39">
        <f>'Working Capital'!Q37</f>
        <v>65244.18</v>
      </c>
      <c r="R80" s="39">
        <f>'Working Capital'!R37</f>
        <v>54171.430833333332</v>
      </c>
      <c r="S80" s="39">
        <f>'Working Capital'!S37</f>
        <v>95150.419016203698</v>
      </c>
      <c r="T80" s="39">
        <f>'Working Capital'!T37</f>
        <v>113850.86640255271</v>
      </c>
      <c r="U80" s="39">
        <f>'Working Capital'!U37</f>
        <v>111612.63796663121</v>
      </c>
      <c r="V80" s="39">
        <f>'Working Capital'!V37</f>
        <v>123121.72447268566</v>
      </c>
      <c r="W80" s="39">
        <f>'Working Capital'!W37</f>
        <v>202971.87604899044</v>
      </c>
      <c r="X80" s="39">
        <f>'Working Capital'!X37</f>
        <v>169560.34616598624</v>
      </c>
      <c r="Y80" s="39">
        <f>'Working Capital'!Y37</f>
        <v>173978.39519213905</v>
      </c>
      <c r="Z80" s="39">
        <f>'Working Capital'!Z37</f>
        <v>180854.53340010915</v>
      </c>
      <c r="AA80" s="39">
        <f>'Working Capital'!AA37</f>
        <v>187953.03148055405</v>
      </c>
      <c r="AB80" s="39">
        <f>'Working Capital'!AB37</f>
        <v>199008.44122943672</v>
      </c>
      <c r="AC80" s="39">
        <f>'Working Capital'!AC37</f>
        <v>203272.39387181334</v>
      </c>
      <c r="AD80" s="39">
        <f>'Working Capital'!AD37</f>
        <v>210407.17230733592</v>
      </c>
      <c r="AE80" s="39">
        <f>'Working Capital'!AE37</f>
        <v>218565.5781623981</v>
      </c>
      <c r="AF80" s="39">
        <f>'Working Capital'!AF37</f>
        <v>231286.26696996667</v>
      </c>
      <c r="AG80" s="39">
        <f>'Working Capital'!AG37</f>
        <v>234703.59073652822</v>
      </c>
      <c r="AH80" s="39">
        <f>'Working Capital'!AH37</f>
        <v>260379.62790643712</v>
      </c>
      <c r="AI80" s="39">
        <f>'Working Capital'!AI37</f>
        <v>268055.8162790772</v>
      </c>
      <c r="AJ80" s="39">
        <f>'Working Capital'!AJ37</f>
        <v>280285.50255167944</v>
      </c>
      <c r="AK80" s="39">
        <f>'Working Capital'!AK37</f>
        <v>288748.44579789334</v>
      </c>
      <c r="AL80" s="39">
        <f>'Working Capital'!AL37</f>
        <v>296767.20491947368</v>
      </c>
      <c r="AM80" s="39">
        <f>'Working Capital'!AM37</f>
        <v>305288.63326500729</v>
      </c>
      <c r="AN80" s="39">
        <f>'Working Capital'!AN37</f>
        <v>318106.58009354147</v>
      </c>
      <c r="AO80" s="39">
        <f>'Working Capital'!AO37</f>
        <v>322361.35305425629</v>
      </c>
      <c r="AP80" s="39">
        <f>'Working Capital'!AP37</f>
        <v>331038.55898535746</v>
      </c>
      <c r="AQ80" s="39">
        <f>'Working Capital'!AQ37</f>
        <v>340150.84223631449</v>
      </c>
      <c r="AR80" s="39">
        <f>'Working Capital'!AR37</f>
        <v>351760.5827467179</v>
      </c>
      <c r="AS80" s="39">
        <f>'Working Capital'!AS37</f>
        <v>356632.13635074004</v>
      </c>
      <c r="AT80" s="39">
        <f>'Working Capital'!AT37</f>
        <v>389238.97588401748</v>
      </c>
      <c r="AU80" s="39">
        <f>'Working Capital'!AU37</f>
        <v>398416.70311272197</v>
      </c>
      <c r="AV80" s="39">
        <f>'Working Capital'!AV37</f>
        <v>408623.33467899001</v>
      </c>
      <c r="AW80" s="39">
        <f>'Working Capital'!AW37</f>
        <v>421742.17590723629</v>
      </c>
      <c r="AX80" s="39">
        <f>'Working Capital'!AX37</f>
        <v>431294.06977906614</v>
      </c>
      <c r="AY80" s="39">
        <f>'Working Capital'!AY37</f>
        <v>441392.0045864018</v>
      </c>
      <c r="AZ80" s="39">
        <f>'Working Capital'!AZ37</f>
        <v>452185.85549185547</v>
      </c>
      <c r="BA80" s="39">
        <f>'Working Capital'!BA37</f>
        <v>461770.0408959465</v>
      </c>
      <c r="BB80" s="39">
        <f>'Working Capital'!BB37</f>
        <v>471867.52720977855</v>
      </c>
      <c r="BC80" s="39">
        <f>'Working Capital'!BC37</f>
        <v>482661.38434430858</v>
      </c>
      <c r="BD80" s="39">
        <f>'Working Capital'!BD37</f>
        <v>492142.06966188457</v>
      </c>
      <c r="BE80" s="39">
        <f>'Working Capital'!BE37</f>
        <v>502344.49347691832</v>
      </c>
      <c r="BF80" s="39">
        <f>'Working Capital'!BF37</f>
        <v>543816.39314615389</v>
      </c>
      <c r="BG80" s="39">
        <f>'Working Capital'!BG37</f>
        <v>555490.2945396367</v>
      </c>
      <c r="BH80" s="39">
        <f>'Working Capital'!BH37</f>
        <v>567578.05702028272</v>
      </c>
      <c r="BI80" s="39">
        <f>'Working Capital'!BI37</f>
        <v>579556.57143027382</v>
      </c>
      <c r="BJ80" s="39">
        <f>'Working Capital'!BJ37</f>
        <v>591640.10317457945</v>
      </c>
      <c r="BK80" s="39">
        <f>'Working Capital'!BK37</f>
        <v>603722.17634479748</v>
      </c>
      <c r="BL80" s="39">
        <f>'Working Capital'!BL37</f>
        <v>615700.76977298898</v>
      </c>
      <c r="BM80" s="39">
        <f>'Working Capital'!BM37</f>
        <v>627784.30041981954</v>
      </c>
      <c r="BN80" s="39">
        <f>'Working Capital'!BN37</f>
        <v>639866.3736052803</v>
      </c>
      <c r="BO80" s="39">
        <f>'Working Capital'!BO37</f>
        <v>651844.9670332598</v>
      </c>
      <c r="BP80" s="39">
        <f>'Working Capital'!BP37</f>
        <v>663928.49768009374</v>
      </c>
      <c r="BQ80" s="39">
        <f>'Working Capital'!BQ37</f>
        <v>675907.07086555439</v>
      </c>
    </row>
    <row r="81" spans="2:69">
      <c r="B81" s="13"/>
      <c r="C81" s="15" t="s">
        <v>70</v>
      </c>
      <c r="J81" s="39">
        <f>'Working Capital'!J43</f>
        <v>0</v>
      </c>
      <c r="K81" s="39">
        <f>'Working Capital'!K43</f>
        <v>0</v>
      </c>
      <c r="L81" s="39">
        <f>'Working Capital'!L43</f>
        <v>0</v>
      </c>
      <c r="M81" s="39">
        <f>'Working Capital'!M43</f>
        <v>0</v>
      </c>
      <c r="N81" s="39">
        <f>'Working Capital'!N43</f>
        <v>0</v>
      </c>
      <c r="O81" s="39">
        <f>'Working Capital'!O43</f>
        <v>0</v>
      </c>
      <c r="P81" s="39">
        <f>'Working Capital'!P43</f>
        <v>0</v>
      </c>
      <c r="Q81" s="39">
        <f>'Working Capital'!Q43</f>
        <v>0</v>
      </c>
      <c r="R81" s="39">
        <f>'Working Capital'!R43</f>
        <v>0</v>
      </c>
      <c r="S81" s="39">
        <f>'Working Capital'!S43</f>
        <v>0</v>
      </c>
      <c r="T81" s="39">
        <f>'Working Capital'!T43</f>
        <v>0</v>
      </c>
      <c r="U81" s="39">
        <f>'Working Capital'!U43</f>
        <v>0</v>
      </c>
      <c r="V81" s="39">
        <f>'Working Capital'!V43</f>
        <v>0</v>
      </c>
      <c r="W81" s="39">
        <f>'Working Capital'!W43</f>
        <v>0</v>
      </c>
      <c r="X81" s="39">
        <f>'Working Capital'!X43</f>
        <v>0</v>
      </c>
      <c r="Y81" s="39">
        <f>'Working Capital'!Y43</f>
        <v>0</v>
      </c>
      <c r="Z81" s="39">
        <f>'Working Capital'!Z43</f>
        <v>0</v>
      </c>
      <c r="AA81" s="39">
        <f>'Working Capital'!AA43</f>
        <v>0</v>
      </c>
      <c r="AB81" s="39">
        <f>'Working Capital'!AB43</f>
        <v>0</v>
      </c>
      <c r="AC81" s="39">
        <f>'Working Capital'!AC43</f>
        <v>0</v>
      </c>
      <c r="AD81" s="39">
        <f>'Working Capital'!AD43</f>
        <v>0</v>
      </c>
      <c r="AE81" s="39">
        <f>'Working Capital'!AE43</f>
        <v>0</v>
      </c>
      <c r="AF81" s="39">
        <f>'Working Capital'!AF43</f>
        <v>0</v>
      </c>
      <c r="AG81" s="39">
        <f>'Working Capital'!AG43</f>
        <v>0</v>
      </c>
      <c r="AH81" s="39">
        <f>'Working Capital'!AH43</f>
        <v>0</v>
      </c>
      <c r="AI81" s="39">
        <f>'Working Capital'!AI43</f>
        <v>0</v>
      </c>
      <c r="AJ81" s="39">
        <f>'Working Capital'!AJ43</f>
        <v>0</v>
      </c>
      <c r="AK81" s="39">
        <f>'Working Capital'!AK43</f>
        <v>0</v>
      </c>
      <c r="AL81" s="39">
        <f>'Working Capital'!AL43</f>
        <v>0</v>
      </c>
      <c r="AM81" s="39">
        <f>'Working Capital'!AM43</f>
        <v>0</v>
      </c>
      <c r="AN81" s="39">
        <f>'Working Capital'!AN43</f>
        <v>0</v>
      </c>
      <c r="AO81" s="39">
        <f>'Working Capital'!AO43</f>
        <v>0</v>
      </c>
      <c r="AP81" s="39">
        <f>'Working Capital'!AP43</f>
        <v>0</v>
      </c>
      <c r="AQ81" s="39">
        <f>'Working Capital'!AQ43</f>
        <v>0</v>
      </c>
      <c r="AR81" s="39">
        <f>'Working Capital'!AR43</f>
        <v>0</v>
      </c>
      <c r="AS81" s="39">
        <f>'Working Capital'!AS43</f>
        <v>0</v>
      </c>
      <c r="AT81" s="39">
        <f>'Working Capital'!AT43</f>
        <v>0</v>
      </c>
      <c r="AU81" s="39">
        <f>'Working Capital'!AU43</f>
        <v>0</v>
      </c>
      <c r="AV81" s="39">
        <f>'Working Capital'!AV43</f>
        <v>0</v>
      </c>
      <c r="AW81" s="39">
        <f>'Working Capital'!AW43</f>
        <v>0</v>
      </c>
      <c r="AX81" s="39">
        <f>'Working Capital'!AX43</f>
        <v>0</v>
      </c>
      <c r="AY81" s="39">
        <f>'Working Capital'!AY43</f>
        <v>0</v>
      </c>
      <c r="AZ81" s="39">
        <f>'Working Capital'!AZ43</f>
        <v>0</v>
      </c>
      <c r="BA81" s="39">
        <f>'Working Capital'!BA43</f>
        <v>0</v>
      </c>
      <c r="BB81" s="39">
        <f>'Working Capital'!BB43</f>
        <v>0</v>
      </c>
      <c r="BC81" s="39">
        <f>'Working Capital'!BC43</f>
        <v>0</v>
      </c>
      <c r="BD81" s="39">
        <f>'Working Capital'!BD43</f>
        <v>0</v>
      </c>
      <c r="BE81" s="39">
        <f>'Working Capital'!BE43</f>
        <v>0</v>
      </c>
      <c r="BF81" s="39">
        <f>'Working Capital'!BF43</f>
        <v>0</v>
      </c>
      <c r="BG81" s="39">
        <f>'Working Capital'!BG43</f>
        <v>0</v>
      </c>
      <c r="BH81" s="39">
        <f>'Working Capital'!BH43</f>
        <v>0</v>
      </c>
      <c r="BI81" s="39">
        <f>'Working Capital'!BI43</f>
        <v>0</v>
      </c>
      <c r="BJ81" s="39">
        <f>'Working Capital'!BJ43</f>
        <v>0</v>
      </c>
      <c r="BK81" s="39">
        <f>'Working Capital'!BK43</f>
        <v>0</v>
      </c>
      <c r="BL81" s="39">
        <f>'Working Capital'!BL43</f>
        <v>0</v>
      </c>
      <c r="BM81" s="39">
        <f>'Working Capital'!BM43</f>
        <v>0</v>
      </c>
      <c r="BN81" s="39">
        <f>'Working Capital'!BN43</f>
        <v>0</v>
      </c>
      <c r="BO81" s="39">
        <f>'Working Capital'!BO43</f>
        <v>0</v>
      </c>
      <c r="BP81" s="39">
        <f>'Working Capital'!BP43</f>
        <v>0</v>
      </c>
      <c r="BQ81" s="39">
        <f>'Working Capital'!BQ43</f>
        <v>0</v>
      </c>
    </row>
    <row r="82" spans="2:69">
      <c r="B82" s="13"/>
      <c r="C82" s="25" t="s">
        <v>71</v>
      </c>
      <c r="J82" s="39">
        <f>'Working Capital'!J50</f>
        <v>2280.75</v>
      </c>
      <c r="K82" s="39">
        <f>'Working Capital'!K50</f>
        <v>11915.25</v>
      </c>
      <c r="L82" s="39">
        <f>'Working Capital'!L50</f>
        <v>3114.25</v>
      </c>
      <c r="M82" s="39">
        <f>'Working Capital'!M50</f>
        <v>2359.25</v>
      </c>
      <c r="N82" s="39">
        <f>'Working Capital'!N50</f>
        <v>0</v>
      </c>
      <c r="O82" s="39">
        <f>'Working Capital'!O50</f>
        <v>4351.5</v>
      </c>
      <c r="P82" s="39">
        <f>'Working Capital'!P50</f>
        <v>11453.75</v>
      </c>
      <c r="Q82" s="39">
        <f>'Working Capital'!Q50</f>
        <v>846.75</v>
      </c>
      <c r="R82" s="39">
        <f>'Working Capital'!R50</f>
        <v>0</v>
      </c>
      <c r="S82" s="39">
        <f>'Working Capital'!S50</f>
        <v>0</v>
      </c>
      <c r="T82" s="39">
        <f>'Working Capital'!T50</f>
        <v>0</v>
      </c>
      <c r="U82" s="39">
        <f>'Working Capital'!U50</f>
        <v>0</v>
      </c>
      <c r="V82" s="39">
        <f>'Working Capital'!V50</f>
        <v>0</v>
      </c>
      <c r="W82" s="39">
        <f>'Working Capital'!W50</f>
        <v>0</v>
      </c>
      <c r="X82" s="39">
        <f>'Working Capital'!X50</f>
        <v>0</v>
      </c>
      <c r="Y82" s="39">
        <f>'Working Capital'!Y50</f>
        <v>0</v>
      </c>
      <c r="Z82" s="39">
        <f>'Working Capital'!Z50</f>
        <v>0</v>
      </c>
      <c r="AA82" s="39">
        <f>'Working Capital'!AA50</f>
        <v>0</v>
      </c>
      <c r="AB82" s="39">
        <f>'Working Capital'!AB50</f>
        <v>0</v>
      </c>
      <c r="AC82" s="39">
        <f>'Working Capital'!AC50</f>
        <v>0</v>
      </c>
      <c r="AD82" s="39">
        <f>'Working Capital'!AD50</f>
        <v>0</v>
      </c>
      <c r="AE82" s="39">
        <f>'Working Capital'!AE50</f>
        <v>0</v>
      </c>
      <c r="AF82" s="39">
        <f>'Working Capital'!AF50</f>
        <v>0</v>
      </c>
      <c r="AG82" s="39">
        <f>'Working Capital'!AG50</f>
        <v>0</v>
      </c>
      <c r="AH82" s="39">
        <f>'Working Capital'!AH50</f>
        <v>29117.9375</v>
      </c>
      <c r="AI82" s="39">
        <f>'Working Capital'!AI50</f>
        <v>61899.749999999993</v>
      </c>
      <c r="AJ82" s="39">
        <f>'Working Capital'!AJ50</f>
        <v>98179.916666666657</v>
      </c>
      <c r="AK82" s="39">
        <f>'Working Capital'!AK50</f>
        <v>137248.95833333331</v>
      </c>
      <c r="AL82" s="39">
        <f>'Working Capital'!AL50</f>
        <v>179960.31249999997</v>
      </c>
      <c r="AM82" s="39">
        <f>'Working Capital'!AM50</f>
        <v>226210.54166666663</v>
      </c>
      <c r="AN82" s="39">
        <f>'Working Capital'!AN50</f>
        <v>276109.12499999994</v>
      </c>
      <c r="AO82" s="39">
        <f>'Working Capital'!AO50</f>
        <v>329946.58333333326</v>
      </c>
      <c r="AP82" s="39">
        <f>'Working Capital'!AP50</f>
        <v>387576.35416666657</v>
      </c>
      <c r="AQ82" s="39">
        <f>'Working Capital'!AQ50</f>
        <v>448894.99999999988</v>
      </c>
      <c r="AR82" s="39">
        <f>'Working Capital'!AR50</f>
        <v>514111.99999999988</v>
      </c>
      <c r="AS82" s="39">
        <f>'Working Capital'!AS50</f>
        <v>582159.54166666651</v>
      </c>
      <c r="AT82" s="39">
        <f>'Working Capital'!AT50</f>
        <v>670343.97499999986</v>
      </c>
      <c r="AU82" s="39">
        <f>'Working Capital'!AU50</f>
        <v>763495.29791666649</v>
      </c>
      <c r="AV82" s="39">
        <f>'Working Capital'!AV50</f>
        <v>861466.94791666651</v>
      </c>
      <c r="AW82" s="39">
        <f>'Working Capital'!AW50</f>
        <v>963649.23749999981</v>
      </c>
      <c r="AX82" s="39">
        <f>'Working Capital'!AX50</f>
        <v>1070776.8541666665</v>
      </c>
      <c r="AY82" s="39">
        <f>'Working Capital'!AY50</f>
        <v>1182746.3604166666</v>
      </c>
      <c r="AZ82" s="39">
        <f>'Working Capital'!AZ50</f>
        <v>1299743.9437499999</v>
      </c>
      <c r="BA82" s="39">
        <f>'Working Capital'!BA50</f>
        <v>1422019.6041666665</v>
      </c>
      <c r="BB82" s="39">
        <f>'Working Capital'!BB50</f>
        <v>967310.36250000005</v>
      </c>
      <c r="BC82" s="39">
        <f>'Working Capital'!BC50</f>
        <v>1099788.7395833335</v>
      </c>
      <c r="BD82" s="39">
        <f>'Working Capital'!BD50</f>
        <v>1237566.7562500001</v>
      </c>
      <c r="BE82" s="39">
        <f>'Working Capital'!BE50</f>
        <v>1380497.85</v>
      </c>
      <c r="BF82" s="39">
        <f>'Working Capital'!BF50</f>
        <v>1527910.1250000002</v>
      </c>
      <c r="BG82" s="39">
        <f>'Working Capital'!BG50</f>
        <v>1680970.979166667</v>
      </c>
      <c r="BH82" s="39">
        <f>'Working Capital'!BH50</f>
        <v>1839680.4125000003</v>
      </c>
      <c r="BI82" s="39">
        <f>'Working Capital'!BI50</f>
        <v>2004059.9875000003</v>
      </c>
      <c r="BJ82" s="39">
        <f>'Working Capital'!BJ50</f>
        <v>2174088.1416666671</v>
      </c>
      <c r="BK82" s="39">
        <f>'Working Capital'!BK50</f>
        <v>2349764.8750000005</v>
      </c>
      <c r="BL82" s="39">
        <f>'Working Capital'!BL50</f>
        <v>2531505.0000000005</v>
      </c>
      <c r="BM82" s="39">
        <f>'Working Capital'!BM50</f>
        <v>2719286.9541666671</v>
      </c>
      <c r="BN82" s="39">
        <f>'Working Capital'!BN50</f>
        <v>1532612.8875000002</v>
      </c>
      <c r="BO82" s="39">
        <f>'Working Capital'!BO50</f>
        <v>1732500.0625000002</v>
      </c>
      <c r="BP82" s="39">
        <f>'Working Capital'!BP50</f>
        <v>1938429.0666666669</v>
      </c>
      <c r="BQ82" s="39">
        <f>'Working Capital'!BQ50</f>
        <v>2150421.4625000004</v>
      </c>
    </row>
    <row r="83" spans="2:69">
      <c r="B83" s="13"/>
      <c r="C83" s="25" t="s">
        <v>72</v>
      </c>
      <c r="J83" s="39">
        <f>'Working Capital'!J69</f>
        <v>3460.4</v>
      </c>
      <c r="K83" s="39">
        <f>'Working Capital'!K69</f>
        <v>11425.199999999999</v>
      </c>
      <c r="L83" s="39">
        <f>'Working Capital'!L69</f>
        <v>7553</v>
      </c>
      <c r="M83" s="39">
        <f>'Working Capital'!M69</f>
        <v>12993</v>
      </c>
      <c r="N83" s="39">
        <f>'Working Capital'!N69</f>
        <v>17147.98</v>
      </c>
      <c r="O83" s="39">
        <f>'Working Capital'!O69</f>
        <v>46741.15</v>
      </c>
      <c r="P83" s="39">
        <f>'Working Capital'!P69</f>
        <v>52686.59</v>
      </c>
      <c r="Q83" s="39">
        <f>'Working Capital'!Q69</f>
        <v>32914.870000000003</v>
      </c>
      <c r="R83" s="39">
        <f>'Working Capital'!R69</f>
        <v>-21037.679999999993</v>
      </c>
      <c r="S83" s="39">
        <f>'Working Capital'!S69</f>
        <v>-28526.479999999996</v>
      </c>
      <c r="T83" s="39">
        <f>'Working Capital'!T69</f>
        <v>-35976.879999999997</v>
      </c>
      <c r="U83" s="39">
        <f>'Working Capital'!U69</f>
        <v>-10171.050000000003</v>
      </c>
      <c r="V83" s="39">
        <f>'Working Capital'!V69</f>
        <v>-17679.700000000004</v>
      </c>
      <c r="W83" s="39">
        <f>'Working Capital'!W69</f>
        <v>-8073.3500000000058</v>
      </c>
      <c r="X83" s="39">
        <f>'Working Capital'!X69</f>
        <v>34301.449999999997</v>
      </c>
      <c r="Y83" s="39">
        <f>'Working Capital'!Y69</f>
        <v>45422.549999999996</v>
      </c>
      <c r="Z83" s="39">
        <f>'Working Capital'!Z69</f>
        <v>58082.399999999994</v>
      </c>
      <c r="AA83" s="39">
        <f>'Working Capital'!AA69</f>
        <v>64165.7</v>
      </c>
      <c r="AB83" s="39">
        <f>'Working Capital'!AB69</f>
        <v>79157.549999999988</v>
      </c>
      <c r="AC83" s="39">
        <f>'Working Capital'!AC69</f>
        <v>96908.15</v>
      </c>
      <c r="AD83" s="39">
        <f>'Working Capital'!AD69</f>
        <v>75147.200000000012</v>
      </c>
      <c r="AE83" s="39">
        <f>'Working Capital'!AE69</f>
        <v>97312.550000000017</v>
      </c>
      <c r="AF83" s="39">
        <f>'Working Capital'!AF69</f>
        <v>120833.90000000002</v>
      </c>
      <c r="AG83" s="39">
        <f>'Working Capital'!AG69</f>
        <v>87288.700000000012</v>
      </c>
      <c r="AH83" s="39">
        <f>'Working Capital'!AH69</f>
        <v>126419.30000000002</v>
      </c>
      <c r="AI83" s="39">
        <f>'Working Capital'!AI69</f>
        <v>165454.5</v>
      </c>
      <c r="AJ83" s="39">
        <f>'Working Capital'!AJ69</f>
        <v>120907.74999999997</v>
      </c>
      <c r="AK83" s="39">
        <f>'Working Capital'!AK69</f>
        <v>165234.89999999997</v>
      </c>
      <c r="AL83" s="39">
        <f>'Working Capital'!AL69</f>
        <v>212599.4</v>
      </c>
      <c r="AM83" s="39">
        <f>'Working Capital'!AM69</f>
        <v>138183.60000000003</v>
      </c>
      <c r="AN83" s="39">
        <f>'Working Capital'!AN69</f>
        <v>190960.05000000005</v>
      </c>
      <c r="AO83" s="39">
        <f>'Working Capital'!AO69</f>
        <v>247611.10000000003</v>
      </c>
      <c r="AP83" s="39">
        <f>'Working Capital'!AP69</f>
        <v>156959.45000000001</v>
      </c>
      <c r="AQ83" s="39">
        <f>'Working Capital'!AQ69</f>
        <v>219842.45</v>
      </c>
      <c r="AR83" s="39">
        <f>'Working Capital'!AR69</f>
        <v>285382.80000000005</v>
      </c>
      <c r="AS83" s="39">
        <f>'Working Capital'!AS69</f>
        <v>177155.3</v>
      </c>
      <c r="AT83" s="39">
        <f>'Working Capital'!AT69</f>
        <v>266909.18</v>
      </c>
      <c r="AU83" s="39">
        <f>'Working Capital'!AU69</f>
        <v>357180.65500000003</v>
      </c>
      <c r="AV83" s="39">
        <f>'Working Capital'!AV69</f>
        <v>230443.29499999998</v>
      </c>
      <c r="AW83" s="39">
        <f>'Working Capital'!AW69</f>
        <v>328227.70999999996</v>
      </c>
      <c r="AX83" s="39">
        <f>'Working Capital'!AX69</f>
        <v>430112.47</v>
      </c>
      <c r="AY83" s="39">
        <f>'Working Capital'!AY69</f>
        <v>253687.11500000005</v>
      </c>
      <c r="AZ83" s="39">
        <f>'Working Capital'!AZ69</f>
        <v>363756.01500000007</v>
      </c>
      <c r="BA83" s="39">
        <f>'Working Capital'!BA69</f>
        <v>478191.46000000008</v>
      </c>
      <c r="BB83" s="39">
        <f>'Working Capital'!BB69</f>
        <v>279054.685</v>
      </c>
      <c r="BC83" s="39">
        <f>'Working Capital'!BC69</f>
        <v>401940.47</v>
      </c>
      <c r="BD83" s="39">
        <f>'Working Capital'!BD69</f>
        <v>529210.05000000005</v>
      </c>
      <c r="BE83" s="39">
        <f>'Working Capital'!BE69</f>
        <v>304705.70499999996</v>
      </c>
      <c r="BF83" s="39">
        <f>'Working Capital'!BF69</f>
        <v>444176.77499999997</v>
      </c>
      <c r="BG83" s="39">
        <f>'Working Capital'!BG69</f>
        <v>584731.375</v>
      </c>
      <c r="BH83" s="39">
        <f>'Working Capital'!BH69</f>
        <v>335292.72999999992</v>
      </c>
      <c r="BI83" s="39">
        <f>'Working Capital'!BI69</f>
        <v>485231.64</v>
      </c>
      <c r="BJ83" s="39">
        <f>'Working Capital'!BJ69</f>
        <v>639854.08000000007</v>
      </c>
      <c r="BK83" s="39">
        <f>'Working Capital'!BK69</f>
        <v>363428.41000000003</v>
      </c>
      <c r="BL83" s="39">
        <f>'Working Capital'!BL69</f>
        <v>527749.76</v>
      </c>
      <c r="BM83" s="39">
        <f>'Working Capital'!BM69</f>
        <v>697069.24</v>
      </c>
      <c r="BN83" s="39">
        <f>'Working Capital'!BN69</f>
        <v>393137.08999999991</v>
      </c>
      <c r="BO83" s="39">
        <f>'Working Capital'!BO69</f>
        <v>572470.07999999984</v>
      </c>
      <c r="BP83" s="39">
        <f>'Working Capital'!BP69</f>
        <v>756801.19999999984</v>
      </c>
      <c r="BQ83" s="39">
        <f>'Working Capital'!BQ69</f>
        <v>423177.61999999988</v>
      </c>
    </row>
    <row r="84" spans="2:69">
      <c r="B84" s="13"/>
      <c r="C84" s="25" t="s">
        <v>73</v>
      </c>
      <c r="J84" s="39">
        <f>'Working Capital'!J75</f>
        <v>0</v>
      </c>
      <c r="K84" s="39">
        <f>'Working Capital'!K75</f>
        <v>0</v>
      </c>
      <c r="L84" s="39">
        <f>'Working Capital'!L75</f>
        <v>0</v>
      </c>
      <c r="M84" s="39">
        <f>'Working Capital'!M75</f>
        <v>0</v>
      </c>
      <c r="N84" s="39">
        <f>'Working Capital'!N75</f>
        <v>24500</v>
      </c>
      <c r="O84" s="39">
        <f>'Working Capital'!O75</f>
        <v>142987.03</v>
      </c>
      <c r="P84" s="39">
        <f>'Working Capital'!P75</f>
        <v>156664.18</v>
      </c>
      <c r="Q84" s="39">
        <f>'Working Capital'!Q75</f>
        <v>53690</v>
      </c>
      <c r="R84" s="39">
        <f>'Working Capital'!R75</f>
        <v>33690</v>
      </c>
      <c r="S84" s="39">
        <f>'Working Capital'!S75</f>
        <v>0</v>
      </c>
      <c r="T84" s="39">
        <f>'Working Capital'!T75</f>
        <v>0</v>
      </c>
      <c r="U84" s="39">
        <f>'Working Capital'!U75</f>
        <v>0</v>
      </c>
      <c r="V84" s="39">
        <f>'Working Capital'!V75</f>
        <v>0</v>
      </c>
      <c r="W84" s="39">
        <f>'Working Capital'!W75</f>
        <v>0</v>
      </c>
      <c r="X84" s="39">
        <f>'Working Capital'!X75</f>
        <v>0</v>
      </c>
      <c r="Y84" s="39">
        <f>'Working Capital'!Y75</f>
        <v>0</v>
      </c>
      <c r="Z84" s="39">
        <f>'Working Capital'!Z75</f>
        <v>0</v>
      </c>
      <c r="AA84" s="39">
        <f>'Working Capital'!AA75</f>
        <v>0</v>
      </c>
      <c r="AB84" s="39">
        <f>'Working Capital'!AB75</f>
        <v>0</v>
      </c>
      <c r="AC84" s="39">
        <f>'Working Capital'!AC75</f>
        <v>0</v>
      </c>
      <c r="AD84" s="39">
        <f>'Working Capital'!AD75</f>
        <v>0</v>
      </c>
      <c r="AE84" s="39">
        <f>'Working Capital'!AE75</f>
        <v>0</v>
      </c>
      <c r="AF84" s="39">
        <f>'Working Capital'!AF75</f>
        <v>0</v>
      </c>
      <c r="AG84" s="39">
        <f>'Working Capital'!AG75</f>
        <v>0</v>
      </c>
      <c r="AH84" s="39">
        <f>'Working Capital'!AH75</f>
        <v>0</v>
      </c>
      <c r="AI84" s="39">
        <f>'Working Capital'!AI75</f>
        <v>0</v>
      </c>
      <c r="AJ84" s="39">
        <f>'Working Capital'!AJ75</f>
        <v>0</v>
      </c>
      <c r="AK84" s="39">
        <f>'Working Capital'!AK75</f>
        <v>0</v>
      </c>
      <c r="AL84" s="39">
        <f>'Working Capital'!AL75</f>
        <v>0</v>
      </c>
      <c r="AM84" s="39">
        <f>'Working Capital'!AM75</f>
        <v>0</v>
      </c>
      <c r="AN84" s="39">
        <f>'Working Capital'!AN75</f>
        <v>0</v>
      </c>
      <c r="AO84" s="39">
        <f>'Working Capital'!AO75</f>
        <v>0</v>
      </c>
      <c r="AP84" s="39">
        <f>'Working Capital'!AP75</f>
        <v>0</v>
      </c>
      <c r="AQ84" s="39">
        <f>'Working Capital'!AQ75</f>
        <v>0</v>
      </c>
      <c r="AR84" s="39">
        <f>'Working Capital'!AR75</f>
        <v>0</v>
      </c>
      <c r="AS84" s="39">
        <f>'Working Capital'!AS75</f>
        <v>0</v>
      </c>
      <c r="AT84" s="39">
        <f>'Working Capital'!AT75</f>
        <v>0</v>
      </c>
      <c r="AU84" s="39">
        <f>'Working Capital'!AU75</f>
        <v>0</v>
      </c>
      <c r="AV84" s="39">
        <f>'Working Capital'!AV75</f>
        <v>0</v>
      </c>
      <c r="AW84" s="39">
        <f>'Working Capital'!AW75</f>
        <v>0</v>
      </c>
      <c r="AX84" s="39">
        <f>'Working Capital'!AX75</f>
        <v>0</v>
      </c>
      <c r="AY84" s="39">
        <f>'Working Capital'!AY75</f>
        <v>0</v>
      </c>
      <c r="AZ84" s="39">
        <f>'Working Capital'!AZ75</f>
        <v>0</v>
      </c>
      <c r="BA84" s="39">
        <f>'Working Capital'!BA75</f>
        <v>0</v>
      </c>
      <c r="BB84" s="39">
        <f>'Working Capital'!BB75</f>
        <v>0</v>
      </c>
      <c r="BC84" s="39">
        <f>'Working Capital'!BC75</f>
        <v>0</v>
      </c>
      <c r="BD84" s="39">
        <f>'Working Capital'!BD75</f>
        <v>0</v>
      </c>
      <c r="BE84" s="39">
        <f>'Working Capital'!BE75</f>
        <v>0</v>
      </c>
      <c r="BF84" s="39">
        <f>'Working Capital'!BF75</f>
        <v>0</v>
      </c>
      <c r="BG84" s="39">
        <f>'Working Capital'!BG75</f>
        <v>0</v>
      </c>
      <c r="BH84" s="39">
        <f>'Working Capital'!BH75</f>
        <v>0</v>
      </c>
      <c r="BI84" s="39">
        <f>'Working Capital'!BI75</f>
        <v>0</v>
      </c>
      <c r="BJ84" s="39">
        <f>'Working Capital'!BJ75</f>
        <v>0</v>
      </c>
      <c r="BK84" s="39">
        <f>'Working Capital'!BK75</f>
        <v>0</v>
      </c>
      <c r="BL84" s="39">
        <f>'Working Capital'!BL75</f>
        <v>0</v>
      </c>
      <c r="BM84" s="39">
        <f>'Working Capital'!BM75</f>
        <v>0</v>
      </c>
      <c r="BN84" s="39">
        <f>'Working Capital'!BN75</f>
        <v>0</v>
      </c>
      <c r="BO84" s="39">
        <f>'Working Capital'!BO75</f>
        <v>0</v>
      </c>
      <c r="BP84" s="39">
        <f>'Working Capital'!BP75</f>
        <v>0</v>
      </c>
      <c r="BQ84" s="39">
        <f>'Working Capital'!BQ75</f>
        <v>0</v>
      </c>
    </row>
    <row r="85" spans="2:69">
      <c r="B85" s="13"/>
      <c r="C85" s="25" t="s">
        <v>76</v>
      </c>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row>
    <row r="86" spans="2:69">
      <c r="B86" s="13"/>
      <c r="C86" s="25" t="s">
        <v>75</v>
      </c>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row>
    <row r="87" spans="2:69">
      <c r="B87" s="13"/>
      <c r="C87" s="43" t="s">
        <v>77</v>
      </c>
      <c r="D87" s="9"/>
      <c r="E87" s="9"/>
      <c r="F87" s="9"/>
      <c r="G87" s="9"/>
      <c r="H87" s="9"/>
      <c r="I87" s="9"/>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row>
    <row r="88" spans="2:69">
      <c r="B88" s="14"/>
      <c r="C88" s="3" t="s">
        <v>31</v>
      </c>
      <c r="J88" s="39">
        <f>SUM(J80:J87)</f>
        <v>8912.75</v>
      </c>
      <c r="K88" s="39">
        <f t="shared" ref="K88:BE88" si="51">SUM(K80:K87)</f>
        <v>29969.25</v>
      </c>
      <c r="L88" s="39">
        <f t="shared" si="51"/>
        <v>22314.25</v>
      </c>
      <c r="M88" s="39">
        <f t="shared" si="51"/>
        <v>94849.25</v>
      </c>
      <c r="N88" s="39">
        <f t="shared" si="51"/>
        <v>97472.48</v>
      </c>
      <c r="O88" s="39">
        <f t="shared" si="51"/>
        <v>215944.28</v>
      </c>
      <c r="P88" s="39">
        <f t="shared" si="51"/>
        <v>262845.15999999997</v>
      </c>
      <c r="Q88" s="39">
        <f t="shared" si="51"/>
        <v>152695.79999999999</v>
      </c>
      <c r="R88" s="39">
        <f t="shared" si="51"/>
        <v>66823.750833333339</v>
      </c>
      <c r="S88" s="39">
        <f t="shared" si="51"/>
        <v>66623.939016203702</v>
      </c>
      <c r="T88" s="39">
        <f t="shared" si="51"/>
        <v>77873.98640255272</v>
      </c>
      <c r="U88" s="39">
        <f t="shared" si="51"/>
        <v>101441.58796663121</v>
      </c>
      <c r="V88" s="39">
        <f t="shared" si="51"/>
        <v>105442.02447268565</v>
      </c>
      <c r="W88" s="39">
        <f t="shared" si="51"/>
        <v>194898.52604899043</v>
      </c>
      <c r="X88" s="39">
        <f t="shared" si="51"/>
        <v>203861.79616598622</v>
      </c>
      <c r="Y88" s="39">
        <f t="shared" si="51"/>
        <v>219400.94519213904</v>
      </c>
      <c r="Z88" s="39">
        <f t="shared" si="51"/>
        <v>238936.93340010915</v>
      </c>
      <c r="AA88" s="39">
        <f t="shared" si="51"/>
        <v>252118.73148055404</v>
      </c>
      <c r="AB88" s="39">
        <f t="shared" si="51"/>
        <v>278165.99122943671</v>
      </c>
      <c r="AC88" s="39">
        <f t="shared" si="51"/>
        <v>300180.54387181334</v>
      </c>
      <c r="AD88" s="39">
        <f t="shared" si="51"/>
        <v>285554.37230733596</v>
      </c>
      <c r="AE88" s="39">
        <f t="shared" si="51"/>
        <v>315878.12816239812</v>
      </c>
      <c r="AF88" s="39">
        <f t="shared" si="51"/>
        <v>352120.16696996673</v>
      </c>
      <c r="AG88" s="39">
        <f t="shared" si="51"/>
        <v>321992.29073652823</v>
      </c>
      <c r="AH88" s="39">
        <f t="shared" si="51"/>
        <v>415916.86540643719</v>
      </c>
      <c r="AI88" s="39">
        <f t="shared" si="51"/>
        <v>495410.0662790772</v>
      </c>
      <c r="AJ88" s="39">
        <f t="shared" si="51"/>
        <v>499373.16921834613</v>
      </c>
      <c r="AK88" s="39">
        <f t="shared" si="51"/>
        <v>591232.30413122661</v>
      </c>
      <c r="AL88" s="39">
        <f t="shared" si="51"/>
        <v>689326.91741947364</v>
      </c>
      <c r="AM88" s="39">
        <f t="shared" si="51"/>
        <v>669682.77493167389</v>
      </c>
      <c r="AN88" s="39">
        <f t="shared" si="51"/>
        <v>785175.75509354146</v>
      </c>
      <c r="AO88" s="39">
        <f t="shared" si="51"/>
        <v>899919.03638758953</v>
      </c>
      <c r="AP88" s="39">
        <f t="shared" si="51"/>
        <v>875574.3631520241</v>
      </c>
      <c r="AQ88" s="39">
        <f t="shared" si="51"/>
        <v>1008888.2922363144</v>
      </c>
      <c r="AR88" s="39">
        <f t="shared" si="51"/>
        <v>1151255.3827467179</v>
      </c>
      <c r="AS88" s="39">
        <f t="shared" si="51"/>
        <v>1115946.9780174065</v>
      </c>
      <c r="AT88" s="39">
        <f t="shared" si="51"/>
        <v>1326492.1308840173</v>
      </c>
      <c r="AU88" s="39">
        <f t="shared" si="51"/>
        <v>1519092.6560293885</v>
      </c>
      <c r="AV88" s="39">
        <f t="shared" si="51"/>
        <v>1500533.5775956565</v>
      </c>
      <c r="AW88" s="39">
        <f t="shared" si="51"/>
        <v>1713619.1234072361</v>
      </c>
      <c r="AX88" s="39">
        <f t="shared" si="51"/>
        <v>1932183.3939457326</v>
      </c>
      <c r="AY88" s="39">
        <f t="shared" si="51"/>
        <v>1877825.4800030685</v>
      </c>
      <c r="AZ88" s="39">
        <f t="shared" si="51"/>
        <v>2115685.8142418554</v>
      </c>
      <c r="BA88" s="39">
        <f t="shared" si="51"/>
        <v>2361981.1050626133</v>
      </c>
      <c r="BB88" s="39">
        <f t="shared" si="51"/>
        <v>1718232.5747097787</v>
      </c>
      <c r="BC88" s="39">
        <f t="shared" si="51"/>
        <v>1984390.5939276421</v>
      </c>
      <c r="BD88" s="39">
        <f t="shared" si="51"/>
        <v>2258918.8759118849</v>
      </c>
      <c r="BE88" s="39">
        <f t="shared" si="51"/>
        <v>2187548.0484769186</v>
      </c>
      <c r="BF88" s="39">
        <f t="shared" ref="BF88:BQ88" si="52">SUM(BF80:BF87)</f>
        <v>2515903.2931461539</v>
      </c>
      <c r="BG88" s="39">
        <f t="shared" si="52"/>
        <v>2821192.6487063039</v>
      </c>
      <c r="BH88" s="39">
        <f t="shared" si="52"/>
        <v>2742551.1995202829</v>
      </c>
      <c r="BI88" s="39">
        <f t="shared" si="52"/>
        <v>3068848.1989302742</v>
      </c>
      <c r="BJ88" s="39">
        <f t="shared" si="52"/>
        <v>3405582.3248412465</v>
      </c>
      <c r="BK88" s="39">
        <f t="shared" si="52"/>
        <v>3316915.4613447981</v>
      </c>
      <c r="BL88" s="39">
        <f t="shared" si="52"/>
        <v>3674955.5297729895</v>
      </c>
      <c r="BM88" s="39">
        <f t="shared" si="52"/>
        <v>4044140.4945864864</v>
      </c>
      <c r="BN88" s="39">
        <f t="shared" si="52"/>
        <v>2565616.3511052802</v>
      </c>
      <c r="BO88" s="39">
        <f t="shared" si="52"/>
        <v>2956815.1095332596</v>
      </c>
      <c r="BP88" s="39">
        <f t="shared" si="52"/>
        <v>3359158.7643467602</v>
      </c>
      <c r="BQ88" s="39">
        <f t="shared" si="52"/>
        <v>3249506.1533655543</v>
      </c>
    </row>
    <row r="89" spans="2:69">
      <c r="B89" s="13"/>
      <c r="C89" s="22"/>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c r="BF89" s="39"/>
      <c r="BG89" s="39"/>
      <c r="BH89" s="39"/>
      <c r="BI89" s="39"/>
      <c r="BJ89" s="39"/>
      <c r="BK89" s="39"/>
      <c r="BL89" s="39"/>
      <c r="BM89" s="39"/>
      <c r="BN89" s="39"/>
      <c r="BO89" s="39"/>
      <c r="BP89" s="39"/>
      <c r="BQ89" s="39"/>
    </row>
    <row r="90" spans="2:69">
      <c r="B90" s="13"/>
      <c r="C90" s="3" t="s">
        <v>32</v>
      </c>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row>
    <row r="91" spans="2:69">
      <c r="B91" s="13"/>
      <c r="C91" s="13" t="s">
        <v>74</v>
      </c>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row>
    <row r="92" spans="2:69">
      <c r="B92" s="13"/>
      <c r="C92" s="46" t="s">
        <v>75</v>
      </c>
      <c r="D92" s="9"/>
      <c r="E92" s="9"/>
      <c r="F92" s="9"/>
      <c r="G92" s="9"/>
      <c r="H92" s="9"/>
      <c r="I92" s="9"/>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42"/>
      <c r="BE92" s="42"/>
      <c r="BF92" s="42"/>
      <c r="BG92" s="42"/>
      <c r="BH92" s="42"/>
      <c r="BI92" s="42"/>
      <c r="BJ92" s="42"/>
      <c r="BK92" s="42"/>
      <c r="BL92" s="42"/>
      <c r="BM92" s="42"/>
      <c r="BN92" s="42"/>
      <c r="BO92" s="42"/>
      <c r="BP92" s="42"/>
      <c r="BQ92" s="42"/>
    </row>
    <row r="93" spans="2:69">
      <c r="B93" s="14"/>
      <c r="C93" s="3" t="s">
        <v>33</v>
      </c>
      <c r="J93" s="39">
        <f>SUM(J91:J92)</f>
        <v>0</v>
      </c>
      <c r="K93" s="39">
        <f t="shared" ref="K93:BE93" si="53">SUM(K91:K92)</f>
        <v>0</v>
      </c>
      <c r="L93" s="39">
        <f t="shared" si="53"/>
        <v>0</v>
      </c>
      <c r="M93" s="39">
        <f t="shared" si="53"/>
        <v>0</v>
      </c>
      <c r="N93" s="39">
        <f t="shared" si="53"/>
        <v>0</v>
      </c>
      <c r="O93" s="39">
        <f t="shared" si="53"/>
        <v>0</v>
      </c>
      <c r="P93" s="39">
        <f t="shared" si="53"/>
        <v>0</v>
      </c>
      <c r="Q93" s="39">
        <f t="shared" si="53"/>
        <v>0</v>
      </c>
      <c r="R93" s="39">
        <f t="shared" si="53"/>
        <v>0</v>
      </c>
      <c r="S93" s="39">
        <f t="shared" si="53"/>
        <v>0</v>
      </c>
      <c r="T93" s="39">
        <f t="shared" si="53"/>
        <v>0</v>
      </c>
      <c r="U93" s="39">
        <f t="shared" si="53"/>
        <v>0</v>
      </c>
      <c r="V93" s="39">
        <f t="shared" si="53"/>
        <v>0</v>
      </c>
      <c r="W93" s="39">
        <f t="shared" si="53"/>
        <v>0</v>
      </c>
      <c r="X93" s="39">
        <f t="shared" si="53"/>
        <v>0</v>
      </c>
      <c r="Y93" s="39">
        <f t="shared" si="53"/>
        <v>0</v>
      </c>
      <c r="Z93" s="39">
        <f t="shared" si="53"/>
        <v>0</v>
      </c>
      <c r="AA93" s="39">
        <f t="shared" si="53"/>
        <v>0</v>
      </c>
      <c r="AB93" s="39">
        <f t="shared" si="53"/>
        <v>0</v>
      </c>
      <c r="AC93" s="39">
        <f t="shared" si="53"/>
        <v>0</v>
      </c>
      <c r="AD93" s="39">
        <f t="shared" si="53"/>
        <v>0</v>
      </c>
      <c r="AE93" s="39">
        <f t="shared" si="53"/>
        <v>0</v>
      </c>
      <c r="AF93" s="39">
        <f t="shared" si="53"/>
        <v>0</v>
      </c>
      <c r="AG93" s="39">
        <f t="shared" si="53"/>
        <v>0</v>
      </c>
      <c r="AH93" s="39">
        <f t="shared" si="53"/>
        <v>0</v>
      </c>
      <c r="AI93" s="39">
        <f t="shared" si="53"/>
        <v>0</v>
      </c>
      <c r="AJ93" s="39">
        <f t="shared" si="53"/>
        <v>0</v>
      </c>
      <c r="AK93" s="39">
        <f t="shared" si="53"/>
        <v>0</v>
      </c>
      <c r="AL93" s="39">
        <f t="shared" si="53"/>
        <v>0</v>
      </c>
      <c r="AM93" s="39">
        <f t="shared" si="53"/>
        <v>0</v>
      </c>
      <c r="AN93" s="39">
        <f t="shared" si="53"/>
        <v>0</v>
      </c>
      <c r="AO93" s="39">
        <f t="shared" si="53"/>
        <v>0</v>
      </c>
      <c r="AP93" s="39">
        <f t="shared" si="53"/>
        <v>0</v>
      </c>
      <c r="AQ93" s="39">
        <f t="shared" si="53"/>
        <v>0</v>
      </c>
      <c r="AR93" s="39">
        <f t="shared" si="53"/>
        <v>0</v>
      </c>
      <c r="AS93" s="39">
        <f t="shared" si="53"/>
        <v>0</v>
      </c>
      <c r="AT93" s="39">
        <f t="shared" si="53"/>
        <v>0</v>
      </c>
      <c r="AU93" s="39">
        <f t="shared" si="53"/>
        <v>0</v>
      </c>
      <c r="AV93" s="39">
        <f t="shared" si="53"/>
        <v>0</v>
      </c>
      <c r="AW93" s="39">
        <f t="shared" si="53"/>
        <v>0</v>
      </c>
      <c r="AX93" s="39">
        <f t="shared" si="53"/>
        <v>0</v>
      </c>
      <c r="AY93" s="39">
        <f t="shared" si="53"/>
        <v>0</v>
      </c>
      <c r="AZ93" s="39">
        <f t="shared" si="53"/>
        <v>0</v>
      </c>
      <c r="BA93" s="39">
        <f t="shared" si="53"/>
        <v>0</v>
      </c>
      <c r="BB93" s="39">
        <f t="shared" si="53"/>
        <v>0</v>
      </c>
      <c r="BC93" s="39">
        <f t="shared" si="53"/>
        <v>0</v>
      </c>
      <c r="BD93" s="39">
        <f t="shared" si="53"/>
        <v>0</v>
      </c>
      <c r="BE93" s="39">
        <f t="shared" si="53"/>
        <v>0</v>
      </c>
      <c r="BF93" s="39">
        <f t="shared" ref="BF93:BQ93" si="54">SUM(BF91:BF92)</f>
        <v>0</v>
      </c>
      <c r="BG93" s="39">
        <f t="shared" si="54"/>
        <v>0</v>
      </c>
      <c r="BH93" s="39">
        <f t="shared" si="54"/>
        <v>0</v>
      </c>
      <c r="BI93" s="39">
        <f t="shared" si="54"/>
        <v>0</v>
      </c>
      <c r="BJ93" s="39">
        <f t="shared" si="54"/>
        <v>0</v>
      </c>
      <c r="BK93" s="39">
        <f t="shared" si="54"/>
        <v>0</v>
      </c>
      <c r="BL93" s="39">
        <f t="shared" si="54"/>
        <v>0</v>
      </c>
      <c r="BM93" s="39">
        <f t="shared" si="54"/>
        <v>0</v>
      </c>
      <c r="BN93" s="39">
        <f t="shared" si="54"/>
        <v>0</v>
      </c>
      <c r="BO93" s="39">
        <f t="shared" si="54"/>
        <v>0</v>
      </c>
      <c r="BP93" s="39">
        <f t="shared" si="54"/>
        <v>0</v>
      </c>
      <c r="BQ93" s="39">
        <f t="shared" si="54"/>
        <v>0</v>
      </c>
    </row>
    <row r="94" spans="2:69">
      <c r="B94" s="13"/>
      <c r="C94" s="22"/>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c r="BF94" s="39"/>
      <c r="BG94" s="39"/>
      <c r="BH94" s="39"/>
      <c r="BI94" s="39"/>
      <c r="BJ94" s="39"/>
      <c r="BK94" s="39"/>
      <c r="BL94" s="39"/>
      <c r="BM94" s="39"/>
      <c r="BN94" s="39"/>
      <c r="BO94" s="39"/>
      <c r="BP94" s="39"/>
      <c r="BQ94" s="39"/>
    </row>
    <row r="95" spans="2:69">
      <c r="B95" s="13"/>
      <c r="C95" s="26" t="s">
        <v>171</v>
      </c>
      <c r="J95" s="39">
        <f>'Working Capital'!J81</f>
        <v>0</v>
      </c>
      <c r="K95" s="39">
        <f>'Working Capital'!K81</f>
        <v>0</v>
      </c>
      <c r="L95" s="39">
        <f>'Working Capital'!L81</f>
        <v>0</v>
      </c>
      <c r="M95" s="39">
        <f>'Working Capital'!M81</f>
        <v>0</v>
      </c>
      <c r="N95" s="39">
        <f>'Working Capital'!N81</f>
        <v>0</v>
      </c>
      <c r="O95" s="39">
        <f>'Working Capital'!O81</f>
        <v>0</v>
      </c>
      <c r="P95" s="39">
        <f>'Working Capital'!P81</f>
        <v>0</v>
      </c>
      <c r="Q95" s="39">
        <f>'Working Capital'!Q81</f>
        <v>0</v>
      </c>
      <c r="R95" s="39">
        <f>'Working Capital'!R81</f>
        <v>0</v>
      </c>
      <c r="S95" s="39">
        <f>'Working Capital'!S81</f>
        <v>0</v>
      </c>
      <c r="T95" s="39">
        <f>'Working Capital'!T81</f>
        <v>0</v>
      </c>
      <c r="U95" s="39">
        <f>'Working Capital'!U81</f>
        <v>0</v>
      </c>
      <c r="V95" s="39">
        <f>'Working Capital'!V81</f>
        <v>0</v>
      </c>
      <c r="W95" s="39">
        <f>'Working Capital'!W81</f>
        <v>0</v>
      </c>
      <c r="X95" s="39">
        <f>'Working Capital'!X81</f>
        <v>0</v>
      </c>
      <c r="Y95" s="39">
        <f>'Working Capital'!Y81</f>
        <v>0</v>
      </c>
      <c r="Z95" s="39">
        <f>'Working Capital'!Z81</f>
        <v>0</v>
      </c>
      <c r="AA95" s="39">
        <f>'Working Capital'!AA81</f>
        <v>0</v>
      </c>
      <c r="AB95" s="39">
        <f>'Working Capital'!AB81</f>
        <v>0</v>
      </c>
      <c r="AC95" s="39">
        <f>'Working Capital'!AC81</f>
        <v>0</v>
      </c>
      <c r="AD95" s="39">
        <f>'Working Capital'!AD81</f>
        <v>0</v>
      </c>
      <c r="AE95" s="39">
        <f>'Working Capital'!AE81</f>
        <v>0</v>
      </c>
      <c r="AF95" s="39">
        <f>'Working Capital'!AF81</f>
        <v>0</v>
      </c>
      <c r="AG95" s="39">
        <f>'Working Capital'!AG81</f>
        <v>0</v>
      </c>
      <c r="AH95" s="39">
        <f>'Working Capital'!AH81</f>
        <v>0</v>
      </c>
      <c r="AI95" s="39">
        <f>'Working Capital'!AI81</f>
        <v>0</v>
      </c>
      <c r="AJ95" s="39">
        <f>'Working Capital'!AJ81</f>
        <v>0</v>
      </c>
      <c r="AK95" s="39">
        <f>'Working Capital'!AK81</f>
        <v>0</v>
      </c>
      <c r="AL95" s="39">
        <f>'Working Capital'!AL81</f>
        <v>0</v>
      </c>
      <c r="AM95" s="39">
        <f>'Working Capital'!AM81</f>
        <v>0</v>
      </c>
      <c r="AN95" s="39">
        <f>'Working Capital'!AN81</f>
        <v>0</v>
      </c>
      <c r="AO95" s="39">
        <f>'Working Capital'!AO81</f>
        <v>0</v>
      </c>
      <c r="AP95" s="39">
        <f>'Working Capital'!AP81</f>
        <v>0</v>
      </c>
      <c r="AQ95" s="39">
        <f>'Working Capital'!AQ81</f>
        <v>0</v>
      </c>
      <c r="AR95" s="39">
        <f>'Working Capital'!AR81</f>
        <v>0</v>
      </c>
      <c r="AS95" s="39">
        <f>'Working Capital'!AS81</f>
        <v>0</v>
      </c>
      <c r="AT95" s="39">
        <f>'Working Capital'!AT81</f>
        <v>0</v>
      </c>
      <c r="AU95" s="39">
        <f>'Working Capital'!AU81</f>
        <v>0</v>
      </c>
      <c r="AV95" s="39">
        <f>'Working Capital'!AV81</f>
        <v>0</v>
      </c>
      <c r="AW95" s="39">
        <f>'Working Capital'!AW81</f>
        <v>0</v>
      </c>
      <c r="AX95" s="39">
        <f>'Working Capital'!AX81</f>
        <v>0</v>
      </c>
      <c r="AY95" s="39">
        <f>'Working Capital'!AY81</f>
        <v>0</v>
      </c>
      <c r="AZ95" s="39">
        <f>'Working Capital'!AZ81</f>
        <v>0</v>
      </c>
      <c r="BA95" s="39">
        <f>'Working Capital'!BA81</f>
        <v>0</v>
      </c>
      <c r="BB95" s="39">
        <f>'Working Capital'!BB81</f>
        <v>0</v>
      </c>
      <c r="BC95" s="39">
        <f>'Working Capital'!BC81</f>
        <v>0</v>
      </c>
      <c r="BD95" s="39">
        <f>'Working Capital'!BD81</f>
        <v>0</v>
      </c>
      <c r="BE95" s="39">
        <f>'Working Capital'!BE81</f>
        <v>0</v>
      </c>
      <c r="BF95" s="39">
        <f>'Working Capital'!BF81</f>
        <v>0</v>
      </c>
      <c r="BG95" s="39">
        <f>'Working Capital'!BG81</f>
        <v>0</v>
      </c>
      <c r="BH95" s="39">
        <f>'Working Capital'!BH81</f>
        <v>0</v>
      </c>
      <c r="BI95" s="39">
        <f>'Working Capital'!BI81</f>
        <v>0</v>
      </c>
      <c r="BJ95" s="39">
        <f>'Working Capital'!BJ81</f>
        <v>0</v>
      </c>
      <c r="BK95" s="39">
        <f>'Working Capital'!BK81</f>
        <v>0</v>
      </c>
      <c r="BL95" s="39">
        <f>'Working Capital'!BL81</f>
        <v>0</v>
      </c>
      <c r="BM95" s="39">
        <f>'Working Capital'!BM81</f>
        <v>0</v>
      </c>
      <c r="BN95" s="39">
        <f>'Working Capital'!BN81</f>
        <v>0</v>
      </c>
      <c r="BO95" s="39">
        <f>'Working Capital'!BO81</f>
        <v>0</v>
      </c>
      <c r="BP95" s="39">
        <f>'Working Capital'!BP81</f>
        <v>0</v>
      </c>
      <c r="BQ95" s="39">
        <f>'Working Capital'!BQ81</f>
        <v>0</v>
      </c>
    </row>
    <row r="96" spans="2:69">
      <c r="B96" s="13"/>
      <c r="C96" s="22"/>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row>
    <row r="97" spans="1:69" s="90" customFormat="1">
      <c r="B97" s="92"/>
      <c r="C97" s="94" t="s">
        <v>34</v>
      </c>
      <c r="J97" s="108">
        <f>J88+J93+J95</f>
        <v>8912.75</v>
      </c>
      <c r="K97" s="108">
        <f t="shared" ref="K97:BE97" si="55">K88+K93+K95</f>
        <v>29969.25</v>
      </c>
      <c r="L97" s="108">
        <f t="shared" si="55"/>
        <v>22314.25</v>
      </c>
      <c r="M97" s="108">
        <f t="shared" si="55"/>
        <v>94849.25</v>
      </c>
      <c r="N97" s="108">
        <f t="shared" si="55"/>
        <v>97472.48</v>
      </c>
      <c r="O97" s="108">
        <f t="shared" si="55"/>
        <v>215944.28</v>
      </c>
      <c r="P97" s="108">
        <f t="shared" si="55"/>
        <v>262845.15999999997</v>
      </c>
      <c r="Q97" s="108">
        <f t="shared" si="55"/>
        <v>152695.79999999999</v>
      </c>
      <c r="R97" s="108">
        <f t="shared" si="55"/>
        <v>66823.750833333339</v>
      </c>
      <c r="S97" s="108">
        <f t="shared" si="55"/>
        <v>66623.939016203702</v>
      </c>
      <c r="T97" s="108">
        <f t="shared" si="55"/>
        <v>77873.98640255272</v>
      </c>
      <c r="U97" s="108">
        <f t="shared" si="55"/>
        <v>101441.58796663121</v>
      </c>
      <c r="V97" s="108">
        <f t="shared" si="55"/>
        <v>105442.02447268565</v>
      </c>
      <c r="W97" s="108">
        <f t="shared" si="55"/>
        <v>194898.52604899043</v>
      </c>
      <c r="X97" s="108">
        <f t="shared" si="55"/>
        <v>203861.79616598622</v>
      </c>
      <c r="Y97" s="108">
        <f t="shared" si="55"/>
        <v>219400.94519213904</v>
      </c>
      <c r="Z97" s="108">
        <f t="shared" si="55"/>
        <v>238936.93340010915</v>
      </c>
      <c r="AA97" s="108">
        <f t="shared" si="55"/>
        <v>252118.73148055404</v>
      </c>
      <c r="AB97" s="108">
        <f t="shared" si="55"/>
        <v>278165.99122943671</v>
      </c>
      <c r="AC97" s="108">
        <f t="shared" si="55"/>
        <v>300180.54387181334</v>
      </c>
      <c r="AD97" s="108">
        <f t="shared" si="55"/>
        <v>285554.37230733596</v>
      </c>
      <c r="AE97" s="108">
        <f t="shared" si="55"/>
        <v>315878.12816239812</v>
      </c>
      <c r="AF97" s="108">
        <f t="shared" si="55"/>
        <v>352120.16696996673</v>
      </c>
      <c r="AG97" s="108">
        <f t="shared" si="55"/>
        <v>321992.29073652823</v>
      </c>
      <c r="AH97" s="108">
        <f t="shared" si="55"/>
        <v>415916.86540643719</v>
      </c>
      <c r="AI97" s="108">
        <f t="shared" si="55"/>
        <v>495410.0662790772</v>
      </c>
      <c r="AJ97" s="108">
        <f t="shared" si="55"/>
        <v>499373.16921834613</v>
      </c>
      <c r="AK97" s="108">
        <f t="shared" si="55"/>
        <v>591232.30413122661</v>
      </c>
      <c r="AL97" s="108">
        <f t="shared" si="55"/>
        <v>689326.91741947364</v>
      </c>
      <c r="AM97" s="108">
        <f t="shared" si="55"/>
        <v>669682.77493167389</v>
      </c>
      <c r="AN97" s="108">
        <f t="shared" si="55"/>
        <v>785175.75509354146</v>
      </c>
      <c r="AO97" s="108">
        <f t="shared" si="55"/>
        <v>899919.03638758953</v>
      </c>
      <c r="AP97" s="108">
        <f t="shared" si="55"/>
        <v>875574.3631520241</v>
      </c>
      <c r="AQ97" s="108">
        <f t="shared" si="55"/>
        <v>1008888.2922363144</v>
      </c>
      <c r="AR97" s="108">
        <f t="shared" si="55"/>
        <v>1151255.3827467179</v>
      </c>
      <c r="AS97" s="108">
        <f t="shared" si="55"/>
        <v>1115946.9780174065</v>
      </c>
      <c r="AT97" s="108">
        <f t="shared" si="55"/>
        <v>1326492.1308840173</v>
      </c>
      <c r="AU97" s="108">
        <f t="shared" si="55"/>
        <v>1519092.6560293885</v>
      </c>
      <c r="AV97" s="108">
        <f t="shared" si="55"/>
        <v>1500533.5775956565</v>
      </c>
      <c r="AW97" s="108">
        <f t="shared" si="55"/>
        <v>1713619.1234072361</v>
      </c>
      <c r="AX97" s="108">
        <f t="shared" si="55"/>
        <v>1932183.3939457326</v>
      </c>
      <c r="AY97" s="108">
        <f t="shared" si="55"/>
        <v>1877825.4800030685</v>
      </c>
      <c r="AZ97" s="108">
        <f t="shared" si="55"/>
        <v>2115685.8142418554</v>
      </c>
      <c r="BA97" s="108">
        <f t="shared" si="55"/>
        <v>2361981.1050626133</v>
      </c>
      <c r="BB97" s="108">
        <f t="shared" si="55"/>
        <v>1718232.5747097787</v>
      </c>
      <c r="BC97" s="108">
        <f t="shared" si="55"/>
        <v>1984390.5939276421</v>
      </c>
      <c r="BD97" s="108">
        <f t="shared" si="55"/>
        <v>2258918.8759118849</v>
      </c>
      <c r="BE97" s="108">
        <f t="shared" si="55"/>
        <v>2187548.0484769186</v>
      </c>
      <c r="BF97" s="108">
        <f t="shared" ref="BF97:BQ97" si="56">BF88+BF93+BF95</f>
        <v>2515903.2931461539</v>
      </c>
      <c r="BG97" s="108">
        <f t="shared" si="56"/>
        <v>2821192.6487063039</v>
      </c>
      <c r="BH97" s="108">
        <f t="shared" si="56"/>
        <v>2742551.1995202829</v>
      </c>
      <c r="BI97" s="108">
        <f t="shared" si="56"/>
        <v>3068848.1989302742</v>
      </c>
      <c r="BJ97" s="108">
        <f t="shared" si="56"/>
        <v>3405582.3248412465</v>
      </c>
      <c r="BK97" s="108">
        <f t="shared" si="56"/>
        <v>3316915.4613447981</v>
      </c>
      <c r="BL97" s="108">
        <f t="shared" si="56"/>
        <v>3674955.5297729895</v>
      </c>
      <c r="BM97" s="108">
        <f t="shared" si="56"/>
        <v>4044140.4945864864</v>
      </c>
      <c r="BN97" s="108">
        <f t="shared" si="56"/>
        <v>2565616.3511052802</v>
      </c>
      <c r="BO97" s="108">
        <f t="shared" si="56"/>
        <v>2956815.1095332596</v>
      </c>
      <c r="BP97" s="108">
        <f t="shared" si="56"/>
        <v>3359158.7643467602</v>
      </c>
      <c r="BQ97" s="108">
        <f t="shared" si="56"/>
        <v>3249506.1533655543</v>
      </c>
    </row>
    <row r="98" spans="1:69">
      <c r="B98" s="13"/>
      <c r="C98" s="45"/>
      <c r="D98" s="9"/>
      <c r="E98" s="9"/>
      <c r="F98" s="9"/>
      <c r="G98" s="9"/>
      <c r="H98" s="9"/>
      <c r="I98" s="9"/>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row>
    <row r="99" spans="1:69">
      <c r="B99" s="14"/>
      <c r="C99" s="3" t="s">
        <v>35</v>
      </c>
      <c r="J99" s="32">
        <f>J77-J97</f>
        <v>6842.25</v>
      </c>
      <c r="K99" s="32">
        <f t="shared" ref="K99:BE99" si="57">K77-K97</f>
        <v>35745.75</v>
      </c>
      <c r="L99" s="32">
        <f t="shared" si="57"/>
        <v>9342.75</v>
      </c>
      <c r="M99" s="32">
        <f t="shared" si="57"/>
        <v>7077.75</v>
      </c>
      <c r="N99" s="32">
        <f t="shared" si="57"/>
        <v>-523</v>
      </c>
      <c r="O99" s="32">
        <f t="shared" si="57"/>
        <v>13054.5</v>
      </c>
      <c r="P99" s="32">
        <f t="shared" si="57"/>
        <v>34361.25</v>
      </c>
      <c r="Q99" s="32">
        <f t="shared" si="57"/>
        <v>2540.2500000000291</v>
      </c>
      <c r="R99" s="32">
        <f t="shared" si="57"/>
        <v>-4260.9999999999709</v>
      </c>
      <c r="S99" s="32">
        <f t="shared" si="57"/>
        <v>-66769.791666666642</v>
      </c>
      <c r="T99" s="32">
        <f>T77-T97</f>
        <v>-121664.70833333331</v>
      </c>
      <c r="U99" s="32">
        <f t="shared" si="57"/>
        <v>-158418.16666666666</v>
      </c>
      <c r="V99" s="32">
        <f t="shared" si="57"/>
        <v>-200243.91666666666</v>
      </c>
      <c r="W99" s="32">
        <f t="shared" si="57"/>
        <v>-257959.24999999994</v>
      </c>
      <c r="X99" s="32">
        <f t="shared" si="57"/>
        <v>-294821.25</v>
      </c>
      <c r="Y99" s="32">
        <f t="shared" si="57"/>
        <v>-295817.83333333337</v>
      </c>
      <c r="Z99" s="32">
        <f t="shared" si="57"/>
        <v>-289635.25000000012</v>
      </c>
      <c r="AA99" s="32">
        <f t="shared" si="57"/>
        <v>-276487.25000000006</v>
      </c>
      <c r="AB99" s="32">
        <f t="shared" si="57"/>
        <v>-256749.6666666668</v>
      </c>
      <c r="AC99" s="32">
        <f t="shared" si="57"/>
        <v>-226732.91666666669</v>
      </c>
      <c r="AD99" s="32">
        <f t="shared" si="57"/>
        <v>-185750.75000000012</v>
      </c>
      <c r="AE99" s="32">
        <f t="shared" si="57"/>
        <v>-134689.4166666668</v>
      </c>
      <c r="AF99" s="32">
        <f t="shared" si="57"/>
        <v>-74438.500000000116</v>
      </c>
      <c r="AG99" s="32">
        <f t="shared" si="57"/>
        <v>-3222.1666666668607</v>
      </c>
      <c r="AH99" s="32">
        <f t="shared" si="57"/>
        <v>84131.645833333139</v>
      </c>
      <c r="AI99" s="32">
        <f t="shared" si="57"/>
        <v>182477.08333333326</v>
      </c>
      <c r="AJ99" s="32">
        <f t="shared" si="57"/>
        <v>291317.58333333314</v>
      </c>
      <c r="AK99" s="32">
        <f t="shared" si="57"/>
        <v>408524.70833333326</v>
      </c>
      <c r="AL99" s="32">
        <f t="shared" si="57"/>
        <v>536658.77083333326</v>
      </c>
      <c r="AM99" s="32">
        <f t="shared" si="57"/>
        <v>675409.45833333349</v>
      </c>
      <c r="AN99" s="32">
        <f t="shared" si="57"/>
        <v>825105.20833333326</v>
      </c>
      <c r="AO99" s="32">
        <f t="shared" si="57"/>
        <v>986617.58333333326</v>
      </c>
      <c r="AP99" s="32">
        <f t="shared" si="57"/>
        <v>1159506.8958333333</v>
      </c>
      <c r="AQ99" s="32">
        <f t="shared" si="57"/>
        <v>1343462.8333333333</v>
      </c>
      <c r="AR99" s="32">
        <f t="shared" si="57"/>
        <v>1539113.833333333</v>
      </c>
      <c r="AS99" s="32">
        <f t="shared" si="57"/>
        <v>1743256.458333333</v>
      </c>
      <c r="AT99" s="32">
        <f t="shared" si="57"/>
        <v>2007809.7583333333</v>
      </c>
      <c r="AU99" s="32">
        <f t="shared" si="57"/>
        <v>2287263.7270833328</v>
      </c>
      <c r="AV99" s="32">
        <f t="shared" si="57"/>
        <v>2581178.677083333</v>
      </c>
      <c r="AW99" s="32">
        <f t="shared" si="57"/>
        <v>2887725.5458333325</v>
      </c>
      <c r="AX99" s="32">
        <f t="shared" si="57"/>
        <v>3209108.3958333326</v>
      </c>
      <c r="AY99" s="32">
        <f t="shared" si="57"/>
        <v>3545016.9145833328</v>
      </c>
      <c r="AZ99" s="32">
        <f t="shared" si="57"/>
        <v>3896009.6645833328</v>
      </c>
      <c r="BA99" s="32">
        <f t="shared" si="57"/>
        <v>4262836.6458333321</v>
      </c>
      <c r="BB99" s="32">
        <f t="shared" si="57"/>
        <v>4645187.5458333325</v>
      </c>
      <c r="BC99" s="32">
        <f t="shared" si="57"/>
        <v>5042622.6770833312</v>
      </c>
      <c r="BD99" s="32">
        <f t="shared" si="57"/>
        <v>5455956.727083331</v>
      </c>
      <c r="BE99" s="32">
        <f t="shared" si="57"/>
        <v>5884750.0083333319</v>
      </c>
      <c r="BF99" s="32">
        <f t="shared" ref="BF99:BQ99" si="58">BF77-BF97</f>
        <v>6326986.8333333321</v>
      </c>
      <c r="BG99" s="32">
        <f t="shared" si="58"/>
        <v>6786169.395833334</v>
      </c>
      <c r="BH99" s="32">
        <f t="shared" si="58"/>
        <v>7262297.6958333328</v>
      </c>
      <c r="BI99" s="32">
        <f t="shared" si="58"/>
        <v>7755436.4208333325</v>
      </c>
      <c r="BJ99" s="32">
        <f t="shared" si="58"/>
        <v>8265520.8833333347</v>
      </c>
      <c r="BK99" s="32">
        <f t="shared" si="58"/>
        <v>8792551.0833333321</v>
      </c>
      <c r="BL99" s="32">
        <f t="shared" si="58"/>
        <v>9337771.458333334</v>
      </c>
      <c r="BM99" s="32">
        <f t="shared" si="58"/>
        <v>9901117.3208333347</v>
      </c>
      <c r="BN99" s="32">
        <f t="shared" si="58"/>
        <v>10482588.670833334</v>
      </c>
      <c r="BO99" s="32">
        <f t="shared" si="58"/>
        <v>11082250.195833333</v>
      </c>
      <c r="BP99" s="32">
        <f t="shared" si="58"/>
        <v>11700037.208333334</v>
      </c>
      <c r="BQ99" s="32">
        <f t="shared" si="58"/>
        <v>12336014.395833334</v>
      </c>
    </row>
    <row r="100" spans="1:69">
      <c r="B100" s="13"/>
      <c r="C100" s="22"/>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row>
    <row r="101" spans="1:69">
      <c r="B101" s="13"/>
      <c r="C101" s="3" t="s">
        <v>36</v>
      </c>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row>
    <row r="102" spans="1:69">
      <c r="B102" s="13"/>
      <c r="C102" s="13" t="s">
        <v>78</v>
      </c>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c r="BF102" s="39"/>
      <c r="BG102" s="39"/>
      <c r="BH102" s="39"/>
      <c r="BI102" s="39"/>
      <c r="BJ102" s="39"/>
      <c r="BK102" s="39"/>
      <c r="BL102" s="39"/>
      <c r="BM102" s="39"/>
      <c r="BN102" s="39"/>
      <c r="BO102" s="39"/>
      <c r="BP102" s="39"/>
      <c r="BQ102" s="39"/>
    </row>
    <row r="103" spans="1:69">
      <c r="B103" s="13"/>
      <c r="C103" s="25" t="s">
        <v>79</v>
      </c>
      <c r="J103" s="32">
        <f>J61</f>
        <v>6842.25</v>
      </c>
      <c r="K103" s="32">
        <f t="shared" ref="K103:BE103" si="59">K61</f>
        <v>35745.75</v>
      </c>
      <c r="L103" s="32">
        <f t="shared" si="59"/>
        <v>9342.75</v>
      </c>
      <c r="M103" s="32">
        <f t="shared" si="59"/>
        <v>7077.75</v>
      </c>
      <c r="N103" s="32">
        <f t="shared" si="59"/>
        <v>-523</v>
      </c>
      <c r="O103" s="32">
        <f t="shared" si="59"/>
        <v>13054.5</v>
      </c>
      <c r="P103" s="32">
        <f t="shared" si="59"/>
        <v>34361.25</v>
      </c>
      <c r="Q103" s="32">
        <f t="shared" si="59"/>
        <v>2540.25</v>
      </c>
      <c r="R103" s="32">
        <f t="shared" si="59"/>
        <v>-4261</v>
      </c>
      <c r="S103" s="32">
        <f t="shared" si="59"/>
        <v>-66769.791666666686</v>
      </c>
      <c r="T103" s="32">
        <f>T61</f>
        <v>-121664.70833333334</v>
      </c>
      <c r="U103" s="32">
        <f t="shared" si="59"/>
        <v>-158418.16666666669</v>
      </c>
      <c r="V103" s="32">
        <f t="shared" si="59"/>
        <v>-200243.91666666669</v>
      </c>
      <c r="W103" s="32">
        <f t="shared" si="59"/>
        <v>-257959.25000000003</v>
      </c>
      <c r="X103" s="32">
        <f t="shared" si="59"/>
        <v>-294821.25000000006</v>
      </c>
      <c r="Y103" s="32">
        <f t="shared" si="59"/>
        <v>-295817.83333333337</v>
      </c>
      <c r="Z103" s="32">
        <f t="shared" si="59"/>
        <v>-289635.25000000006</v>
      </c>
      <c r="AA103" s="32">
        <f t="shared" si="59"/>
        <v>-276487.25000000006</v>
      </c>
      <c r="AB103" s="32">
        <f t="shared" si="59"/>
        <v>-256749.66666666672</v>
      </c>
      <c r="AC103" s="32">
        <f t="shared" si="59"/>
        <v>-226732.91666666672</v>
      </c>
      <c r="AD103" s="32">
        <f t="shared" si="59"/>
        <v>-185750.75000000006</v>
      </c>
      <c r="AE103" s="32">
        <f t="shared" si="59"/>
        <v>-134689.41666666672</v>
      </c>
      <c r="AF103" s="32">
        <f t="shared" si="59"/>
        <v>-74438.500000000044</v>
      </c>
      <c r="AG103" s="32">
        <f t="shared" si="59"/>
        <v>-3222.1666666667006</v>
      </c>
      <c r="AH103" s="32">
        <f t="shared" si="59"/>
        <v>84131.645833333299</v>
      </c>
      <c r="AI103" s="32">
        <f t="shared" si="59"/>
        <v>182477.08333333326</v>
      </c>
      <c r="AJ103" s="32">
        <f t="shared" si="59"/>
        <v>291317.58333333326</v>
      </c>
      <c r="AK103" s="32">
        <f t="shared" si="59"/>
        <v>408524.70833333326</v>
      </c>
      <c r="AL103" s="32">
        <f t="shared" si="59"/>
        <v>536658.77083333326</v>
      </c>
      <c r="AM103" s="32">
        <f t="shared" si="59"/>
        <v>675409.45833333326</v>
      </c>
      <c r="AN103" s="32">
        <f t="shared" si="59"/>
        <v>825105.20833333326</v>
      </c>
      <c r="AO103" s="32">
        <f t="shared" si="59"/>
        <v>986617.58333333326</v>
      </c>
      <c r="AP103" s="32">
        <f t="shared" si="59"/>
        <v>1159506.8958333333</v>
      </c>
      <c r="AQ103" s="32">
        <f t="shared" si="59"/>
        <v>1343462.8333333333</v>
      </c>
      <c r="AR103" s="32">
        <f t="shared" si="59"/>
        <v>1539113.8333333333</v>
      </c>
      <c r="AS103" s="32">
        <f t="shared" si="59"/>
        <v>1743256.4583333333</v>
      </c>
      <c r="AT103" s="32">
        <f t="shared" si="59"/>
        <v>2007809.7583333333</v>
      </c>
      <c r="AU103" s="32">
        <f t="shared" si="59"/>
        <v>2287263.7270833333</v>
      </c>
      <c r="AV103" s="32">
        <f t="shared" si="59"/>
        <v>2581178.6770833335</v>
      </c>
      <c r="AW103" s="32">
        <f t="shared" si="59"/>
        <v>2887725.5458333334</v>
      </c>
      <c r="AX103" s="32">
        <f t="shared" si="59"/>
        <v>3209108.3958333335</v>
      </c>
      <c r="AY103" s="32">
        <f t="shared" si="59"/>
        <v>3545016.9145833333</v>
      </c>
      <c r="AZ103" s="32">
        <f t="shared" si="59"/>
        <v>3896009.6645833333</v>
      </c>
      <c r="BA103" s="32">
        <f t="shared" si="59"/>
        <v>4262836.645833333</v>
      </c>
      <c r="BB103" s="32">
        <f>BB61</f>
        <v>4645187.5458333334</v>
      </c>
      <c r="BC103" s="32">
        <f t="shared" si="59"/>
        <v>5042622.677083334</v>
      </c>
      <c r="BD103" s="32">
        <f t="shared" si="59"/>
        <v>5455956.7270833338</v>
      </c>
      <c r="BE103" s="32">
        <f t="shared" si="59"/>
        <v>5884750.0083333338</v>
      </c>
      <c r="BF103" s="32">
        <f t="shared" ref="BF103:BQ103" si="60">BF61</f>
        <v>6326986.833333334</v>
      </c>
      <c r="BG103" s="32">
        <f t="shared" si="60"/>
        <v>6786169.395833334</v>
      </c>
      <c r="BH103" s="32">
        <f t="shared" si="60"/>
        <v>7262297.6958333338</v>
      </c>
      <c r="BI103" s="32">
        <f t="shared" si="60"/>
        <v>7755436.4208333343</v>
      </c>
      <c r="BJ103" s="32">
        <f t="shared" si="60"/>
        <v>8265520.8833333347</v>
      </c>
      <c r="BK103" s="32">
        <f t="shared" si="60"/>
        <v>8792551.083333334</v>
      </c>
      <c r="BL103" s="32">
        <f t="shared" si="60"/>
        <v>9337771.458333334</v>
      </c>
      <c r="BM103" s="32">
        <f t="shared" si="60"/>
        <v>9901117.3208333347</v>
      </c>
      <c r="BN103" s="32">
        <f t="shared" si="60"/>
        <v>10482588.670833334</v>
      </c>
      <c r="BO103" s="32">
        <f t="shared" si="60"/>
        <v>11082250.195833335</v>
      </c>
      <c r="BP103" s="32">
        <f t="shared" si="60"/>
        <v>11700037.208333336</v>
      </c>
      <c r="BQ103" s="32">
        <f t="shared" si="60"/>
        <v>12336014.395833336</v>
      </c>
    </row>
    <row r="104" spans="1:69">
      <c r="B104" s="13"/>
      <c r="C104" s="25" t="s">
        <v>77</v>
      </c>
    </row>
    <row r="105" spans="1:69" s="90" customFormat="1">
      <c r="B105" s="87"/>
      <c r="C105" s="86" t="s">
        <v>37</v>
      </c>
      <c r="J105" s="106">
        <f>SUM(J102:J104)</f>
        <v>6842.25</v>
      </c>
      <c r="K105" s="106">
        <f t="shared" ref="K105:BE105" si="61">SUM(K102:K104)</f>
        <v>35745.75</v>
      </c>
      <c r="L105" s="106">
        <f t="shared" si="61"/>
        <v>9342.75</v>
      </c>
      <c r="M105" s="106">
        <f t="shared" si="61"/>
        <v>7077.75</v>
      </c>
      <c r="N105" s="106">
        <f t="shared" si="61"/>
        <v>-523</v>
      </c>
      <c r="O105" s="106">
        <f t="shared" si="61"/>
        <v>13054.5</v>
      </c>
      <c r="P105" s="106">
        <f t="shared" si="61"/>
        <v>34361.25</v>
      </c>
      <c r="Q105" s="106">
        <f t="shared" si="61"/>
        <v>2540.25</v>
      </c>
      <c r="R105" s="106">
        <f t="shared" si="61"/>
        <v>-4261</v>
      </c>
      <c r="S105" s="106">
        <f t="shared" si="61"/>
        <v>-66769.791666666686</v>
      </c>
      <c r="T105" s="106">
        <f>SUM(T102:T104)</f>
        <v>-121664.70833333334</v>
      </c>
      <c r="U105" s="106">
        <f t="shared" si="61"/>
        <v>-158418.16666666669</v>
      </c>
      <c r="V105" s="106">
        <f t="shared" si="61"/>
        <v>-200243.91666666669</v>
      </c>
      <c r="W105" s="106">
        <f t="shared" si="61"/>
        <v>-257959.25000000003</v>
      </c>
      <c r="X105" s="106">
        <f t="shared" si="61"/>
        <v>-294821.25000000006</v>
      </c>
      <c r="Y105" s="106">
        <f t="shared" si="61"/>
        <v>-295817.83333333337</v>
      </c>
      <c r="Z105" s="106">
        <f t="shared" si="61"/>
        <v>-289635.25000000006</v>
      </c>
      <c r="AA105" s="106">
        <f t="shared" si="61"/>
        <v>-276487.25000000006</v>
      </c>
      <c r="AB105" s="106">
        <f t="shared" si="61"/>
        <v>-256749.66666666672</v>
      </c>
      <c r="AC105" s="106">
        <f t="shared" si="61"/>
        <v>-226732.91666666672</v>
      </c>
      <c r="AD105" s="106">
        <f t="shared" si="61"/>
        <v>-185750.75000000006</v>
      </c>
      <c r="AE105" s="106">
        <f t="shared" si="61"/>
        <v>-134689.41666666672</v>
      </c>
      <c r="AF105" s="106">
        <f t="shared" si="61"/>
        <v>-74438.500000000044</v>
      </c>
      <c r="AG105" s="106">
        <f t="shared" si="61"/>
        <v>-3222.1666666667006</v>
      </c>
      <c r="AH105" s="106">
        <f t="shared" si="61"/>
        <v>84131.645833333299</v>
      </c>
      <c r="AI105" s="106">
        <f t="shared" si="61"/>
        <v>182477.08333333326</v>
      </c>
      <c r="AJ105" s="106">
        <f t="shared" si="61"/>
        <v>291317.58333333326</v>
      </c>
      <c r="AK105" s="106">
        <f t="shared" si="61"/>
        <v>408524.70833333326</v>
      </c>
      <c r="AL105" s="106">
        <f t="shared" si="61"/>
        <v>536658.77083333326</v>
      </c>
      <c r="AM105" s="106">
        <f t="shared" si="61"/>
        <v>675409.45833333326</v>
      </c>
      <c r="AN105" s="106">
        <f t="shared" si="61"/>
        <v>825105.20833333326</v>
      </c>
      <c r="AO105" s="106">
        <f t="shared" si="61"/>
        <v>986617.58333333326</v>
      </c>
      <c r="AP105" s="106">
        <f t="shared" si="61"/>
        <v>1159506.8958333333</v>
      </c>
      <c r="AQ105" s="106">
        <f t="shared" si="61"/>
        <v>1343462.8333333333</v>
      </c>
      <c r="AR105" s="106">
        <f t="shared" si="61"/>
        <v>1539113.8333333333</v>
      </c>
      <c r="AS105" s="106">
        <f t="shared" si="61"/>
        <v>1743256.4583333333</v>
      </c>
      <c r="AT105" s="106">
        <f t="shared" si="61"/>
        <v>2007809.7583333333</v>
      </c>
      <c r="AU105" s="106">
        <f t="shared" si="61"/>
        <v>2287263.7270833333</v>
      </c>
      <c r="AV105" s="106">
        <f t="shared" si="61"/>
        <v>2581178.6770833335</v>
      </c>
      <c r="AW105" s="106">
        <f t="shared" si="61"/>
        <v>2887725.5458333334</v>
      </c>
      <c r="AX105" s="106">
        <f t="shared" si="61"/>
        <v>3209108.3958333335</v>
      </c>
      <c r="AY105" s="106">
        <f t="shared" si="61"/>
        <v>3545016.9145833333</v>
      </c>
      <c r="AZ105" s="106">
        <f t="shared" si="61"/>
        <v>3896009.6645833333</v>
      </c>
      <c r="BA105" s="106">
        <f t="shared" si="61"/>
        <v>4262836.645833333</v>
      </c>
      <c r="BB105" s="106">
        <f t="shared" si="61"/>
        <v>4645187.5458333334</v>
      </c>
      <c r="BC105" s="106">
        <f t="shared" si="61"/>
        <v>5042622.677083334</v>
      </c>
      <c r="BD105" s="106">
        <f t="shared" si="61"/>
        <v>5455956.7270833338</v>
      </c>
      <c r="BE105" s="106">
        <f t="shared" si="61"/>
        <v>5884750.0083333338</v>
      </c>
      <c r="BF105" s="106">
        <f t="shared" ref="BF105:BQ105" si="62">SUM(BF102:BF104)</f>
        <v>6326986.833333334</v>
      </c>
      <c r="BG105" s="106">
        <f t="shared" si="62"/>
        <v>6786169.395833334</v>
      </c>
      <c r="BH105" s="106">
        <f t="shared" si="62"/>
        <v>7262297.6958333338</v>
      </c>
      <c r="BI105" s="106">
        <f t="shared" si="62"/>
        <v>7755436.4208333343</v>
      </c>
      <c r="BJ105" s="106">
        <f t="shared" si="62"/>
        <v>8265520.8833333347</v>
      </c>
      <c r="BK105" s="106">
        <f t="shared" si="62"/>
        <v>8792551.083333334</v>
      </c>
      <c r="BL105" s="106">
        <f t="shared" si="62"/>
        <v>9337771.458333334</v>
      </c>
      <c r="BM105" s="106">
        <f t="shared" si="62"/>
        <v>9901117.3208333347</v>
      </c>
      <c r="BN105" s="106">
        <f t="shared" si="62"/>
        <v>10482588.670833334</v>
      </c>
      <c r="BO105" s="106">
        <f t="shared" si="62"/>
        <v>11082250.195833335</v>
      </c>
      <c r="BP105" s="106">
        <f t="shared" si="62"/>
        <v>11700037.208333336</v>
      </c>
      <c r="BQ105" s="106">
        <f t="shared" si="62"/>
        <v>12336014.395833336</v>
      </c>
    </row>
    <row r="106" spans="1:69">
      <c r="B106" s="13"/>
      <c r="C106" s="22"/>
    </row>
    <row r="107" spans="1:69">
      <c r="B107" s="13"/>
      <c r="C107" s="22" t="s">
        <v>38</v>
      </c>
      <c r="J107" s="32">
        <f>J105-J99</f>
        <v>0</v>
      </c>
      <c r="K107" s="32">
        <f t="shared" ref="K107:BE107" si="63">K105-K99</f>
        <v>0</v>
      </c>
      <c r="L107" s="32">
        <f t="shared" si="63"/>
        <v>0</v>
      </c>
      <c r="M107" s="32">
        <f t="shared" si="63"/>
        <v>0</v>
      </c>
      <c r="N107" s="32">
        <f t="shared" si="63"/>
        <v>0</v>
      </c>
      <c r="O107" s="32">
        <f t="shared" si="63"/>
        <v>0</v>
      </c>
      <c r="P107" s="32">
        <f t="shared" si="63"/>
        <v>0</v>
      </c>
      <c r="Q107" s="32">
        <f t="shared" si="63"/>
        <v>-2.9103830456733704E-11</v>
      </c>
      <c r="R107" s="32">
        <f t="shared" si="63"/>
        <v>-2.9103830456733704E-11</v>
      </c>
      <c r="S107" s="32">
        <f t="shared" si="63"/>
        <v>0</v>
      </c>
      <c r="T107" s="32">
        <f>T105-T99</f>
        <v>0</v>
      </c>
      <c r="U107" s="32">
        <f t="shared" si="63"/>
        <v>0</v>
      </c>
      <c r="V107" s="32">
        <f t="shared" si="63"/>
        <v>0</v>
      </c>
      <c r="W107" s="32">
        <f t="shared" si="63"/>
        <v>0</v>
      </c>
      <c r="X107" s="32">
        <f t="shared" si="63"/>
        <v>0</v>
      </c>
      <c r="Y107" s="32">
        <f t="shared" si="63"/>
        <v>0</v>
      </c>
      <c r="Z107" s="32">
        <f t="shared" si="63"/>
        <v>0</v>
      </c>
      <c r="AA107" s="32">
        <f t="shared" si="63"/>
        <v>0</v>
      </c>
      <c r="AB107" s="32">
        <f t="shared" si="63"/>
        <v>0</v>
      </c>
      <c r="AC107" s="32">
        <f t="shared" si="63"/>
        <v>0</v>
      </c>
      <c r="AD107" s="32">
        <f t="shared" si="63"/>
        <v>0</v>
      </c>
      <c r="AE107" s="32">
        <f t="shared" si="63"/>
        <v>0</v>
      </c>
      <c r="AF107" s="32">
        <f t="shared" si="63"/>
        <v>0</v>
      </c>
      <c r="AG107" s="32">
        <f t="shared" si="63"/>
        <v>1.6007106751203537E-10</v>
      </c>
      <c r="AH107" s="32">
        <f t="shared" si="63"/>
        <v>1.6007106751203537E-10</v>
      </c>
      <c r="AI107" s="32">
        <f t="shared" si="63"/>
        <v>0</v>
      </c>
      <c r="AJ107" s="32">
        <f t="shared" si="63"/>
        <v>0</v>
      </c>
      <c r="AK107" s="32">
        <f t="shared" si="63"/>
        <v>0</v>
      </c>
      <c r="AL107" s="32">
        <f t="shared" si="63"/>
        <v>0</v>
      </c>
      <c r="AM107" s="32">
        <f t="shared" si="63"/>
        <v>0</v>
      </c>
      <c r="AN107" s="32">
        <f t="shared" si="63"/>
        <v>0</v>
      </c>
      <c r="AO107" s="32">
        <f t="shared" si="63"/>
        <v>0</v>
      </c>
      <c r="AP107" s="32">
        <f t="shared" si="63"/>
        <v>0</v>
      </c>
      <c r="AQ107" s="32">
        <f t="shared" si="63"/>
        <v>0</v>
      </c>
      <c r="AR107" s="32">
        <f t="shared" si="63"/>
        <v>0</v>
      </c>
      <c r="AS107" s="32">
        <f t="shared" si="63"/>
        <v>0</v>
      </c>
      <c r="AT107" s="32">
        <f t="shared" si="63"/>
        <v>0</v>
      </c>
      <c r="AU107" s="32">
        <f t="shared" si="63"/>
        <v>0</v>
      </c>
      <c r="AV107" s="32">
        <f t="shared" si="63"/>
        <v>0</v>
      </c>
      <c r="AW107" s="32">
        <f t="shared" si="63"/>
        <v>0</v>
      </c>
      <c r="AX107" s="32">
        <f t="shared" si="63"/>
        <v>0</v>
      </c>
      <c r="AY107" s="32">
        <f t="shared" si="63"/>
        <v>0</v>
      </c>
      <c r="AZ107" s="32">
        <f t="shared" si="63"/>
        <v>0</v>
      </c>
      <c r="BA107" s="32">
        <f t="shared" si="63"/>
        <v>0</v>
      </c>
      <c r="BB107" s="32">
        <f t="shared" si="63"/>
        <v>0</v>
      </c>
      <c r="BC107" s="32">
        <f t="shared" si="63"/>
        <v>0</v>
      </c>
      <c r="BD107" s="32">
        <f t="shared" si="63"/>
        <v>0</v>
      </c>
      <c r="BE107" s="32">
        <f t="shared" si="63"/>
        <v>0</v>
      </c>
      <c r="BF107" s="32">
        <f>BF105-BF99</f>
        <v>0</v>
      </c>
      <c r="BG107" s="32">
        <f t="shared" ref="BG107:BQ107" si="64">BG105-BG99</f>
        <v>0</v>
      </c>
      <c r="BH107" s="32">
        <f t="shared" si="64"/>
        <v>0</v>
      </c>
      <c r="BI107" s="32">
        <f t="shared" si="64"/>
        <v>0</v>
      </c>
      <c r="BJ107" s="32">
        <f t="shared" si="64"/>
        <v>0</v>
      </c>
      <c r="BK107" s="32">
        <f t="shared" si="64"/>
        <v>0</v>
      </c>
      <c r="BL107" s="32">
        <f t="shared" si="64"/>
        <v>0</v>
      </c>
      <c r="BM107" s="32">
        <f t="shared" si="64"/>
        <v>0</v>
      </c>
      <c r="BN107" s="32">
        <f t="shared" si="64"/>
        <v>0</v>
      </c>
      <c r="BO107" s="32">
        <f t="shared" si="64"/>
        <v>0</v>
      </c>
      <c r="BP107" s="32">
        <f t="shared" si="64"/>
        <v>0</v>
      </c>
      <c r="BQ107" s="32">
        <f t="shared" si="64"/>
        <v>0</v>
      </c>
    </row>
    <row r="108" spans="1:69">
      <c r="B108" s="13"/>
      <c r="C108" s="22" t="s">
        <v>39</v>
      </c>
    </row>
    <row r="109" spans="1:69">
      <c r="B109" s="13"/>
      <c r="C109" s="22"/>
    </row>
    <row r="110" spans="1:69" s="120" customFormat="1" ht="14.4">
      <c r="A110" s="118"/>
      <c r="B110" s="142" t="s">
        <v>40</v>
      </c>
      <c r="C110" s="142"/>
      <c r="D110" s="118"/>
      <c r="E110" s="118"/>
      <c r="F110" s="118"/>
      <c r="G110" s="118"/>
      <c r="H110" s="118"/>
      <c r="I110" s="118"/>
      <c r="J110" s="119"/>
      <c r="K110" s="119"/>
      <c r="L110" s="119"/>
      <c r="M110" s="119"/>
      <c r="N110" s="119"/>
    </row>
    <row r="111" spans="1:69">
      <c r="B111" s="13"/>
      <c r="C111" s="13"/>
    </row>
    <row r="112" spans="1:69">
      <c r="B112" s="3" t="s">
        <v>223</v>
      </c>
      <c r="C112" s="14"/>
    </row>
    <row r="113" spans="2:69">
      <c r="C113" s="13"/>
    </row>
    <row r="114" spans="2:69">
      <c r="B114" s="3" t="s">
        <v>224</v>
      </c>
      <c r="C114" s="14"/>
      <c r="J114" s="32">
        <f>J42</f>
        <v>9123</v>
      </c>
      <c r="K114" s="32">
        <f t="shared" ref="K114:BE114" si="65">K42</f>
        <v>38538</v>
      </c>
      <c r="L114" s="32">
        <f t="shared" si="65"/>
        <v>-35204</v>
      </c>
      <c r="M114" s="32">
        <f t="shared" si="65"/>
        <v>-3020</v>
      </c>
      <c r="N114" s="32">
        <f t="shared" si="65"/>
        <v>-9960</v>
      </c>
      <c r="O114" s="32">
        <f t="shared" si="65"/>
        <v>17929</v>
      </c>
      <c r="P114" s="32">
        <f t="shared" si="65"/>
        <v>28409</v>
      </c>
      <c r="Q114" s="32">
        <f t="shared" si="65"/>
        <v>-42428</v>
      </c>
      <c r="R114" s="32">
        <f t="shared" si="65"/>
        <v>-7648</v>
      </c>
      <c r="S114" s="32">
        <f t="shared" si="65"/>
        <v>-62508.791666666679</v>
      </c>
      <c r="T114" s="32">
        <f t="shared" si="65"/>
        <v>-54894.916666666664</v>
      </c>
      <c r="U114" s="32">
        <f t="shared" si="65"/>
        <v>-36753.458333333328</v>
      </c>
      <c r="V114" s="32">
        <f t="shared" si="65"/>
        <v>-41825.749999999993</v>
      </c>
      <c r="W114" s="32">
        <f t="shared" si="65"/>
        <v>-57715.333333333343</v>
      </c>
      <c r="X114" s="32">
        <f t="shared" si="65"/>
        <v>-36862.000000000007</v>
      </c>
      <c r="Y114" s="32">
        <f t="shared" si="65"/>
        <v>-996.58333333334303</v>
      </c>
      <c r="Z114" s="32">
        <f t="shared" si="65"/>
        <v>6182.5833333333385</v>
      </c>
      <c r="AA114" s="32">
        <f t="shared" si="65"/>
        <v>13148.000000000005</v>
      </c>
      <c r="AB114" s="32">
        <f t="shared" si="65"/>
        <v>19737.583333333336</v>
      </c>
      <c r="AC114" s="32">
        <f t="shared" si="65"/>
        <v>30016.750000000004</v>
      </c>
      <c r="AD114" s="32">
        <f t="shared" si="65"/>
        <v>40982.166666666672</v>
      </c>
      <c r="AE114" s="32">
        <f t="shared" si="65"/>
        <v>51061.333333333336</v>
      </c>
      <c r="AF114" s="32">
        <f t="shared" si="65"/>
        <v>60250.916666666672</v>
      </c>
      <c r="AG114" s="32">
        <f t="shared" si="65"/>
        <v>71216.333333333343</v>
      </c>
      <c r="AH114" s="32">
        <f t="shared" si="65"/>
        <v>116471.75</v>
      </c>
      <c r="AI114" s="32">
        <f t="shared" si="65"/>
        <v>131127.24999999997</v>
      </c>
      <c r="AJ114" s="32">
        <f t="shared" si="65"/>
        <v>145120.66666666666</v>
      </c>
      <c r="AK114" s="32">
        <f t="shared" si="65"/>
        <v>156276.16666666666</v>
      </c>
      <c r="AL114" s="32">
        <f t="shared" si="65"/>
        <v>170845.41666666666</v>
      </c>
      <c r="AM114" s="32">
        <f t="shared" si="65"/>
        <v>185000.91666666666</v>
      </c>
      <c r="AN114" s="32">
        <f t="shared" si="65"/>
        <v>199594.33333333331</v>
      </c>
      <c r="AO114" s="32">
        <f t="shared" si="65"/>
        <v>215349.83333333331</v>
      </c>
      <c r="AP114" s="32">
        <f t="shared" si="65"/>
        <v>230519.08333333331</v>
      </c>
      <c r="AQ114" s="32">
        <f t="shared" si="65"/>
        <v>245274.58333333331</v>
      </c>
      <c r="AR114" s="32">
        <f t="shared" si="65"/>
        <v>260867.99999999997</v>
      </c>
      <c r="AS114" s="32">
        <f t="shared" si="65"/>
        <v>272190.16666666669</v>
      </c>
      <c r="AT114" s="32">
        <f t="shared" si="65"/>
        <v>352737.7333333334</v>
      </c>
      <c r="AU114" s="32">
        <f t="shared" si="65"/>
        <v>372605.29166666669</v>
      </c>
      <c r="AV114" s="32">
        <f t="shared" si="65"/>
        <v>391886.60000000003</v>
      </c>
      <c r="AW114" s="32">
        <f t="shared" si="65"/>
        <v>408729.15833333333</v>
      </c>
      <c r="AX114" s="32">
        <f t="shared" si="65"/>
        <v>428510.46666666673</v>
      </c>
      <c r="AY114" s="32">
        <f t="shared" si="65"/>
        <v>447878.02499999997</v>
      </c>
      <c r="AZ114" s="32">
        <f t="shared" si="65"/>
        <v>467990.33333333337</v>
      </c>
      <c r="BA114" s="32">
        <f t="shared" si="65"/>
        <v>489102.64166666655</v>
      </c>
      <c r="BB114" s="32">
        <f t="shared" si="65"/>
        <v>509801.2</v>
      </c>
      <c r="BC114" s="32">
        <f t="shared" si="65"/>
        <v>529913.50833333342</v>
      </c>
      <c r="BD114" s="32">
        <f t="shared" si="65"/>
        <v>551112.06666666665</v>
      </c>
      <c r="BE114" s="32">
        <f t="shared" si="65"/>
        <v>571724.375</v>
      </c>
      <c r="BF114" s="32">
        <f t="shared" ref="BF114:BQ114" si="66">BF42</f>
        <v>589649.10000000021</v>
      </c>
      <c r="BG114" s="32">
        <f t="shared" si="66"/>
        <v>612243.41666666674</v>
      </c>
      <c r="BH114" s="32">
        <f t="shared" si="66"/>
        <v>634837.73333333328</v>
      </c>
      <c r="BI114" s="32">
        <f t="shared" si="66"/>
        <v>657518.30000000016</v>
      </c>
      <c r="BJ114" s="32">
        <f t="shared" si="66"/>
        <v>680112.6166666667</v>
      </c>
      <c r="BK114" s="32">
        <f t="shared" si="66"/>
        <v>702706.93333333347</v>
      </c>
      <c r="BL114" s="32">
        <f t="shared" si="66"/>
        <v>726960.50000000012</v>
      </c>
      <c r="BM114" s="32">
        <f t="shared" si="66"/>
        <v>751127.81666666665</v>
      </c>
      <c r="BN114" s="32">
        <f t="shared" si="66"/>
        <v>775295.13333333342</v>
      </c>
      <c r="BO114" s="32">
        <f t="shared" si="66"/>
        <v>799548.70000000007</v>
      </c>
      <c r="BP114" s="32">
        <f t="shared" si="66"/>
        <v>823716.01666666684</v>
      </c>
      <c r="BQ114" s="32">
        <f t="shared" si="66"/>
        <v>847969.58333333326</v>
      </c>
    </row>
    <row r="115" spans="2:69">
      <c r="C115" s="13"/>
    </row>
    <row r="116" spans="2:69">
      <c r="B116" s="3" t="s">
        <v>225</v>
      </c>
      <c r="C116" s="14"/>
    </row>
    <row r="117" spans="2:69">
      <c r="B117" s="52" t="s">
        <v>226</v>
      </c>
      <c r="C117" s="13"/>
      <c r="J117" s="47">
        <f>J39</f>
        <v>0</v>
      </c>
      <c r="K117" s="47">
        <f t="shared" ref="K117:BE117" si="67">K39</f>
        <v>0</v>
      </c>
      <c r="L117" s="47">
        <f t="shared" si="67"/>
        <v>0</v>
      </c>
      <c r="M117" s="47">
        <f t="shared" si="67"/>
        <v>0</v>
      </c>
      <c r="N117" s="47">
        <f t="shared" si="67"/>
        <v>0</v>
      </c>
      <c r="O117" s="47">
        <f t="shared" si="67"/>
        <v>0</v>
      </c>
      <c r="P117" s="47">
        <f t="shared" si="67"/>
        <v>0</v>
      </c>
      <c r="Q117" s="47">
        <f t="shared" si="67"/>
        <v>0</v>
      </c>
      <c r="R117" s="47">
        <f t="shared" si="67"/>
        <v>0</v>
      </c>
      <c r="S117" s="47">
        <f t="shared" si="67"/>
        <v>51.458333333333336</v>
      </c>
      <c r="T117" s="47">
        <f t="shared" si="67"/>
        <v>384.58333333333331</v>
      </c>
      <c r="U117" s="47">
        <f t="shared" si="67"/>
        <v>641.875</v>
      </c>
      <c r="V117" s="47">
        <f t="shared" si="67"/>
        <v>899.16666666666674</v>
      </c>
      <c r="W117" s="47">
        <f t="shared" si="67"/>
        <v>1413.75</v>
      </c>
      <c r="X117" s="47">
        <f t="shared" si="67"/>
        <v>2004.1666666666667</v>
      </c>
      <c r="Y117" s="47">
        <f t="shared" si="67"/>
        <v>2518.75</v>
      </c>
      <c r="Z117" s="47">
        <f t="shared" si="67"/>
        <v>3033.333333333333</v>
      </c>
      <c r="AA117" s="47">
        <f t="shared" si="67"/>
        <v>3547.9166666666665</v>
      </c>
      <c r="AB117" s="47">
        <f t="shared" si="67"/>
        <v>4138.3333333333339</v>
      </c>
      <c r="AC117" s="47">
        <f t="shared" si="67"/>
        <v>4652.916666666667</v>
      </c>
      <c r="AD117" s="47">
        <f t="shared" si="67"/>
        <v>5167.5</v>
      </c>
      <c r="AE117" s="47">
        <f t="shared" si="67"/>
        <v>5682.083333333333</v>
      </c>
      <c r="AF117" s="47">
        <f t="shared" si="67"/>
        <v>6272.5</v>
      </c>
      <c r="AG117" s="47">
        <f t="shared" si="67"/>
        <v>6787.083333333333</v>
      </c>
      <c r="AH117" s="47">
        <f t="shared" si="67"/>
        <v>7404.583333333333</v>
      </c>
      <c r="AI117" s="47">
        <f t="shared" si="67"/>
        <v>8022.083333333333</v>
      </c>
      <c r="AJ117" s="47">
        <f t="shared" si="67"/>
        <v>8715.4166666666661</v>
      </c>
      <c r="AK117" s="47">
        <f t="shared" si="67"/>
        <v>9332.9166666666661</v>
      </c>
      <c r="AL117" s="47">
        <f t="shared" si="67"/>
        <v>9950.4166666666661</v>
      </c>
      <c r="AM117" s="47">
        <f t="shared" si="67"/>
        <v>10567.916666666666</v>
      </c>
      <c r="AN117" s="47">
        <f t="shared" si="67"/>
        <v>11261.25</v>
      </c>
      <c r="AO117" s="47">
        <f t="shared" si="67"/>
        <v>11878.75</v>
      </c>
      <c r="AP117" s="47">
        <f t="shared" si="67"/>
        <v>12496.25</v>
      </c>
      <c r="AQ117" s="47">
        <f t="shared" si="67"/>
        <v>13113.75</v>
      </c>
      <c r="AR117" s="47">
        <f t="shared" si="67"/>
        <v>13807.083333333334</v>
      </c>
      <c r="AS117" s="47">
        <f t="shared" si="67"/>
        <v>14424.583333333334</v>
      </c>
      <c r="AT117" s="47">
        <f t="shared" si="67"/>
        <v>15145</v>
      </c>
      <c r="AU117" s="47">
        <f t="shared" si="67"/>
        <v>15865.416666666668</v>
      </c>
      <c r="AV117" s="47">
        <f t="shared" si="67"/>
        <v>16585.833333333336</v>
      </c>
      <c r="AW117" s="47">
        <f t="shared" si="67"/>
        <v>17306.25</v>
      </c>
      <c r="AX117" s="47">
        <f t="shared" si="67"/>
        <v>18026.666666666664</v>
      </c>
      <c r="AY117" s="47">
        <f t="shared" si="67"/>
        <v>18747.083333333332</v>
      </c>
      <c r="AZ117" s="47">
        <f t="shared" si="67"/>
        <v>19467.5</v>
      </c>
      <c r="BA117" s="47">
        <f t="shared" si="67"/>
        <v>20187.916666666664</v>
      </c>
      <c r="BB117" s="47">
        <f t="shared" si="67"/>
        <v>20908.333333333332</v>
      </c>
      <c r="BC117" s="47">
        <f t="shared" si="67"/>
        <v>21628.75</v>
      </c>
      <c r="BD117" s="47">
        <f t="shared" si="67"/>
        <v>22349.166666666664</v>
      </c>
      <c r="BE117" s="47">
        <f t="shared" si="67"/>
        <v>23069.583333333332</v>
      </c>
      <c r="BF117" s="47">
        <f t="shared" ref="BF117:BQ117" si="68">BF39</f>
        <v>23892.916666666664</v>
      </c>
      <c r="BG117" s="47">
        <f t="shared" si="68"/>
        <v>24716.25</v>
      </c>
      <c r="BH117" s="47">
        <f t="shared" si="68"/>
        <v>25539.583333333332</v>
      </c>
      <c r="BI117" s="47">
        <f t="shared" si="68"/>
        <v>26362.916666666664</v>
      </c>
      <c r="BJ117" s="47">
        <f t="shared" si="68"/>
        <v>27186.25</v>
      </c>
      <c r="BK117" s="47">
        <f t="shared" si="68"/>
        <v>28009.583333333332</v>
      </c>
      <c r="BL117" s="47">
        <f t="shared" si="68"/>
        <v>28832.916666666664</v>
      </c>
      <c r="BM117" s="47">
        <f t="shared" si="68"/>
        <v>29656.25</v>
      </c>
      <c r="BN117" s="47">
        <f t="shared" si="68"/>
        <v>30479.583333333332</v>
      </c>
      <c r="BO117" s="47">
        <f t="shared" si="68"/>
        <v>31302.916666666664</v>
      </c>
      <c r="BP117" s="47">
        <f t="shared" si="68"/>
        <v>32126.25</v>
      </c>
      <c r="BQ117" s="47">
        <f t="shared" si="68"/>
        <v>32949.583333333328</v>
      </c>
    </row>
    <row r="118" spans="2:69">
      <c r="B118" s="67" t="s">
        <v>227</v>
      </c>
      <c r="C118" s="68"/>
      <c r="D118" s="66"/>
      <c r="E118" s="66"/>
      <c r="F118" s="66"/>
      <c r="G118" s="66"/>
      <c r="H118" s="66"/>
      <c r="I118" s="66"/>
      <c r="R118" s="64"/>
      <c r="S118" s="64">
        <f>'Fixed Assets'!S15</f>
        <v>0</v>
      </c>
      <c r="T118" s="64">
        <f>'Fixed Assets'!T15</f>
        <v>364.58333333333331</v>
      </c>
      <c r="U118" s="64">
        <f>'Fixed Assets'!U15</f>
        <v>729.16666666666663</v>
      </c>
      <c r="V118" s="64">
        <f>'Fixed Assets'!V15</f>
        <v>1093.75</v>
      </c>
      <c r="W118" s="64">
        <f>'Fixed Assets'!W15</f>
        <v>1458.3333333333333</v>
      </c>
      <c r="X118" s="64">
        <f>'Fixed Assets'!X15</f>
        <v>1458.3333333333333</v>
      </c>
      <c r="Y118" s="64">
        <f>'Fixed Assets'!Y15</f>
        <v>1458.3333333333333</v>
      </c>
      <c r="Z118" s="64">
        <f>'Fixed Assets'!Z15</f>
        <v>1458.3333333333333</v>
      </c>
      <c r="AA118" s="64">
        <f>'Fixed Assets'!AA15</f>
        <v>1458.3333333333333</v>
      </c>
      <c r="AB118" s="64">
        <f>'Fixed Assets'!AB15</f>
        <v>1458.3333333333333</v>
      </c>
      <c r="AC118" s="64">
        <f>'Fixed Assets'!AC15</f>
        <v>1458.3333333333333</v>
      </c>
      <c r="AD118" s="64">
        <f>'Fixed Assets'!AD15</f>
        <v>1458.3333333333333</v>
      </c>
      <c r="AE118" s="64">
        <f>'Fixed Assets'!AE15</f>
        <v>1458.3333333333333</v>
      </c>
      <c r="AF118" s="64">
        <f>'Fixed Assets'!AF15</f>
        <v>1458.3333333333333</v>
      </c>
      <c r="AG118" s="64">
        <f>'Fixed Assets'!AG15</f>
        <v>1458.3333333333333</v>
      </c>
      <c r="AH118" s="64">
        <f>'Fixed Assets'!AH15</f>
        <v>1458.3333333333333</v>
      </c>
      <c r="AI118" s="64">
        <f>'Fixed Assets'!AI15</f>
        <v>1458.3333333333333</v>
      </c>
      <c r="AJ118" s="64">
        <f>'Fixed Assets'!AJ15</f>
        <v>1458.3333333333333</v>
      </c>
      <c r="AK118" s="64">
        <f>'Fixed Assets'!AK15</f>
        <v>1458.3333333333333</v>
      </c>
      <c r="AL118" s="64">
        <f>'Fixed Assets'!AL15</f>
        <v>1458.3333333333333</v>
      </c>
      <c r="AM118" s="64">
        <f>'Fixed Assets'!AM15</f>
        <v>1458.3333333333333</v>
      </c>
      <c r="AN118" s="64">
        <f>'Fixed Assets'!AN15</f>
        <v>1458.3333333333333</v>
      </c>
      <c r="AO118" s="64">
        <f>'Fixed Assets'!AO15</f>
        <v>1458.3333333333333</v>
      </c>
      <c r="AP118" s="64">
        <f>'Fixed Assets'!AP15</f>
        <v>1458.3333333333333</v>
      </c>
      <c r="AQ118" s="64">
        <f>'Fixed Assets'!AQ15</f>
        <v>1458.3333333333333</v>
      </c>
      <c r="AR118" s="64">
        <f>'Fixed Assets'!AR15</f>
        <v>1458.3333333333333</v>
      </c>
      <c r="AS118" s="64">
        <f>'Fixed Assets'!AS15</f>
        <v>1458.3333333333333</v>
      </c>
      <c r="AT118" s="64">
        <f>'Fixed Assets'!AT15</f>
        <v>1458.3333333333333</v>
      </c>
      <c r="AU118" s="64">
        <f>'Fixed Assets'!AU15</f>
        <v>1458.3333333333333</v>
      </c>
      <c r="AV118" s="64">
        <f>'Fixed Assets'!AV15</f>
        <v>1458.3333333333333</v>
      </c>
      <c r="AW118" s="64">
        <f>'Fixed Assets'!AW15</f>
        <v>1458.3333333333333</v>
      </c>
      <c r="AX118" s="64">
        <f>'Fixed Assets'!AX15</f>
        <v>1458.3333333333333</v>
      </c>
      <c r="AY118" s="64">
        <f>'Fixed Assets'!AY15</f>
        <v>1458.3333333333333</v>
      </c>
      <c r="AZ118" s="64">
        <f>'Fixed Assets'!AZ15</f>
        <v>1458.3333333333333</v>
      </c>
      <c r="BA118" s="64">
        <f>'Fixed Assets'!BA15</f>
        <v>1458.3333333333333</v>
      </c>
      <c r="BB118" s="64">
        <f>'Fixed Assets'!BB15</f>
        <v>1458.3333333333333</v>
      </c>
      <c r="BC118" s="64">
        <f>'Fixed Assets'!BC15</f>
        <v>1458.3333333333333</v>
      </c>
      <c r="BD118" s="64">
        <f>'Fixed Assets'!BD15</f>
        <v>1458.3333333333333</v>
      </c>
      <c r="BE118" s="64">
        <f>'Fixed Assets'!BE15</f>
        <v>1458.3333333333333</v>
      </c>
      <c r="BF118" s="64">
        <f>'Fixed Assets'!BF15</f>
        <v>1458.3333333333333</v>
      </c>
      <c r="BG118" s="64">
        <f>'Fixed Assets'!BG15</f>
        <v>1458.3333333333333</v>
      </c>
      <c r="BH118" s="64">
        <f>'Fixed Assets'!BH15</f>
        <v>1458.3333333333333</v>
      </c>
      <c r="BI118" s="64">
        <f>'Fixed Assets'!BI15</f>
        <v>1458.3333333333333</v>
      </c>
      <c r="BJ118" s="64">
        <f>'Fixed Assets'!BJ15</f>
        <v>1458.3333333333333</v>
      </c>
      <c r="BK118" s="64">
        <f>'Fixed Assets'!BK15</f>
        <v>1458.3333333333333</v>
      </c>
      <c r="BL118" s="64">
        <f>'Fixed Assets'!BL15</f>
        <v>1458.3333333333333</v>
      </c>
      <c r="BM118" s="64">
        <f>'Fixed Assets'!BM15</f>
        <v>1458.3333333333333</v>
      </c>
      <c r="BN118" s="64">
        <f>'Fixed Assets'!BN15</f>
        <v>1458.3333333333333</v>
      </c>
      <c r="BO118" s="64">
        <f>'Fixed Assets'!BO15</f>
        <v>1458.3333333333333</v>
      </c>
      <c r="BP118" s="64">
        <f>'Fixed Assets'!BP15</f>
        <v>1458.3333333333333</v>
      </c>
      <c r="BQ118" s="64">
        <f>'Fixed Assets'!BQ15</f>
        <v>1458.3333333333333</v>
      </c>
    </row>
    <row r="119" spans="2:69">
      <c r="B119" s="56" t="s">
        <v>228</v>
      </c>
      <c r="C119" s="18"/>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row>
    <row r="120" spans="2:69">
      <c r="B120" s="53" t="s">
        <v>229</v>
      </c>
      <c r="C120" s="14"/>
      <c r="J120" s="32">
        <f>SUM(J114:J119)</f>
        <v>9123</v>
      </c>
      <c r="K120" s="32">
        <f t="shared" ref="K120:BE120" si="69">SUM(K114:K119)</f>
        <v>38538</v>
      </c>
      <c r="L120" s="32">
        <f t="shared" si="69"/>
        <v>-35204</v>
      </c>
      <c r="M120" s="32">
        <f t="shared" si="69"/>
        <v>-3020</v>
      </c>
      <c r="N120" s="32">
        <f t="shared" si="69"/>
        <v>-9960</v>
      </c>
      <c r="O120" s="32">
        <f t="shared" si="69"/>
        <v>17929</v>
      </c>
      <c r="P120" s="32">
        <f t="shared" si="69"/>
        <v>28409</v>
      </c>
      <c r="Q120" s="32">
        <f t="shared" si="69"/>
        <v>-42428</v>
      </c>
      <c r="R120" s="32">
        <f t="shared" si="69"/>
        <v>-7648</v>
      </c>
      <c r="S120" s="32">
        <f t="shared" si="69"/>
        <v>-62457.333333333343</v>
      </c>
      <c r="T120" s="32">
        <f t="shared" si="69"/>
        <v>-54145.749999999993</v>
      </c>
      <c r="U120" s="32">
        <f t="shared" si="69"/>
        <v>-35382.416666666664</v>
      </c>
      <c r="V120" s="32">
        <f t="shared" si="69"/>
        <v>-39832.833333333328</v>
      </c>
      <c r="W120" s="32">
        <f t="shared" si="69"/>
        <v>-54843.250000000007</v>
      </c>
      <c r="X120" s="32">
        <f t="shared" si="69"/>
        <v>-33399.500000000007</v>
      </c>
      <c r="Y120" s="32">
        <f t="shared" si="69"/>
        <v>2980.49999999999</v>
      </c>
      <c r="Z120" s="32">
        <f t="shared" si="69"/>
        <v>10674.250000000005</v>
      </c>
      <c r="AA120" s="32">
        <f t="shared" si="69"/>
        <v>18154.250000000004</v>
      </c>
      <c r="AB120" s="32">
        <f t="shared" si="69"/>
        <v>25334.250000000004</v>
      </c>
      <c r="AC120" s="32">
        <f t="shared" si="69"/>
        <v>36128.000000000007</v>
      </c>
      <c r="AD120" s="32">
        <f t="shared" si="69"/>
        <v>47608.000000000007</v>
      </c>
      <c r="AE120" s="32">
        <f t="shared" si="69"/>
        <v>58201.750000000007</v>
      </c>
      <c r="AF120" s="32">
        <f t="shared" si="69"/>
        <v>67981.75</v>
      </c>
      <c r="AG120" s="32">
        <f t="shared" si="69"/>
        <v>79461.75</v>
      </c>
      <c r="AH120" s="32">
        <f t="shared" si="69"/>
        <v>125334.66666666666</v>
      </c>
      <c r="AI120" s="32">
        <f t="shared" si="69"/>
        <v>140607.66666666666</v>
      </c>
      <c r="AJ120" s="32">
        <f t="shared" si="69"/>
        <v>155294.41666666666</v>
      </c>
      <c r="AK120" s="32">
        <f t="shared" si="69"/>
        <v>167067.41666666666</v>
      </c>
      <c r="AL120" s="32">
        <f t="shared" si="69"/>
        <v>182254.16666666666</v>
      </c>
      <c r="AM120" s="32">
        <f t="shared" si="69"/>
        <v>197027.16666666666</v>
      </c>
      <c r="AN120" s="32">
        <f t="shared" si="69"/>
        <v>212313.91666666666</v>
      </c>
      <c r="AO120" s="32">
        <f t="shared" si="69"/>
        <v>228686.91666666666</v>
      </c>
      <c r="AP120" s="32">
        <f t="shared" si="69"/>
        <v>244473.66666666666</v>
      </c>
      <c r="AQ120" s="32">
        <f t="shared" si="69"/>
        <v>259846.66666666666</v>
      </c>
      <c r="AR120" s="32">
        <f t="shared" si="69"/>
        <v>276133.41666666663</v>
      </c>
      <c r="AS120" s="32">
        <f t="shared" si="69"/>
        <v>288073.08333333331</v>
      </c>
      <c r="AT120" s="32">
        <f t="shared" si="69"/>
        <v>369341.06666666671</v>
      </c>
      <c r="AU120" s="32">
        <f t="shared" si="69"/>
        <v>389929.04166666669</v>
      </c>
      <c r="AV120" s="32">
        <f t="shared" si="69"/>
        <v>409930.76666666666</v>
      </c>
      <c r="AW120" s="32">
        <f t="shared" si="69"/>
        <v>427493.74166666664</v>
      </c>
      <c r="AX120" s="32">
        <f t="shared" si="69"/>
        <v>447995.46666666673</v>
      </c>
      <c r="AY120" s="32">
        <f t="shared" si="69"/>
        <v>468083.44166666659</v>
      </c>
      <c r="AZ120" s="32">
        <f t="shared" si="69"/>
        <v>488916.16666666669</v>
      </c>
      <c r="BA120" s="32">
        <f t="shared" si="69"/>
        <v>510748.89166666655</v>
      </c>
      <c r="BB120" s="32">
        <f t="shared" si="69"/>
        <v>532167.8666666667</v>
      </c>
      <c r="BC120" s="32">
        <f t="shared" si="69"/>
        <v>553000.59166666679</v>
      </c>
      <c r="BD120" s="32">
        <f t="shared" si="69"/>
        <v>574919.56666666665</v>
      </c>
      <c r="BE120" s="32">
        <f t="shared" si="69"/>
        <v>596252.29166666674</v>
      </c>
      <c r="BF120" s="32">
        <f t="shared" ref="BF120:BQ120" si="70">SUM(BF114:BF119)</f>
        <v>615000.35000000021</v>
      </c>
      <c r="BG120" s="32">
        <f t="shared" si="70"/>
        <v>638418.00000000012</v>
      </c>
      <c r="BH120" s="32">
        <f t="shared" si="70"/>
        <v>661835.65</v>
      </c>
      <c r="BI120" s="32">
        <f t="shared" si="70"/>
        <v>685339.55000000016</v>
      </c>
      <c r="BJ120" s="32">
        <f t="shared" si="70"/>
        <v>708757.20000000007</v>
      </c>
      <c r="BK120" s="32">
        <f t="shared" si="70"/>
        <v>732174.85000000021</v>
      </c>
      <c r="BL120" s="32">
        <f t="shared" si="70"/>
        <v>757251.75000000012</v>
      </c>
      <c r="BM120" s="32">
        <f t="shared" si="70"/>
        <v>782242.4</v>
      </c>
      <c r="BN120" s="32">
        <f t="shared" si="70"/>
        <v>807233.05000000016</v>
      </c>
      <c r="BO120" s="32">
        <f t="shared" si="70"/>
        <v>832309.95000000007</v>
      </c>
      <c r="BP120" s="32">
        <f t="shared" si="70"/>
        <v>857300.60000000021</v>
      </c>
      <c r="BQ120" s="32">
        <f t="shared" si="70"/>
        <v>882377.5</v>
      </c>
    </row>
    <row r="121" spans="2:69">
      <c r="C121" s="13"/>
    </row>
    <row r="122" spans="2:69">
      <c r="B122" s="3" t="s">
        <v>41</v>
      </c>
      <c r="C122" s="13"/>
    </row>
    <row r="123" spans="2:69">
      <c r="B123" s="52" t="s">
        <v>230</v>
      </c>
      <c r="C123" s="14"/>
      <c r="J123" s="32">
        <f>-J72-I72</f>
        <v>0</v>
      </c>
      <c r="K123" s="32">
        <f>-K72+J72</f>
        <v>-40500</v>
      </c>
      <c r="L123" s="32">
        <f>-L72+K72</f>
        <v>22955</v>
      </c>
      <c r="M123" s="32">
        <f t="shared" ref="M123:BE123" si="71">-M72+L72</f>
        <v>-74908</v>
      </c>
      <c r="N123" s="32">
        <f t="shared" si="71"/>
        <v>-954</v>
      </c>
      <c r="O123" s="32">
        <f t="shared" si="71"/>
        <v>-127102</v>
      </c>
      <c r="P123" s="32">
        <f t="shared" si="71"/>
        <v>-76750.599999999977</v>
      </c>
      <c r="Q123" s="32">
        <f>-Q72+P72</f>
        <v>220570.8</v>
      </c>
      <c r="R123" s="32">
        <f t="shared" si="71"/>
        <v>5935.9481481481489</v>
      </c>
      <c r="S123" s="32">
        <f t="shared" si="71"/>
        <v>19803.686899862827</v>
      </c>
      <c r="T123" s="32">
        <f t="shared" si="71"/>
        <v>-15782.138504674069</v>
      </c>
      <c r="U123" s="32">
        <f t="shared" si="71"/>
        <v>-28814.581922811049</v>
      </c>
      <c r="V123" s="32">
        <f t="shared" si="71"/>
        <v>-15038.058956466557</v>
      </c>
      <c r="W123" s="32">
        <f t="shared" si="71"/>
        <v>-92173.445032188232</v>
      </c>
      <c r="X123" s="32">
        <f t="shared" si="71"/>
        <v>-54801.023853023973</v>
      </c>
      <c r="Y123" s="32">
        <f t="shared" si="71"/>
        <v>-68969.591063479951</v>
      </c>
      <c r="Z123" s="32">
        <f t="shared" si="71"/>
        <v>-38521.256363164808</v>
      </c>
      <c r="AA123" s="32">
        <f t="shared" si="71"/>
        <v>-28653.740488062729</v>
      </c>
      <c r="AB123" s="32">
        <f t="shared" si="71"/>
        <v>-25455.934417427634</v>
      </c>
      <c r="AC123" s="32">
        <f t="shared" si="71"/>
        <v>-29219.608376018296</v>
      </c>
      <c r="AD123" s="32">
        <f t="shared" si="71"/>
        <v>-30439.317529265129</v>
      </c>
      <c r="AE123" s="32">
        <f t="shared" si="71"/>
        <v>-30834.593643743312</v>
      </c>
      <c r="AF123" s="32">
        <f t="shared" si="71"/>
        <v>-30962.692384546448</v>
      </c>
      <c r="AG123" s="32">
        <f t="shared" si="71"/>
        <v>-31004.20586536231</v>
      </c>
      <c r="AH123" s="32">
        <f t="shared" si="71"/>
        <v>-93150.659308219329</v>
      </c>
      <c r="AI123" s="32">
        <f t="shared" si="71"/>
        <v>-56548.113664700533</v>
      </c>
      <c r="AJ123" s="32">
        <f t="shared" si="71"/>
        <v>-44686.177576523391</v>
      </c>
      <c r="AK123" s="32">
        <f t="shared" si="71"/>
        <v>-40842.031622021459</v>
      </c>
      <c r="AL123" s="32">
        <f t="shared" si="71"/>
        <v>-39596.243581210845</v>
      </c>
      <c r="AM123" s="32">
        <f t="shared" si="71"/>
        <v>-39192.515975392191</v>
      </c>
      <c r="AN123" s="32">
        <f t="shared" si="71"/>
        <v>-40381.678325358662</v>
      </c>
      <c r="AO123" s="32">
        <f t="shared" si="71"/>
        <v>-40767.055012847763</v>
      </c>
      <c r="AP123" s="32">
        <f t="shared" si="71"/>
        <v>-40891.94560601539</v>
      </c>
      <c r="AQ123" s="32">
        <f t="shared" si="71"/>
        <v>-40932.419409357011</v>
      </c>
      <c r="AR123" s="32">
        <f t="shared" si="71"/>
        <v>-40945.535919698887</v>
      </c>
      <c r="AS123" s="32">
        <f t="shared" si="71"/>
        <v>-40949.786640643142</v>
      </c>
      <c r="AT123" s="32">
        <f t="shared" si="71"/>
        <v>-146978.84418909717</v>
      </c>
      <c r="AU123" s="32">
        <f t="shared" si="71"/>
        <v>-81968.20283905929</v>
      </c>
      <c r="AV123" s="32">
        <f t="shared" si="71"/>
        <v>-60899.939438584028</v>
      </c>
      <c r="AW123" s="32">
        <f t="shared" si="71"/>
        <v>-54072.261484726565</v>
      </c>
      <c r="AX123" s="32">
        <f t="shared" si="71"/>
        <v>-51859.588073753985</v>
      </c>
      <c r="AY123" s="32">
        <f t="shared" si="71"/>
        <v>-51142.51798686455</v>
      </c>
      <c r="AZ123" s="32">
        <f t="shared" si="71"/>
        <v>-52507.334162410116</v>
      </c>
      <c r="BA123" s="32">
        <f t="shared" si="71"/>
        <v>-52949.635700780898</v>
      </c>
      <c r="BB123" s="32">
        <f t="shared" si="71"/>
        <v>-53092.97416228964</v>
      </c>
      <c r="BC123" s="32">
        <f t="shared" si="71"/>
        <v>-53139.4264414832</v>
      </c>
      <c r="BD123" s="32">
        <f t="shared" si="71"/>
        <v>-53154.480420851149</v>
      </c>
      <c r="BE123" s="32">
        <f t="shared" si="71"/>
        <v>-53159.3590252758</v>
      </c>
      <c r="BF123" s="32">
        <f t="shared" ref="BF123:BF124" si="72">-BF72+BE72</f>
        <v>-84850.840054487577</v>
      </c>
      <c r="BG123" s="32">
        <f t="shared" ref="BG123:BG124" si="73">-BG72+BF72</f>
        <v>-67849.037425064947</v>
      </c>
      <c r="BH123" s="32">
        <f t="shared" ref="BH123:BH124" si="74">-BH72+BG72</f>
        <v>-62339.19398034527</v>
      </c>
      <c r="BI123" s="32">
        <f t="shared" ref="BI123:BI124" si="75">-BI72+BH72</f>
        <v>-60553.596567704342</v>
      </c>
      <c r="BJ123" s="32">
        <f t="shared" ref="BJ123:BJ124" si="76">-BJ72+BI72</f>
        <v>-59974.930739533622</v>
      </c>
      <c r="BK123" s="32">
        <f t="shared" ref="BK123:BK124" si="77">-BK72+BJ72</f>
        <v>-59787.400147071574</v>
      </c>
      <c r="BL123" s="32">
        <f t="shared" ref="BL123:BL124" si="78">-BL72+BK72</f>
        <v>-61614.226343958173</v>
      </c>
      <c r="BM123" s="32">
        <f t="shared" ref="BM123:BM124" si="79">-BM72+BL72</f>
        <v>-62206.253352208529</v>
      </c>
      <c r="BN123" s="32">
        <f t="shared" ref="BN123:BN124" si="80">-BN72+BM72</f>
        <v>-62398.113956734538</v>
      </c>
      <c r="BO123" s="32">
        <f t="shared" ref="BO123:BO124" si="81">-BO72+BN72</f>
        <v>-62460.291004496627</v>
      </c>
      <c r="BP123" s="32">
        <f t="shared" ref="BP123:BP124" si="82">-BP72+BO72</f>
        <v>-62480.440973680466</v>
      </c>
      <c r="BQ123" s="32">
        <f t="shared" ref="BQ123:BQ124" si="83">-BQ72+BP72</f>
        <v>-62486.971056284849</v>
      </c>
    </row>
    <row r="124" spans="2:69">
      <c r="B124" s="52" t="s">
        <v>231</v>
      </c>
      <c r="C124" s="13"/>
      <c r="J124" s="32">
        <f>-J73-I73</f>
        <v>0</v>
      </c>
      <c r="K124" s="32">
        <f>-K73+J73</f>
        <v>0</v>
      </c>
      <c r="L124" s="32">
        <f>-L73+K73</f>
        <v>0</v>
      </c>
      <c r="M124" s="32">
        <f t="shared" ref="M124:BE124" si="84">-M73+L73</f>
        <v>0</v>
      </c>
      <c r="N124" s="32">
        <f t="shared" si="84"/>
        <v>0</v>
      </c>
      <c r="O124" s="32">
        <f t="shared" si="84"/>
        <v>0</v>
      </c>
      <c r="P124" s="32">
        <f t="shared" si="84"/>
        <v>0</v>
      </c>
      <c r="Q124" s="32">
        <f t="shared" si="84"/>
        <v>0</v>
      </c>
      <c r="R124" s="32">
        <f t="shared" si="84"/>
        <v>0</v>
      </c>
      <c r="S124" s="32">
        <f t="shared" si="84"/>
        <v>0</v>
      </c>
      <c r="T124" s="32">
        <f t="shared" si="84"/>
        <v>0</v>
      </c>
      <c r="U124" s="32">
        <f t="shared" si="84"/>
        <v>0</v>
      </c>
      <c r="V124" s="32">
        <f t="shared" si="84"/>
        <v>0</v>
      </c>
      <c r="W124" s="32">
        <f t="shared" si="84"/>
        <v>0</v>
      </c>
      <c r="X124" s="32">
        <f t="shared" si="84"/>
        <v>0</v>
      </c>
      <c r="Y124" s="32">
        <f t="shared" si="84"/>
        <v>0</v>
      </c>
      <c r="Z124" s="32">
        <f t="shared" si="84"/>
        <v>0</v>
      </c>
      <c r="AA124" s="32">
        <f t="shared" si="84"/>
        <v>0</v>
      </c>
      <c r="AB124" s="32">
        <f t="shared" si="84"/>
        <v>0</v>
      </c>
      <c r="AC124" s="32">
        <f t="shared" si="84"/>
        <v>0</v>
      </c>
      <c r="AD124" s="32">
        <f t="shared" si="84"/>
        <v>0</v>
      </c>
      <c r="AE124" s="32">
        <f t="shared" si="84"/>
        <v>0</v>
      </c>
      <c r="AF124" s="32">
        <f t="shared" si="84"/>
        <v>0</v>
      </c>
      <c r="AG124" s="32">
        <f t="shared" si="84"/>
        <v>0</v>
      </c>
      <c r="AH124" s="32">
        <f t="shared" si="84"/>
        <v>0</v>
      </c>
      <c r="AI124" s="32">
        <f t="shared" si="84"/>
        <v>0</v>
      </c>
      <c r="AJ124" s="32">
        <f t="shared" si="84"/>
        <v>0</v>
      </c>
      <c r="AK124" s="32">
        <f t="shared" si="84"/>
        <v>0</v>
      </c>
      <c r="AL124" s="32">
        <f t="shared" si="84"/>
        <v>0</v>
      </c>
      <c r="AM124" s="32">
        <f t="shared" si="84"/>
        <v>0</v>
      </c>
      <c r="AN124" s="32">
        <f t="shared" si="84"/>
        <v>0</v>
      </c>
      <c r="AO124" s="32">
        <f t="shared" si="84"/>
        <v>0</v>
      </c>
      <c r="AP124" s="32">
        <f t="shared" si="84"/>
        <v>0</v>
      </c>
      <c r="AQ124" s="32">
        <f t="shared" si="84"/>
        <v>0</v>
      </c>
      <c r="AR124" s="32">
        <f t="shared" si="84"/>
        <v>0</v>
      </c>
      <c r="AS124" s="32">
        <f t="shared" si="84"/>
        <v>0</v>
      </c>
      <c r="AT124" s="32">
        <f t="shared" si="84"/>
        <v>0</v>
      </c>
      <c r="AU124" s="32">
        <f t="shared" si="84"/>
        <v>0</v>
      </c>
      <c r="AV124" s="32">
        <f t="shared" si="84"/>
        <v>0</v>
      </c>
      <c r="AW124" s="32">
        <f t="shared" si="84"/>
        <v>0</v>
      </c>
      <c r="AX124" s="32">
        <f t="shared" si="84"/>
        <v>0</v>
      </c>
      <c r="AY124" s="32">
        <f t="shared" si="84"/>
        <v>0</v>
      </c>
      <c r="AZ124" s="32">
        <f t="shared" si="84"/>
        <v>0</v>
      </c>
      <c r="BA124" s="32">
        <f t="shared" si="84"/>
        <v>0</v>
      </c>
      <c r="BB124" s="32">
        <f t="shared" si="84"/>
        <v>0</v>
      </c>
      <c r="BC124" s="32">
        <f t="shared" si="84"/>
        <v>0</v>
      </c>
      <c r="BD124" s="32">
        <f t="shared" si="84"/>
        <v>0</v>
      </c>
      <c r="BE124" s="32">
        <f t="shared" si="84"/>
        <v>0</v>
      </c>
      <c r="BF124" s="32">
        <f t="shared" si="72"/>
        <v>0</v>
      </c>
      <c r="BG124" s="32">
        <f t="shared" si="73"/>
        <v>0</v>
      </c>
      <c r="BH124" s="32">
        <f t="shared" si="74"/>
        <v>0</v>
      </c>
      <c r="BI124" s="32">
        <f t="shared" si="75"/>
        <v>0</v>
      </c>
      <c r="BJ124" s="32">
        <f t="shared" si="76"/>
        <v>0</v>
      </c>
      <c r="BK124" s="32">
        <f t="shared" si="77"/>
        <v>0</v>
      </c>
      <c r="BL124" s="32">
        <f t="shared" si="78"/>
        <v>0</v>
      </c>
      <c r="BM124" s="32">
        <f t="shared" si="79"/>
        <v>0</v>
      </c>
      <c r="BN124" s="32">
        <f t="shared" si="80"/>
        <v>0</v>
      </c>
      <c r="BO124" s="32">
        <f t="shared" si="81"/>
        <v>0</v>
      </c>
      <c r="BP124" s="32">
        <f t="shared" si="82"/>
        <v>0</v>
      </c>
      <c r="BQ124" s="32">
        <f t="shared" si="83"/>
        <v>0</v>
      </c>
    </row>
    <row r="125" spans="2:69">
      <c r="B125" s="52" t="s">
        <v>232</v>
      </c>
      <c r="C125" s="13"/>
      <c r="J125" s="47">
        <f>J80-I80</f>
        <v>3171.6</v>
      </c>
      <c r="K125" s="32">
        <f t="shared" ref="K125" si="85">K80-J80</f>
        <v>3457.1999999999994</v>
      </c>
      <c r="L125" s="32">
        <f t="shared" ref="L125:BE125" si="86">L80-K80</f>
        <v>5018.2000000000007</v>
      </c>
      <c r="M125" s="32">
        <f t="shared" si="86"/>
        <v>67850</v>
      </c>
      <c r="N125" s="32">
        <f t="shared" si="86"/>
        <v>-23672.5</v>
      </c>
      <c r="O125" s="32">
        <f t="shared" si="86"/>
        <v>-33959.9</v>
      </c>
      <c r="P125" s="32">
        <f t="shared" si="86"/>
        <v>20176.04</v>
      </c>
      <c r="Q125" s="32">
        <f>Q80-P80</f>
        <v>23203.54</v>
      </c>
      <c r="R125" s="32">
        <f t="shared" si="86"/>
        <v>-11072.749166666668</v>
      </c>
      <c r="S125" s="32">
        <f t="shared" si="86"/>
        <v>40978.988182870366</v>
      </c>
      <c r="T125" s="32">
        <f t="shared" si="86"/>
        <v>18700.447386349013</v>
      </c>
      <c r="U125" s="32">
        <f t="shared" si="86"/>
        <v>-2238.2284359214973</v>
      </c>
      <c r="V125" s="32">
        <f t="shared" si="86"/>
        <v>11509.086506054446</v>
      </c>
      <c r="W125" s="32">
        <f t="shared" si="86"/>
        <v>79850.151576304779</v>
      </c>
      <c r="X125" s="32">
        <f t="shared" si="86"/>
        <v>-33411.529883004201</v>
      </c>
      <c r="Y125" s="32">
        <f t="shared" si="86"/>
        <v>4418.0490261528175</v>
      </c>
      <c r="Z125" s="32">
        <f t="shared" si="86"/>
        <v>6876.1382079700998</v>
      </c>
      <c r="AA125" s="32">
        <f t="shared" si="86"/>
        <v>7098.4980804449006</v>
      </c>
      <c r="AB125" s="32">
        <f t="shared" si="86"/>
        <v>11055.409748882666</v>
      </c>
      <c r="AC125" s="32">
        <f t="shared" si="86"/>
        <v>4263.952642376622</v>
      </c>
      <c r="AD125" s="32">
        <f t="shared" si="86"/>
        <v>7134.778435522574</v>
      </c>
      <c r="AE125" s="32">
        <f t="shared" si="86"/>
        <v>8158.4058550621849</v>
      </c>
      <c r="AF125" s="32">
        <f t="shared" si="86"/>
        <v>12720.688807568571</v>
      </c>
      <c r="AG125" s="32">
        <f t="shared" si="86"/>
        <v>3417.3237665615452</v>
      </c>
      <c r="AH125" s="32">
        <f t="shared" si="86"/>
        <v>25676.037169908901</v>
      </c>
      <c r="AI125" s="32">
        <f t="shared" si="86"/>
        <v>7676.1883726400847</v>
      </c>
      <c r="AJ125" s="32">
        <f t="shared" si="86"/>
        <v>12229.686272602237</v>
      </c>
      <c r="AK125" s="32">
        <f t="shared" si="86"/>
        <v>8462.9432462138939</v>
      </c>
      <c r="AL125" s="32">
        <f t="shared" si="86"/>
        <v>8018.7591215803404</v>
      </c>
      <c r="AM125" s="32">
        <f t="shared" si="86"/>
        <v>8521.4283455336117</v>
      </c>
      <c r="AN125" s="32">
        <f t="shared" si="86"/>
        <v>12817.946828534186</v>
      </c>
      <c r="AO125" s="32">
        <f t="shared" si="86"/>
        <v>4254.7729607148212</v>
      </c>
      <c r="AP125" s="32">
        <f t="shared" si="86"/>
        <v>8677.205931101169</v>
      </c>
      <c r="AQ125" s="32">
        <f t="shared" si="86"/>
        <v>9112.2832509570289</v>
      </c>
      <c r="AR125" s="32">
        <f t="shared" si="86"/>
        <v>11609.740510403411</v>
      </c>
      <c r="AS125" s="32">
        <f t="shared" si="86"/>
        <v>4871.5536040221341</v>
      </c>
      <c r="AT125" s="32">
        <f t="shared" si="86"/>
        <v>32606.839533277438</v>
      </c>
      <c r="AU125" s="32">
        <f t="shared" si="86"/>
        <v>9177.7272287044907</v>
      </c>
      <c r="AV125" s="32">
        <f t="shared" si="86"/>
        <v>10206.631566268043</v>
      </c>
      <c r="AW125" s="32">
        <f t="shared" si="86"/>
        <v>13118.841228246281</v>
      </c>
      <c r="AX125" s="32">
        <f t="shared" si="86"/>
        <v>9551.893871829845</v>
      </c>
      <c r="AY125" s="32">
        <f t="shared" si="86"/>
        <v>10097.934807335667</v>
      </c>
      <c r="AZ125" s="32">
        <f t="shared" si="86"/>
        <v>10793.85090545367</v>
      </c>
      <c r="BA125" s="32">
        <f t="shared" si="86"/>
        <v>9584.1854040910257</v>
      </c>
      <c r="BB125" s="32">
        <f t="shared" si="86"/>
        <v>10097.486313832051</v>
      </c>
      <c r="BC125" s="32">
        <f t="shared" si="86"/>
        <v>10793.85713453003</v>
      </c>
      <c r="BD125" s="32">
        <f t="shared" si="86"/>
        <v>9480.6853175759898</v>
      </c>
      <c r="BE125" s="32">
        <f t="shared" si="86"/>
        <v>10202.423815033748</v>
      </c>
      <c r="BF125" s="32">
        <f t="shared" ref="BF125" si="87">BF80-BE80</f>
        <v>41471.899669235572</v>
      </c>
      <c r="BG125" s="32">
        <f t="shared" ref="BG125" si="88">BG80-BF80</f>
        <v>11673.901393482811</v>
      </c>
      <c r="BH125" s="32">
        <f t="shared" ref="BH125" si="89">BH80-BG80</f>
        <v>12087.762480646023</v>
      </c>
      <c r="BI125" s="32">
        <f t="shared" ref="BI125" si="90">BI80-BH80</f>
        <v>11978.514409991098</v>
      </c>
      <c r="BJ125" s="32">
        <f t="shared" ref="BJ125" si="91">BJ80-BI80</f>
        <v>12083.531744305626</v>
      </c>
      <c r="BK125" s="32">
        <f t="shared" ref="BK125" si="92">BK80-BJ80</f>
        <v>12082.073170218035</v>
      </c>
      <c r="BL125" s="32">
        <f t="shared" ref="BL125" si="93">BL80-BK80</f>
        <v>11978.593428191496</v>
      </c>
      <c r="BM125" s="32">
        <f t="shared" ref="BM125" si="94">BM80-BL80</f>
        <v>12083.530646830564</v>
      </c>
      <c r="BN125" s="32">
        <f t="shared" ref="BN125" si="95">BN80-BM80</f>
        <v>12082.073185460758</v>
      </c>
      <c r="BO125" s="32">
        <f t="shared" ref="BO125" si="96">BO80-BN80</f>
        <v>11978.593427979504</v>
      </c>
      <c r="BP125" s="32">
        <f t="shared" ref="BP125" si="97">BP80-BO80</f>
        <v>12083.53064683394</v>
      </c>
      <c r="BQ125" s="32">
        <f t="shared" ref="BQ125" si="98">BQ80-BP80</f>
        <v>11978.573185460642</v>
      </c>
    </row>
    <row r="126" spans="2:69">
      <c r="B126" s="52" t="s">
        <v>233</v>
      </c>
      <c r="C126" s="13"/>
      <c r="J126" s="47">
        <f>J81+J83+J84-I81-I83-I84</f>
        <v>3460.4</v>
      </c>
      <c r="K126" s="32">
        <f t="shared" ref="K126" si="99">K81+K83+K84-J81-J83-J84</f>
        <v>7964.7999999999993</v>
      </c>
      <c r="L126" s="32">
        <f t="shared" ref="L126:BE126" si="100">L81+L83+L84-K81-K83-K84</f>
        <v>-3872.1999999999989</v>
      </c>
      <c r="M126" s="32">
        <f t="shared" si="100"/>
        <v>5440</v>
      </c>
      <c r="N126" s="32">
        <f t="shared" si="100"/>
        <v>28654.979999999996</v>
      </c>
      <c r="O126" s="32">
        <f t="shared" si="100"/>
        <v>148080.19999999998</v>
      </c>
      <c r="P126" s="32">
        <f t="shared" si="100"/>
        <v>19622.589999999997</v>
      </c>
      <c r="Q126" s="32">
        <f>Q81+Q83+Q84-P81-P83-P84</f>
        <v>-122745.9</v>
      </c>
      <c r="R126" s="32">
        <f t="shared" si="100"/>
        <v>-73952.549999999988</v>
      </c>
      <c r="S126" s="32">
        <f t="shared" si="100"/>
        <v>-41178.800000000003</v>
      </c>
      <c r="T126" s="32">
        <f t="shared" si="100"/>
        <v>-7450.4000000000015</v>
      </c>
      <c r="U126" s="32">
        <f t="shared" si="100"/>
        <v>25805.829999999994</v>
      </c>
      <c r="V126" s="32">
        <f t="shared" si="100"/>
        <v>-7508.6500000000015</v>
      </c>
      <c r="W126" s="32">
        <f t="shared" si="100"/>
        <v>9606.3499999999985</v>
      </c>
      <c r="X126" s="32">
        <f t="shared" si="100"/>
        <v>42374.8</v>
      </c>
      <c r="Y126" s="32">
        <f t="shared" si="100"/>
        <v>11121.099999999999</v>
      </c>
      <c r="Z126" s="32">
        <f t="shared" si="100"/>
        <v>12659.849999999999</v>
      </c>
      <c r="AA126" s="32">
        <f t="shared" si="100"/>
        <v>6083.3000000000029</v>
      </c>
      <c r="AB126" s="32">
        <f t="shared" si="100"/>
        <v>14991.849999999991</v>
      </c>
      <c r="AC126" s="32">
        <f t="shared" si="100"/>
        <v>17750.600000000006</v>
      </c>
      <c r="AD126" s="32">
        <f t="shared" si="100"/>
        <v>-21760.949999999983</v>
      </c>
      <c r="AE126" s="32">
        <f t="shared" si="100"/>
        <v>22165.350000000006</v>
      </c>
      <c r="AF126" s="32">
        <f t="shared" si="100"/>
        <v>23521.350000000006</v>
      </c>
      <c r="AG126" s="32">
        <f t="shared" si="100"/>
        <v>-33545.200000000012</v>
      </c>
      <c r="AH126" s="32">
        <f t="shared" si="100"/>
        <v>39130.600000000006</v>
      </c>
      <c r="AI126" s="32">
        <f t="shared" si="100"/>
        <v>39035.199999999983</v>
      </c>
      <c r="AJ126" s="32">
        <f t="shared" si="100"/>
        <v>-44546.750000000029</v>
      </c>
      <c r="AK126" s="32">
        <f t="shared" si="100"/>
        <v>44327.149999999994</v>
      </c>
      <c r="AL126" s="32">
        <f t="shared" si="100"/>
        <v>47364.500000000029</v>
      </c>
      <c r="AM126" s="32">
        <f t="shared" si="100"/>
        <v>-74415.799999999959</v>
      </c>
      <c r="AN126" s="32">
        <f t="shared" si="100"/>
        <v>52776.450000000012</v>
      </c>
      <c r="AO126" s="32">
        <f t="shared" si="100"/>
        <v>56651.049999999988</v>
      </c>
      <c r="AP126" s="32">
        <f t="shared" si="100"/>
        <v>-90651.650000000023</v>
      </c>
      <c r="AQ126" s="32">
        <f t="shared" si="100"/>
        <v>62883</v>
      </c>
      <c r="AR126" s="32">
        <f t="shared" si="100"/>
        <v>65540.350000000035</v>
      </c>
      <c r="AS126" s="32">
        <f t="shared" si="100"/>
        <v>-108227.50000000006</v>
      </c>
      <c r="AT126" s="32">
        <f t="shared" si="100"/>
        <v>89753.88</v>
      </c>
      <c r="AU126" s="32">
        <f t="shared" si="100"/>
        <v>90271.475000000035</v>
      </c>
      <c r="AV126" s="32">
        <f t="shared" si="100"/>
        <v>-126737.36000000004</v>
      </c>
      <c r="AW126" s="32">
        <f t="shared" si="100"/>
        <v>97784.414999999979</v>
      </c>
      <c r="AX126" s="32">
        <f t="shared" si="100"/>
        <v>101884.76000000001</v>
      </c>
      <c r="AY126" s="32">
        <f t="shared" si="100"/>
        <v>-176425.35499999992</v>
      </c>
      <c r="AZ126" s="32">
        <f t="shared" si="100"/>
        <v>110068.90000000002</v>
      </c>
      <c r="BA126" s="32">
        <f t="shared" si="100"/>
        <v>114435.44500000001</v>
      </c>
      <c r="BB126" s="32">
        <f t="shared" si="100"/>
        <v>-199136.77500000008</v>
      </c>
      <c r="BC126" s="32">
        <f t="shared" si="100"/>
        <v>122885.78499999997</v>
      </c>
      <c r="BD126" s="32">
        <f t="shared" si="100"/>
        <v>127269.58000000007</v>
      </c>
      <c r="BE126" s="32">
        <f t="shared" si="100"/>
        <v>-224504.34500000009</v>
      </c>
      <c r="BF126" s="32">
        <f t="shared" ref="BF126" si="101">BF81+BF83+BF84-BE81-BE83-BE84</f>
        <v>139471.07</v>
      </c>
      <c r="BG126" s="32">
        <f t="shared" ref="BG126" si="102">BG81+BG83+BG84-BF81-BF83-BF84</f>
        <v>140554.60000000003</v>
      </c>
      <c r="BH126" s="32">
        <f t="shared" ref="BH126" si="103">BH81+BH83+BH84-BG81-BG83-BG84</f>
        <v>-249438.64500000008</v>
      </c>
      <c r="BI126" s="32">
        <f t="shared" ref="BI126" si="104">BI81+BI83+BI84-BH81-BH83-BH84</f>
        <v>149938.91000000009</v>
      </c>
      <c r="BJ126" s="32">
        <f t="shared" ref="BJ126" si="105">BJ81+BJ83+BJ84-BI81-BI83-BI84</f>
        <v>154622.44000000006</v>
      </c>
      <c r="BK126" s="32">
        <f t="shared" ref="BK126" si="106">BK81+BK83+BK84-BJ81-BJ83-BJ84</f>
        <v>-276425.67000000004</v>
      </c>
      <c r="BL126" s="32">
        <f t="shared" ref="BL126" si="107">BL81+BL83+BL84-BK81-BK83-BK84</f>
        <v>164321.34999999998</v>
      </c>
      <c r="BM126" s="32">
        <f t="shared" ref="BM126" si="108">BM81+BM83+BM84-BL81-BL83-BL84</f>
        <v>169319.47999999998</v>
      </c>
      <c r="BN126" s="32">
        <f t="shared" ref="BN126" si="109">BN81+BN83+BN84-BM81-BM83-BM84</f>
        <v>-303932.15000000008</v>
      </c>
      <c r="BO126" s="32">
        <f t="shared" ref="BO126" si="110">BO81+BO83+BO84-BN81-BN83-BN84</f>
        <v>179332.98999999993</v>
      </c>
      <c r="BP126" s="32">
        <f t="shared" ref="BP126" si="111">BP81+BP83+BP84-BO81-BO83-BO84</f>
        <v>184331.12</v>
      </c>
      <c r="BQ126" s="32">
        <f t="shared" ref="BQ126" si="112">BQ81+BQ83+BQ84-BP81-BP83-BP84</f>
        <v>-333623.57999999996</v>
      </c>
    </row>
    <row r="127" spans="2:69" s="90" customFormat="1">
      <c r="B127" s="109" t="s">
        <v>42</v>
      </c>
      <c r="C127" s="92"/>
      <c r="J127" s="106">
        <f>SUM(J120:J126)</f>
        <v>15755</v>
      </c>
      <c r="K127" s="106">
        <f t="shared" ref="K127:BE127" si="113">SUM(K120:K126)</f>
        <v>9459.9999999999982</v>
      </c>
      <c r="L127" s="106">
        <f t="shared" si="113"/>
        <v>-11102.999999999998</v>
      </c>
      <c r="M127" s="106">
        <f t="shared" si="113"/>
        <v>-4638</v>
      </c>
      <c r="N127" s="106">
        <f t="shared" si="113"/>
        <v>-5931.5200000000041</v>
      </c>
      <c r="O127" s="106">
        <f t="shared" si="113"/>
        <v>4947.2999999999884</v>
      </c>
      <c r="P127" s="106">
        <f t="shared" si="113"/>
        <v>-8542.9699999999793</v>
      </c>
      <c r="Q127" s="106">
        <f t="shared" si="113"/>
        <v>78600.44</v>
      </c>
      <c r="R127" s="106">
        <f t="shared" si="113"/>
        <v>-86737.3510185185</v>
      </c>
      <c r="S127" s="106">
        <f t="shared" si="113"/>
        <v>-42853.458250600153</v>
      </c>
      <c r="T127" s="106">
        <f t="shared" si="113"/>
        <v>-58677.84111832505</v>
      </c>
      <c r="U127" s="106">
        <f t="shared" si="113"/>
        <v>-40629.397025399223</v>
      </c>
      <c r="V127" s="106">
        <f t="shared" si="113"/>
        <v>-50870.455783745441</v>
      </c>
      <c r="W127" s="106">
        <f t="shared" si="113"/>
        <v>-57560.193455883455</v>
      </c>
      <c r="X127" s="106">
        <f t="shared" si="113"/>
        <v>-79237.253736028171</v>
      </c>
      <c r="Y127" s="106">
        <f t="shared" si="113"/>
        <v>-50449.94203732715</v>
      </c>
      <c r="Z127" s="106">
        <f t="shared" si="113"/>
        <v>-8311.0181551947026</v>
      </c>
      <c r="AA127" s="106">
        <f t="shared" si="113"/>
        <v>2682.307592382178</v>
      </c>
      <c r="AB127" s="106">
        <f t="shared" si="113"/>
        <v>25925.575331455027</v>
      </c>
      <c r="AC127" s="106">
        <f t="shared" si="113"/>
        <v>28922.94426635834</v>
      </c>
      <c r="AD127" s="106">
        <f t="shared" si="113"/>
        <v>2542.5109062574702</v>
      </c>
      <c r="AE127" s="106">
        <f t="shared" si="113"/>
        <v>57690.912211318886</v>
      </c>
      <c r="AF127" s="106">
        <f t="shared" si="113"/>
        <v>73261.096423022129</v>
      </c>
      <c r="AG127" s="106">
        <f t="shared" si="113"/>
        <v>18329.667901199224</v>
      </c>
      <c r="AH127" s="106">
        <f t="shared" si="113"/>
        <v>96990.644528356235</v>
      </c>
      <c r="AI127" s="106">
        <f t="shared" si="113"/>
        <v>130770.94137460619</v>
      </c>
      <c r="AJ127" s="106">
        <f t="shared" si="113"/>
        <v>78291.175362745475</v>
      </c>
      <c r="AK127" s="106">
        <f t="shared" si="113"/>
        <v>179015.47829085909</v>
      </c>
      <c r="AL127" s="106">
        <f t="shared" si="113"/>
        <v>198041.18220703618</v>
      </c>
      <c r="AM127" s="106">
        <f t="shared" si="113"/>
        <v>91940.279036808119</v>
      </c>
      <c r="AN127" s="106">
        <f t="shared" si="113"/>
        <v>237526.63516984219</v>
      </c>
      <c r="AO127" s="106">
        <f t="shared" si="113"/>
        <v>248825.6846145337</v>
      </c>
      <c r="AP127" s="106">
        <f t="shared" si="113"/>
        <v>121607.27699175241</v>
      </c>
      <c r="AQ127" s="106">
        <f t="shared" si="113"/>
        <v>290909.53050826665</v>
      </c>
      <c r="AR127" s="106">
        <f t="shared" si="113"/>
        <v>312337.97125737119</v>
      </c>
      <c r="AS127" s="106">
        <f t="shared" si="113"/>
        <v>143767.35029671225</v>
      </c>
      <c r="AT127" s="106">
        <f t="shared" si="113"/>
        <v>344722.94201084698</v>
      </c>
      <c r="AU127" s="106">
        <f t="shared" si="113"/>
        <v>407410.04105631192</v>
      </c>
      <c r="AV127" s="106">
        <f t="shared" si="113"/>
        <v>232500.09879435063</v>
      </c>
      <c r="AW127" s="106">
        <f t="shared" si="113"/>
        <v>484324.73641018633</v>
      </c>
      <c r="AX127" s="106">
        <f t="shared" si="113"/>
        <v>507572.5324647426</v>
      </c>
      <c r="AY127" s="106">
        <f t="shared" si="113"/>
        <v>250613.50348713779</v>
      </c>
      <c r="AZ127" s="106">
        <f t="shared" si="113"/>
        <v>557271.58340971032</v>
      </c>
      <c r="BA127" s="106">
        <f t="shared" si="113"/>
        <v>581818.88636997668</v>
      </c>
      <c r="BB127" s="106">
        <f t="shared" si="113"/>
        <v>290035.60381820903</v>
      </c>
      <c r="BC127" s="106">
        <f t="shared" si="113"/>
        <v>633540.8073597136</v>
      </c>
      <c r="BD127" s="106">
        <f t="shared" si="113"/>
        <v>658515.35156339151</v>
      </c>
      <c r="BE127" s="106">
        <f t="shared" si="113"/>
        <v>328791.0114564246</v>
      </c>
      <c r="BF127" s="106">
        <f t="shared" ref="BF127:BQ127" si="114">SUM(BF120:BF126)</f>
        <v>711092.47961474815</v>
      </c>
      <c r="BG127" s="106">
        <f t="shared" si="114"/>
        <v>722797.46396841807</v>
      </c>
      <c r="BH127" s="106">
        <f t="shared" si="114"/>
        <v>362145.5735003007</v>
      </c>
      <c r="BI127" s="106">
        <f t="shared" si="114"/>
        <v>786703.37784228707</v>
      </c>
      <c r="BJ127" s="106">
        <f t="shared" si="114"/>
        <v>815488.24100477214</v>
      </c>
      <c r="BK127" s="106">
        <f t="shared" si="114"/>
        <v>408043.85302314663</v>
      </c>
      <c r="BL127" s="106">
        <f t="shared" si="114"/>
        <v>871937.46708423342</v>
      </c>
      <c r="BM127" s="106">
        <f t="shared" si="114"/>
        <v>901439.15729462204</v>
      </c>
      <c r="BN127" s="106">
        <f t="shared" si="114"/>
        <v>452984.8592287263</v>
      </c>
      <c r="BO127" s="106">
        <f t="shared" si="114"/>
        <v>961161.24242348294</v>
      </c>
      <c r="BP127" s="106">
        <f t="shared" si="114"/>
        <v>991234.80967315368</v>
      </c>
      <c r="BQ127" s="106">
        <f t="shared" si="114"/>
        <v>498245.52212917584</v>
      </c>
    </row>
    <row r="128" spans="2:69">
      <c r="C128" s="13"/>
    </row>
    <row r="129" spans="2:69">
      <c r="C129" s="14"/>
    </row>
    <row r="130" spans="2:69">
      <c r="B130" s="3" t="s">
        <v>234</v>
      </c>
      <c r="C130" s="13"/>
    </row>
    <row r="131" spans="2:69">
      <c r="C131" s="14"/>
    </row>
    <row r="132" spans="2:69">
      <c r="B132" s="3" t="s">
        <v>42</v>
      </c>
      <c r="C132" s="13"/>
    </row>
    <row r="133" spans="2:69">
      <c r="B133" s="52" t="s">
        <v>235</v>
      </c>
      <c r="C133" s="13"/>
      <c r="J133" s="4">
        <f>-J47</f>
        <v>0</v>
      </c>
      <c r="K133" s="4">
        <f t="shared" ref="K133:BE133" si="115">-K47</f>
        <v>0</v>
      </c>
      <c r="L133" s="4">
        <f t="shared" si="115"/>
        <v>0</v>
      </c>
      <c r="M133" s="4">
        <f t="shared" si="115"/>
        <v>0</v>
      </c>
      <c r="N133" s="4">
        <f t="shared" si="115"/>
        <v>0</v>
      </c>
      <c r="O133" s="4">
        <f t="shared" si="115"/>
        <v>0</v>
      </c>
      <c r="P133" s="4">
        <f t="shared" si="115"/>
        <v>0</v>
      </c>
      <c r="Q133" s="4">
        <f t="shared" si="115"/>
        <v>0</v>
      </c>
      <c r="R133" s="4">
        <f t="shared" si="115"/>
        <v>0</v>
      </c>
      <c r="S133" s="4">
        <f t="shared" si="115"/>
        <v>0</v>
      </c>
      <c r="T133" s="4">
        <f t="shared" si="115"/>
        <v>0</v>
      </c>
      <c r="U133" s="4">
        <f t="shared" si="115"/>
        <v>0</v>
      </c>
      <c r="V133" s="4">
        <f t="shared" si="115"/>
        <v>0</v>
      </c>
      <c r="W133" s="4">
        <f t="shared" si="115"/>
        <v>0</v>
      </c>
      <c r="X133" s="4">
        <f t="shared" si="115"/>
        <v>0</v>
      </c>
      <c r="Y133" s="4">
        <f t="shared" si="115"/>
        <v>0</v>
      </c>
      <c r="Z133" s="4">
        <f t="shared" si="115"/>
        <v>0</v>
      </c>
      <c r="AA133" s="4">
        <f t="shared" si="115"/>
        <v>0</v>
      </c>
      <c r="AB133" s="4">
        <f t="shared" si="115"/>
        <v>0</v>
      </c>
      <c r="AC133" s="4">
        <f t="shared" si="115"/>
        <v>0</v>
      </c>
      <c r="AD133" s="4">
        <f t="shared" si="115"/>
        <v>0</v>
      </c>
      <c r="AE133" s="4">
        <f t="shared" si="115"/>
        <v>0</v>
      </c>
      <c r="AF133" s="4">
        <f t="shared" si="115"/>
        <v>0</v>
      </c>
      <c r="AG133" s="4">
        <f t="shared" si="115"/>
        <v>0</v>
      </c>
      <c r="AH133" s="4">
        <f t="shared" si="115"/>
        <v>0</v>
      </c>
      <c r="AI133" s="4">
        <f t="shared" si="115"/>
        <v>0</v>
      </c>
      <c r="AJ133" s="4">
        <f t="shared" si="115"/>
        <v>0</v>
      </c>
      <c r="AK133" s="4">
        <f t="shared" si="115"/>
        <v>0</v>
      </c>
      <c r="AL133" s="4">
        <f t="shared" si="115"/>
        <v>0</v>
      </c>
      <c r="AM133" s="4">
        <f t="shared" si="115"/>
        <v>0</v>
      </c>
      <c r="AN133" s="4">
        <f t="shared" si="115"/>
        <v>0</v>
      </c>
      <c r="AO133" s="4">
        <f t="shared" si="115"/>
        <v>0</v>
      </c>
      <c r="AP133" s="4">
        <f t="shared" si="115"/>
        <v>0</v>
      </c>
      <c r="AQ133" s="4">
        <f t="shared" si="115"/>
        <v>0</v>
      </c>
      <c r="AR133" s="4">
        <f t="shared" si="115"/>
        <v>0</v>
      </c>
      <c r="AS133" s="4">
        <f t="shared" si="115"/>
        <v>0</v>
      </c>
      <c r="AT133" s="4">
        <f t="shared" si="115"/>
        <v>0</v>
      </c>
      <c r="AU133" s="4">
        <f t="shared" si="115"/>
        <v>0</v>
      </c>
      <c r="AV133" s="4">
        <f t="shared" si="115"/>
        <v>0</v>
      </c>
      <c r="AW133" s="4">
        <f t="shared" si="115"/>
        <v>0</v>
      </c>
      <c r="AX133" s="4">
        <f t="shared" si="115"/>
        <v>0</v>
      </c>
      <c r="AY133" s="4">
        <f t="shared" si="115"/>
        <v>0</v>
      </c>
      <c r="AZ133" s="4">
        <f t="shared" si="115"/>
        <v>0</v>
      </c>
      <c r="BA133" s="4">
        <f t="shared" si="115"/>
        <v>0</v>
      </c>
      <c r="BB133" s="4">
        <f t="shared" si="115"/>
        <v>0</v>
      </c>
      <c r="BC133" s="4">
        <f t="shared" si="115"/>
        <v>0</v>
      </c>
      <c r="BD133" s="4">
        <f t="shared" si="115"/>
        <v>0</v>
      </c>
      <c r="BE133" s="4">
        <f t="shared" si="115"/>
        <v>0</v>
      </c>
      <c r="BF133" s="4">
        <f t="shared" ref="BF133:BQ133" si="116">-BF47</f>
        <v>0</v>
      </c>
      <c r="BG133" s="4">
        <f t="shared" si="116"/>
        <v>0</v>
      </c>
      <c r="BH133" s="4">
        <f t="shared" si="116"/>
        <v>0</v>
      </c>
      <c r="BI133" s="4">
        <f t="shared" si="116"/>
        <v>0</v>
      </c>
      <c r="BJ133" s="4">
        <f t="shared" si="116"/>
        <v>0</v>
      </c>
      <c r="BK133" s="4">
        <f t="shared" si="116"/>
        <v>0</v>
      </c>
      <c r="BL133" s="4">
        <f t="shared" si="116"/>
        <v>0</v>
      </c>
      <c r="BM133" s="4">
        <f t="shared" si="116"/>
        <v>0</v>
      </c>
      <c r="BN133" s="4">
        <f t="shared" si="116"/>
        <v>0</v>
      </c>
      <c r="BO133" s="4">
        <f t="shared" si="116"/>
        <v>0</v>
      </c>
      <c r="BP133" s="4">
        <f t="shared" si="116"/>
        <v>0</v>
      </c>
      <c r="BQ133" s="4">
        <f t="shared" si="116"/>
        <v>0</v>
      </c>
    </row>
    <row r="134" spans="2:69">
      <c r="B134" s="56" t="s">
        <v>236</v>
      </c>
      <c r="C134" s="55"/>
      <c r="D134" s="9"/>
      <c r="E134" s="9"/>
      <c r="F134" s="9"/>
      <c r="G134" s="9"/>
      <c r="H134" s="9"/>
      <c r="I134" s="9"/>
      <c r="J134" s="9">
        <f>'Working Capital'!J49</f>
        <v>0</v>
      </c>
      <c r="K134" s="9">
        <f>'Working Capital'!K49</f>
        <v>0</v>
      </c>
      <c r="L134" s="9">
        <f>'Working Capital'!L49</f>
        <v>0</v>
      </c>
      <c r="M134" s="9">
        <f>'Working Capital'!M49</f>
        <v>0</v>
      </c>
      <c r="N134" s="9">
        <f>'Working Capital'!N49</f>
        <v>0</v>
      </c>
      <c r="O134" s="9">
        <f>'Working Capital'!O49</f>
        <v>0</v>
      </c>
      <c r="P134" s="9">
        <f>'Working Capital'!P49</f>
        <v>0</v>
      </c>
      <c r="Q134" s="9">
        <f>'Working Capital'!Q49</f>
        <v>0</v>
      </c>
      <c r="R134" s="9">
        <f>'Working Capital'!R49</f>
        <v>0</v>
      </c>
      <c r="S134" s="9">
        <f>'Working Capital'!S49</f>
        <v>0</v>
      </c>
      <c r="T134" s="9">
        <f>'Working Capital'!T49</f>
        <v>0</v>
      </c>
      <c r="U134" s="9">
        <f>'Working Capital'!U49</f>
        <v>0</v>
      </c>
      <c r="V134" s="9">
        <f>'Working Capital'!V49</f>
        <v>0</v>
      </c>
      <c r="W134" s="9">
        <f>'Working Capital'!W49</f>
        <v>0</v>
      </c>
      <c r="X134" s="9">
        <f>'Working Capital'!X49</f>
        <v>0</v>
      </c>
      <c r="Y134" s="9">
        <f>'Working Capital'!Y49</f>
        <v>0</v>
      </c>
      <c r="Z134" s="9">
        <f>'Working Capital'!Z49</f>
        <v>0</v>
      </c>
      <c r="AA134" s="9">
        <f>'Working Capital'!AA49</f>
        <v>0</v>
      </c>
      <c r="AB134" s="9">
        <f>'Working Capital'!AB49</f>
        <v>0</v>
      </c>
      <c r="AC134" s="9">
        <f>'Working Capital'!AC49</f>
        <v>0</v>
      </c>
      <c r="AD134" s="9">
        <f>'Working Capital'!AD49</f>
        <v>0</v>
      </c>
      <c r="AE134" s="9">
        <f>'Working Capital'!AE49</f>
        <v>0</v>
      </c>
      <c r="AF134" s="9">
        <f>'Working Capital'!AF49</f>
        <v>0</v>
      </c>
      <c r="AG134" s="9">
        <f>'Working Capital'!AG49</f>
        <v>0</v>
      </c>
      <c r="AH134" s="9">
        <f>'Working Capital'!AH49</f>
        <v>0</v>
      </c>
      <c r="AI134" s="9">
        <f>'Working Capital'!AI49</f>
        <v>0</v>
      </c>
      <c r="AJ134" s="9">
        <f>'Working Capital'!AJ49</f>
        <v>0</v>
      </c>
      <c r="AK134" s="9">
        <f>'Working Capital'!AK49</f>
        <v>0</v>
      </c>
      <c r="AL134" s="9">
        <f>'Working Capital'!AL49</f>
        <v>0</v>
      </c>
      <c r="AM134" s="9">
        <f>'Working Capital'!AM49</f>
        <v>0</v>
      </c>
      <c r="AN134" s="9">
        <f>'Working Capital'!AN49</f>
        <v>0</v>
      </c>
      <c r="AO134" s="9">
        <f>'Working Capital'!AO49</f>
        <v>0</v>
      </c>
      <c r="AP134" s="9">
        <f>'Working Capital'!AP49</f>
        <v>0</v>
      </c>
      <c r="AQ134" s="9">
        <f>'Working Capital'!AQ49</f>
        <v>0</v>
      </c>
      <c r="AR134" s="9">
        <f>'Working Capital'!AR49</f>
        <v>0</v>
      </c>
      <c r="AS134" s="9">
        <f>'Working Capital'!AS49</f>
        <v>0</v>
      </c>
      <c r="AT134" s="9">
        <f>'Working Capital'!AT49</f>
        <v>0</v>
      </c>
      <c r="AU134" s="9">
        <f>'Working Capital'!AU49</f>
        <v>0</v>
      </c>
      <c r="AV134" s="9">
        <f>'Working Capital'!AV49</f>
        <v>0</v>
      </c>
      <c r="AW134" s="9">
        <f>'Working Capital'!AW49</f>
        <v>0</v>
      </c>
      <c r="AX134" s="9">
        <f>'Working Capital'!AX49</f>
        <v>0</v>
      </c>
      <c r="AY134" s="9">
        <f>'Working Capital'!AY49</f>
        <v>0</v>
      </c>
      <c r="AZ134" s="9">
        <f>'Working Capital'!AZ49</f>
        <v>0</v>
      </c>
      <c r="BA134" s="9">
        <f>'Working Capital'!BA49</f>
        <v>0</v>
      </c>
      <c r="BB134" s="41">
        <f>'Working Capital'!BB49</f>
        <v>-582159.54166666651</v>
      </c>
      <c r="BC134" s="9">
        <f>'Working Capital'!BC49</f>
        <v>0</v>
      </c>
      <c r="BD134" s="9">
        <f>'Working Capital'!BD49</f>
        <v>0</v>
      </c>
      <c r="BE134" s="9">
        <f>'Working Capital'!BE49</f>
        <v>0</v>
      </c>
      <c r="BF134" s="9">
        <f>'Working Capital'!BF49</f>
        <v>0</v>
      </c>
      <c r="BG134" s="9">
        <f>'Working Capital'!BG49</f>
        <v>0</v>
      </c>
      <c r="BH134" s="9">
        <f>'Working Capital'!BH49</f>
        <v>0</v>
      </c>
      <c r="BI134" s="9">
        <f>'Working Capital'!BI49</f>
        <v>0</v>
      </c>
      <c r="BJ134" s="9">
        <f>'Working Capital'!BJ49</f>
        <v>0</v>
      </c>
      <c r="BK134" s="9">
        <f>'Working Capital'!BK49</f>
        <v>0</v>
      </c>
      <c r="BL134" s="9">
        <f>'Working Capital'!BL49</f>
        <v>0</v>
      </c>
      <c r="BM134" s="9">
        <f>'Working Capital'!BM49</f>
        <v>0</v>
      </c>
      <c r="BN134" s="41">
        <f>'Working Capital'!BN49</f>
        <v>-1380497.85</v>
      </c>
      <c r="BO134" s="9">
        <f>'Working Capital'!BO49</f>
        <v>0</v>
      </c>
      <c r="BP134" s="9">
        <f>'Working Capital'!BP49</f>
        <v>0</v>
      </c>
      <c r="BQ134" s="9">
        <f>'Working Capital'!BQ49</f>
        <v>0</v>
      </c>
    </row>
    <row r="135" spans="2:69">
      <c r="B135" s="53" t="s">
        <v>43</v>
      </c>
      <c r="C135" s="13"/>
      <c r="J135" s="32">
        <f>SUM(J127:J134)</f>
        <v>15755</v>
      </c>
      <c r="K135" s="32">
        <f t="shared" ref="K135:BE135" si="117">SUM(K127:K134)</f>
        <v>9459.9999999999982</v>
      </c>
      <c r="L135" s="32">
        <f t="shared" si="117"/>
        <v>-11102.999999999998</v>
      </c>
      <c r="M135" s="32">
        <f t="shared" si="117"/>
        <v>-4638</v>
      </c>
      <c r="N135" s="32">
        <f t="shared" si="117"/>
        <v>-5931.5200000000041</v>
      </c>
      <c r="O135" s="32">
        <f t="shared" si="117"/>
        <v>4947.2999999999884</v>
      </c>
      <c r="P135" s="32">
        <f t="shared" si="117"/>
        <v>-8542.9699999999793</v>
      </c>
      <c r="Q135" s="32">
        <f t="shared" si="117"/>
        <v>78600.44</v>
      </c>
      <c r="R135" s="32">
        <f t="shared" si="117"/>
        <v>-86737.3510185185</v>
      </c>
      <c r="S135" s="32">
        <f t="shared" si="117"/>
        <v>-42853.458250600153</v>
      </c>
      <c r="T135" s="32">
        <f t="shared" si="117"/>
        <v>-58677.84111832505</v>
      </c>
      <c r="U135" s="32">
        <f t="shared" si="117"/>
        <v>-40629.397025399223</v>
      </c>
      <c r="V135" s="32">
        <f t="shared" si="117"/>
        <v>-50870.455783745441</v>
      </c>
      <c r="W135" s="32">
        <f t="shared" si="117"/>
        <v>-57560.193455883455</v>
      </c>
      <c r="X135" s="32">
        <f t="shared" si="117"/>
        <v>-79237.253736028171</v>
      </c>
      <c r="Y135" s="32">
        <f t="shared" si="117"/>
        <v>-50449.94203732715</v>
      </c>
      <c r="Z135" s="32">
        <f t="shared" si="117"/>
        <v>-8311.0181551947026</v>
      </c>
      <c r="AA135" s="32">
        <f t="shared" si="117"/>
        <v>2682.307592382178</v>
      </c>
      <c r="AB135" s="32">
        <f t="shared" si="117"/>
        <v>25925.575331455027</v>
      </c>
      <c r="AC135" s="32">
        <f t="shared" si="117"/>
        <v>28922.94426635834</v>
      </c>
      <c r="AD135" s="32">
        <f t="shared" si="117"/>
        <v>2542.5109062574702</v>
      </c>
      <c r="AE135" s="32">
        <f t="shared" si="117"/>
        <v>57690.912211318886</v>
      </c>
      <c r="AF135" s="32">
        <f t="shared" si="117"/>
        <v>73261.096423022129</v>
      </c>
      <c r="AG135" s="32">
        <f t="shared" si="117"/>
        <v>18329.667901199224</v>
      </c>
      <c r="AH135" s="32">
        <f t="shared" si="117"/>
        <v>96990.644528356235</v>
      </c>
      <c r="AI135" s="32">
        <f t="shared" si="117"/>
        <v>130770.94137460619</v>
      </c>
      <c r="AJ135" s="32">
        <f t="shared" si="117"/>
        <v>78291.175362745475</v>
      </c>
      <c r="AK135" s="32">
        <f t="shared" si="117"/>
        <v>179015.47829085909</v>
      </c>
      <c r="AL135" s="32">
        <f t="shared" si="117"/>
        <v>198041.18220703618</v>
      </c>
      <c r="AM135" s="32">
        <f t="shared" si="117"/>
        <v>91940.279036808119</v>
      </c>
      <c r="AN135" s="32">
        <f t="shared" si="117"/>
        <v>237526.63516984219</v>
      </c>
      <c r="AO135" s="32">
        <f t="shared" si="117"/>
        <v>248825.6846145337</v>
      </c>
      <c r="AP135" s="32">
        <f t="shared" si="117"/>
        <v>121607.27699175241</v>
      </c>
      <c r="AQ135" s="32">
        <f t="shared" si="117"/>
        <v>290909.53050826665</v>
      </c>
      <c r="AR135" s="32">
        <f t="shared" si="117"/>
        <v>312337.97125737119</v>
      </c>
      <c r="AS135" s="32">
        <f t="shared" si="117"/>
        <v>143767.35029671225</v>
      </c>
      <c r="AT135" s="32">
        <f t="shared" si="117"/>
        <v>344722.94201084698</v>
      </c>
      <c r="AU135" s="32">
        <f t="shared" si="117"/>
        <v>407410.04105631192</v>
      </c>
      <c r="AV135" s="32">
        <f t="shared" si="117"/>
        <v>232500.09879435063</v>
      </c>
      <c r="AW135" s="32">
        <f t="shared" si="117"/>
        <v>484324.73641018633</v>
      </c>
      <c r="AX135" s="32">
        <f t="shared" si="117"/>
        <v>507572.5324647426</v>
      </c>
      <c r="AY135" s="32">
        <f t="shared" si="117"/>
        <v>250613.50348713779</v>
      </c>
      <c r="AZ135" s="32">
        <f t="shared" si="117"/>
        <v>557271.58340971032</v>
      </c>
      <c r="BA135" s="32">
        <f t="shared" si="117"/>
        <v>581818.88636997668</v>
      </c>
      <c r="BB135" s="32">
        <f t="shared" si="117"/>
        <v>-292123.93784845748</v>
      </c>
      <c r="BC135" s="32">
        <f t="shared" si="117"/>
        <v>633540.8073597136</v>
      </c>
      <c r="BD135" s="32">
        <f t="shared" si="117"/>
        <v>658515.35156339151</v>
      </c>
      <c r="BE135" s="32">
        <f t="shared" si="117"/>
        <v>328791.0114564246</v>
      </c>
      <c r="BF135" s="32">
        <f t="shared" ref="BF135:BQ135" si="118">SUM(BF127:BF134)</f>
        <v>711092.47961474815</v>
      </c>
      <c r="BG135" s="32">
        <f t="shared" si="118"/>
        <v>722797.46396841807</v>
      </c>
      <c r="BH135" s="32">
        <f t="shared" si="118"/>
        <v>362145.5735003007</v>
      </c>
      <c r="BI135" s="32">
        <f t="shared" si="118"/>
        <v>786703.37784228707</v>
      </c>
      <c r="BJ135" s="32">
        <f t="shared" si="118"/>
        <v>815488.24100477214</v>
      </c>
      <c r="BK135" s="32">
        <f t="shared" si="118"/>
        <v>408043.85302314663</v>
      </c>
      <c r="BL135" s="32">
        <f t="shared" si="118"/>
        <v>871937.46708423342</v>
      </c>
      <c r="BM135" s="32">
        <f t="shared" si="118"/>
        <v>901439.15729462204</v>
      </c>
      <c r="BN135" s="32">
        <f t="shared" si="118"/>
        <v>-927512.99077127385</v>
      </c>
      <c r="BO135" s="32">
        <f t="shared" si="118"/>
        <v>961161.24242348294</v>
      </c>
      <c r="BP135" s="32">
        <f t="shared" si="118"/>
        <v>991234.80967315368</v>
      </c>
      <c r="BQ135" s="32">
        <f t="shared" si="118"/>
        <v>498245.52212917584</v>
      </c>
    </row>
    <row r="136" spans="2:69">
      <c r="C136" s="14"/>
    </row>
    <row r="137" spans="2:69">
      <c r="B137" s="3" t="s">
        <v>44</v>
      </c>
      <c r="C137" s="13"/>
    </row>
    <row r="138" spans="2:69">
      <c r="B138" s="52" t="s">
        <v>237</v>
      </c>
      <c r="C138" s="13"/>
    </row>
    <row r="139" spans="2:69">
      <c r="B139" s="52" t="s">
        <v>238</v>
      </c>
      <c r="C139" s="13"/>
    </row>
    <row r="140" spans="2:69">
      <c r="B140" s="69" t="s">
        <v>239</v>
      </c>
      <c r="C140" s="70"/>
      <c r="D140" s="71"/>
      <c r="E140" s="71"/>
      <c r="F140" s="71"/>
      <c r="G140" s="71"/>
      <c r="H140" s="71"/>
      <c r="I140" s="71"/>
      <c r="J140" s="41">
        <f>-'Fixed Assets'!J68</f>
        <v>0</v>
      </c>
      <c r="K140" s="41">
        <f>-'Fixed Assets'!K68</f>
        <v>0</v>
      </c>
      <c r="L140" s="41">
        <f>-'Fixed Assets'!L68</f>
        <v>0</v>
      </c>
      <c r="M140" s="41">
        <f>-'Fixed Assets'!M68</f>
        <v>0</v>
      </c>
      <c r="N140" s="41">
        <f>-'Fixed Assets'!N68</f>
        <v>0</v>
      </c>
      <c r="O140" s="41">
        <f>-'Fixed Assets'!O68</f>
        <v>0</v>
      </c>
      <c r="P140" s="41">
        <f>-'Fixed Assets'!P68</f>
        <v>0</v>
      </c>
      <c r="Q140" s="41">
        <f>-'Fixed Assets'!Q68</f>
        <v>0</v>
      </c>
      <c r="R140" s="41">
        <f>-'Fixed Assets'!R68</f>
        <v>0</v>
      </c>
      <c r="S140" s="41">
        <f>-'Fixed Assets'!S68-'Fixed Assets'!S10</f>
        <v>-2470</v>
      </c>
      <c r="T140" s="41">
        <f>-'Fixed Assets'!T68-'Fixed Assets'!T10</f>
        <v>-50350</v>
      </c>
      <c r="U140" s="41">
        <f>-'Fixed Assets'!U68-'Fixed Assets'!U10</f>
        <v>-47350</v>
      </c>
      <c r="V140" s="41">
        <f>-'Fixed Assets'!V68-'Fixed Assets'!V10</f>
        <v>-47350</v>
      </c>
      <c r="W140" s="41">
        <f>-'Fixed Assets'!W68-'Fixed Assets'!W10</f>
        <v>-59700</v>
      </c>
      <c r="X140" s="41">
        <f>-'Fixed Assets'!X68</f>
        <v>-27700</v>
      </c>
      <c r="Y140" s="41">
        <f>-'Fixed Assets'!Y68</f>
        <v>-24700</v>
      </c>
      <c r="Z140" s="41">
        <f>-'Fixed Assets'!Z68</f>
        <v>-24700</v>
      </c>
      <c r="AA140" s="41">
        <f>-'Fixed Assets'!AA68</f>
        <v>-24700</v>
      </c>
      <c r="AB140" s="41">
        <f>-'Fixed Assets'!AB68</f>
        <v>-27700</v>
      </c>
      <c r="AC140" s="41">
        <f>-'Fixed Assets'!AC68</f>
        <v>-24700</v>
      </c>
      <c r="AD140" s="41">
        <f>-'Fixed Assets'!AD68</f>
        <v>-24700</v>
      </c>
      <c r="AE140" s="41">
        <f>-'Fixed Assets'!AE68</f>
        <v>-24700</v>
      </c>
      <c r="AF140" s="41">
        <f>-'Fixed Assets'!AF68</f>
        <v>-27700</v>
      </c>
      <c r="AG140" s="41">
        <f>-'Fixed Assets'!AG68</f>
        <v>-24700</v>
      </c>
      <c r="AH140" s="41">
        <f>-'Fixed Assets'!AH68</f>
        <v>-29640</v>
      </c>
      <c r="AI140" s="41">
        <f>-'Fixed Assets'!AI68</f>
        <v>-29640</v>
      </c>
      <c r="AJ140" s="41">
        <f>-'Fixed Assets'!AJ68</f>
        <v>-32640</v>
      </c>
      <c r="AK140" s="41">
        <f>-'Fixed Assets'!AK68</f>
        <v>-29640</v>
      </c>
      <c r="AL140" s="41">
        <f>-'Fixed Assets'!AL68</f>
        <v>-29640</v>
      </c>
      <c r="AM140" s="41">
        <f>-'Fixed Assets'!AM68</f>
        <v>-29640</v>
      </c>
      <c r="AN140" s="41">
        <f>-'Fixed Assets'!AN68</f>
        <v>-32640</v>
      </c>
      <c r="AO140" s="41">
        <f>-'Fixed Assets'!AO68</f>
        <v>-29640</v>
      </c>
      <c r="AP140" s="41">
        <f>-'Fixed Assets'!AP68</f>
        <v>-29640</v>
      </c>
      <c r="AQ140" s="41">
        <f>-'Fixed Assets'!AQ68</f>
        <v>-29640</v>
      </c>
      <c r="AR140" s="41">
        <f>-'Fixed Assets'!AR68</f>
        <v>-32640</v>
      </c>
      <c r="AS140" s="41">
        <f>-'Fixed Assets'!AS68</f>
        <v>-29640</v>
      </c>
      <c r="AT140" s="41">
        <f>-'Fixed Assets'!AT68</f>
        <v>-34580</v>
      </c>
      <c r="AU140" s="41">
        <f>-'Fixed Assets'!AU68</f>
        <v>-34580</v>
      </c>
      <c r="AV140" s="41">
        <f>-'Fixed Assets'!AV68</f>
        <v>-34580</v>
      </c>
      <c r="AW140" s="41">
        <f>-'Fixed Assets'!AW68</f>
        <v>-34580</v>
      </c>
      <c r="AX140" s="41">
        <f>-'Fixed Assets'!AX68</f>
        <v>-34580</v>
      </c>
      <c r="AY140" s="41">
        <f>-'Fixed Assets'!AY68</f>
        <v>-34580</v>
      </c>
      <c r="AZ140" s="41">
        <f>-'Fixed Assets'!AZ68</f>
        <v>-34580</v>
      </c>
      <c r="BA140" s="41">
        <f>-'Fixed Assets'!BA68</f>
        <v>-34580</v>
      </c>
      <c r="BB140" s="41">
        <f>-'Fixed Assets'!BB68</f>
        <v>-34580</v>
      </c>
      <c r="BC140" s="41">
        <f>-'Fixed Assets'!BC68</f>
        <v>-34580</v>
      </c>
      <c r="BD140" s="41">
        <f>-'Fixed Assets'!BD68</f>
        <v>-34580</v>
      </c>
      <c r="BE140" s="41">
        <f>-'Fixed Assets'!BE68</f>
        <v>-34580</v>
      </c>
      <c r="BF140" s="41">
        <f>-'Fixed Assets'!BF68</f>
        <v>-39520</v>
      </c>
      <c r="BG140" s="41">
        <f>-'Fixed Assets'!BG68</f>
        <v>-39520</v>
      </c>
      <c r="BH140" s="41">
        <f>-'Fixed Assets'!BH68</f>
        <v>-39520</v>
      </c>
      <c r="BI140" s="41">
        <f>-'Fixed Assets'!BI68</f>
        <v>-39520</v>
      </c>
      <c r="BJ140" s="41">
        <f>-'Fixed Assets'!BJ68</f>
        <v>-39520</v>
      </c>
      <c r="BK140" s="41">
        <f>-'Fixed Assets'!BK68</f>
        <v>-39520</v>
      </c>
      <c r="BL140" s="41">
        <f>-'Fixed Assets'!BL68</f>
        <v>-39520</v>
      </c>
      <c r="BM140" s="41">
        <f>-'Fixed Assets'!BM68</f>
        <v>-39520</v>
      </c>
      <c r="BN140" s="41">
        <f>-'Fixed Assets'!BN68</f>
        <v>-39520</v>
      </c>
      <c r="BO140" s="41">
        <f>-'Fixed Assets'!BO68</f>
        <v>-39520</v>
      </c>
      <c r="BP140" s="41">
        <f>-'Fixed Assets'!BP68</f>
        <v>-39520</v>
      </c>
      <c r="BQ140" s="41">
        <f>-'Fixed Assets'!BQ68</f>
        <v>-39520</v>
      </c>
    </row>
    <row r="141" spans="2:69">
      <c r="B141" s="53" t="s">
        <v>45</v>
      </c>
      <c r="C141" s="13"/>
      <c r="J141" s="32">
        <f>SUM(J138:J140)</f>
        <v>0</v>
      </c>
      <c r="K141" s="32">
        <f t="shared" ref="K141:BA141" si="119">SUM(K138:K140)</f>
        <v>0</v>
      </c>
      <c r="L141" s="32">
        <f t="shared" si="119"/>
        <v>0</v>
      </c>
      <c r="M141" s="32">
        <f t="shared" si="119"/>
        <v>0</v>
      </c>
      <c r="N141" s="32">
        <f t="shared" si="119"/>
        <v>0</v>
      </c>
      <c r="O141" s="32">
        <f t="shared" si="119"/>
        <v>0</v>
      </c>
      <c r="P141" s="32">
        <f t="shared" si="119"/>
        <v>0</v>
      </c>
      <c r="Q141" s="32">
        <f t="shared" si="119"/>
        <v>0</v>
      </c>
      <c r="R141" s="32">
        <f t="shared" si="119"/>
        <v>0</v>
      </c>
      <c r="S141" s="32">
        <f t="shared" si="119"/>
        <v>-2470</v>
      </c>
      <c r="T141" s="32">
        <f t="shared" si="119"/>
        <v>-50350</v>
      </c>
      <c r="U141" s="32">
        <f t="shared" si="119"/>
        <v>-47350</v>
      </c>
      <c r="V141" s="32">
        <f t="shared" si="119"/>
        <v>-47350</v>
      </c>
      <c r="W141" s="32">
        <f t="shared" si="119"/>
        <v>-59700</v>
      </c>
      <c r="X141" s="32">
        <f t="shared" si="119"/>
        <v>-27700</v>
      </c>
      <c r="Y141" s="32">
        <f t="shared" si="119"/>
        <v>-24700</v>
      </c>
      <c r="Z141" s="32">
        <f t="shared" si="119"/>
        <v>-24700</v>
      </c>
      <c r="AA141" s="32">
        <f t="shared" si="119"/>
        <v>-24700</v>
      </c>
      <c r="AB141" s="32">
        <f t="shared" si="119"/>
        <v>-27700</v>
      </c>
      <c r="AC141" s="32">
        <f t="shared" si="119"/>
        <v>-24700</v>
      </c>
      <c r="AD141" s="32">
        <f t="shared" si="119"/>
        <v>-24700</v>
      </c>
      <c r="AE141" s="32">
        <f t="shared" si="119"/>
        <v>-24700</v>
      </c>
      <c r="AF141" s="32">
        <f t="shared" si="119"/>
        <v>-27700</v>
      </c>
      <c r="AG141" s="32">
        <f t="shared" si="119"/>
        <v>-24700</v>
      </c>
      <c r="AH141" s="32">
        <f t="shared" si="119"/>
        <v>-29640</v>
      </c>
      <c r="AI141" s="32">
        <f t="shared" si="119"/>
        <v>-29640</v>
      </c>
      <c r="AJ141" s="32">
        <f t="shared" si="119"/>
        <v>-32640</v>
      </c>
      <c r="AK141" s="32">
        <f t="shared" si="119"/>
        <v>-29640</v>
      </c>
      <c r="AL141" s="32">
        <f t="shared" si="119"/>
        <v>-29640</v>
      </c>
      <c r="AM141" s="32">
        <f t="shared" si="119"/>
        <v>-29640</v>
      </c>
      <c r="AN141" s="32">
        <f t="shared" si="119"/>
        <v>-32640</v>
      </c>
      <c r="AO141" s="32">
        <f t="shared" si="119"/>
        <v>-29640</v>
      </c>
      <c r="AP141" s="32">
        <f t="shared" si="119"/>
        <v>-29640</v>
      </c>
      <c r="AQ141" s="32">
        <f t="shared" si="119"/>
        <v>-29640</v>
      </c>
      <c r="AR141" s="32">
        <f t="shared" si="119"/>
        <v>-32640</v>
      </c>
      <c r="AS141" s="32">
        <f t="shared" si="119"/>
        <v>-29640</v>
      </c>
      <c r="AT141" s="32">
        <f t="shared" si="119"/>
        <v>-34580</v>
      </c>
      <c r="AU141" s="32">
        <f t="shared" si="119"/>
        <v>-34580</v>
      </c>
      <c r="AV141" s="32">
        <f t="shared" si="119"/>
        <v>-34580</v>
      </c>
      <c r="AW141" s="32">
        <f t="shared" si="119"/>
        <v>-34580</v>
      </c>
      <c r="AX141" s="32">
        <f t="shared" si="119"/>
        <v>-34580</v>
      </c>
      <c r="AY141" s="32">
        <f t="shared" si="119"/>
        <v>-34580</v>
      </c>
      <c r="AZ141" s="32">
        <f t="shared" si="119"/>
        <v>-34580</v>
      </c>
      <c r="BA141" s="32">
        <f t="shared" si="119"/>
        <v>-34580</v>
      </c>
      <c r="BB141" s="32">
        <f t="shared" ref="BB141" si="120">SUM(BB138:BB140)</f>
        <v>-34580</v>
      </c>
      <c r="BC141" s="32">
        <f t="shared" ref="BC141" si="121">SUM(BC138:BC140)</f>
        <v>-34580</v>
      </c>
      <c r="BD141" s="32">
        <f t="shared" ref="BD141" si="122">SUM(BD138:BD140)</f>
        <v>-34580</v>
      </c>
      <c r="BE141" s="32">
        <f t="shared" ref="BE141:BQ141" si="123">SUM(BE138:BE140)</f>
        <v>-34580</v>
      </c>
      <c r="BF141" s="32">
        <f t="shared" si="123"/>
        <v>-39520</v>
      </c>
      <c r="BG141" s="32">
        <f t="shared" si="123"/>
        <v>-39520</v>
      </c>
      <c r="BH141" s="32">
        <f t="shared" si="123"/>
        <v>-39520</v>
      </c>
      <c r="BI141" s="32">
        <f t="shared" si="123"/>
        <v>-39520</v>
      </c>
      <c r="BJ141" s="32">
        <f t="shared" si="123"/>
        <v>-39520</v>
      </c>
      <c r="BK141" s="32">
        <f t="shared" si="123"/>
        <v>-39520</v>
      </c>
      <c r="BL141" s="32">
        <f t="shared" si="123"/>
        <v>-39520</v>
      </c>
      <c r="BM141" s="32">
        <f t="shared" si="123"/>
        <v>-39520</v>
      </c>
      <c r="BN141" s="32">
        <f t="shared" si="123"/>
        <v>-39520</v>
      </c>
      <c r="BO141" s="32">
        <f t="shared" si="123"/>
        <v>-39520</v>
      </c>
      <c r="BP141" s="32">
        <f t="shared" si="123"/>
        <v>-39520</v>
      </c>
      <c r="BQ141" s="32">
        <f t="shared" si="123"/>
        <v>-39520</v>
      </c>
    </row>
    <row r="142" spans="2:69">
      <c r="C142" s="13"/>
    </row>
    <row r="143" spans="2:69">
      <c r="B143" s="3" t="s">
        <v>46</v>
      </c>
      <c r="C143" s="13"/>
    </row>
    <row r="144" spans="2:69">
      <c r="B144" s="52" t="s">
        <v>240</v>
      </c>
      <c r="C144" s="13"/>
    </row>
    <row r="145" spans="2:69">
      <c r="B145" s="52" t="s">
        <v>241</v>
      </c>
      <c r="C145" s="14"/>
    </row>
    <row r="146" spans="2:69">
      <c r="B146" s="53" t="s">
        <v>47</v>
      </c>
      <c r="C146" s="13"/>
      <c r="J146" s="4">
        <f>SUM(J144:J145)</f>
        <v>0</v>
      </c>
      <c r="K146" s="4">
        <f t="shared" ref="K146:BE146" si="124">SUM(K144:K145)</f>
        <v>0</v>
      </c>
      <c r="L146" s="4">
        <f t="shared" si="124"/>
        <v>0</v>
      </c>
      <c r="M146" s="4">
        <f t="shared" si="124"/>
        <v>0</v>
      </c>
      <c r="N146" s="4">
        <f t="shared" si="124"/>
        <v>0</v>
      </c>
      <c r="O146" s="4">
        <f t="shared" si="124"/>
        <v>0</v>
      </c>
      <c r="P146" s="4">
        <f t="shared" si="124"/>
        <v>0</v>
      </c>
      <c r="Q146" s="4">
        <f t="shared" si="124"/>
        <v>0</v>
      </c>
      <c r="R146" s="4">
        <f t="shared" si="124"/>
        <v>0</v>
      </c>
      <c r="S146" s="4">
        <f t="shared" si="124"/>
        <v>0</v>
      </c>
      <c r="T146" s="4">
        <f t="shared" si="124"/>
        <v>0</v>
      </c>
      <c r="U146" s="4">
        <f t="shared" si="124"/>
        <v>0</v>
      </c>
      <c r="V146" s="4">
        <f t="shared" si="124"/>
        <v>0</v>
      </c>
      <c r="W146" s="4">
        <f t="shared" si="124"/>
        <v>0</v>
      </c>
      <c r="X146" s="4">
        <f t="shared" si="124"/>
        <v>0</v>
      </c>
      <c r="Y146" s="4">
        <f t="shared" si="124"/>
        <v>0</v>
      </c>
      <c r="Z146" s="4">
        <f t="shared" si="124"/>
        <v>0</v>
      </c>
      <c r="AA146" s="4">
        <f t="shared" si="124"/>
        <v>0</v>
      </c>
      <c r="AB146" s="4">
        <f t="shared" si="124"/>
        <v>0</v>
      </c>
      <c r="AC146" s="4">
        <f t="shared" si="124"/>
        <v>0</v>
      </c>
      <c r="AD146" s="4">
        <f t="shared" si="124"/>
        <v>0</v>
      </c>
      <c r="AE146" s="4">
        <f t="shared" si="124"/>
        <v>0</v>
      </c>
      <c r="AF146" s="4">
        <f t="shared" si="124"/>
        <v>0</v>
      </c>
      <c r="AG146" s="4">
        <f t="shared" si="124"/>
        <v>0</v>
      </c>
      <c r="AH146" s="4">
        <f t="shared" si="124"/>
        <v>0</v>
      </c>
      <c r="AI146" s="4">
        <f t="shared" si="124"/>
        <v>0</v>
      </c>
      <c r="AJ146" s="4">
        <f t="shared" si="124"/>
        <v>0</v>
      </c>
      <c r="AK146" s="4">
        <f t="shared" si="124"/>
        <v>0</v>
      </c>
      <c r="AL146" s="4">
        <f t="shared" si="124"/>
        <v>0</v>
      </c>
      <c r="AM146" s="4">
        <f t="shared" si="124"/>
        <v>0</v>
      </c>
      <c r="AN146" s="4">
        <f t="shared" si="124"/>
        <v>0</v>
      </c>
      <c r="AO146" s="4">
        <f t="shared" si="124"/>
        <v>0</v>
      </c>
      <c r="AP146" s="4">
        <f t="shared" si="124"/>
        <v>0</v>
      </c>
      <c r="AQ146" s="4">
        <f t="shared" si="124"/>
        <v>0</v>
      </c>
      <c r="AR146" s="4">
        <f t="shared" si="124"/>
        <v>0</v>
      </c>
      <c r="AS146" s="4">
        <f t="shared" si="124"/>
        <v>0</v>
      </c>
      <c r="AT146" s="4">
        <f t="shared" si="124"/>
        <v>0</v>
      </c>
      <c r="AU146" s="4">
        <f t="shared" si="124"/>
        <v>0</v>
      </c>
      <c r="AV146" s="4">
        <f t="shared" si="124"/>
        <v>0</v>
      </c>
      <c r="AW146" s="4">
        <f t="shared" si="124"/>
        <v>0</v>
      </c>
      <c r="AX146" s="4">
        <f t="shared" si="124"/>
        <v>0</v>
      </c>
      <c r="AY146" s="4">
        <f t="shared" si="124"/>
        <v>0</v>
      </c>
      <c r="AZ146" s="4">
        <f t="shared" si="124"/>
        <v>0</v>
      </c>
      <c r="BA146" s="4">
        <f t="shared" si="124"/>
        <v>0</v>
      </c>
      <c r="BB146" s="4">
        <f t="shared" si="124"/>
        <v>0</v>
      </c>
      <c r="BC146" s="4">
        <f t="shared" si="124"/>
        <v>0</v>
      </c>
      <c r="BD146" s="4">
        <f t="shared" si="124"/>
        <v>0</v>
      </c>
      <c r="BE146" s="4">
        <f t="shared" si="124"/>
        <v>0</v>
      </c>
      <c r="BF146" s="4">
        <f t="shared" ref="BF146:BQ146" si="125">SUM(BF144:BF145)</f>
        <v>0</v>
      </c>
      <c r="BG146" s="4">
        <f t="shared" si="125"/>
        <v>0</v>
      </c>
      <c r="BH146" s="4">
        <f t="shared" si="125"/>
        <v>0</v>
      </c>
      <c r="BI146" s="4">
        <f t="shared" si="125"/>
        <v>0</v>
      </c>
      <c r="BJ146" s="4">
        <f t="shared" si="125"/>
        <v>0</v>
      </c>
      <c r="BK146" s="4">
        <f t="shared" si="125"/>
        <v>0</v>
      </c>
      <c r="BL146" s="4">
        <f t="shared" si="125"/>
        <v>0</v>
      </c>
      <c r="BM146" s="4">
        <f t="shared" si="125"/>
        <v>0</v>
      </c>
      <c r="BN146" s="4">
        <f t="shared" si="125"/>
        <v>0</v>
      </c>
      <c r="BO146" s="4">
        <f t="shared" si="125"/>
        <v>0</v>
      </c>
      <c r="BP146" s="4">
        <f t="shared" si="125"/>
        <v>0</v>
      </c>
      <c r="BQ146" s="4">
        <f t="shared" si="125"/>
        <v>0</v>
      </c>
    </row>
    <row r="147" spans="2:69">
      <c r="C147" s="13"/>
    </row>
    <row r="148" spans="2:69">
      <c r="B148" s="3" t="s">
        <v>48</v>
      </c>
      <c r="C148" s="13"/>
      <c r="J148" s="32">
        <f>J135+J141</f>
        <v>15755</v>
      </c>
      <c r="K148" s="32">
        <f>K135+K141</f>
        <v>9459.9999999999982</v>
      </c>
      <c r="L148" s="32">
        <f t="shared" ref="L148:BE148" si="126">L135+L141</f>
        <v>-11102.999999999998</v>
      </c>
      <c r="M148" s="32">
        <f t="shared" si="126"/>
        <v>-4638</v>
      </c>
      <c r="N148" s="32">
        <f t="shared" si="126"/>
        <v>-5931.5200000000041</v>
      </c>
      <c r="O148" s="32">
        <f t="shared" si="126"/>
        <v>4947.2999999999884</v>
      </c>
      <c r="P148" s="32">
        <f t="shared" si="126"/>
        <v>-8542.9699999999793</v>
      </c>
      <c r="Q148" s="32">
        <f>Q135+Q141</f>
        <v>78600.44</v>
      </c>
      <c r="R148" s="32">
        <f t="shared" si="126"/>
        <v>-86737.3510185185</v>
      </c>
      <c r="S148" s="32">
        <f t="shared" si="126"/>
        <v>-45323.458250600153</v>
      </c>
      <c r="T148" s="32">
        <f t="shared" si="126"/>
        <v>-109027.84111832504</v>
      </c>
      <c r="U148" s="32">
        <f t="shared" si="126"/>
        <v>-87979.39702539923</v>
      </c>
      <c r="V148" s="32">
        <f t="shared" si="126"/>
        <v>-98220.455783745449</v>
      </c>
      <c r="W148" s="32">
        <f t="shared" si="126"/>
        <v>-117260.19345588345</v>
      </c>
      <c r="X148" s="32">
        <f t="shared" si="126"/>
        <v>-106937.25373602817</v>
      </c>
      <c r="Y148" s="32">
        <f t="shared" si="126"/>
        <v>-75149.942037327157</v>
      </c>
      <c r="Z148" s="32">
        <f t="shared" si="126"/>
        <v>-33011.018155194703</v>
      </c>
      <c r="AA148" s="32">
        <f t="shared" si="126"/>
        <v>-22017.692407617822</v>
      </c>
      <c r="AB148" s="32">
        <f t="shared" si="126"/>
        <v>-1774.4246685449725</v>
      </c>
      <c r="AC148" s="32">
        <f t="shared" si="126"/>
        <v>4222.9442663583395</v>
      </c>
      <c r="AD148" s="32">
        <f t="shared" si="126"/>
        <v>-22157.48909374253</v>
      </c>
      <c r="AE148" s="32">
        <f t="shared" si="126"/>
        <v>32990.912211318886</v>
      </c>
      <c r="AF148" s="32">
        <f t="shared" si="126"/>
        <v>45561.096423022129</v>
      </c>
      <c r="AG148" s="32">
        <f t="shared" si="126"/>
        <v>-6370.3320988007763</v>
      </c>
      <c r="AH148" s="32">
        <f t="shared" si="126"/>
        <v>67350.644528356235</v>
      </c>
      <c r="AI148" s="32">
        <f t="shared" si="126"/>
        <v>101130.94137460619</v>
      </c>
      <c r="AJ148" s="32">
        <f t="shared" si="126"/>
        <v>45651.175362745475</v>
      </c>
      <c r="AK148" s="32">
        <f t="shared" si="126"/>
        <v>149375.47829085909</v>
      </c>
      <c r="AL148" s="32">
        <f t="shared" si="126"/>
        <v>168401.18220703618</v>
      </c>
      <c r="AM148" s="32">
        <f t="shared" si="126"/>
        <v>62300.279036808119</v>
      </c>
      <c r="AN148" s="32">
        <f t="shared" si="126"/>
        <v>204886.63516984219</v>
      </c>
      <c r="AO148" s="32">
        <f t="shared" si="126"/>
        <v>219185.6846145337</v>
      </c>
      <c r="AP148" s="32">
        <f t="shared" si="126"/>
        <v>91967.276991752413</v>
      </c>
      <c r="AQ148" s="32">
        <f t="shared" si="126"/>
        <v>261269.53050826665</v>
      </c>
      <c r="AR148" s="32">
        <f t="shared" si="126"/>
        <v>279697.97125737119</v>
      </c>
      <c r="AS148" s="32">
        <f t="shared" si="126"/>
        <v>114127.35029671225</v>
      </c>
      <c r="AT148" s="32">
        <f t="shared" si="126"/>
        <v>310142.94201084698</v>
      </c>
      <c r="AU148" s="32">
        <f t="shared" si="126"/>
        <v>372830.04105631192</v>
      </c>
      <c r="AV148" s="32">
        <f t="shared" si="126"/>
        <v>197920.09879435063</v>
      </c>
      <c r="AW148" s="32">
        <f t="shared" si="126"/>
        <v>449744.73641018633</v>
      </c>
      <c r="AX148" s="32">
        <f t="shared" si="126"/>
        <v>472992.5324647426</v>
      </c>
      <c r="AY148" s="32">
        <f t="shared" si="126"/>
        <v>216033.50348713779</v>
      </c>
      <c r="AZ148" s="32">
        <f t="shared" si="126"/>
        <v>522691.58340971032</v>
      </c>
      <c r="BA148" s="32">
        <f t="shared" si="126"/>
        <v>547238.88636997668</v>
      </c>
      <c r="BB148" s="32">
        <f t="shared" si="126"/>
        <v>-326703.93784845748</v>
      </c>
      <c r="BC148" s="32">
        <f t="shared" si="126"/>
        <v>598960.8073597136</v>
      </c>
      <c r="BD148" s="32">
        <f t="shared" si="126"/>
        <v>623935.35156339151</v>
      </c>
      <c r="BE148" s="32">
        <f t="shared" si="126"/>
        <v>294211.0114564246</v>
      </c>
      <c r="BF148" s="32">
        <f t="shared" ref="BF148:BQ148" si="127">BF135+BF141</f>
        <v>671572.47961474815</v>
      </c>
      <c r="BG148" s="32">
        <f t="shared" si="127"/>
        <v>683277.46396841807</v>
      </c>
      <c r="BH148" s="32">
        <f t="shared" si="127"/>
        <v>322625.5735003007</v>
      </c>
      <c r="BI148" s="32">
        <f t="shared" si="127"/>
        <v>747183.37784228707</v>
      </c>
      <c r="BJ148" s="32">
        <f t="shared" si="127"/>
        <v>775968.24100477214</v>
      </c>
      <c r="BK148" s="32">
        <f t="shared" si="127"/>
        <v>368523.85302314663</v>
      </c>
      <c r="BL148" s="32">
        <f t="shared" si="127"/>
        <v>832417.46708423342</v>
      </c>
      <c r="BM148" s="32">
        <f t="shared" si="127"/>
        <v>861919.15729462204</v>
      </c>
      <c r="BN148" s="32">
        <f t="shared" si="127"/>
        <v>-967032.99077127385</v>
      </c>
      <c r="BO148" s="32">
        <f t="shared" si="127"/>
        <v>921641.24242348294</v>
      </c>
      <c r="BP148" s="32">
        <f t="shared" si="127"/>
        <v>951714.80967315368</v>
      </c>
      <c r="BQ148" s="32">
        <f t="shared" si="127"/>
        <v>458725.52212917584</v>
      </c>
    </row>
    <row r="149" spans="2:69">
      <c r="B149" s="4" t="s">
        <v>242</v>
      </c>
      <c r="C149" s="14"/>
      <c r="J149" s="4">
        <v>0</v>
      </c>
      <c r="K149" s="32">
        <f>J150</f>
        <v>15755</v>
      </c>
      <c r="L149" s="32">
        <f t="shared" ref="L149:BE149" si="128">K150</f>
        <v>25215</v>
      </c>
      <c r="M149" s="32">
        <f t="shared" si="128"/>
        <v>14112.000000000002</v>
      </c>
      <c r="N149" s="32">
        <f t="shared" si="128"/>
        <v>9474.0000000000018</v>
      </c>
      <c r="O149" s="32">
        <f t="shared" si="128"/>
        <v>3542.4799999999977</v>
      </c>
      <c r="P149" s="32">
        <f t="shared" si="128"/>
        <v>8489.7799999999861</v>
      </c>
      <c r="Q149" s="32">
        <f t="shared" si="128"/>
        <v>-53.189999999993233</v>
      </c>
      <c r="R149" s="32">
        <f t="shared" si="128"/>
        <v>78547.250000000015</v>
      </c>
      <c r="S149" s="32">
        <f t="shared" si="128"/>
        <v>-8190.1010185184859</v>
      </c>
      <c r="T149" s="32">
        <f t="shared" si="128"/>
        <v>-53513.559269118639</v>
      </c>
      <c r="U149" s="32">
        <f t="shared" si="128"/>
        <v>-162541.40038744369</v>
      </c>
      <c r="V149" s="32">
        <f t="shared" si="128"/>
        <v>-250520.79741284292</v>
      </c>
      <c r="W149" s="32">
        <f t="shared" si="128"/>
        <v>-348741.25319658837</v>
      </c>
      <c r="X149" s="32">
        <f t="shared" si="128"/>
        <v>-466001.44665247179</v>
      </c>
      <c r="Y149" s="32">
        <f t="shared" si="128"/>
        <v>-572938.7003885</v>
      </c>
      <c r="Z149" s="32">
        <f t="shared" si="128"/>
        <v>-648088.64242582722</v>
      </c>
      <c r="AA149" s="32">
        <f t="shared" si="128"/>
        <v>-681099.66058102192</v>
      </c>
      <c r="AB149" s="32">
        <f t="shared" si="128"/>
        <v>-703117.35298863973</v>
      </c>
      <c r="AC149" s="32">
        <f t="shared" si="128"/>
        <v>-704891.77765718475</v>
      </c>
      <c r="AD149" s="32">
        <f t="shared" si="128"/>
        <v>-700668.83339082636</v>
      </c>
      <c r="AE149" s="32">
        <f t="shared" si="128"/>
        <v>-722826.32248456893</v>
      </c>
      <c r="AF149" s="32">
        <f t="shared" si="128"/>
        <v>-689835.41027325008</v>
      </c>
      <c r="AG149" s="32">
        <f t="shared" si="128"/>
        <v>-644274.31385022798</v>
      </c>
      <c r="AH149" s="32">
        <f t="shared" si="128"/>
        <v>-650644.64594902878</v>
      </c>
      <c r="AI149" s="32">
        <f t="shared" si="128"/>
        <v>-583294.00142067252</v>
      </c>
      <c r="AJ149" s="32">
        <f t="shared" si="128"/>
        <v>-482163.0600460663</v>
      </c>
      <c r="AK149" s="32">
        <f t="shared" si="128"/>
        <v>-436511.88468332082</v>
      </c>
      <c r="AL149" s="32">
        <f t="shared" si="128"/>
        <v>-287136.40639246174</v>
      </c>
      <c r="AM149" s="32">
        <f t="shared" si="128"/>
        <v>-118735.22418542556</v>
      </c>
      <c r="AN149" s="32">
        <f t="shared" si="128"/>
        <v>-56434.945148617437</v>
      </c>
      <c r="AO149" s="32">
        <f t="shared" si="128"/>
        <v>148451.69002122476</v>
      </c>
      <c r="AP149" s="32">
        <f t="shared" si="128"/>
        <v>367637.37463575846</v>
      </c>
      <c r="AQ149" s="32">
        <f t="shared" si="128"/>
        <v>459604.6516275109</v>
      </c>
      <c r="AR149" s="32">
        <f t="shared" si="128"/>
        <v>720874.18213577755</v>
      </c>
      <c r="AS149" s="32">
        <f t="shared" si="128"/>
        <v>1000572.1533931487</v>
      </c>
      <c r="AT149" s="32">
        <f t="shared" si="128"/>
        <v>1114699.5036898609</v>
      </c>
      <c r="AU149" s="32">
        <f t="shared" si="128"/>
        <v>1424842.4457007078</v>
      </c>
      <c r="AV149" s="32">
        <f t="shared" si="128"/>
        <v>1797672.4867570198</v>
      </c>
      <c r="AW149" s="32">
        <f t="shared" si="128"/>
        <v>1995592.5855513704</v>
      </c>
      <c r="AX149" s="32">
        <f t="shared" si="128"/>
        <v>2445337.3219615566</v>
      </c>
      <c r="AY149" s="32">
        <f t="shared" si="128"/>
        <v>2918329.8544262992</v>
      </c>
      <c r="AZ149" s="32">
        <f t="shared" si="128"/>
        <v>3134363.3579134368</v>
      </c>
      <c r="BA149" s="32">
        <f t="shared" si="128"/>
        <v>3657054.9413231472</v>
      </c>
      <c r="BB149" s="32">
        <f t="shared" si="128"/>
        <v>4204293.8276931234</v>
      </c>
      <c r="BC149" s="32">
        <f t="shared" si="128"/>
        <v>3877589.8898446658</v>
      </c>
      <c r="BD149" s="32">
        <f t="shared" si="128"/>
        <v>4476550.6972043794</v>
      </c>
      <c r="BE149" s="32">
        <f t="shared" si="128"/>
        <v>5100486.0487677706</v>
      </c>
      <c r="BF149" s="32">
        <f t="shared" ref="BF149" si="129">BE150</f>
        <v>5394697.060224195</v>
      </c>
      <c r="BG149" s="32">
        <f t="shared" ref="BG149" si="130">BF150</f>
        <v>6066269.5398389436</v>
      </c>
      <c r="BH149" s="32">
        <f t="shared" ref="BH149" si="131">BG150</f>
        <v>6749547.0038073622</v>
      </c>
      <c r="BI149" s="32">
        <f t="shared" ref="BI149" si="132">BH150</f>
        <v>7072172.5773076629</v>
      </c>
      <c r="BJ149" s="32">
        <f t="shared" ref="BJ149" si="133">BI150</f>
        <v>7819355.9551499505</v>
      </c>
      <c r="BK149" s="32">
        <f t="shared" ref="BK149" si="134">BJ150</f>
        <v>8595324.1961547229</v>
      </c>
      <c r="BL149" s="32">
        <f t="shared" ref="BL149" si="135">BK150</f>
        <v>8963848.0491778702</v>
      </c>
      <c r="BM149" s="32">
        <f t="shared" ref="BM149" si="136">BL150</f>
        <v>9796265.5162621029</v>
      </c>
      <c r="BN149" s="32">
        <f t="shared" ref="BN149" si="137">BM150</f>
        <v>10658184.673556725</v>
      </c>
      <c r="BO149" s="32">
        <f t="shared" ref="BO149" si="138">BN150</f>
        <v>9691151.6827854514</v>
      </c>
      <c r="BP149" s="32">
        <f t="shared" ref="BP149" si="139">BO150</f>
        <v>10612792.925208934</v>
      </c>
      <c r="BQ149" s="32">
        <f t="shared" ref="BQ149" si="140">BP150</f>
        <v>11564507.734882087</v>
      </c>
    </row>
    <row r="150" spans="2:69" s="86" customFormat="1">
      <c r="B150" s="86" t="s">
        <v>243</v>
      </c>
      <c r="C150" s="87"/>
      <c r="J150" s="105">
        <f>SUM(J148:J149)</f>
        <v>15755</v>
      </c>
      <c r="K150" s="103">
        <f>SUM(K148:K149)</f>
        <v>25215</v>
      </c>
      <c r="L150" s="105">
        <f t="shared" ref="L150:BE150" si="141">SUM(L148:L149)</f>
        <v>14112.000000000002</v>
      </c>
      <c r="M150" s="105">
        <f t="shared" si="141"/>
        <v>9474.0000000000018</v>
      </c>
      <c r="N150" s="105">
        <f t="shared" si="141"/>
        <v>3542.4799999999977</v>
      </c>
      <c r="O150" s="105">
        <f t="shared" si="141"/>
        <v>8489.7799999999861</v>
      </c>
      <c r="P150" s="105">
        <f t="shared" si="141"/>
        <v>-53.189999999993233</v>
      </c>
      <c r="Q150" s="105">
        <f t="shared" si="141"/>
        <v>78547.250000000015</v>
      </c>
      <c r="R150" s="105">
        <f t="shared" si="141"/>
        <v>-8190.1010185184859</v>
      </c>
      <c r="S150" s="105">
        <f t="shared" si="141"/>
        <v>-53513.559269118639</v>
      </c>
      <c r="T150" s="105">
        <f t="shared" si="141"/>
        <v>-162541.40038744369</v>
      </c>
      <c r="U150" s="105">
        <f t="shared" si="141"/>
        <v>-250520.79741284292</v>
      </c>
      <c r="V150" s="105">
        <f t="shared" si="141"/>
        <v>-348741.25319658837</v>
      </c>
      <c r="W150" s="105">
        <f t="shared" si="141"/>
        <v>-466001.44665247179</v>
      </c>
      <c r="X150" s="105">
        <f t="shared" si="141"/>
        <v>-572938.7003885</v>
      </c>
      <c r="Y150" s="105">
        <f t="shared" si="141"/>
        <v>-648088.64242582722</v>
      </c>
      <c r="Z150" s="105">
        <f t="shared" si="141"/>
        <v>-681099.66058102192</v>
      </c>
      <c r="AA150" s="105">
        <f t="shared" si="141"/>
        <v>-703117.35298863973</v>
      </c>
      <c r="AB150" s="105">
        <f t="shared" si="141"/>
        <v>-704891.77765718475</v>
      </c>
      <c r="AC150" s="105">
        <f t="shared" si="141"/>
        <v>-700668.83339082636</v>
      </c>
      <c r="AD150" s="105">
        <f t="shared" si="141"/>
        <v>-722826.32248456893</v>
      </c>
      <c r="AE150" s="105">
        <f t="shared" si="141"/>
        <v>-689835.41027325008</v>
      </c>
      <c r="AF150" s="105">
        <f t="shared" si="141"/>
        <v>-644274.31385022798</v>
      </c>
      <c r="AG150" s="105">
        <f t="shared" si="141"/>
        <v>-650644.64594902878</v>
      </c>
      <c r="AH150" s="105">
        <f t="shared" si="141"/>
        <v>-583294.00142067252</v>
      </c>
      <c r="AI150" s="105">
        <f t="shared" si="141"/>
        <v>-482163.0600460663</v>
      </c>
      <c r="AJ150" s="105">
        <f t="shared" si="141"/>
        <v>-436511.88468332082</v>
      </c>
      <c r="AK150" s="105">
        <f t="shared" si="141"/>
        <v>-287136.40639246174</v>
      </c>
      <c r="AL150" s="105">
        <f t="shared" si="141"/>
        <v>-118735.22418542556</v>
      </c>
      <c r="AM150" s="105">
        <f t="shared" si="141"/>
        <v>-56434.945148617437</v>
      </c>
      <c r="AN150" s="105">
        <f t="shared" si="141"/>
        <v>148451.69002122476</v>
      </c>
      <c r="AO150" s="105">
        <f t="shared" si="141"/>
        <v>367637.37463575846</v>
      </c>
      <c r="AP150" s="105">
        <f t="shared" si="141"/>
        <v>459604.6516275109</v>
      </c>
      <c r="AQ150" s="105">
        <f t="shared" si="141"/>
        <v>720874.18213577755</v>
      </c>
      <c r="AR150" s="105">
        <f t="shared" si="141"/>
        <v>1000572.1533931487</v>
      </c>
      <c r="AS150" s="105">
        <f t="shared" si="141"/>
        <v>1114699.5036898609</v>
      </c>
      <c r="AT150" s="105">
        <f t="shared" si="141"/>
        <v>1424842.4457007078</v>
      </c>
      <c r="AU150" s="105">
        <f t="shared" si="141"/>
        <v>1797672.4867570198</v>
      </c>
      <c r="AV150" s="105">
        <f t="shared" si="141"/>
        <v>1995592.5855513704</v>
      </c>
      <c r="AW150" s="105">
        <f t="shared" si="141"/>
        <v>2445337.3219615566</v>
      </c>
      <c r="AX150" s="105">
        <f t="shared" si="141"/>
        <v>2918329.8544262992</v>
      </c>
      <c r="AY150" s="105">
        <f t="shared" si="141"/>
        <v>3134363.3579134368</v>
      </c>
      <c r="AZ150" s="105">
        <f t="shared" si="141"/>
        <v>3657054.9413231472</v>
      </c>
      <c r="BA150" s="105">
        <f t="shared" si="141"/>
        <v>4204293.8276931234</v>
      </c>
      <c r="BB150" s="105">
        <f t="shared" si="141"/>
        <v>3877589.8898446658</v>
      </c>
      <c r="BC150" s="105">
        <f t="shared" si="141"/>
        <v>4476550.6972043794</v>
      </c>
      <c r="BD150" s="105">
        <f t="shared" si="141"/>
        <v>5100486.0487677706</v>
      </c>
      <c r="BE150" s="105">
        <f t="shared" si="141"/>
        <v>5394697.060224195</v>
      </c>
      <c r="BF150" s="105">
        <f t="shared" ref="BF150:BQ150" si="142">SUM(BF148:BF149)</f>
        <v>6066269.5398389436</v>
      </c>
      <c r="BG150" s="105">
        <f t="shared" si="142"/>
        <v>6749547.0038073622</v>
      </c>
      <c r="BH150" s="105">
        <f t="shared" si="142"/>
        <v>7072172.5773076629</v>
      </c>
      <c r="BI150" s="105">
        <f t="shared" si="142"/>
        <v>7819355.9551499505</v>
      </c>
      <c r="BJ150" s="105">
        <f t="shared" si="142"/>
        <v>8595324.1961547229</v>
      </c>
      <c r="BK150" s="105">
        <f t="shared" si="142"/>
        <v>8963848.0491778702</v>
      </c>
      <c r="BL150" s="105">
        <f t="shared" si="142"/>
        <v>9796265.5162621029</v>
      </c>
      <c r="BM150" s="105">
        <f t="shared" si="142"/>
        <v>10658184.673556725</v>
      </c>
      <c r="BN150" s="105">
        <f t="shared" si="142"/>
        <v>9691151.6827854514</v>
      </c>
      <c r="BO150" s="105">
        <f t="shared" si="142"/>
        <v>10612792.925208934</v>
      </c>
      <c r="BP150" s="105">
        <f t="shared" si="142"/>
        <v>11564507.734882087</v>
      </c>
      <c r="BQ150" s="105">
        <f t="shared" si="142"/>
        <v>12023233.257011263</v>
      </c>
    </row>
    <row r="151" spans="2:69">
      <c r="B151" s="14"/>
      <c r="C151" s="13"/>
    </row>
    <row r="152" spans="2:69">
      <c r="B152" s="13"/>
      <c r="C152" s="13"/>
    </row>
    <row r="153" spans="2:69">
      <c r="B153" s="27" t="str">
        <f>REPT("End of Sheet                                                                                   ",200)</f>
        <v xml:space="preserve">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End of Sheet                                                                                   </v>
      </c>
      <c r="C153" s="28"/>
    </row>
  </sheetData>
  <mergeCells count="3">
    <mergeCell ref="B4:C4"/>
    <mergeCell ref="B64:C64"/>
    <mergeCell ref="B110:C110"/>
  </mergeCells>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Q3"/>
  <sheetViews>
    <sheetView topLeftCell="N1" workbookViewId="0">
      <selection activeCell="BI22" sqref="BI22"/>
    </sheetView>
  </sheetViews>
  <sheetFormatPr defaultColWidth="8.77734375" defaultRowHeight="13.8"/>
  <cols>
    <col min="1" max="9" width="8.77734375" style="7"/>
    <col min="10" max="10" width="9.6640625" style="7" bestFit="1" customWidth="1"/>
    <col min="11" max="11" width="10.109375" style="7" bestFit="1" customWidth="1"/>
    <col min="12" max="12" width="9.77734375" style="7" bestFit="1" customWidth="1"/>
    <col min="13" max="13" width="9.44140625" style="7" bestFit="1" customWidth="1"/>
    <col min="14" max="16" width="9.77734375" style="7" bestFit="1" customWidth="1"/>
    <col min="17" max="17" width="9.6640625" style="7" bestFit="1" customWidth="1"/>
    <col min="18" max="19" width="9.77734375" style="7" bestFit="1" customWidth="1"/>
    <col min="20" max="20" width="9.44140625" style="7" bestFit="1" customWidth="1"/>
    <col min="21" max="22" width="9.6640625" style="7" bestFit="1" customWidth="1"/>
    <col min="23" max="23" width="9.33203125" style="7" bestFit="1" customWidth="1"/>
    <col min="24" max="24" width="9.77734375" style="7" bestFit="1" customWidth="1"/>
    <col min="25" max="25" width="9.44140625" style="7" bestFit="1" customWidth="1"/>
    <col min="26" max="26" width="9" style="7" bestFit="1" customWidth="1"/>
    <col min="27" max="28" width="9.77734375" style="7" bestFit="1" customWidth="1"/>
    <col min="29" max="29" width="9.44140625" style="7" bestFit="1" customWidth="1"/>
    <col min="30" max="30" width="9.6640625" style="7" bestFit="1" customWidth="1"/>
    <col min="31" max="31" width="9.77734375" style="7" bestFit="1" customWidth="1"/>
    <col min="32" max="32" width="9.44140625" style="7" bestFit="1" customWidth="1"/>
    <col min="33" max="34" width="9.6640625" style="7" bestFit="1" customWidth="1"/>
    <col min="35" max="35" width="9.33203125" style="7" bestFit="1" customWidth="1"/>
    <col min="36" max="36" width="9.77734375" style="7" bestFit="1" customWidth="1"/>
    <col min="37" max="37" width="9.44140625" style="7" bestFit="1" customWidth="1"/>
    <col min="38" max="38" width="9" style="7" bestFit="1" customWidth="1"/>
    <col min="39" max="40" width="9.77734375" style="7" bestFit="1" customWidth="1"/>
    <col min="41" max="41" width="9.44140625" style="7" bestFit="1" customWidth="1"/>
    <col min="42" max="42" width="9.6640625" style="7" bestFit="1" customWidth="1"/>
    <col min="43" max="43" width="9.77734375" style="7" bestFit="1" customWidth="1"/>
    <col min="44" max="44" width="9.44140625" style="7" bestFit="1" customWidth="1"/>
    <col min="45" max="46" width="9.6640625" style="7" bestFit="1" customWidth="1"/>
    <col min="47" max="47" width="9.33203125" style="7" bestFit="1" customWidth="1"/>
    <col min="48" max="48" width="9.77734375" style="7" bestFit="1" customWidth="1"/>
    <col min="49" max="49" width="9.44140625" style="7" bestFit="1" customWidth="1"/>
    <col min="50" max="50" width="9" style="7" bestFit="1" customWidth="1"/>
    <col min="51" max="52" width="9.77734375" style="7" bestFit="1" customWidth="1"/>
    <col min="53" max="53" width="9.44140625" style="7" bestFit="1" customWidth="1"/>
    <col min="54" max="54" width="9.6640625" style="7" bestFit="1" customWidth="1"/>
    <col min="55" max="55" width="9.77734375" style="7" bestFit="1" customWidth="1"/>
    <col min="56" max="56" width="9.44140625" style="7" bestFit="1" customWidth="1"/>
    <col min="57" max="57" width="9.6640625" style="7" bestFit="1" customWidth="1"/>
    <col min="58" max="16384" width="8.77734375" style="7"/>
  </cols>
  <sheetData>
    <row r="1" spans="1:69">
      <c r="A1" s="3" t="s">
        <v>80</v>
      </c>
    </row>
    <row r="2" spans="1:69">
      <c r="A2" s="10" t="s">
        <v>5</v>
      </c>
      <c r="J2" s="8">
        <v>44986</v>
      </c>
      <c r="K2" s="8">
        <f>EDATE(J2,1)</f>
        <v>45017</v>
      </c>
      <c r="L2" s="8">
        <f t="shared" ref="L2:BD2" si="0">EDATE(K2,1)</f>
        <v>45047</v>
      </c>
      <c r="M2" s="8">
        <f t="shared" si="0"/>
        <v>45078</v>
      </c>
      <c r="N2" s="8">
        <f t="shared" si="0"/>
        <v>45108</v>
      </c>
      <c r="O2" s="8">
        <f t="shared" si="0"/>
        <v>45139</v>
      </c>
      <c r="P2" s="8">
        <f t="shared" si="0"/>
        <v>45170</v>
      </c>
      <c r="Q2" s="8">
        <f t="shared" si="0"/>
        <v>45200</v>
      </c>
      <c r="R2" s="8">
        <f t="shared" si="0"/>
        <v>45231</v>
      </c>
      <c r="S2" s="8">
        <f t="shared" si="0"/>
        <v>45261</v>
      </c>
      <c r="T2" s="8">
        <f t="shared" si="0"/>
        <v>45292</v>
      </c>
      <c r="U2" s="8">
        <f t="shared" si="0"/>
        <v>45323</v>
      </c>
      <c r="V2" s="8">
        <f t="shared" si="0"/>
        <v>45352</v>
      </c>
      <c r="W2" s="8">
        <f t="shared" si="0"/>
        <v>45383</v>
      </c>
      <c r="X2" s="8">
        <f t="shared" si="0"/>
        <v>45413</v>
      </c>
      <c r="Y2" s="8">
        <f t="shared" si="0"/>
        <v>45444</v>
      </c>
      <c r="Z2" s="8">
        <f t="shared" si="0"/>
        <v>45474</v>
      </c>
      <c r="AA2" s="8">
        <f t="shared" si="0"/>
        <v>45505</v>
      </c>
      <c r="AB2" s="8">
        <f t="shared" si="0"/>
        <v>45536</v>
      </c>
      <c r="AC2" s="8">
        <f t="shared" si="0"/>
        <v>45566</v>
      </c>
      <c r="AD2" s="8">
        <f t="shared" si="0"/>
        <v>45597</v>
      </c>
      <c r="AE2" s="8">
        <f t="shared" si="0"/>
        <v>45627</v>
      </c>
      <c r="AF2" s="8">
        <f t="shared" si="0"/>
        <v>45658</v>
      </c>
      <c r="AG2" s="8">
        <f t="shared" si="0"/>
        <v>45689</v>
      </c>
      <c r="AH2" s="8">
        <f t="shared" si="0"/>
        <v>45717</v>
      </c>
      <c r="AI2" s="8">
        <f t="shared" si="0"/>
        <v>45748</v>
      </c>
      <c r="AJ2" s="8">
        <f t="shared" si="0"/>
        <v>45778</v>
      </c>
      <c r="AK2" s="8">
        <f t="shared" si="0"/>
        <v>45809</v>
      </c>
      <c r="AL2" s="8">
        <f t="shared" si="0"/>
        <v>45839</v>
      </c>
      <c r="AM2" s="8">
        <f t="shared" si="0"/>
        <v>45870</v>
      </c>
      <c r="AN2" s="8">
        <f t="shared" si="0"/>
        <v>45901</v>
      </c>
      <c r="AO2" s="8">
        <f t="shared" si="0"/>
        <v>45931</v>
      </c>
      <c r="AP2" s="8">
        <f t="shared" si="0"/>
        <v>45962</v>
      </c>
      <c r="AQ2" s="8">
        <f t="shared" si="0"/>
        <v>45992</v>
      </c>
      <c r="AR2" s="8">
        <f t="shared" si="0"/>
        <v>46023</v>
      </c>
      <c r="AS2" s="8">
        <f t="shared" si="0"/>
        <v>46054</v>
      </c>
      <c r="AT2" s="8">
        <f t="shared" si="0"/>
        <v>46082</v>
      </c>
      <c r="AU2" s="8">
        <f t="shared" si="0"/>
        <v>46113</v>
      </c>
      <c r="AV2" s="8">
        <f t="shared" si="0"/>
        <v>46143</v>
      </c>
      <c r="AW2" s="8">
        <f t="shared" si="0"/>
        <v>46174</v>
      </c>
      <c r="AX2" s="8">
        <f t="shared" si="0"/>
        <v>46204</v>
      </c>
      <c r="AY2" s="8">
        <f t="shared" si="0"/>
        <v>46235</v>
      </c>
      <c r="AZ2" s="8">
        <f t="shared" si="0"/>
        <v>46266</v>
      </c>
      <c r="BA2" s="8">
        <f t="shared" si="0"/>
        <v>46296</v>
      </c>
      <c r="BB2" s="8">
        <f t="shared" si="0"/>
        <v>46327</v>
      </c>
      <c r="BC2" s="8">
        <f t="shared" si="0"/>
        <v>46357</v>
      </c>
      <c r="BD2" s="8">
        <f t="shared" si="0"/>
        <v>46388</v>
      </c>
      <c r="BE2" s="8">
        <f>EDATE(BD2,1)</f>
        <v>46419</v>
      </c>
      <c r="BF2" s="8">
        <f t="shared" ref="BF2:BO2" si="1">EDATE(BE2,1)</f>
        <v>46447</v>
      </c>
      <c r="BG2" s="8">
        <f t="shared" si="1"/>
        <v>46478</v>
      </c>
      <c r="BH2" s="8">
        <f t="shared" si="1"/>
        <v>46508</v>
      </c>
      <c r="BI2" s="8">
        <f t="shared" si="1"/>
        <v>46539</v>
      </c>
      <c r="BJ2" s="8">
        <f t="shared" si="1"/>
        <v>46569</v>
      </c>
      <c r="BK2" s="8">
        <f t="shared" si="1"/>
        <v>46600</v>
      </c>
      <c r="BL2" s="8">
        <f t="shared" si="1"/>
        <v>46631</v>
      </c>
      <c r="BM2" s="8">
        <f t="shared" si="1"/>
        <v>46661</v>
      </c>
      <c r="BN2" s="8">
        <f t="shared" si="1"/>
        <v>46692</v>
      </c>
      <c r="BO2" s="8">
        <f t="shared" si="1"/>
        <v>46722</v>
      </c>
      <c r="BP2" s="8">
        <f>EDATE(BO2,1)</f>
        <v>46753</v>
      </c>
      <c r="BQ2" s="8">
        <f t="shared" ref="BQ2" si="2">EDATE(BP2,1)</f>
        <v>46784</v>
      </c>
    </row>
    <row r="3" spans="1:69">
      <c r="J3" s="8">
        <f>IF(EOMONTH(J2,0)&gt;[1]Scen!$F$12,0,EOMONTH(J2,0))</f>
        <v>45016</v>
      </c>
      <c r="K3" s="8">
        <f>EDATE(J3,1)</f>
        <v>45046</v>
      </c>
      <c r="L3" s="8">
        <f>IF(EOMONTH(L2,0)&gt;[1]Scen!$F$12,0,EOMONTH(L2,0))</f>
        <v>45077</v>
      </c>
      <c r="M3" s="8">
        <f>IF(EOMONTH(M2,0)&gt;[1]Scen!$F$12,0,EOMONTH(M2,0))</f>
        <v>45107</v>
      </c>
      <c r="N3" s="8">
        <f>IF(EOMONTH(N2,0)&gt;[1]Scen!$F$12,0,EOMONTH(N2,0))</f>
        <v>45138</v>
      </c>
      <c r="O3" s="8">
        <f>IF(EOMONTH(O2,0)&gt;[1]Scen!$F$12,0,EOMONTH(O2,0))</f>
        <v>45169</v>
      </c>
      <c r="P3" s="8">
        <f>IF(EOMONTH(P2,0)&gt;[1]Scen!$F$12,0,EOMONTH(P2,0))</f>
        <v>45199</v>
      </c>
      <c r="Q3" s="8">
        <f>IF(EOMONTH(Q2,0)&gt;[1]Scen!$F$12,0,EOMONTH(Q2,0))</f>
        <v>45230</v>
      </c>
      <c r="R3" s="8">
        <f>IF(EOMONTH(R2,0)&gt;[1]Scen!$F$12,0,EOMONTH(R2,0))</f>
        <v>45260</v>
      </c>
      <c r="S3" s="8">
        <f>IF(EOMONTH(S2,0)&gt;[1]Scen!$F$12,0,EOMONTH(S2,0))</f>
        <v>45291</v>
      </c>
      <c r="T3" s="8">
        <f>IF(EOMONTH(T2,0)&gt;[1]Scen!$F$12,0,EOMONTH(T2,0))</f>
        <v>45322</v>
      </c>
      <c r="U3" s="8">
        <f>IF(EOMONTH(U2,0)&gt;[1]Scen!$F$12,0,EOMONTH(U2,0))</f>
        <v>45351</v>
      </c>
      <c r="V3" s="8">
        <f>IF(EOMONTH(V2,0)&gt;[1]Scen!$F$12,0,EOMONTH(V2,0))</f>
        <v>45382</v>
      </c>
      <c r="W3" s="8">
        <f>IF(EOMONTH(W2,0)&gt;[1]Scen!$F$12,0,EOMONTH(W2,0))</f>
        <v>45412</v>
      </c>
      <c r="X3" s="8">
        <f>IF(EOMONTH(X2,0)&gt;[1]Scen!$F$12,0,EOMONTH(X2,0))</f>
        <v>45443</v>
      </c>
      <c r="Y3" s="8">
        <f>IF(EOMONTH(Y2,0)&gt;[1]Scen!$F$12,0,EOMONTH(Y2,0))</f>
        <v>45473</v>
      </c>
      <c r="Z3" s="8">
        <f>IF(EOMONTH(Z2,0)&gt;[1]Scen!$F$12,0,EOMONTH(Z2,0))</f>
        <v>45504</v>
      </c>
      <c r="AA3" s="8">
        <f>IF(EOMONTH(AA2,0)&gt;[1]Scen!$F$12,0,EOMONTH(AA2,0))</f>
        <v>45535</v>
      </c>
      <c r="AB3" s="8">
        <f>IF(EOMONTH(AB2,0)&gt;[1]Scen!$F$12,0,EOMONTH(AB2,0))</f>
        <v>45565</v>
      </c>
      <c r="AC3" s="8">
        <f>IF(EOMONTH(AC2,0)&gt;[1]Scen!$F$12,0,EOMONTH(AC2,0))</f>
        <v>45596</v>
      </c>
      <c r="AD3" s="8">
        <f>IF(EOMONTH(AD2,0)&gt;[1]Scen!$F$12,0,EOMONTH(AD2,0))</f>
        <v>45626</v>
      </c>
      <c r="AE3" s="8">
        <f>IF(EOMONTH(AE2,0)&gt;[1]Scen!$F$12,0,EOMONTH(AE2,0))</f>
        <v>45657</v>
      </c>
      <c r="AF3" s="8">
        <f>IF(EOMONTH(AF2,0)&gt;[1]Scen!$F$12,0,EOMONTH(AF2,0))</f>
        <v>45688</v>
      </c>
      <c r="AG3" s="8">
        <f>IF(EOMONTH(AG2,0)&gt;[1]Scen!$F$12,0,EOMONTH(AG2,0))</f>
        <v>45716</v>
      </c>
      <c r="AH3" s="8">
        <f>IF(EOMONTH(AH2,0)&gt;[1]Scen!$F$12,0,EOMONTH(AH2,0))</f>
        <v>45747</v>
      </c>
      <c r="AI3" s="8">
        <f>IF(EOMONTH(AI2,0)&gt;[1]Scen!$F$12,0,EOMONTH(AI2,0))</f>
        <v>45777</v>
      </c>
      <c r="AJ3" s="8">
        <f>IF(EOMONTH(AJ2,0)&gt;[1]Scen!$F$12,0,EOMONTH(AJ2,0))</f>
        <v>45808</v>
      </c>
      <c r="AK3" s="8">
        <f>IF(EOMONTH(AK2,0)&gt;[1]Scen!$F$12,0,EOMONTH(AK2,0))</f>
        <v>45838</v>
      </c>
      <c r="AL3" s="8">
        <f>IF(EOMONTH(AL2,0)&gt;[1]Scen!$F$12,0,EOMONTH(AL2,0))</f>
        <v>45869</v>
      </c>
      <c r="AM3" s="8">
        <f>IF(EOMONTH(AM2,0)&gt;[1]Scen!$F$12,0,EOMONTH(AM2,0))</f>
        <v>45900</v>
      </c>
      <c r="AN3" s="8">
        <f>IF(EOMONTH(AN2,0)&gt;[1]Scen!$F$12,0,EOMONTH(AN2,0))</f>
        <v>45930</v>
      </c>
      <c r="AO3" s="8">
        <f>IF(EOMONTH(AO2,0)&gt;[1]Scen!$F$12,0,EOMONTH(AO2,0))</f>
        <v>45961</v>
      </c>
      <c r="AP3" s="8">
        <f>IF(EOMONTH(AP2,0)&gt;[1]Scen!$F$12,0,EOMONTH(AP2,0))</f>
        <v>45991</v>
      </c>
      <c r="AQ3" s="8">
        <f>IF(EOMONTH(AQ2,0)&gt;[1]Scen!$F$12,0,EOMONTH(AQ2,0))</f>
        <v>46022</v>
      </c>
      <c r="AR3" s="8">
        <f>IF(EOMONTH(AR2,0)&gt;[1]Scen!$F$12,0,EOMONTH(AR2,0))</f>
        <v>46053</v>
      </c>
      <c r="AS3" s="8">
        <f>IF(EOMONTH(AS2,0)&gt;[1]Scen!$F$12,0,EOMONTH(AS2,0))</f>
        <v>46081</v>
      </c>
      <c r="AT3" s="8">
        <f>IF(EOMONTH(AT2,0)&gt;[1]Scen!$F$12,0,EOMONTH(AT2,0))</f>
        <v>46112</v>
      </c>
      <c r="AU3" s="8">
        <f>IF(EOMONTH(AU2,0)&gt;[1]Scen!$F$12,0,EOMONTH(AU2,0))</f>
        <v>46142</v>
      </c>
      <c r="AV3" s="8">
        <f>IF(EOMONTH(AV2,0)&gt;[1]Scen!$F$12,0,EOMONTH(AV2,0))</f>
        <v>46173</v>
      </c>
      <c r="AW3" s="8">
        <f>IF(EOMONTH(AW2,0)&gt;[1]Scen!$F$12,0,EOMONTH(AW2,0))</f>
        <v>46203</v>
      </c>
      <c r="AX3" s="8">
        <f>IF(EOMONTH(AX2,0)&gt;[1]Scen!$F$12,0,EOMONTH(AX2,0))</f>
        <v>46234</v>
      </c>
      <c r="AY3" s="8">
        <f>IF(EOMONTH(AY2,0)&gt;[1]Scen!$F$12,0,EOMONTH(AY2,0))</f>
        <v>46265</v>
      </c>
      <c r="AZ3" s="8">
        <f>IF(EOMONTH(AZ2,0)&gt;[1]Scen!$F$12,0,EOMONTH(AZ2,0))</f>
        <v>46295</v>
      </c>
      <c r="BA3" s="8">
        <f>IF(EOMONTH(BA2,0)&gt;[1]Scen!$F$12,0,EOMONTH(BA2,0))</f>
        <v>46326</v>
      </c>
      <c r="BB3" s="8">
        <f>IF(EOMONTH(BB2,0)&gt;[1]Scen!$F$12,0,EOMONTH(BB2,0))</f>
        <v>46356</v>
      </c>
      <c r="BC3" s="8">
        <f>IF(EOMONTH(BC2,0)&gt;[1]Scen!$F$12,0,EOMONTH(BC2,0))</f>
        <v>46387</v>
      </c>
      <c r="BD3" s="8">
        <f>IF(EOMONTH(BD2,0)&gt;[1]Scen!$F$12,0,EOMONTH(BD2,0))</f>
        <v>46418</v>
      </c>
      <c r="BE3" s="8">
        <f>IF(EOMONTH(BE2,0)&gt;[1]Scen!$F$12,0,EOMONTH(BE2,0))</f>
        <v>46446</v>
      </c>
      <c r="BF3" s="8">
        <f>IF(EOMONTH(BF2,0)&gt;[1]Scen!$F$12,0,EOMONTH(BF2,0))</f>
        <v>46477</v>
      </c>
      <c r="BG3" s="8">
        <f>IF(EOMONTH(BG2,0)&gt;[1]Scen!$F$12,0,EOMONTH(BG2,0))</f>
        <v>46507</v>
      </c>
      <c r="BH3" s="8">
        <f>IF(EOMONTH(BH2,0)&gt;[1]Scen!$F$12,0,EOMONTH(BH2,0))</f>
        <v>46538</v>
      </c>
      <c r="BI3" s="8">
        <f>IF(EOMONTH(BI2,0)&gt;[1]Scen!$F$12,0,EOMONTH(BI2,0))</f>
        <v>46568</v>
      </c>
      <c r="BJ3" s="8">
        <f>IF(EOMONTH(BJ2,0)&gt;[1]Scen!$F$12,0,EOMONTH(BJ2,0))</f>
        <v>46599</v>
      </c>
      <c r="BK3" s="8">
        <f>IF(EOMONTH(BK2,0)&gt;[1]Scen!$F$12,0,EOMONTH(BK2,0))</f>
        <v>46630</v>
      </c>
      <c r="BL3" s="8">
        <f>IF(EOMONTH(BL2,0)&gt;[1]Scen!$F$12,0,EOMONTH(BL2,0))</f>
        <v>46660</v>
      </c>
      <c r="BM3" s="8">
        <f>IF(EOMONTH(BM2,0)&gt;[1]Scen!$F$12,0,EOMONTH(BM2,0))</f>
        <v>46691</v>
      </c>
      <c r="BN3" s="8">
        <f>IF(EOMONTH(BN2,0)&gt;[1]Scen!$F$12,0,EOMONTH(BN2,0))</f>
        <v>46721</v>
      </c>
      <c r="BO3" s="8">
        <f>IF(EOMONTH(BO2,0)&gt;[1]Scen!$F$12,0,EOMONTH(BO2,0))</f>
        <v>46752</v>
      </c>
      <c r="BP3" s="8">
        <f>IF(EOMONTH(BP2,0)&gt;[1]Scen!$F$12,0,EOMONTH(BP2,0))</f>
        <v>46783</v>
      </c>
      <c r="BQ3" s="8">
        <f>IF(EOMONTH(BQ2,0)&gt;[1]Scen!$F$12,0,EOMONTH(BQ2,0))</f>
        <v>46812</v>
      </c>
    </row>
  </sheetData>
  <pageMargins left="0.7" right="0.7" top="0.75" bottom="0.75" header="0.3" footer="0.3"/>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Q122"/>
  <sheetViews>
    <sheetView zoomScale="160" workbookViewId="0">
      <pane xSplit="4" ySplit="3" topLeftCell="H40" activePane="bottomRight" state="frozen"/>
      <selection pane="topRight" activeCell="E1" sqref="E1"/>
      <selection pane="bottomLeft" activeCell="A4" sqref="A4"/>
      <selection pane="bottomRight" activeCell="J27" sqref="J27"/>
    </sheetView>
  </sheetViews>
  <sheetFormatPr defaultColWidth="8.77734375" defaultRowHeight="13.8"/>
  <cols>
    <col min="1" max="1" width="8.77734375" style="66"/>
    <col min="2" max="9" width="8.77734375" style="4"/>
    <col min="10" max="10" width="9.109375" style="4" bestFit="1" customWidth="1"/>
    <col min="11" max="11" width="8.77734375" style="4"/>
    <col min="12" max="12" width="9.33203125" style="4" bestFit="1" customWidth="1"/>
    <col min="13" max="23" width="8.77734375" style="4"/>
    <col min="24" max="24" width="9.33203125" style="4" bestFit="1" customWidth="1"/>
    <col min="25" max="35" width="8.77734375" style="4"/>
    <col min="36" max="36" width="9.33203125" style="4" bestFit="1" customWidth="1"/>
    <col min="37" max="47" width="8.77734375" style="4"/>
    <col min="48" max="48" width="9.33203125" style="4" bestFit="1" customWidth="1"/>
    <col min="49" max="16384" width="8.77734375" style="4"/>
  </cols>
  <sheetData>
    <row r="1" spans="1:69">
      <c r="A1" s="72" t="s">
        <v>80</v>
      </c>
    </row>
    <row r="2" spans="1:69">
      <c r="A2" s="72" t="s">
        <v>0</v>
      </c>
      <c r="J2" s="6">
        <f>Timing!J2</f>
        <v>44986</v>
      </c>
      <c r="K2" s="6">
        <f>Timing!K2</f>
        <v>45017</v>
      </c>
      <c r="L2" s="6">
        <f>Timing!L2</f>
        <v>45047</v>
      </c>
      <c r="M2" s="6">
        <f>Timing!M2</f>
        <v>45078</v>
      </c>
      <c r="N2" s="6">
        <f>Timing!N2</f>
        <v>45108</v>
      </c>
      <c r="O2" s="6">
        <f>Timing!O2</f>
        <v>45139</v>
      </c>
      <c r="P2" s="6">
        <f>Timing!P2</f>
        <v>45170</v>
      </c>
      <c r="Q2" s="6">
        <f>Timing!Q2</f>
        <v>45200</v>
      </c>
      <c r="R2" s="6">
        <f>Timing!R2</f>
        <v>45231</v>
      </c>
      <c r="S2" s="6">
        <f>Timing!S2</f>
        <v>45261</v>
      </c>
      <c r="T2" s="6">
        <f>Timing!T2</f>
        <v>45292</v>
      </c>
      <c r="U2" s="6">
        <f>Timing!U2</f>
        <v>45323</v>
      </c>
      <c r="V2" s="6">
        <f>Timing!V2</f>
        <v>45352</v>
      </c>
      <c r="W2" s="6">
        <f>Timing!W2</f>
        <v>45383</v>
      </c>
      <c r="X2" s="6">
        <f>Timing!X2</f>
        <v>45413</v>
      </c>
      <c r="Y2" s="6">
        <f>Timing!Y2</f>
        <v>45444</v>
      </c>
      <c r="Z2" s="6">
        <f>Timing!Z2</f>
        <v>45474</v>
      </c>
      <c r="AA2" s="6">
        <f>Timing!AA2</f>
        <v>45505</v>
      </c>
      <c r="AB2" s="6">
        <f>Timing!AB2</f>
        <v>45536</v>
      </c>
      <c r="AC2" s="6">
        <f>Timing!AC2</f>
        <v>45566</v>
      </c>
      <c r="AD2" s="6">
        <f>Timing!AD2</f>
        <v>45597</v>
      </c>
      <c r="AE2" s="6">
        <f>Timing!AE2</f>
        <v>45627</v>
      </c>
      <c r="AF2" s="6">
        <f>Timing!AF2</f>
        <v>45658</v>
      </c>
      <c r="AG2" s="6">
        <f>Timing!AG2</f>
        <v>45689</v>
      </c>
      <c r="AH2" s="6">
        <f>Timing!AH2</f>
        <v>45717</v>
      </c>
      <c r="AI2" s="6">
        <f>Timing!AI2</f>
        <v>45748</v>
      </c>
      <c r="AJ2" s="6">
        <f>Timing!AJ2</f>
        <v>45778</v>
      </c>
      <c r="AK2" s="6">
        <f>Timing!AK2</f>
        <v>45809</v>
      </c>
      <c r="AL2" s="6">
        <f>Timing!AL2</f>
        <v>45839</v>
      </c>
      <c r="AM2" s="6">
        <f>Timing!AM2</f>
        <v>45870</v>
      </c>
      <c r="AN2" s="6">
        <f>Timing!AN2</f>
        <v>45901</v>
      </c>
      <c r="AO2" s="6">
        <f>Timing!AO2</f>
        <v>45931</v>
      </c>
      <c r="AP2" s="6">
        <f>Timing!AP2</f>
        <v>45962</v>
      </c>
      <c r="AQ2" s="6">
        <f>Timing!AQ2</f>
        <v>45992</v>
      </c>
      <c r="AR2" s="6">
        <f>Timing!AR2</f>
        <v>46023</v>
      </c>
      <c r="AS2" s="6">
        <f>Timing!AS2</f>
        <v>46054</v>
      </c>
      <c r="AT2" s="6">
        <f>Timing!AT2</f>
        <v>46082</v>
      </c>
      <c r="AU2" s="6">
        <f>Timing!AU2</f>
        <v>46113</v>
      </c>
      <c r="AV2" s="6">
        <f>Timing!AV2</f>
        <v>46143</v>
      </c>
      <c r="AW2" s="6">
        <f>Timing!AW2</f>
        <v>46174</v>
      </c>
      <c r="AX2" s="6">
        <f>Timing!AX2</f>
        <v>46204</v>
      </c>
      <c r="AY2" s="6">
        <f>Timing!AY2</f>
        <v>46235</v>
      </c>
      <c r="AZ2" s="6">
        <f>Timing!AZ2</f>
        <v>46266</v>
      </c>
      <c r="BA2" s="6">
        <f>Timing!BA2</f>
        <v>46296</v>
      </c>
      <c r="BB2" s="6">
        <f>Timing!BB2</f>
        <v>46327</v>
      </c>
      <c r="BC2" s="6">
        <f>Timing!BC2</f>
        <v>46357</v>
      </c>
      <c r="BD2" s="6">
        <f>Timing!BD2</f>
        <v>46388</v>
      </c>
      <c r="BE2" s="6">
        <f>Timing!BE2</f>
        <v>46419</v>
      </c>
      <c r="BF2" s="6">
        <f>Timing!BF2</f>
        <v>46447</v>
      </c>
      <c r="BG2" s="6">
        <f>Timing!BG2</f>
        <v>46478</v>
      </c>
      <c r="BH2" s="6">
        <f>Timing!BH2</f>
        <v>46508</v>
      </c>
      <c r="BI2" s="6">
        <f>Timing!BI2</f>
        <v>46539</v>
      </c>
      <c r="BJ2" s="6">
        <f>Timing!BJ2</f>
        <v>46569</v>
      </c>
      <c r="BK2" s="6">
        <f>Timing!BK2</f>
        <v>46600</v>
      </c>
      <c r="BL2" s="6">
        <f>Timing!BL2</f>
        <v>46631</v>
      </c>
      <c r="BM2" s="6">
        <f>Timing!BM2</f>
        <v>46661</v>
      </c>
      <c r="BN2" s="6">
        <f>Timing!BN2</f>
        <v>46692</v>
      </c>
      <c r="BO2" s="6">
        <f>Timing!BO2</f>
        <v>46722</v>
      </c>
      <c r="BP2" s="6">
        <f>Timing!BP2</f>
        <v>46753</v>
      </c>
      <c r="BQ2" s="6">
        <f>Timing!BQ2</f>
        <v>46784</v>
      </c>
    </row>
    <row r="3" spans="1:69">
      <c r="J3" s="6">
        <f>Timing!J3</f>
        <v>45016</v>
      </c>
      <c r="K3" s="6">
        <f>Timing!K3</f>
        <v>45046</v>
      </c>
      <c r="L3" s="6">
        <f>Timing!L3</f>
        <v>45077</v>
      </c>
      <c r="M3" s="6">
        <f>Timing!M3</f>
        <v>45107</v>
      </c>
      <c r="N3" s="6">
        <f>Timing!N3</f>
        <v>45138</v>
      </c>
      <c r="O3" s="6">
        <f>Timing!O3</f>
        <v>45169</v>
      </c>
      <c r="P3" s="6">
        <f>Timing!P3</f>
        <v>45199</v>
      </c>
      <c r="Q3" s="6">
        <f>Timing!Q3</f>
        <v>45230</v>
      </c>
      <c r="R3" s="6">
        <f>Timing!R3</f>
        <v>45260</v>
      </c>
      <c r="S3" s="6">
        <f>Timing!S3</f>
        <v>45291</v>
      </c>
      <c r="T3" s="6">
        <f>Timing!T3</f>
        <v>45322</v>
      </c>
      <c r="U3" s="6">
        <f>Timing!U3</f>
        <v>45351</v>
      </c>
      <c r="V3" s="6">
        <f>Timing!V3</f>
        <v>45382</v>
      </c>
      <c r="W3" s="6">
        <f>Timing!W3</f>
        <v>45412</v>
      </c>
      <c r="X3" s="6">
        <f>Timing!X3</f>
        <v>45443</v>
      </c>
      <c r="Y3" s="6">
        <f>Timing!Y3</f>
        <v>45473</v>
      </c>
      <c r="Z3" s="6">
        <f>Timing!Z3</f>
        <v>45504</v>
      </c>
      <c r="AA3" s="6">
        <f>Timing!AA3</f>
        <v>45535</v>
      </c>
      <c r="AB3" s="6">
        <f>Timing!AB3</f>
        <v>45565</v>
      </c>
      <c r="AC3" s="6">
        <f>Timing!AC3</f>
        <v>45596</v>
      </c>
      <c r="AD3" s="6">
        <f>Timing!AD3</f>
        <v>45626</v>
      </c>
      <c r="AE3" s="6">
        <f>Timing!AE3</f>
        <v>45657</v>
      </c>
      <c r="AF3" s="6">
        <f>Timing!AF3</f>
        <v>45688</v>
      </c>
      <c r="AG3" s="6">
        <f>Timing!AG3</f>
        <v>45716</v>
      </c>
      <c r="AH3" s="6">
        <f>Timing!AH3</f>
        <v>45747</v>
      </c>
      <c r="AI3" s="6">
        <f>Timing!AI3</f>
        <v>45777</v>
      </c>
      <c r="AJ3" s="6">
        <f>Timing!AJ3</f>
        <v>45808</v>
      </c>
      <c r="AK3" s="6">
        <f>Timing!AK3</f>
        <v>45838</v>
      </c>
      <c r="AL3" s="6">
        <f>Timing!AL3</f>
        <v>45869</v>
      </c>
      <c r="AM3" s="6">
        <f>Timing!AM3</f>
        <v>45900</v>
      </c>
      <c r="AN3" s="6">
        <f>Timing!AN3</f>
        <v>45930</v>
      </c>
      <c r="AO3" s="6">
        <f>Timing!AO3</f>
        <v>45961</v>
      </c>
      <c r="AP3" s="6">
        <f>Timing!AP3</f>
        <v>45991</v>
      </c>
      <c r="AQ3" s="6">
        <f>Timing!AQ3</f>
        <v>46022</v>
      </c>
      <c r="AR3" s="6">
        <f>Timing!AR3</f>
        <v>46053</v>
      </c>
      <c r="AS3" s="6">
        <f>Timing!AS3</f>
        <v>46081</v>
      </c>
      <c r="AT3" s="6">
        <f>Timing!AT3</f>
        <v>46112</v>
      </c>
      <c r="AU3" s="6">
        <f>Timing!AU3</f>
        <v>46142</v>
      </c>
      <c r="AV3" s="6">
        <f>Timing!AV3</f>
        <v>46173</v>
      </c>
      <c r="AW3" s="6">
        <f>Timing!AW3</f>
        <v>46203</v>
      </c>
      <c r="AX3" s="6">
        <f>Timing!AX3</f>
        <v>46234</v>
      </c>
      <c r="AY3" s="6">
        <f>Timing!AY3</f>
        <v>46265</v>
      </c>
      <c r="AZ3" s="6">
        <f>Timing!AZ3</f>
        <v>46295</v>
      </c>
      <c r="BA3" s="6">
        <f>Timing!BA3</f>
        <v>46326</v>
      </c>
      <c r="BB3" s="6">
        <f>Timing!BB3</f>
        <v>46356</v>
      </c>
      <c r="BC3" s="6">
        <f>Timing!BC3</f>
        <v>46387</v>
      </c>
      <c r="BD3" s="6">
        <f>Timing!BD3</f>
        <v>46418</v>
      </c>
      <c r="BE3" s="6">
        <f>Timing!BE3</f>
        <v>46446</v>
      </c>
      <c r="BF3" s="6">
        <f>Timing!BF3</f>
        <v>46477</v>
      </c>
      <c r="BG3" s="6">
        <f>Timing!BG3</f>
        <v>46507</v>
      </c>
      <c r="BH3" s="6">
        <f>Timing!BH3</f>
        <v>46538</v>
      </c>
      <c r="BI3" s="6">
        <f>Timing!BI3</f>
        <v>46568</v>
      </c>
      <c r="BJ3" s="6">
        <f>Timing!BJ3</f>
        <v>46599</v>
      </c>
      <c r="BK3" s="6">
        <f>Timing!BK3</f>
        <v>46630</v>
      </c>
      <c r="BL3" s="6">
        <f>Timing!BL3</f>
        <v>46660</v>
      </c>
      <c r="BM3" s="6">
        <f>Timing!BM3</f>
        <v>46691</v>
      </c>
      <c r="BN3" s="6">
        <f>Timing!BN3</f>
        <v>46721</v>
      </c>
      <c r="BO3" s="6">
        <f>Timing!BO3</f>
        <v>46752</v>
      </c>
      <c r="BP3" s="6">
        <f>Timing!BP3</f>
        <v>46783</v>
      </c>
      <c r="BQ3" s="6">
        <f>Timing!BQ3</f>
        <v>46812</v>
      </c>
    </row>
    <row r="7" spans="1:69">
      <c r="B7" s="4" t="s">
        <v>129</v>
      </c>
      <c r="J7" s="37">
        <v>0.2</v>
      </c>
      <c r="K7" s="37">
        <v>0.2</v>
      </c>
      <c r="L7" s="37">
        <v>0.2</v>
      </c>
      <c r="M7" s="37">
        <v>0.2</v>
      </c>
      <c r="N7" s="37">
        <v>0.2</v>
      </c>
      <c r="O7" s="37">
        <v>0.2</v>
      </c>
      <c r="P7" s="37">
        <v>0.2</v>
      </c>
      <c r="Q7" s="37">
        <v>0.2</v>
      </c>
      <c r="R7" s="37">
        <v>0.2</v>
      </c>
      <c r="S7" s="37">
        <v>0.2</v>
      </c>
      <c r="T7" s="37">
        <v>0.2</v>
      </c>
      <c r="U7" s="37">
        <v>0.2</v>
      </c>
      <c r="V7" s="37">
        <v>0.2</v>
      </c>
      <c r="W7" s="37">
        <v>0.2</v>
      </c>
      <c r="X7" s="37">
        <v>0.2</v>
      </c>
      <c r="Y7" s="37">
        <v>0.2</v>
      </c>
      <c r="Z7" s="37">
        <v>0.2</v>
      </c>
      <c r="AA7" s="37">
        <v>0.2</v>
      </c>
      <c r="AB7" s="37">
        <v>0.2</v>
      </c>
      <c r="AC7" s="37">
        <v>0.2</v>
      </c>
      <c r="AD7" s="37">
        <v>0.2</v>
      </c>
      <c r="AE7" s="37">
        <v>0.2</v>
      </c>
      <c r="AF7" s="37">
        <v>0.2</v>
      </c>
      <c r="AG7" s="37">
        <v>0.2</v>
      </c>
      <c r="AH7" s="37">
        <v>0.2</v>
      </c>
      <c r="AI7" s="37">
        <v>0.2</v>
      </c>
      <c r="AJ7" s="37">
        <v>0.2</v>
      </c>
      <c r="AK7" s="37">
        <v>0.2</v>
      </c>
      <c r="AL7" s="37">
        <v>0.2</v>
      </c>
      <c r="AM7" s="37">
        <v>0.2</v>
      </c>
      <c r="AN7" s="37">
        <v>0.2</v>
      </c>
      <c r="AO7" s="37">
        <v>0.2</v>
      </c>
      <c r="AP7" s="37">
        <v>0.2</v>
      </c>
      <c r="AQ7" s="37">
        <v>0.2</v>
      </c>
      <c r="AR7" s="37">
        <v>0.2</v>
      </c>
      <c r="AS7" s="37">
        <v>0.2</v>
      </c>
      <c r="AT7" s="37">
        <v>0.2</v>
      </c>
      <c r="AU7" s="37">
        <v>0.2</v>
      </c>
      <c r="AV7" s="37">
        <v>0.2</v>
      </c>
      <c r="AW7" s="37">
        <v>0.2</v>
      </c>
      <c r="AX7" s="37">
        <v>0.2</v>
      </c>
      <c r="AY7" s="37">
        <v>0.2</v>
      </c>
      <c r="AZ7" s="37">
        <v>0.2</v>
      </c>
      <c r="BA7" s="37">
        <v>0.2</v>
      </c>
      <c r="BB7" s="37">
        <v>0.2</v>
      </c>
      <c r="BC7" s="37">
        <v>0.2</v>
      </c>
      <c r="BD7" s="37">
        <v>0.2</v>
      </c>
      <c r="BE7" s="37">
        <v>0.2</v>
      </c>
      <c r="BF7" s="37">
        <v>0.2</v>
      </c>
      <c r="BG7" s="37">
        <v>0.2</v>
      </c>
      <c r="BH7" s="37">
        <v>0.2</v>
      </c>
      <c r="BI7" s="37">
        <v>0.2</v>
      </c>
      <c r="BJ7" s="37">
        <v>0.2</v>
      </c>
      <c r="BK7" s="37">
        <v>0.2</v>
      </c>
      <c r="BL7" s="37">
        <v>0.2</v>
      </c>
      <c r="BM7" s="37">
        <v>0.2</v>
      </c>
      <c r="BN7" s="37">
        <v>0.2</v>
      </c>
      <c r="BO7" s="37">
        <v>0.2</v>
      </c>
      <c r="BP7" s="37">
        <v>0.2</v>
      </c>
      <c r="BQ7" s="37">
        <v>0.2</v>
      </c>
    </row>
    <row r="8" spans="1:69">
      <c r="B8" s="4" t="s">
        <v>146</v>
      </c>
      <c r="J8" s="37">
        <v>0.2</v>
      </c>
      <c r="K8" s="37">
        <v>0.2</v>
      </c>
      <c r="L8" s="37">
        <v>0.2</v>
      </c>
      <c r="M8" s="37">
        <v>0.2</v>
      </c>
      <c r="N8" s="37">
        <v>0.2</v>
      </c>
      <c r="O8" s="37">
        <v>0.2</v>
      </c>
      <c r="P8" s="37">
        <v>0.2</v>
      </c>
      <c r="Q8" s="37">
        <v>0.2</v>
      </c>
      <c r="R8" s="37">
        <v>0.2</v>
      </c>
      <c r="S8" s="37">
        <v>0.2</v>
      </c>
      <c r="T8" s="37">
        <v>0.2</v>
      </c>
      <c r="U8" s="37">
        <v>0.2</v>
      </c>
      <c r="V8" s="37">
        <v>0.2</v>
      </c>
      <c r="W8" s="37">
        <v>0.2</v>
      </c>
      <c r="X8" s="37">
        <v>0.2</v>
      </c>
      <c r="Y8" s="37">
        <v>0.2</v>
      </c>
      <c r="Z8" s="37">
        <v>0.2</v>
      </c>
      <c r="AA8" s="37">
        <v>0.2</v>
      </c>
      <c r="AB8" s="37">
        <v>0.2</v>
      </c>
      <c r="AC8" s="37">
        <v>0.2</v>
      </c>
      <c r="AD8" s="37">
        <v>0.2</v>
      </c>
      <c r="AE8" s="37">
        <v>0.2</v>
      </c>
      <c r="AF8" s="37">
        <v>0.2</v>
      </c>
      <c r="AG8" s="37">
        <v>0.2</v>
      </c>
      <c r="AH8" s="37">
        <v>0.2</v>
      </c>
      <c r="AI8" s="37">
        <v>0.2</v>
      </c>
      <c r="AJ8" s="37">
        <v>0.2</v>
      </c>
      <c r="AK8" s="37">
        <v>0.2</v>
      </c>
      <c r="AL8" s="37">
        <v>0.2</v>
      </c>
      <c r="AM8" s="37">
        <v>0.2</v>
      </c>
      <c r="AN8" s="37">
        <v>0.2</v>
      </c>
      <c r="AO8" s="37">
        <v>0.2</v>
      </c>
      <c r="AP8" s="37">
        <v>0.2</v>
      </c>
      <c r="AQ8" s="37">
        <v>0.2</v>
      </c>
      <c r="AR8" s="37">
        <v>0.2</v>
      </c>
      <c r="AS8" s="37">
        <v>0.2</v>
      </c>
      <c r="AT8" s="37">
        <v>0.2</v>
      </c>
      <c r="AU8" s="37">
        <v>0.2</v>
      </c>
      <c r="AV8" s="37">
        <v>0.2</v>
      </c>
      <c r="AW8" s="37">
        <v>0.2</v>
      </c>
      <c r="AX8" s="37">
        <v>0.2</v>
      </c>
      <c r="AY8" s="37">
        <v>0.2</v>
      </c>
      <c r="AZ8" s="37">
        <v>0.2</v>
      </c>
      <c r="BA8" s="37">
        <v>0.2</v>
      </c>
      <c r="BB8" s="37">
        <v>0.2</v>
      </c>
      <c r="BC8" s="37">
        <v>0.2</v>
      </c>
      <c r="BD8" s="37">
        <v>0.2</v>
      </c>
      <c r="BE8" s="37">
        <v>0.2</v>
      </c>
      <c r="BF8" s="37">
        <v>0.2</v>
      </c>
      <c r="BG8" s="37">
        <v>0.2</v>
      </c>
      <c r="BH8" s="37">
        <v>0.2</v>
      </c>
      <c r="BI8" s="37">
        <v>0.2</v>
      </c>
      <c r="BJ8" s="37">
        <v>0.2</v>
      </c>
      <c r="BK8" s="37">
        <v>0.2</v>
      </c>
      <c r="BL8" s="37">
        <v>0.2</v>
      </c>
      <c r="BM8" s="37">
        <v>0.2</v>
      </c>
      <c r="BN8" s="37">
        <v>0.2</v>
      </c>
      <c r="BO8" s="37">
        <v>0.2</v>
      </c>
      <c r="BP8" s="37">
        <v>0.2</v>
      </c>
      <c r="BQ8" s="37">
        <v>0.2</v>
      </c>
    </row>
    <row r="9" spans="1:69">
      <c r="B9" s="4" t="s">
        <v>130</v>
      </c>
      <c r="J9" s="4">
        <v>45</v>
      </c>
      <c r="K9" s="4">
        <v>45</v>
      </c>
      <c r="L9" s="4">
        <v>45</v>
      </c>
      <c r="M9" s="4">
        <v>45</v>
      </c>
      <c r="N9" s="4">
        <v>45</v>
      </c>
      <c r="O9" s="4">
        <v>45</v>
      </c>
      <c r="P9" s="4">
        <v>45</v>
      </c>
      <c r="Q9" s="4">
        <v>45</v>
      </c>
      <c r="R9" s="4">
        <v>45</v>
      </c>
      <c r="S9" s="4">
        <v>45</v>
      </c>
      <c r="T9" s="4">
        <v>45</v>
      </c>
      <c r="U9" s="4">
        <v>45</v>
      </c>
      <c r="V9" s="4">
        <v>45</v>
      </c>
      <c r="W9" s="4">
        <v>45</v>
      </c>
      <c r="X9" s="4">
        <v>45</v>
      </c>
      <c r="Y9" s="4">
        <v>45</v>
      </c>
      <c r="Z9" s="4">
        <v>45</v>
      </c>
      <c r="AA9" s="4">
        <v>45</v>
      </c>
      <c r="AB9" s="4">
        <v>45</v>
      </c>
      <c r="AC9" s="4">
        <v>45</v>
      </c>
      <c r="AD9" s="4">
        <v>45</v>
      </c>
      <c r="AE9" s="4">
        <v>45</v>
      </c>
      <c r="AF9" s="4">
        <v>45</v>
      </c>
      <c r="AG9" s="4">
        <v>45</v>
      </c>
      <c r="AH9" s="4">
        <v>45</v>
      </c>
      <c r="AI9" s="4">
        <v>45</v>
      </c>
      <c r="AJ9" s="4">
        <v>45</v>
      </c>
      <c r="AK9" s="4">
        <v>45</v>
      </c>
      <c r="AL9" s="4">
        <v>45</v>
      </c>
      <c r="AM9" s="4">
        <v>45</v>
      </c>
      <c r="AN9" s="4">
        <v>45</v>
      </c>
      <c r="AO9" s="4">
        <v>45</v>
      </c>
      <c r="AP9" s="4">
        <v>45</v>
      </c>
      <c r="AQ9" s="4">
        <v>45</v>
      </c>
      <c r="AR9" s="4">
        <v>45</v>
      </c>
      <c r="AS9" s="4">
        <v>45</v>
      </c>
      <c r="AT9" s="4">
        <v>45</v>
      </c>
      <c r="AU9" s="4">
        <v>45</v>
      </c>
      <c r="AV9" s="4">
        <v>45</v>
      </c>
      <c r="AW9" s="4">
        <v>45</v>
      </c>
      <c r="AX9" s="4">
        <v>45</v>
      </c>
      <c r="AY9" s="4">
        <v>45</v>
      </c>
      <c r="AZ9" s="4">
        <v>45</v>
      </c>
      <c r="BA9" s="4">
        <v>45</v>
      </c>
      <c r="BB9" s="4">
        <v>45</v>
      </c>
      <c r="BC9" s="4">
        <v>45</v>
      </c>
      <c r="BD9" s="4">
        <v>45</v>
      </c>
      <c r="BE9" s="4">
        <v>45</v>
      </c>
      <c r="BF9" s="4">
        <v>45</v>
      </c>
      <c r="BG9" s="4">
        <v>45</v>
      </c>
      <c r="BH9" s="4">
        <v>45</v>
      </c>
      <c r="BI9" s="4">
        <v>45</v>
      </c>
      <c r="BJ9" s="4">
        <v>45</v>
      </c>
      <c r="BK9" s="4">
        <v>45</v>
      </c>
      <c r="BL9" s="4">
        <v>45</v>
      </c>
      <c r="BM9" s="4">
        <v>45</v>
      </c>
      <c r="BN9" s="4">
        <v>45</v>
      </c>
      <c r="BO9" s="4">
        <v>45</v>
      </c>
      <c r="BP9" s="4">
        <v>45</v>
      </c>
      <c r="BQ9" s="4">
        <v>45</v>
      </c>
    </row>
    <row r="10" spans="1:69">
      <c r="B10" s="4" t="s">
        <v>147</v>
      </c>
      <c r="J10" s="4">
        <v>30</v>
      </c>
      <c r="K10" s="4">
        <v>30</v>
      </c>
      <c r="L10" s="4">
        <v>30</v>
      </c>
      <c r="M10" s="4">
        <v>30</v>
      </c>
      <c r="N10" s="4">
        <v>30</v>
      </c>
      <c r="O10" s="4">
        <v>30</v>
      </c>
      <c r="P10" s="4">
        <v>30</v>
      </c>
      <c r="Q10" s="4">
        <v>30</v>
      </c>
      <c r="R10" s="4">
        <v>30</v>
      </c>
      <c r="S10" s="4">
        <v>30</v>
      </c>
      <c r="T10" s="4">
        <v>30</v>
      </c>
      <c r="U10" s="4">
        <v>30</v>
      </c>
      <c r="V10" s="4">
        <v>30</v>
      </c>
      <c r="W10" s="4">
        <v>30</v>
      </c>
      <c r="X10" s="4">
        <v>30</v>
      </c>
      <c r="Y10" s="4">
        <v>30</v>
      </c>
      <c r="Z10" s="4">
        <v>30</v>
      </c>
      <c r="AA10" s="4">
        <v>30</v>
      </c>
      <c r="AB10" s="4">
        <v>30</v>
      </c>
      <c r="AC10" s="4">
        <v>30</v>
      </c>
      <c r="AD10" s="4">
        <v>30</v>
      </c>
      <c r="AE10" s="4">
        <v>30</v>
      </c>
      <c r="AF10" s="4">
        <v>30</v>
      </c>
      <c r="AG10" s="4">
        <v>30</v>
      </c>
      <c r="AH10" s="4">
        <v>30</v>
      </c>
      <c r="AI10" s="4">
        <v>30</v>
      </c>
      <c r="AJ10" s="4">
        <v>30</v>
      </c>
      <c r="AK10" s="4">
        <v>30</v>
      </c>
      <c r="AL10" s="4">
        <v>30</v>
      </c>
      <c r="AM10" s="4">
        <v>30</v>
      </c>
      <c r="AN10" s="4">
        <v>30</v>
      </c>
      <c r="AO10" s="4">
        <v>30</v>
      </c>
      <c r="AP10" s="4">
        <v>30</v>
      </c>
      <c r="AQ10" s="4">
        <v>30</v>
      </c>
      <c r="AR10" s="4">
        <v>30</v>
      </c>
      <c r="AS10" s="4">
        <v>30</v>
      </c>
      <c r="AT10" s="4">
        <v>30</v>
      </c>
      <c r="AU10" s="4">
        <v>30</v>
      </c>
      <c r="AV10" s="4">
        <v>30</v>
      </c>
      <c r="AW10" s="4">
        <v>30</v>
      </c>
      <c r="AX10" s="4">
        <v>30</v>
      </c>
      <c r="AY10" s="4">
        <v>30</v>
      </c>
      <c r="AZ10" s="4">
        <v>30</v>
      </c>
      <c r="BA10" s="4">
        <v>30</v>
      </c>
      <c r="BB10" s="4">
        <v>30</v>
      </c>
      <c r="BC10" s="4">
        <v>30</v>
      </c>
      <c r="BD10" s="4">
        <v>30</v>
      </c>
      <c r="BE10" s="4">
        <v>30</v>
      </c>
      <c r="BF10" s="4">
        <v>30</v>
      </c>
      <c r="BG10" s="4">
        <v>30</v>
      </c>
      <c r="BH10" s="4">
        <v>30</v>
      </c>
      <c r="BI10" s="4">
        <v>30</v>
      </c>
      <c r="BJ10" s="4">
        <v>30</v>
      </c>
      <c r="BK10" s="4">
        <v>30</v>
      </c>
      <c r="BL10" s="4">
        <v>30</v>
      </c>
      <c r="BM10" s="4">
        <v>30</v>
      </c>
      <c r="BN10" s="4">
        <v>30</v>
      </c>
      <c r="BO10" s="4">
        <v>30</v>
      </c>
      <c r="BP10" s="4">
        <v>30</v>
      </c>
      <c r="BQ10" s="4">
        <v>30</v>
      </c>
    </row>
    <row r="12" spans="1:69">
      <c r="B12" s="4" t="s">
        <v>176</v>
      </c>
      <c r="J12" s="37">
        <v>0.25</v>
      </c>
      <c r="K12" s="37">
        <v>0.25</v>
      </c>
      <c r="L12" s="37">
        <v>0.25</v>
      </c>
      <c r="M12" s="37">
        <v>0.25</v>
      </c>
      <c r="N12" s="37">
        <v>0.25</v>
      </c>
      <c r="O12" s="37">
        <v>0.25</v>
      </c>
      <c r="P12" s="37">
        <v>0.25</v>
      </c>
      <c r="Q12" s="37">
        <v>0.25</v>
      </c>
      <c r="R12" s="37">
        <v>0.25</v>
      </c>
      <c r="S12" s="37">
        <v>0.25</v>
      </c>
      <c r="T12" s="37">
        <v>0.25</v>
      </c>
      <c r="U12" s="37">
        <v>0.25</v>
      </c>
      <c r="V12" s="37">
        <v>0.25</v>
      </c>
      <c r="W12" s="37">
        <v>0.25</v>
      </c>
      <c r="X12" s="37">
        <v>0.25</v>
      </c>
      <c r="Y12" s="37">
        <v>0.25</v>
      </c>
      <c r="Z12" s="37">
        <v>0.25</v>
      </c>
      <c r="AA12" s="37">
        <v>0.25</v>
      </c>
      <c r="AB12" s="37">
        <v>0.25</v>
      </c>
      <c r="AC12" s="37">
        <v>0.25</v>
      </c>
      <c r="AD12" s="37">
        <v>0.25</v>
      </c>
      <c r="AE12" s="37">
        <v>0.25</v>
      </c>
      <c r="AF12" s="37">
        <v>0.25</v>
      </c>
      <c r="AG12" s="37">
        <v>0.25</v>
      </c>
      <c r="AH12" s="37">
        <v>0.25</v>
      </c>
      <c r="AI12" s="37">
        <v>0.25</v>
      </c>
      <c r="AJ12" s="37">
        <v>0.25</v>
      </c>
      <c r="AK12" s="37">
        <v>0.25</v>
      </c>
      <c r="AL12" s="37">
        <v>0.25</v>
      </c>
      <c r="AM12" s="37">
        <v>0.25</v>
      </c>
      <c r="AN12" s="37">
        <v>0.25</v>
      </c>
      <c r="AO12" s="37">
        <v>0.25</v>
      </c>
      <c r="AP12" s="37">
        <v>0.25</v>
      </c>
      <c r="AQ12" s="37">
        <v>0.25</v>
      </c>
      <c r="AR12" s="37">
        <v>0.25</v>
      </c>
      <c r="AS12" s="37">
        <v>0.25</v>
      </c>
      <c r="AT12" s="37">
        <v>0.25</v>
      </c>
      <c r="AU12" s="37">
        <v>0.25</v>
      </c>
      <c r="AV12" s="37">
        <v>0.25</v>
      </c>
      <c r="AW12" s="37">
        <v>0.25</v>
      </c>
      <c r="AX12" s="37">
        <v>0.25</v>
      </c>
      <c r="AY12" s="37">
        <v>0.25</v>
      </c>
      <c r="AZ12" s="37">
        <v>0.25</v>
      </c>
      <c r="BA12" s="37">
        <v>0.25</v>
      </c>
      <c r="BB12" s="37">
        <v>0.25</v>
      </c>
      <c r="BC12" s="37">
        <v>0.25</v>
      </c>
      <c r="BD12" s="37">
        <v>0.25</v>
      </c>
      <c r="BE12" s="37">
        <v>0.25</v>
      </c>
      <c r="BF12" s="37">
        <v>0.25</v>
      </c>
      <c r="BG12" s="37">
        <v>0.25</v>
      </c>
      <c r="BH12" s="37">
        <v>0.25</v>
      </c>
      <c r="BI12" s="37">
        <v>0.25</v>
      </c>
      <c r="BJ12" s="37">
        <v>0.25</v>
      </c>
      <c r="BK12" s="37">
        <v>0.25</v>
      </c>
      <c r="BL12" s="37">
        <v>0.25</v>
      </c>
      <c r="BM12" s="37">
        <v>0.25</v>
      </c>
      <c r="BN12" s="37">
        <v>0.25</v>
      </c>
      <c r="BO12" s="37">
        <v>0.25</v>
      </c>
      <c r="BP12" s="37">
        <v>0.25</v>
      </c>
      <c r="BQ12" s="37">
        <v>0.25</v>
      </c>
    </row>
    <row r="13" spans="1:69">
      <c r="B13" s="4" t="s">
        <v>177</v>
      </c>
      <c r="J13" s="37">
        <v>0.11</v>
      </c>
      <c r="K13" s="37">
        <v>0.11</v>
      </c>
      <c r="L13" s="37">
        <v>0.11</v>
      </c>
      <c r="M13" s="37">
        <v>0.11</v>
      </c>
      <c r="N13" s="37">
        <v>0.11</v>
      </c>
      <c r="O13" s="37">
        <v>0.11</v>
      </c>
      <c r="P13" s="37">
        <v>0.11</v>
      </c>
      <c r="Q13" s="37">
        <v>0.11</v>
      </c>
      <c r="R13" s="37">
        <v>0.11</v>
      </c>
      <c r="S13" s="37">
        <v>0.11</v>
      </c>
      <c r="T13" s="37">
        <v>0.11</v>
      </c>
      <c r="U13" s="37">
        <v>0.11</v>
      </c>
      <c r="V13" s="37">
        <v>0.11</v>
      </c>
      <c r="W13" s="37">
        <v>0.11</v>
      </c>
      <c r="X13" s="37">
        <v>0.11</v>
      </c>
      <c r="Y13" s="37">
        <v>0.11</v>
      </c>
      <c r="Z13" s="37">
        <v>0.11</v>
      </c>
      <c r="AA13" s="37">
        <v>0.11</v>
      </c>
      <c r="AB13" s="37">
        <v>0.11</v>
      </c>
      <c r="AC13" s="37">
        <v>0.11</v>
      </c>
      <c r="AD13" s="37">
        <v>0.11</v>
      </c>
      <c r="AE13" s="37">
        <v>0.11</v>
      </c>
      <c r="AF13" s="37">
        <v>0.11</v>
      </c>
      <c r="AG13" s="37">
        <v>0.11</v>
      </c>
      <c r="AH13" s="37">
        <v>0.11</v>
      </c>
      <c r="AI13" s="37">
        <v>0.11</v>
      </c>
      <c r="AJ13" s="37">
        <v>0.11</v>
      </c>
      <c r="AK13" s="37">
        <v>0.11</v>
      </c>
      <c r="AL13" s="37">
        <v>0.11</v>
      </c>
      <c r="AM13" s="37">
        <v>0.11</v>
      </c>
      <c r="AN13" s="37">
        <v>0.11</v>
      </c>
      <c r="AO13" s="37">
        <v>0.11</v>
      </c>
      <c r="AP13" s="37">
        <v>0.11</v>
      </c>
      <c r="AQ13" s="37">
        <v>0.11</v>
      </c>
      <c r="AR13" s="37">
        <v>0.11</v>
      </c>
      <c r="AS13" s="37">
        <v>0.11</v>
      </c>
      <c r="AT13" s="37">
        <v>0.11</v>
      </c>
      <c r="AU13" s="37">
        <v>0.11</v>
      </c>
      <c r="AV13" s="37">
        <v>0.11</v>
      </c>
      <c r="AW13" s="37">
        <v>0.11</v>
      </c>
      <c r="AX13" s="37">
        <v>0.11</v>
      </c>
      <c r="AY13" s="37">
        <v>0.11</v>
      </c>
      <c r="AZ13" s="37">
        <v>0.11</v>
      </c>
      <c r="BA13" s="37">
        <v>0.11</v>
      </c>
      <c r="BB13" s="37">
        <v>0.11</v>
      </c>
      <c r="BC13" s="37">
        <v>0.11</v>
      </c>
      <c r="BD13" s="37">
        <v>0.11</v>
      </c>
      <c r="BE13" s="37">
        <v>0.11</v>
      </c>
      <c r="BF13" s="37">
        <v>0.11</v>
      </c>
      <c r="BG13" s="37">
        <v>0.11</v>
      </c>
      <c r="BH13" s="37">
        <v>0.11</v>
      </c>
      <c r="BI13" s="37">
        <v>0.11</v>
      </c>
      <c r="BJ13" s="37">
        <v>0.11</v>
      </c>
      <c r="BK13" s="37">
        <v>0.11</v>
      </c>
      <c r="BL13" s="37">
        <v>0.11</v>
      </c>
      <c r="BM13" s="37">
        <v>0.11</v>
      </c>
      <c r="BN13" s="37">
        <v>0.11</v>
      </c>
      <c r="BO13" s="37">
        <v>0.11</v>
      </c>
      <c r="BP13" s="37">
        <v>0.11</v>
      </c>
      <c r="BQ13" s="37">
        <v>0.11</v>
      </c>
    </row>
    <row r="14" spans="1:69">
      <c r="B14" s="4" t="s">
        <v>178</v>
      </c>
      <c r="J14" s="37">
        <v>0.15</v>
      </c>
      <c r="K14" s="37">
        <v>0.15</v>
      </c>
      <c r="L14" s="37">
        <v>0.15</v>
      </c>
      <c r="M14" s="37">
        <v>0.15</v>
      </c>
      <c r="N14" s="37">
        <v>0.15</v>
      </c>
      <c r="O14" s="37">
        <v>0.15</v>
      </c>
      <c r="P14" s="37">
        <v>0.15</v>
      </c>
      <c r="Q14" s="37">
        <v>0.15</v>
      </c>
      <c r="R14" s="37">
        <v>0.15</v>
      </c>
      <c r="S14" s="37">
        <v>0.15</v>
      </c>
      <c r="T14" s="37">
        <v>0.15</v>
      </c>
      <c r="U14" s="37">
        <v>0.15</v>
      </c>
      <c r="V14" s="37">
        <v>0.15</v>
      </c>
      <c r="W14" s="37">
        <v>0.15</v>
      </c>
      <c r="X14" s="37">
        <v>0.15</v>
      </c>
      <c r="Y14" s="37">
        <v>0.15</v>
      </c>
      <c r="Z14" s="37">
        <v>0.15</v>
      </c>
      <c r="AA14" s="37">
        <v>0.15</v>
      </c>
      <c r="AB14" s="37">
        <v>0.15</v>
      </c>
      <c r="AC14" s="37">
        <v>0.15</v>
      </c>
      <c r="AD14" s="37">
        <v>0.15</v>
      </c>
      <c r="AE14" s="37">
        <v>0.15</v>
      </c>
      <c r="AF14" s="37">
        <v>0.15</v>
      </c>
      <c r="AG14" s="37">
        <v>0.15</v>
      </c>
      <c r="AH14" s="37">
        <v>0.15</v>
      </c>
      <c r="AI14" s="37">
        <v>0.15</v>
      </c>
      <c r="AJ14" s="37">
        <v>0.15</v>
      </c>
      <c r="AK14" s="37">
        <v>0.15</v>
      </c>
      <c r="AL14" s="37">
        <v>0.15</v>
      </c>
      <c r="AM14" s="37">
        <v>0.15</v>
      </c>
      <c r="AN14" s="37">
        <v>0.15</v>
      </c>
      <c r="AO14" s="37">
        <v>0.15</v>
      </c>
      <c r="AP14" s="37">
        <v>0.15</v>
      </c>
      <c r="AQ14" s="37">
        <v>0.15</v>
      </c>
      <c r="AR14" s="37">
        <v>0.15</v>
      </c>
      <c r="AS14" s="37">
        <v>0.15</v>
      </c>
      <c r="AT14" s="37">
        <v>0.15</v>
      </c>
      <c r="AU14" s="37">
        <v>0.15</v>
      </c>
      <c r="AV14" s="37">
        <v>0.15</v>
      </c>
      <c r="AW14" s="37">
        <v>0.15</v>
      </c>
      <c r="AX14" s="37">
        <v>0.15</v>
      </c>
      <c r="AY14" s="37">
        <v>0.15</v>
      </c>
      <c r="AZ14" s="37">
        <v>0.15</v>
      </c>
      <c r="BA14" s="37">
        <v>0.15</v>
      </c>
      <c r="BB14" s="37">
        <v>0.15</v>
      </c>
      <c r="BC14" s="37">
        <v>0.15</v>
      </c>
      <c r="BD14" s="37">
        <v>0.15</v>
      </c>
      <c r="BE14" s="37">
        <v>0.15</v>
      </c>
      <c r="BF14" s="37">
        <v>0.15</v>
      </c>
      <c r="BG14" s="37">
        <v>0.15</v>
      </c>
      <c r="BH14" s="37">
        <v>0.15</v>
      </c>
      <c r="BI14" s="37">
        <v>0.15</v>
      </c>
      <c r="BJ14" s="37">
        <v>0.15</v>
      </c>
      <c r="BK14" s="37">
        <v>0.15</v>
      </c>
      <c r="BL14" s="37">
        <v>0.15</v>
      </c>
      <c r="BM14" s="37">
        <v>0.15</v>
      </c>
      <c r="BN14" s="37">
        <v>0.15</v>
      </c>
      <c r="BO14" s="37">
        <v>0.15</v>
      </c>
      <c r="BP14" s="37">
        <v>0.15</v>
      </c>
      <c r="BQ14" s="37">
        <v>0.15</v>
      </c>
    </row>
    <row r="15" spans="1:69">
      <c r="B15" s="4" t="s">
        <v>179</v>
      </c>
      <c r="J15" s="37">
        <v>0.03</v>
      </c>
      <c r="K15" s="37">
        <v>0.03</v>
      </c>
      <c r="L15" s="37">
        <v>0.03</v>
      </c>
      <c r="M15" s="37">
        <v>0.03</v>
      </c>
      <c r="N15" s="37">
        <v>0.03</v>
      </c>
      <c r="O15" s="37">
        <v>0.03</v>
      </c>
      <c r="P15" s="37">
        <v>0.03</v>
      </c>
      <c r="Q15" s="37">
        <v>0.03</v>
      </c>
      <c r="R15" s="37">
        <v>0.03</v>
      </c>
      <c r="S15" s="37">
        <v>0.03</v>
      </c>
      <c r="T15" s="37">
        <v>0.03</v>
      </c>
      <c r="U15" s="37">
        <v>0.03</v>
      </c>
      <c r="V15" s="37">
        <v>0.03</v>
      </c>
      <c r="W15" s="37">
        <v>0.03</v>
      </c>
      <c r="X15" s="37">
        <v>0.03</v>
      </c>
      <c r="Y15" s="37">
        <v>0.03</v>
      </c>
      <c r="Z15" s="37">
        <v>0.03</v>
      </c>
      <c r="AA15" s="37">
        <v>0.03</v>
      </c>
      <c r="AB15" s="37">
        <v>0.03</v>
      </c>
      <c r="AC15" s="37">
        <v>0.03</v>
      </c>
      <c r="AD15" s="37">
        <v>0.03</v>
      </c>
      <c r="AE15" s="37">
        <v>0.03</v>
      </c>
      <c r="AF15" s="37">
        <v>0.03</v>
      </c>
      <c r="AG15" s="37">
        <v>0.03</v>
      </c>
      <c r="AH15" s="37">
        <v>0.03</v>
      </c>
      <c r="AI15" s="37">
        <v>0.03</v>
      </c>
      <c r="AJ15" s="37">
        <v>0.03</v>
      </c>
      <c r="AK15" s="37">
        <v>0.03</v>
      </c>
      <c r="AL15" s="37">
        <v>0.03</v>
      </c>
      <c r="AM15" s="37">
        <v>0.03</v>
      </c>
      <c r="AN15" s="37">
        <v>0.03</v>
      </c>
      <c r="AO15" s="37">
        <v>0.03</v>
      </c>
      <c r="AP15" s="37">
        <v>0.03</v>
      </c>
      <c r="AQ15" s="37">
        <v>0.03</v>
      </c>
      <c r="AR15" s="37">
        <v>0.03</v>
      </c>
      <c r="AS15" s="37">
        <v>0.03</v>
      </c>
      <c r="AT15" s="37">
        <v>0.03</v>
      </c>
      <c r="AU15" s="37">
        <v>0.03</v>
      </c>
      <c r="AV15" s="37">
        <v>0.03</v>
      </c>
      <c r="AW15" s="37">
        <v>0.03</v>
      </c>
      <c r="AX15" s="37">
        <v>0.03</v>
      </c>
      <c r="AY15" s="37">
        <v>0.03</v>
      </c>
      <c r="AZ15" s="37">
        <v>0.03</v>
      </c>
      <c r="BA15" s="37">
        <v>0.03</v>
      </c>
      <c r="BB15" s="37">
        <v>0.03</v>
      </c>
      <c r="BC15" s="37">
        <v>0.03</v>
      </c>
      <c r="BD15" s="37">
        <v>0.03</v>
      </c>
      <c r="BE15" s="37">
        <v>0.03</v>
      </c>
      <c r="BF15" s="37">
        <v>0.03</v>
      </c>
      <c r="BG15" s="37">
        <v>0.03</v>
      </c>
      <c r="BH15" s="37">
        <v>0.03</v>
      </c>
      <c r="BI15" s="37">
        <v>0.03</v>
      </c>
      <c r="BJ15" s="37">
        <v>0.03</v>
      </c>
      <c r="BK15" s="37">
        <v>0.03</v>
      </c>
      <c r="BL15" s="37">
        <v>0.03</v>
      </c>
      <c r="BM15" s="37">
        <v>0.03</v>
      </c>
      <c r="BN15" s="37">
        <v>0.03</v>
      </c>
      <c r="BO15" s="37">
        <v>0.03</v>
      </c>
      <c r="BP15" s="37">
        <v>0.03</v>
      </c>
      <c r="BQ15" s="37">
        <v>0.03</v>
      </c>
    </row>
    <row r="17" spans="2:69">
      <c r="B17" s="4" t="s">
        <v>180</v>
      </c>
      <c r="J17" s="37">
        <v>0.35</v>
      </c>
      <c r="K17" s="37">
        <v>0.35</v>
      </c>
      <c r="L17" s="37">
        <v>0.35</v>
      </c>
      <c r="M17" s="37">
        <v>0.35</v>
      </c>
      <c r="N17" s="37">
        <v>0.35</v>
      </c>
      <c r="O17" s="37">
        <v>0.35</v>
      </c>
      <c r="P17" s="37">
        <v>0.35</v>
      </c>
      <c r="Q17" s="37">
        <v>0.35</v>
      </c>
      <c r="R17" s="37">
        <v>0.35</v>
      </c>
      <c r="S17" s="37">
        <v>0.35</v>
      </c>
      <c r="T17" s="37">
        <v>0.35</v>
      </c>
      <c r="U17" s="37">
        <v>0.35</v>
      </c>
      <c r="V17" s="37">
        <v>0.35</v>
      </c>
      <c r="W17" s="37">
        <v>0.35</v>
      </c>
      <c r="X17" s="37">
        <v>0.35</v>
      </c>
      <c r="Y17" s="37">
        <v>0.35</v>
      </c>
      <c r="Z17" s="37">
        <v>0.35</v>
      </c>
      <c r="AA17" s="37">
        <v>0.35</v>
      </c>
      <c r="AB17" s="37">
        <v>0.35</v>
      </c>
      <c r="AC17" s="37">
        <v>0.35</v>
      </c>
      <c r="AD17" s="37">
        <v>0.35</v>
      </c>
      <c r="AE17" s="37">
        <v>0.35</v>
      </c>
      <c r="AF17" s="37">
        <v>0.35</v>
      </c>
      <c r="AG17" s="37">
        <v>0.35</v>
      </c>
      <c r="AH17" s="37">
        <v>0.35</v>
      </c>
      <c r="AI17" s="37">
        <v>0.35</v>
      </c>
      <c r="AJ17" s="37">
        <v>0.35</v>
      </c>
      <c r="AK17" s="37">
        <v>0.35</v>
      </c>
      <c r="AL17" s="37">
        <v>0.35</v>
      </c>
      <c r="AM17" s="37">
        <v>0.35</v>
      </c>
      <c r="AN17" s="37">
        <v>0.35</v>
      </c>
      <c r="AO17" s="37">
        <v>0.35</v>
      </c>
      <c r="AP17" s="37">
        <v>0.35</v>
      </c>
      <c r="AQ17" s="37">
        <v>0.35</v>
      </c>
      <c r="AR17" s="37">
        <v>0.35</v>
      </c>
      <c r="AS17" s="37">
        <v>0.35</v>
      </c>
      <c r="AT17" s="37">
        <v>0.35</v>
      </c>
      <c r="AU17" s="37">
        <v>0.35</v>
      </c>
      <c r="AV17" s="37">
        <v>0.35</v>
      </c>
      <c r="AW17" s="37">
        <v>0.35</v>
      </c>
      <c r="AX17" s="37">
        <v>0.35</v>
      </c>
      <c r="AY17" s="37">
        <v>0.35</v>
      </c>
      <c r="AZ17" s="37">
        <v>0.35</v>
      </c>
      <c r="BA17" s="37">
        <v>0.35</v>
      </c>
      <c r="BB17" s="37">
        <v>0.35</v>
      </c>
      <c r="BC17" s="37">
        <v>0.35</v>
      </c>
      <c r="BD17" s="37">
        <v>0.35</v>
      </c>
      <c r="BE17" s="37">
        <v>0.35</v>
      </c>
      <c r="BF17" s="37">
        <v>0.35</v>
      </c>
      <c r="BG17" s="37">
        <v>0.35</v>
      </c>
      <c r="BH17" s="37">
        <v>0.35</v>
      </c>
      <c r="BI17" s="37">
        <v>0.35</v>
      </c>
      <c r="BJ17" s="37">
        <v>0.35</v>
      </c>
      <c r="BK17" s="37">
        <v>0.35</v>
      </c>
      <c r="BL17" s="37">
        <v>0.35</v>
      </c>
      <c r="BM17" s="37">
        <v>0.35</v>
      </c>
      <c r="BN17" s="37">
        <v>0.35</v>
      </c>
      <c r="BO17" s="37">
        <v>0.35</v>
      </c>
      <c r="BP17" s="37">
        <v>0.35</v>
      </c>
      <c r="BQ17" s="37">
        <v>0.35</v>
      </c>
    </row>
    <row r="18" spans="2:69">
      <c r="B18" s="4" t="s">
        <v>181</v>
      </c>
      <c r="J18" s="37">
        <v>0.05</v>
      </c>
      <c r="K18" s="37">
        <v>0.05</v>
      </c>
      <c r="L18" s="37">
        <v>0.05</v>
      </c>
      <c r="M18" s="37">
        <v>0.05</v>
      </c>
      <c r="N18" s="37">
        <v>0.05</v>
      </c>
      <c r="O18" s="37">
        <v>0.05</v>
      </c>
      <c r="P18" s="37">
        <v>0.05</v>
      </c>
      <c r="Q18" s="37">
        <v>0.05</v>
      </c>
      <c r="R18" s="37">
        <v>0.05</v>
      </c>
      <c r="S18" s="37">
        <v>0.05</v>
      </c>
      <c r="T18" s="37">
        <v>0.05</v>
      </c>
      <c r="U18" s="37">
        <v>0.05</v>
      </c>
      <c r="V18" s="37">
        <v>0.05</v>
      </c>
      <c r="W18" s="37">
        <v>0.05</v>
      </c>
      <c r="X18" s="37">
        <v>0.05</v>
      </c>
      <c r="Y18" s="37">
        <v>0.05</v>
      </c>
      <c r="Z18" s="37">
        <v>0.05</v>
      </c>
      <c r="AA18" s="37">
        <v>0.05</v>
      </c>
      <c r="AB18" s="37">
        <v>0.05</v>
      </c>
      <c r="AC18" s="37">
        <v>0.05</v>
      </c>
      <c r="AD18" s="37">
        <v>0.05</v>
      </c>
      <c r="AE18" s="37">
        <v>0.05</v>
      </c>
      <c r="AF18" s="37">
        <v>0.05</v>
      </c>
      <c r="AG18" s="37">
        <v>0.05</v>
      </c>
      <c r="AH18" s="37">
        <v>0.05</v>
      </c>
      <c r="AI18" s="37">
        <v>0.05</v>
      </c>
      <c r="AJ18" s="37">
        <v>0.05</v>
      </c>
      <c r="AK18" s="37">
        <v>0.05</v>
      </c>
      <c r="AL18" s="37">
        <v>0.05</v>
      </c>
      <c r="AM18" s="37">
        <v>0.05</v>
      </c>
      <c r="AN18" s="37">
        <v>0.05</v>
      </c>
      <c r="AO18" s="37">
        <v>0.05</v>
      </c>
      <c r="AP18" s="37">
        <v>0.05</v>
      </c>
      <c r="AQ18" s="37">
        <v>0.05</v>
      </c>
      <c r="AR18" s="37">
        <v>0.05</v>
      </c>
      <c r="AS18" s="37">
        <v>0.05</v>
      </c>
      <c r="AT18" s="37">
        <v>0.05</v>
      </c>
      <c r="AU18" s="37">
        <v>0.05</v>
      </c>
      <c r="AV18" s="37">
        <v>0.05</v>
      </c>
      <c r="AW18" s="37">
        <v>0.05</v>
      </c>
      <c r="AX18" s="37">
        <v>0.05</v>
      </c>
      <c r="AY18" s="37">
        <v>0.05</v>
      </c>
      <c r="AZ18" s="37">
        <v>0.05</v>
      </c>
      <c r="BA18" s="37">
        <v>0.05</v>
      </c>
      <c r="BB18" s="37">
        <v>0.05</v>
      </c>
      <c r="BC18" s="37">
        <v>0.05</v>
      </c>
      <c r="BD18" s="37">
        <v>0.05</v>
      </c>
      <c r="BE18" s="37">
        <v>0.05</v>
      </c>
      <c r="BF18" s="37">
        <v>0.05</v>
      </c>
      <c r="BG18" s="37">
        <v>0.05</v>
      </c>
      <c r="BH18" s="37">
        <v>0.05</v>
      </c>
      <c r="BI18" s="37">
        <v>0.05</v>
      </c>
      <c r="BJ18" s="37">
        <v>0.05</v>
      </c>
      <c r="BK18" s="37">
        <v>0.05</v>
      </c>
      <c r="BL18" s="37">
        <v>0.05</v>
      </c>
      <c r="BM18" s="37">
        <v>0.05</v>
      </c>
      <c r="BN18" s="37">
        <v>0.05</v>
      </c>
      <c r="BO18" s="37">
        <v>0.05</v>
      </c>
      <c r="BP18" s="37">
        <v>0.05</v>
      </c>
      <c r="BQ18" s="37">
        <v>0.05</v>
      </c>
    </row>
    <row r="19" spans="2:69">
      <c r="B19" s="4" t="s">
        <v>182</v>
      </c>
      <c r="J19" s="37">
        <v>0.14000000000000001</v>
      </c>
      <c r="K19" s="37">
        <v>0.14000000000000001</v>
      </c>
      <c r="L19" s="37">
        <v>0.14000000000000001</v>
      </c>
      <c r="M19" s="37">
        <v>0.14000000000000001</v>
      </c>
      <c r="N19" s="37">
        <v>0.14000000000000001</v>
      </c>
      <c r="O19" s="37">
        <v>0.14000000000000001</v>
      </c>
      <c r="P19" s="37">
        <v>0.14000000000000001</v>
      </c>
      <c r="Q19" s="37">
        <v>0.14000000000000001</v>
      </c>
      <c r="R19" s="37">
        <v>0.14000000000000001</v>
      </c>
      <c r="S19" s="37">
        <v>0.14000000000000001</v>
      </c>
      <c r="T19" s="37">
        <v>0.14000000000000001</v>
      </c>
      <c r="U19" s="37">
        <v>0.14000000000000001</v>
      </c>
      <c r="V19" s="37">
        <v>0.14000000000000001</v>
      </c>
      <c r="W19" s="37">
        <v>0.14000000000000001</v>
      </c>
      <c r="X19" s="37">
        <v>0.14000000000000001</v>
      </c>
      <c r="Y19" s="37">
        <v>0.14000000000000001</v>
      </c>
      <c r="Z19" s="37">
        <v>0.14000000000000001</v>
      </c>
      <c r="AA19" s="37">
        <v>0.14000000000000001</v>
      </c>
      <c r="AB19" s="37">
        <v>0.14000000000000001</v>
      </c>
      <c r="AC19" s="37">
        <v>0.14000000000000001</v>
      </c>
      <c r="AD19" s="37">
        <v>0.14000000000000001</v>
      </c>
      <c r="AE19" s="37">
        <v>0.14000000000000001</v>
      </c>
      <c r="AF19" s="37">
        <v>0.14000000000000001</v>
      </c>
      <c r="AG19" s="37">
        <v>0.14000000000000001</v>
      </c>
      <c r="AH19" s="37">
        <v>0.14000000000000001</v>
      </c>
      <c r="AI19" s="37">
        <v>0.14000000000000001</v>
      </c>
      <c r="AJ19" s="37">
        <v>0.14000000000000001</v>
      </c>
      <c r="AK19" s="37">
        <v>0.14000000000000001</v>
      </c>
      <c r="AL19" s="37">
        <v>0.14000000000000001</v>
      </c>
      <c r="AM19" s="37">
        <v>0.14000000000000001</v>
      </c>
      <c r="AN19" s="37">
        <v>0.14000000000000001</v>
      </c>
      <c r="AO19" s="37">
        <v>0.14000000000000001</v>
      </c>
      <c r="AP19" s="37">
        <v>0.14000000000000001</v>
      </c>
      <c r="AQ19" s="37">
        <v>0.14000000000000001</v>
      </c>
      <c r="AR19" s="37">
        <v>0.14000000000000001</v>
      </c>
      <c r="AS19" s="37">
        <v>0.14000000000000001</v>
      </c>
      <c r="AT19" s="37">
        <v>0.14000000000000001</v>
      </c>
      <c r="AU19" s="37">
        <v>0.14000000000000001</v>
      </c>
      <c r="AV19" s="37">
        <v>0.14000000000000001</v>
      </c>
      <c r="AW19" s="37">
        <v>0.14000000000000001</v>
      </c>
      <c r="AX19" s="37">
        <v>0.14000000000000001</v>
      </c>
      <c r="AY19" s="37">
        <v>0.14000000000000001</v>
      </c>
      <c r="AZ19" s="37">
        <v>0.14000000000000001</v>
      </c>
      <c r="BA19" s="37">
        <v>0.14000000000000001</v>
      </c>
      <c r="BB19" s="37">
        <v>0.14000000000000001</v>
      </c>
      <c r="BC19" s="37">
        <v>0.14000000000000001</v>
      </c>
      <c r="BD19" s="37">
        <v>0.14000000000000001</v>
      </c>
      <c r="BE19" s="37">
        <v>0.14000000000000001</v>
      </c>
      <c r="BF19" s="37">
        <v>0.14000000000000001</v>
      </c>
      <c r="BG19" s="37">
        <v>0.14000000000000001</v>
      </c>
      <c r="BH19" s="37">
        <v>0.14000000000000001</v>
      </c>
      <c r="BI19" s="37">
        <v>0.14000000000000001</v>
      </c>
      <c r="BJ19" s="37">
        <v>0.14000000000000001</v>
      </c>
      <c r="BK19" s="37">
        <v>0.14000000000000001</v>
      </c>
      <c r="BL19" s="37">
        <v>0.14000000000000001</v>
      </c>
      <c r="BM19" s="37">
        <v>0.14000000000000001</v>
      </c>
      <c r="BN19" s="37">
        <v>0.14000000000000001</v>
      </c>
      <c r="BO19" s="37">
        <v>0.14000000000000001</v>
      </c>
      <c r="BP19" s="37">
        <v>0.14000000000000001</v>
      </c>
      <c r="BQ19" s="37">
        <v>0.14000000000000001</v>
      </c>
    </row>
    <row r="20" spans="2:69">
      <c r="B20" s="4" t="s">
        <v>183</v>
      </c>
      <c r="J20" s="37">
        <v>0.03</v>
      </c>
      <c r="K20" s="37">
        <v>0.03</v>
      </c>
      <c r="L20" s="37">
        <v>0.03</v>
      </c>
      <c r="M20" s="37">
        <v>0.03</v>
      </c>
      <c r="N20" s="37">
        <v>0.03</v>
      </c>
      <c r="O20" s="37">
        <v>0.03</v>
      </c>
      <c r="P20" s="37">
        <v>0.03</v>
      </c>
      <c r="Q20" s="37">
        <v>0.03</v>
      </c>
      <c r="R20" s="37">
        <v>0.03</v>
      </c>
      <c r="S20" s="37">
        <v>0.03</v>
      </c>
      <c r="T20" s="37">
        <v>0.03</v>
      </c>
      <c r="U20" s="37">
        <v>0.03</v>
      </c>
      <c r="V20" s="37">
        <v>0.03</v>
      </c>
      <c r="W20" s="37">
        <v>0.03</v>
      </c>
      <c r="X20" s="37">
        <v>0.03</v>
      </c>
      <c r="Y20" s="37">
        <v>0.03</v>
      </c>
      <c r="Z20" s="37">
        <v>0.03</v>
      </c>
      <c r="AA20" s="37">
        <v>0.03</v>
      </c>
      <c r="AB20" s="37">
        <v>0.03</v>
      </c>
      <c r="AC20" s="37">
        <v>0.03</v>
      </c>
      <c r="AD20" s="37">
        <v>0.03</v>
      </c>
      <c r="AE20" s="37">
        <v>0.03</v>
      </c>
      <c r="AF20" s="37">
        <v>0.03</v>
      </c>
      <c r="AG20" s="37">
        <v>0.03</v>
      </c>
      <c r="AH20" s="37">
        <v>0.03</v>
      </c>
      <c r="AI20" s="37">
        <v>0.03</v>
      </c>
      <c r="AJ20" s="37">
        <v>0.03</v>
      </c>
      <c r="AK20" s="37">
        <v>0.03</v>
      </c>
      <c r="AL20" s="37">
        <v>0.03</v>
      </c>
      <c r="AM20" s="37">
        <v>0.03</v>
      </c>
      <c r="AN20" s="37">
        <v>0.03</v>
      </c>
      <c r="AO20" s="37">
        <v>0.03</v>
      </c>
      <c r="AP20" s="37">
        <v>0.03</v>
      </c>
      <c r="AQ20" s="37">
        <v>0.03</v>
      </c>
      <c r="AR20" s="37">
        <v>0.03</v>
      </c>
      <c r="AS20" s="37">
        <v>0.03</v>
      </c>
      <c r="AT20" s="37">
        <v>0.03</v>
      </c>
      <c r="AU20" s="37">
        <v>0.03</v>
      </c>
      <c r="AV20" s="37">
        <v>0.03</v>
      </c>
      <c r="AW20" s="37">
        <v>0.03</v>
      </c>
      <c r="AX20" s="37">
        <v>0.03</v>
      </c>
      <c r="AY20" s="37">
        <v>0.03</v>
      </c>
      <c r="AZ20" s="37">
        <v>0.03</v>
      </c>
      <c r="BA20" s="37">
        <v>0.03</v>
      </c>
      <c r="BB20" s="37">
        <v>0.03</v>
      </c>
      <c r="BC20" s="37">
        <v>0.03</v>
      </c>
      <c r="BD20" s="37">
        <v>0.03</v>
      </c>
      <c r="BE20" s="37">
        <v>0.03</v>
      </c>
      <c r="BF20" s="37">
        <v>0.03</v>
      </c>
      <c r="BG20" s="37">
        <v>0.03</v>
      </c>
      <c r="BH20" s="37">
        <v>0.03</v>
      </c>
      <c r="BI20" s="37">
        <v>0.03</v>
      </c>
      <c r="BJ20" s="37">
        <v>0.03</v>
      </c>
      <c r="BK20" s="37">
        <v>0.03</v>
      </c>
      <c r="BL20" s="37">
        <v>0.03</v>
      </c>
      <c r="BM20" s="37">
        <v>0.03</v>
      </c>
      <c r="BN20" s="37">
        <v>0.03</v>
      </c>
      <c r="BO20" s="37">
        <v>0.03</v>
      </c>
      <c r="BP20" s="37">
        <v>0.03</v>
      </c>
      <c r="BQ20" s="37">
        <v>0.03</v>
      </c>
    </row>
    <row r="23" spans="2:69">
      <c r="B23" s="4" t="s">
        <v>218</v>
      </c>
      <c r="J23" s="49">
        <v>0.125</v>
      </c>
      <c r="K23" s="49">
        <v>0.125</v>
      </c>
      <c r="L23" s="49">
        <v>0.125</v>
      </c>
      <c r="M23" s="49">
        <v>0.125</v>
      </c>
      <c r="N23" s="49">
        <v>0.125</v>
      </c>
      <c r="O23" s="49">
        <v>0.125</v>
      </c>
      <c r="P23" s="49">
        <v>0.125</v>
      </c>
      <c r="Q23" s="49">
        <v>0.125</v>
      </c>
      <c r="R23" s="49">
        <v>0.125</v>
      </c>
      <c r="S23" s="49">
        <v>0.125</v>
      </c>
      <c r="T23" s="49">
        <v>0.125</v>
      </c>
      <c r="U23" s="49">
        <v>0.125</v>
      </c>
      <c r="V23" s="49">
        <v>0.125</v>
      </c>
      <c r="W23" s="49">
        <v>0.125</v>
      </c>
      <c r="X23" s="49">
        <v>0.125</v>
      </c>
      <c r="Y23" s="49">
        <v>0.125</v>
      </c>
      <c r="Z23" s="49">
        <v>0.125</v>
      </c>
      <c r="AA23" s="49">
        <v>0.125</v>
      </c>
      <c r="AB23" s="49">
        <v>0.125</v>
      </c>
      <c r="AC23" s="49">
        <v>0.125</v>
      </c>
      <c r="AD23" s="49">
        <v>0.125</v>
      </c>
      <c r="AE23" s="49">
        <v>0.125</v>
      </c>
      <c r="AF23" s="49">
        <v>0.125</v>
      </c>
      <c r="AG23" s="49">
        <v>0.125</v>
      </c>
      <c r="AH23" s="49">
        <v>0.125</v>
      </c>
      <c r="AI23" s="49">
        <v>0.125</v>
      </c>
      <c r="AJ23" s="49">
        <v>0.125</v>
      </c>
      <c r="AK23" s="49">
        <v>0.125</v>
      </c>
      <c r="AL23" s="49">
        <v>0.125</v>
      </c>
      <c r="AM23" s="49">
        <v>0.125</v>
      </c>
      <c r="AN23" s="49">
        <v>0.125</v>
      </c>
      <c r="AO23" s="49">
        <v>0.125</v>
      </c>
      <c r="AP23" s="49">
        <v>0.125</v>
      </c>
      <c r="AQ23" s="49">
        <v>0.125</v>
      </c>
      <c r="AR23" s="49">
        <v>0.125</v>
      </c>
      <c r="AS23" s="49">
        <v>0.125</v>
      </c>
      <c r="AT23" s="49">
        <v>0.125</v>
      </c>
      <c r="AU23" s="49">
        <v>0.125</v>
      </c>
      <c r="AV23" s="49">
        <v>0.125</v>
      </c>
      <c r="AW23" s="49">
        <v>0.125</v>
      </c>
      <c r="AX23" s="49">
        <v>0.125</v>
      </c>
      <c r="AY23" s="49">
        <v>0.125</v>
      </c>
      <c r="AZ23" s="49">
        <v>0.125</v>
      </c>
      <c r="BA23" s="49">
        <v>0.125</v>
      </c>
      <c r="BB23" s="49">
        <v>0.125</v>
      </c>
      <c r="BC23" s="49">
        <v>0.125</v>
      </c>
      <c r="BD23" s="49">
        <v>0.125</v>
      </c>
      <c r="BE23" s="49">
        <v>0.125</v>
      </c>
      <c r="BF23" s="49">
        <v>0.125</v>
      </c>
      <c r="BG23" s="49">
        <v>0.125</v>
      </c>
      <c r="BH23" s="49">
        <v>0.125</v>
      </c>
      <c r="BI23" s="49">
        <v>0.125</v>
      </c>
      <c r="BJ23" s="49">
        <v>0.125</v>
      </c>
      <c r="BK23" s="49">
        <v>0.125</v>
      </c>
      <c r="BL23" s="49">
        <v>0.125</v>
      </c>
      <c r="BM23" s="49">
        <v>0.125</v>
      </c>
      <c r="BN23" s="49">
        <v>0.125</v>
      </c>
      <c r="BO23" s="49">
        <v>0.125</v>
      </c>
      <c r="BP23" s="49">
        <v>0.125</v>
      </c>
      <c r="BQ23" s="49">
        <v>0.125</v>
      </c>
    </row>
    <row r="24" spans="2:69">
      <c r="B24" s="4" t="s">
        <v>219</v>
      </c>
      <c r="J24" s="37">
        <v>0.25</v>
      </c>
      <c r="K24" s="37">
        <v>0.25</v>
      </c>
      <c r="L24" s="37">
        <v>0.25</v>
      </c>
      <c r="M24" s="37">
        <v>0.25</v>
      </c>
      <c r="N24" s="37">
        <v>0.25</v>
      </c>
      <c r="O24" s="37">
        <v>0.25</v>
      </c>
      <c r="P24" s="37">
        <v>0.25</v>
      </c>
      <c r="Q24" s="37">
        <v>0.25</v>
      </c>
      <c r="R24" s="37">
        <v>0.25</v>
      </c>
      <c r="S24" s="37">
        <v>0.25</v>
      </c>
      <c r="T24" s="37">
        <v>0.25</v>
      </c>
      <c r="U24" s="37">
        <v>0.25</v>
      </c>
      <c r="V24" s="37">
        <v>0.25</v>
      </c>
      <c r="W24" s="37">
        <v>0.25</v>
      </c>
      <c r="X24" s="37">
        <v>0.25</v>
      </c>
      <c r="Y24" s="37">
        <v>0.25</v>
      </c>
      <c r="Z24" s="37">
        <v>0.25</v>
      </c>
      <c r="AA24" s="37">
        <v>0.25</v>
      </c>
      <c r="AB24" s="37">
        <v>0.25</v>
      </c>
      <c r="AC24" s="37">
        <v>0.25</v>
      </c>
      <c r="AD24" s="37">
        <v>0.25</v>
      </c>
      <c r="AE24" s="37">
        <v>0.25</v>
      </c>
      <c r="AF24" s="37">
        <v>0.25</v>
      </c>
      <c r="AG24" s="37">
        <v>0.25</v>
      </c>
      <c r="AH24" s="37">
        <v>0.25</v>
      </c>
      <c r="AI24" s="37">
        <v>0.25</v>
      </c>
      <c r="AJ24" s="37">
        <v>0.25</v>
      </c>
      <c r="AK24" s="37">
        <v>0.25</v>
      </c>
      <c r="AL24" s="37">
        <v>0.25</v>
      </c>
      <c r="AM24" s="37">
        <v>0.25</v>
      </c>
      <c r="AN24" s="37">
        <v>0.25</v>
      </c>
      <c r="AO24" s="37">
        <v>0.25</v>
      </c>
      <c r="AP24" s="37">
        <v>0.25</v>
      </c>
      <c r="AQ24" s="37">
        <v>0.25</v>
      </c>
      <c r="AR24" s="37">
        <v>0.25</v>
      </c>
      <c r="AS24" s="37">
        <v>0.25</v>
      </c>
      <c r="AT24" s="37">
        <v>0.25</v>
      </c>
      <c r="AU24" s="37">
        <v>0.25</v>
      </c>
      <c r="AV24" s="37">
        <v>0.25</v>
      </c>
      <c r="AW24" s="37">
        <v>0.25</v>
      </c>
      <c r="AX24" s="37">
        <v>0.25</v>
      </c>
      <c r="AY24" s="37">
        <v>0.25</v>
      </c>
      <c r="AZ24" s="37">
        <v>0.25</v>
      </c>
      <c r="BA24" s="37">
        <v>0.25</v>
      </c>
      <c r="BB24" s="37">
        <v>0.25</v>
      </c>
      <c r="BC24" s="37">
        <v>0.25</v>
      </c>
      <c r="BD24" s="37">
        <v>0.25</v>
      </c>
      <c r="BE24" s="37">
        <v>0.25</v>
      </c>
      <c r="BF24" s="37">
        <v>0.25</v>
      </c>
      <c r="BG24" s="37">
        <v>0.25</v>
      </c>
      <c r="BH24" s="37">
        <v>0.25</v>
      </c>
      <c r="BI24" s="37">
        <v>0.25</v>
      </c>
      <c r="BJ24" s="37">
        <v>0.25</v>
      </c>
      <c r="BK24" s="37">
        <v>0.25</v>
      </c>
      <c r="BL24" s="37">
        <v>0.25</v>
      </c>
      <c r="BM24" s="37">
        <v>0.25</v>
      </c>
      <c r="BN24" s="37">
        <v>0.25</v>
      </c>
      <c r="BO24" s="37">
        <v>0.25</v>
      </c>
      <c r="BP24" s="37">
        <v>0.25</v>
      </c>
      <c r="BQ24" s="37">
        <v>0.25</v>
      </c>
    </row>
    <row r="25" spans="2:69">
      <c r="B25" s="4" t="s">
        <v>220</v>
      </c>
      <c r="J25" s="37">
        <v>0.25</v>
      </c>
      <c r="K25" s="37">
        <v>0.25</v>
      </c>
      <c r="L25" s="37">
        <v>0.25</v>
      </c>
      <c r="M25" s="37">
        <v>0.25</v>
      </c>
      <c r="N25" s="37">
        <v>0.25</v>
      </c>
      <c r="O25" s="37">
        <v>0.25</v>
      </c>
      <c r="P25" s="37">
        <v>0.25</v>
      </c>
      <c r="Q25" s="37">
        <v>0.25</v>
      </c>
      <c r="R25" s="37">
        <v>0.25</v>
      </c>
      <c r="S25" s="37">
        <v>0.25</v>
      </c>
      <c r="T25" s="37">
        <v>0.25</v>
      </c>
      <c r="U25" s="37">
        <v>0.25</v>
      </c>
      <c r="V25" s="37">
        <v>0.25</v>
      </c>
      <c r="W25" s="37">
        <v>0.25</v>
      </c>
      <c r="X25" s="37">
        <v>0.25</v>
      </c>
      <c r="Y25" s="37">
        <v>0.25</v>
      </c>
      <c r="Z25" s="37">
        <v>0.25</v>
      </c>
      <c r="AA25" s="37">
        <v>0.25</v>
      </c>
      <c r="AB25" s="37">
        <v>0.25</v>
      </c>
      <c r="AC25" s="37">
        <v>0.25</v>
      </c>
      <c r="AD25" s="37">
        <v>0.25</v>
      </c>
      <c r="AE25" s="37">
        <v>0.25</v>
      </c>
      <c r="AF25" s="37">
        <v>0.25</v>
      </c>
      <c r="AG25" s="37">
        <v>0.25</v>
      </c>
      <c r="AH25" s="37">
        <v>0.25</v>
      </c>
      <c r="AI25" s="37">
        <v>0.25</v>
      </c>
      <c r="AJ25" s="37">
        <v>0.25</v>
      </c>
      <c r="AK25" s="37">
        <v>0.25</v>
      </c>
      <c r="AL25" s="37">
        <v>0.25</v>
      </c>
      <c r="AM25" s="37">
        <v>0.25</v>
      </c>
      <c r="AN25" s="37">
        <v>0.25</v>
      </c>
      <c r="AO25" s="37">
        <v>0.25</v>
      </c>
      <c r="AP25" s="37">
        <v>0.25</v>
      </c>
      <c r="AQ25" s="37">
        <v>0.25</v>
      </c>
      <c r="AR25" s="37">
        <v>0.25</v>
      </c>
      <c r="AS25" s="37">
        <v>0.25</v>
      </c>
      <c r="AT25" s="37">
        <v>0.25</v>
      </c>
      <c r="AU25" s="37">
        <v>0.25</v>
      </c>
      <c r="AV25" s="37">
        <v>0.25</v>
      </c>
      <c r="AW25" s="37">
        <v>0.25</v>
      </c>
      <c r="AX25" s="37">
        <v>0.25</v>
      </c>
      <c r="AY25" s="37">
        <v>0.25</v>
      </c>
      <c r="AZ25" s="37">
        <v>0.25</v>
      </c>
      <c r="BA25" s="37">
        <v>0.25</v>
      </c>
      <c r="BB25" s="37">
        <v>0.25</v>
      </c>
      <c r="BC25" s="37">
        <v>0.25</v>
      </c>
      <c r="BD25" s="37">
        <v>0.25</v>
      </c>
      <c r="BE25" s="37">
        <v>0.25</v>
      </c>
      <c r="BF25" s="37">
        <v>0.25</v>
      </c>
      <c r="BG25" s="37">
        <v>0.25</v>
      </c>
      <c r="BH25" s="37">
        <v>0.25</v>
      </c>
      <c r="BI25" s="37">
        <v>0.25</v>
      </c>
      <c r="BJ25" s="37">
        <v>0.25</v>
      </c>
      <c r="BK25" s="37">
        <v>0.25</v>
      </c>
      <c r="BL25" s="37">
        <v>0.25</v>
      </c>
      <c r="BM25" s="37">
        <v>0.25</v>
      </c>
      <c r="BN25" s="37">
        <v>0.25</v>
      </c>
      <c r="BO25" s="37">
        <v>0.25</v>
      </c>
      <c r="BP25" s="37">
        <v>0.25</v>
      </c>
      <c r="BQ25" s="37">
        <v>0.25</v>
      </c>
    </row>
    <row r="26" spans="2:69">
      <c r="B26" s="4" t="s">
        <v>221</v>
      </c>
      <c r="J26" s="37">
        <v>0.33</v>
      </c>
      <c r="K26" s="37">
        <v>0.33</v>
      </c>
      <c r="L26" s="37">
        <v>0.33</v>
      </c>
      <c r="M26" s="37">
        <v>0.33</v>
      </c>
      <c r="N26" s="37">
        <v>0.33</v>
      </c>
      <c r="O26" s="37">
        <v>0.33</v>
      </c>
      <c r="P26" s="37">
        <v>0.33</v>
      </c>
      <c r="Q26" s="37">
        <v>0.33</v>
      </c>
      <c r="R26" s="37">
        <v>0.33</v>
      </c>
      <c r="S26" s="37">
        <v>0.33</v>
      </c>
      <c r="T26" s="37">
        <v>0.33</v>
      </c>
      <c r="U26" s="37">
        <v>0.33</v>
      </c>
      <c r="V26" s="37">
        <v>0.33</v>
      </c>
      <c r="W26" s="37">
        <v>0.33</v>
      </c>
      <c r="X26" s="37">
        <v>0.33</v>
      </c>
      <c r="Y26" s="37">
        <v>0.33</v>
      </c>
      <c r="Z26" s="37">
        <v>0.33</v>
      </c>
      <c r="AA26" s="37">
        <v>0.33</v>
      </c>
      <c r="AB26" s="37">
        <v>0.33</v>
      </c>
      <c r="AC26" s="37">
        <v>0.33</v>
      </c>
      <c r="AD26" s="37">
        <v>0.33</v>
      </c>
      <c r="AE26" s="37">
        <v>0.33</v>
      </c>
      <c r="AF26" s="37">
        <v>0.33</v>
      </c>
      <c r="AG26" s="37">
        <v>0.33</v>
      </c>
      <c r="AH26" s="37">
        <v>0.33</v>
      </c>
      <c r="AI26" s="37">
        <v>0.33</v>
      </c>
      <c r="AJ26" s="37">
        <v>0.33</v>
      </c>
      <c r="AK26" s="37">
        <v>0.33</v>
      </c>
      <c r="AL26" s="37">
        <v>0.33</v>
      </c>
      <c r="AM26" s="37">
        <v>0.33</v>
      </c>
      <c r="AN26" s="37">
        <v>0.33</v>
      </c>
      <c r="AO26" s="37">
        <v>0.33</v>
      </c>
      <c r="AP26" s="37">
        <v>0.33</v>
      </c>
      <c r="AQ26" s="37">
        <v>0.33</v>
      </c>
      <c r="AR26" s="37">
        <v>0.33</v>
      </c>
      <c r="AS26" s="37">
        <v>0.33</v>
      </c>
      <c r="AT26" s="37">
        <v>0.33</v>
      </c>
      <c r="AU26" s="37">
        <v>0.33</v>
      </c>
      <c r="AV26" s="37">
        <v>0.33</v>
      </c>
      <c r="AW26" s="37">
        <v>0.33</v>
      </c>
      <c r="AX26" s="37">
        <v>0.33</v>
      </c>
      <c r="AY26" s="37">
        <v>0.33</v>
      </c>
      <c r="AZ26" s="37">
        <v>0.33</v>
      </c>
      <c r="BA26" s="37">
        <v>0.33</v>
      </c>
      <c r="BB26" s="37">
        <v>0.33</v>
      </c>
      <c r="BC26" s="37">
        <v>0.33</v>
      </c>
      <c r="BD26" s="37">
        <v>0.33</v>
      </c>
      <c r="BE26" s="37">
        <v>0.33</v>
      </c>
      <c r="BF26" s="37">
        <v>0.33</v>
      </c>
      <c r="BG26" s="37">
        <v>0.33</v>
      </c>
      <c r="BH26" s="37">
        <v>0.33</v>
      </c>
      <c r="BI26" s="37">
        <v>0.33</v>
      </c>
      <c r="BJ26" s="37">
        <v>0.33</v>
      </c>
      <c r="BK26" s="37">
        <v>0.33</v>
      </c>
      <c r="BL26" s="37">
        <v>0.33</v>
      </c>
      <c r="BM26" s="37">
        <v>0.33</v>
      </c>
      <c r="BN26" s="37">
        <v>0.33</v>
      </c>
      <c r="BO26" s="37">
        <v>0.33</v>
      </c>
      <c r="BP26" s="37">
        <v>0.33</v>
      </c>
      <c r="BQ26" s="37">
        <v>0.33</v>
      </c>
    </row>
    <row r="27" spans="2:69">
      <c r="B27" s="4" t="s">
        <v>155</v>
      </c>
      <c r="J27" s="37">
        <v>0.25</v>
      </c>
      <c r="K27" s="37">
        <v>0.25</v>
      </c>
      <c r="L27" s="37">
        <v>0.25</v>
      </c>
      <c r="M27" s="37">
        <v>0.25</v>
      </c>
      <c r="N27" s="37">
        <v>0.25</v>
      </c>
      <c r="O27" s="37">
        <v>0.25</v>
      </c>
      <c r="P27" s="37">
        <v>0.25</v>
      </c>
      <c r="Q27" s="37">
        <v>0.25</v>
      </c>
      <c r="R27" s="37">
        <v>0.25</v>
      </c>
      <c r="S27" s="37">
        <v>0.25</v>
      </c>
      <c r="T27" s="37">
        <v>0.25</v>
      </c>
      <c r="U27" s="37">
        <v>0.25</v>
      </c>
      <c r="V27" s="37">
        <v>0.25</v>
      </c>
      <c r="W27" s="37">
        <v>0.25</v>
      </c>
      <c r="X27" s="37">
        <v>0.25</v>
      </c>
      <c r="Y27" s="37">
        <v>0.25</v>
      </c>
      <c r="Z27" s="37">
        <v>0.25</v>
      </c>
      <c r="AA27" s="37">
        <v>0.25</v>
      </c>
      <c r="AB27" s="37">
        <v>0.25</v>
      </c>
      <c r="AC27" s="37">
        <v>0.25</v>
      </c>
      <c r="AD27" s="37">
        <v>0.25</v>
      </c>
      <c r="AE27" s="37">
        <v>0.25</v>
      </c>
      <c r="AF27" s="37">
        <v>0.25</v>
      </c>
      <c r="AG27" s="37">
        <v>0.25</v>
      </c>
      <c r="AH27" s="37">
        <v>0.25</v>
      </c>
      <c r="AI27" s="37">
        <v>0.25</v>
      </c>
      <c r="AJ27" s="37">
        <v>0.25</v>
      </c>
      <c r="AK27" s="37">
        <v>0.25</v>
      </c>
      <c r="AL27" s="37">
        <v>0.25</v>
      </c>
      <c r="AM27" s="37">
        <v>0.25</v>
      </c>
      <c r="AN27" s="37">
        <v>0.25</v>
      </c>
      <c r="AO27" s="37">
        <v>0.25</v>
      </c>
      <c r="AP27" s="37">
        <v>0.25</v>
      </c>
      <c r="AQ27" s="37">
        <v>0.25</v>
      </c>
      <c r="AR27" s="37">
        <v>0.25</v>
      </c>
      <c r="AS27" s="37">
        <v>0.25</v>
      </c>
      <c r="AT27" s="37">
        <v>0.25</v>
      </c>
      <c r="AU27" s="37">
        <v>0.25</v>
      </c>
      <c r="AV27" s="37">
        <v>0.25</v>
      </c>
      <c r="AW27" s="37">
        <v>0.25</v>
      </c>
      <c r="AX27" s="37">
        <v>0.25</v>
      </c>
      <c r="AY27" s="37">
        <v>0.25</v>
      </c>
      <c r="AZ27" s="37">
        <v>0.25</v>
      </c>
      <c r="BA27" s="37">
        <v>0.25</v>
      </c>
      <c r="BB27" s="37">
        <v>0.25</v>
      </c>
      <c r="BC27" s="37">
        <v>0.25</v>
      </c>
      <c r="BD27" s="37">
        <v>0.25</v>
      </c>
      <c r="BE27" s="37">
        <v>0.25</v>
      </c>
      <c r="BF27" s="37">
        <v>0.25</v>
      </c>
      <c r="BG27" s="37">
        <v>0.25</v>
      </c>
      <c r="BH27" s="37">
        <v>0.25</v>
      </c>
      <c r="BI27" s="37">
        <v>0.25</v>
      </c>
      <c r="BJ27" s="37">
        <v>0.25</v>
      </c>
      <c r="BK27" s="37">
        <v>0.25</v>
      </c>
      <c r="BL27" s="37">
        <v>0.25</v>
      </c>
      <c r="BM27" s="37">
        <v>0.25</v>
      </c>
      <c r="BN27" s="37">
        <v>0.25</v>
      </c>
      <c r="BO27" s="37">
        <v>0.25</v>
      </c>
      <c r="BP27" s="37">
        <v>0.25</v>
      </c>
      <c r="BQ27" s="37">
        <v>0.25</v>
      </c>
    </row>
    <row r="29" spans="2:69">
      <c r="B29" s="3" t="s">
        <v>244</v>
      </c>
    </row>
    <row r="31" spans="2:69">
      <c r="B31" s="3" t="s">
        <v>245</v>
      </c>
    </row>
    <row r="32" spans="2:69">
      <c r="B32" s="4" t="s">
        <v>246</v>
      </c>
      <c r="J32" s="63">
        <v>30</v>
      </c>
      <c r="K32" s="63">
        <v>30</v>
      </c>
      <c r="L32" s="63"/>
      <c r="M32" s="63">
        <v>30</v>
      </c>
      <c r="N32" s="63">
        <v>30</v>
      </c>
      <c r="O32" s="63">
        <v>30</v>
      </c>
      <c r="P32" s="63">
        <v>60</v>
      </c>
      <c r="Q32" s="63">
        <v>0</v>
      </c>
      <c r="R32" s="63">
        <v>0</v>
      </c>
      <c r="S32" s="63">
        <v>0</v>
      </c>
      <c r="T32" s="63">
        <v>0</v>
      </c>
      <c r="U32" s="63">
        <v>0</v>
      </c>
      <c r="V32" s="63">
        <v>0</v>
      </c>
      <c r="W32" s="63">
        <v>30</v>
      </c>
      <c r="X32" s="63">
        <v>30</v>
      </c>
      <c r="Y32" s="63">
        <v>30</v>
      </c>
      <c r="Z32" s="63">
        <v>30</v>
      </c>
      <c r="AA32" s="63">
        <v>30</v>
      </c>
      <c r="AB32" s="63">
        <v>30</v>
      </c>
      <c r="AC32" s="63">
        <v>30</v>
      </c>
      <c r="AD32" s="63">
        <v>30</v>
      </c>
      <c r="AE32" s="63">
        <v>30</v>
      </c>
      <c r="AF32" s="63">
        <v>30</v>
      </c>
      <c r="AG32" s="63">
        <v>30</v>
      </c>
      <c r="AH32" s="63">
        <v>36</v>
      </c>
      <c r="AI32" s="63">
        <v>36</v>
      </c>
      <c r="AJ32" s="63">
        <v>36</v>
      </c>
      <c r="AK32" s="63">
        <v>36</v>
      </c>
      <c r="AL32" s="63">
        <v>36</v>
      </c>
      <c r="AM32" s="63">
        <v>36</v>
      </c>
      <c r="AN32" s="63">
        <v>36</v>
      </c>
      <c r="AO32" s="63">
        <v>36</v>
      </c>
      <c r="AP32" s="63">
        <v>36</v>
      </c>
      <c r="AQ32" s="63">
        <v>36</v>
      </c>
      <c r="AR32" s="63">
        <v>36</v>
      </c>
      <c r="AS32" s="63">
        <v>36</v>
      </c>
      <c r="AT32" s="63">
        <v>43</v>
      </c>
      <c r="AU32" s="63">
        <v>43</v>
      </c>
      <c r="AV32" s="63">
        <v>43</v>
      </c>
      <c r="AW32" s="63">
        <v>43</v>
      </c>
      <c r="AX32" s="63">
        <v>43</v>
      </c>
      <c r="AY32" s="63">
        <v>43</v>
      </c>
      <c r="AZ32" s="63">
        <v>43</v>
      </c>
      <c r="BA32" s="63">
        <v>43</v>
      </c>
      <c r="BB32" s="63">
        <v>43</v>
      </c>
      <c r="BC32" s="63">
        <v>43</v>
      </c>
      <c r="BD32" s="63">
        <v>43</v>
      </c>
      <c r="BE32" s="63">
        <v>43</v>
      </c>
      <c r="BF32" s="63">
        <v>52</v>
      </c>
      <c r="BG32" s="63">
        <v>52</v>
      </c>
      <c r="BH32" s="63">
        <v>52</v>
      </c>
      <c r="BI32" s="63">
        <v>52</v>
      </c>
      <c r="BJ32" s="63">
        <v>52</v>
      </c>
      <c r="BK32" s="63">
        <v>52</v>
      </c>
      <c r="BL32" s="63">
        <v>52</v>
      </c>
      <c r="BM32" s="63">
        <v>52</v>
      </c>
      <c r="BN32" s="63">
        <v>52</v>
      </c>
      <c r="BO32" s="63">
        <v>52</v>
      </c>
      <c r="BP32" s="63">
        <v>52</v>
      </c>
      <c r="BQ32" s="63">
        <v>52</v>
      </c>
    </row>
    <row r="33" spans="2:69">
      <c r="B33" s="4" t="s">
        <v>247</v>
      </c>
      <c r="J33" s="63">
        <v>90</v>
      </c>
      <c r="K33" s="63">
        <f>J33+K32</f>
        <v>120</v>
      </c>
      <c r="L33" s="63">
        <f t="shared" ref="L33:BE33" si="0">K33+L32</f>
        <v>120</v>
      </c>
      <c r="M33" s="63">
        <f t="shared" si="0"/>
        <v>150</v>
      </c>
      <c r="N33" s="63">
        <f t="shared" si="0"/>
        <v>180</v>
      </c>
      <c r="O33" s="63">
        <v>240</v>
      </c>
      <c r="P33" s="63">
        <f t="shared" si="0"/>
        <v>300</v>
      </c>
      <c r="Q33" s="63">
        <f t="shared" si="0"/>
        <v>300</v>
      </c>
      <c r="R33" s="63">
        <f t="shared" si="0"/>
        <v>300</v>
      </c>
      <c r="S33" s="63">
        <f t="shared" si="0"/>
        <v>300</v>
      </c>
      <c r="T33" s="63">
        <f t="shared" si="0"/>
        <v>300</v>
      </c>
      <c r="U33" s="63">
        <f t="shared" si="0"/>
        <v>300</v>
      </c>
      <c r="V33" s="63">
        <f t="shared" si="0"/>
        <v>300</v>
      </c>
      <c r="W33" s="63">
        <f t="shared" si="0"/>
        <v>330</v>
      </c>
      <c r="X33" s="63">
        <f t="shared" si="0"/>
        <v>360</v>
      </c>
      <c r="Y33" s="63">
        <f t="shared" si="0"/>
        <v>390</v>
      </c>
      <c r="Z33" s="63">
        <f t="shared" si="0"/>
        <v>420</v>
      </c>
      <c r="AA33" s="63">
        <f t="shared" si="0"/>
        <v>450</v>
      </c>
      <c r="AB33" s="63">
        <f t="shared" si="0"/>
        <v>480</v>
      </c>
      <c r="AC33" s="63">
        <f t="shared" si="0"/>
        <v>510</v>
      </c>
      <c r="AD33" s="63">
        <f t="shared" si="0"/>
        <v>540</v>
      </c>
      <c r="AE33" s="63">
        <f t="shared" si="0"/>
        <v>570</v>
      </c>
      <c r="AF33" s="63">
        <f t="shared" si="0"/>
        <v>600</v>
      </c>
      <c r="AG33" s="63">
        <f t="shared" si="0"/>
        <v>630</v>
      </c>
      <c r="AH33" s="63">
        <f t="shared" si="0"/>
        <v>666</v>
      </c>
      <c r="AI33" s="63">
        <f t="shared" si="0"/>
        <v>702</v>
      </c>
      <c r="AJ33" s="63">
        <f t="shared" si="0"/>
        <v>738</v>
      </c>
      <c r="AK33" s="63">
        <f t="shared" si="0"/>
        <v>774</v>
      </c>
      <c r="AL33" s="63">
        <f t="shared" si="0"/>
        <v>810</v>
      </c>
      <c r="AM33" s="63">
        <f t="shared" si="0"/>
        <v>846</v>
      </c>
      <c r="AN33" s="63">
        <f t="shared" si="0"/>
        <v>882</v>
      </c>
      <c r="AO33" s="63">
        <f t="shared" si="0"/>
        <v>918</v>
      </c>
      <c r="AP33" s="63">
        <f t="shared" si="0"/>
        <v>954</v>
      </c>
      <c r="AQ33" s="63">
        <f t="shared" si="0"/>
        <v>990</v>
      </c>
      <c r="AR33" s="63">
        <f t="shared" si="0"/>
        <v>1026</v>
      </c>
      <c r="AS33" s="63">
        <f t="shared" si="0"/>
        <v>1062</v>
      </c>
      <c r="AT33" s="63">
        <f t="shared" si="0"/>
        <v>1105</v>
      </c>
      <c r="AU33" s="63">
        <f t="shared" si="0"/>
        <v>1148</v>
      </c>
      <c r="AV33" s="63">
        <f t="shared" si="0"/>
        <v>1191</v>
      </c>
      <c r="AW33" s="63">
        <f t="shared" si="0"/>
        <v>1234</v>
      </c>
      <c r="AX33" s="63">
        <f t="shared" si="0"/>
        <v>1277</v>
      </c>
      <c r="AY33" s="63">
        <f t="shared" si="0"/>
        <v>1320</v>
      </c>
      <c r="AZ33" s="63">
        <f t="shared" si="0"/>
        <v>1363</v>
      </c>
      <c r="BA33" s="63">
        <f t="shared" si="0"/>
        <v>1406</v>
      </c>
      <c r="BB33" s="63">
        <f t="shared" si="0"/>
        <v>1449</v>
      </c>
      <c r="BC33" s="63">
        <f t="shared" si="0"/>
        <v>1492</v>
      </c>
      <c r="BD33" s="63">
        <f t="shared" si="0"/>
        <v>1535</v>
      </c>
      <c r="BE33" s="63">
        <f t="shared" si="0"/>
        <v>1578</v>
      </c>
      <c r="BF33" s="63">
        <f t="shared" ref="BF33" si="1">BE33+BF32</f>
        <v>1630</v>
      </c>
      <c r="BG33" s="63">
        <f t="shared" ref="BG33" si="2">BF33+BG32</f>
        <v>1682</v>
      </c>
      <c r="BH33" s="63">
        <f t="shared" ref="BH33" si="3">BG33+BH32</f>
        <v>1734</v>
      </c>
      <c r="BI33" s="63">
        <f t="shared" ref="BI33" si="4">BH33+BI32</f>
        <v>1786</v>
      </c>
      <c r="BJ33" s="63">
        <f t="shared" ref="BJ33" si="5">BI33+BJ32</f>
        <v>1838</v>
      </c>
      <c r="BK33" s="63">
        <f t="shared" ref="BK33" si="6">BJ33+BK32</f>
        <v>1890</v>
      </c>
      <c r="BL33" s="63">
        <f t="shared" ref="BL33" si="7">BK33+BL32</f>
        <v>1942</v>
      </c>
      <c r="BM33" s="63">
        <f t="shared" ref="BM33" si="8">BL33+BM32</f>
        <v>1994</v>
      </c>
      <c r="BN33" s="63">
        <f t="shared" ref="BN33" si="9">BM33+BN32</f>
        <v>2046</v>
      </c>
      <c r="BO33" s="63">
        <f t="shared" ref="BO33" si="10">BN33+BO32</f>
        <v>2098</v>
      </c>
      <c r="BP33" s="63">
        <f t="shared" ref="BP33" si="11">BO33+BP32</f>
        <v>2150</v>
      </c>
      <c r="BQ33" s="63">
        <f t="shared" ref="BQ33" si="12">BP33+BQ32</f>
        <v>2202</v>
      </c>
    </row>
    <row r="34" spans="2:69">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row>
    <row r="35" spans="2:69">
      <c r="B35" s="3" t="s">
        <v>248</v>
      </c>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row>
    <row r="36" spans="2:69">
      <c r="B36" s="4" t="s">
        <v>246</v>
      </c>
      <c r="J36" s="63">
        <v>0</v>
      </c>
      <c r="K36" s="63">
        <v>0</v>
      </c>
      <c r="L36" s="63">
        <v>0</v>
      </c>
      <c r="M36" s="63">
        <v>0</v>
      </c>
      <c r="N36" s="63">
        <v>0</v>
      </c>
      <c r="O36" s="63">
        <v>0</v>
      </c>
      <c r="P36" s="63">
        <v>0</v>
      </c>
      <c r="Q36" s="63">
        <v>0</v>
      </c>
      <c r="R36" s="63">
        <v>0</v>
      </c>
      <c r="S36" s="63">
        <v>0</v>
      </c>
      <c r="T36" s="63">
        <v>20</v>
      </c>
      <c r="U36" s="63">
        <v>20</v>
      </c>
      <c r="V36" s="63">
        <v>20</v>
      </c>
      <c r="W36" s="63">
        <v>20</v>
      </c>
      <c r="X36" s="63">
        <v>20</v>
      </c>
      <c r="Y36" s="63">
        <v>20</v>
      </c>
      <c r="Z36" s="63">
        <v>20</v>
      </c>
      <c r="AA36" s="63">
        <v>20</v>
      </c>
      <c r="AB36" s="63">
        <v>20</v>
      </c>
      <c r="AC36" s="63">
        <v>20</v>
      </c>
      <c r="AD36" s="63">
        <v>20</v>
      </c>
      <c r="AE36" s="63">
        <v>20</v>
      </c>
      <c r="AF36" s="63">
        <v>20</v>
      </c>
      <c r="AG36" s="63">
        <v>20</v>
      </c>
      <c r="AH36" s="63">
        <v>24</v>
      </c>
      <c r="AI36" s="63">
        <v>24</v>
      </c>
      <c r="AJ36" s="63">
        <v>24</v>
      </c>
      <c r="AK36" s="63">
        <v>24</v>
      </c>
      <c r="AL36" s="63">
        <v>24</v>
      </c>
      <c r="AM36" s="63">
        <v>24</v>
      </c>
      <c r="AN36" s="63">
        <v>24</v>
      </c>
      <c r="AO36" s="63">
        <v>24</v>
      </c>
      <c r="AP36" s="63">
        <v>24</v>
      </c>
      <c r="AQ36" s="63">
        <v>24</v>
      </c>
      <c r="AR36" s="63">
        <v>24</v>
      </c>
      <c r="AS36" s="63">
        <v>24</v>
      </c>
      <c r="AT36" s="63">
        <v>28</v>
      </c>
      <c r="AU36" s="63">
        <v>28</v>
      </c>
      <c r="AV36" s="63">
        <v>28</v>
      </c>
      <c r="AW36" s="63">
        <v>28</v>
      </c>
      <c r="AX36" s="63">
        <v>28</v>
      </c>
      <c r="AY36" s="63">
        <v>28</v>
      </c>
      <c r="AZ36" s="63">
        <v>28</v>
      </c>
      <c r="BA36" s="63">
        <v>28</v>
      </c>
      <c r="BB36" s="63">
        <v>28</v>
      </c>
      <c r="BC36" s="63">
        <v>28</v>
      </c>
      <c r="BD36" s="63">
        <v>28</v>
      </c>
      <c r="BE36" s="63">
        <v>28</v>
      </c>
      <c r="BF36" s="63">
        <v>32</v>
      </c>
      <c r="BG36" s="63">
        <v>32</v>
      </c>
      <c r="BH36" s="63">
        <v>32</v>
      </c>
      <c r="BI36" s="63">
        <v>32</v>
      </c>
      <c r="BJ36" s="63">
        <v>32</v>
      </c>
      <c r="BK36" s="63">
        <v>32</v>
      </c>
      <c r="BL36" s="63">
        <v>32</v>
      </c>
      <c r="BM36" s="63">
        <v>32</v>
      </c>
      <c r="BN36" s="63">
        <v>32</v>
      </c>
      <c r="BO36" s="63">
        <v>32</v>
      </c>
      <c r="BP36" s="63">
        <v>32</v>
      </c>
      <c r="BQ36" s="63">
        <v>32</v>
      </c>
    </row>
    <row r="37" spans="2:69">
      <c r="B37" s="4" t="s">
        <v>247</v>
      </c>
      <c r="J37" s="63">
        <v>0</v>
      </c>
      <c r="K37" s="63">
        <f>J37+K36</f>
        <v>0</v>
      </c>
      <c r="L37" s="63">
        <f t="shared" ref="L37" si="13">K37+L36</f>
        <v>0</v>
      </c>
      <c r="M37" s="63">
        <f t="shared" ref="M37" si="14">L37+M36</f>
        <v>0</v>
      </c>
      <c r="N37" s="63">
        <f t="shared" ref="N37" si="15">M37+N36</f>
        <v>0</v>
      </c>
      <c r="O37" s="63">
        <f t="shared" ref="O37" si="16">N37+O36</f>
        <v>0</v>
      </c>
      <c r="P37" s="63">
        <f t="shared" ref="P37" si="17">O37+P36</f>
        <v>0</v>
      </c>
      <c r="Q37" s="63">
        <f t="shared" ref="Q37" si="18">P37+Q36</f>
        <v>0</v>
      </c>
      <c r="R37" s="63">
        <f t="shared" ref="R37" si="19">Q37+R36</f>
        <v>0</v>
      </c>
      <c r="S37" s="63">
        <f t="shared" ref="S37" si="20">R37+S36</f>
        <v>0</v>
      </c>
      <c r="T37" s="63">
        <f t="shared" ref="T37" si="21">S37+T36</f>
        <v>20</v>
      </c>
      <c r="U37" s="63">
        <f t="shared" ref="U37" si="22">T37+U36</f>
        <v>40</v>
      </c>
      <c r="V37" s="63">
        <f t="shared" ref="V37" si="23">U37+V36</f>
        <v>60</v>
      </c>
      <c r="W37" s="63">
        <f t="shared" ref="W37" si="24">V37+W36</f>
        <v>80</v>
      </c>
      <c r="X37" s="63">
        <f t="shared" ref="X37" si="25">W37+X36</f>
        <v>100</v>
      </c>
      <c r="Y37" s="63">
        <f t="shared" ref="Y37" si="26">X37+Y36</f>
        <v>120</v>
      </c>
      <c r="Z37" s="63">
        <f t="shared" ref="Z37" si="27">Y37+Z36</f>
        <v>140</v>
      </c>
      <c r="AA37" s="63">
        <f t="shared" ref="AA37" si="28">Z37+AA36</f>
        <v>160</v>
      </c>
      <c r="AB37" s="63">
        <f t="shared" ref="AB37" si="29">AA37+AB36</f>
        <v>180</v>
      </c>
      <c r="AC37" s="63">
        <f t="shared" ref="AC37" si="30">AB37+AC36</f>
        <v>200</v>
      </c>
      <c r="AD37" s="63">
        <f t="shared" ref="AD37" si="31">AC37+AD36</f>
        <v>220</v>
      </c>
      <c r="AE37" s="63">
        <f t="shared" ref="AE37" si="32">AD37+AE36</f>
        <v>240</v>
      </c>
      <c r="AF37" s="63">
        <f t="shared" ref="AF37" si="33">AE37+AF36</f>
        <v>260</v>
      </c>
      <c r="AG37" s="63">
        <f t="shared" ref="AG37" si="34">AF37+AG36</f>
        <v>280</v>
      </c>
      <c r="AH37" s="63">
        <f t="shared" ref="AH37" si="35">AG37+AH36</f>
        <v>304</v>
      </c>
      <c r="AI37" s="63">
        <f t="shared" ref="AI37" si="36">AH37+AI36</f>
        <v>328</v>
      </c>
      <c r="AJ37" s="63">
        <f t="shared" ref="AJ37" si="37">AI37+AJ36</f>
        <v>352</v>
      </c>
      <c r="AK37" s="63">
        <f t="shared" ref="AK37" si="38">AJ37+AK36</f>
        <v>376</v>
      </c>
      <c r="AL37" s="63">
        <f t="shared" ref="AL37" si="39">AK37+AL36</f>
        <v>400</v>
      </c>
      <c r="AM37" s="63">
        <f t="shared" ref="AM37" si="40">AL37+AM36</f>
        <v>424</v>
      </c>
      <c r="AN37" s="63">
        <f t="shared" ref="AN37" si="41">AM37+AN36</f>
        <v>448</v>
      </c>
      <c r="AO37" s="63">
        <f t="shared" ref="AO37" si="42">AN37+AO36</f>
        <v>472</v>
      </c>
      <c r="AP37" s="63">
        <f t="shared" ref="AP37" si="43">AO37+AP36</f>
        <v>496</v>
      </c>
      <c r="AQ37" s="63">
        <f t="shared" ref="AQ37" si="44">AP37+AQ36</f>
        <v>520</v>
      </c>
      <c r="AR37" s="63">
        <f t="shared" ref="AR37" si="45">AQ37+AR36</f>
        <v>544</v>
      </c>
      <c r="AS37" s="63">
        <f t="shared" ref="AS37" si="46">AR37+AS36</f>
        <v>568</v>
      </c>
      <c r="AT37" s="63">
        <f t="shared" ref="AT37" si="47">AS37+AT36</f>
        <v>596</v>
      </c>
      <c r="AU37" s="63">
        <f t="shared" ref="AU37" si="48">AT37+AU36</f>
        <v>624</v>
      </c>
      <c r="AV37" s="63">
        <f t="shared" ref="AV37" si="49">AU37+AV36</f>
        <v>652</v>
      </c>
      <c r="AW37" s="63">
        <f t="shared" ref="AW37" si="50">AV37+AW36</f>
        <v>680</v>
      </c>
      <c r="AX37" s="63">
        <f t="shared" ref="AX37" si="51">AW37+AX36</f>
        <v>708</v>
      </c>
      <c r="AY37" s="63">
        <f t="shared" ref="AY37" si="52">AX37+AY36</f>
        <v>736</v>
      </c>
      <c r="AZ37" s="63">
        <f t="shared" ref="AZ37" si="53">AY37+AZ36</f>
        <v>764</v>
      </c>
      <c r="BA37" s="63">
        <f t="shared" ref="BA37" si="54">AZ37+BA36</f>
        <v>792</v>
      </c>
      <c r="BB37" s="63">
        <f t="shared" ref="BB37" si="55">BA37+BB36</f>
        <v>820</v>
      </c>
      <c r="BC37" s="63">
        <f t="shared" ref="BC37" si="56">BB37+BC36</f>
        <v>848</v>
      </c>
      <c r="BD37" s="63">
        <f t="shared" ref="BD37" si="57">BC37+BD36</f>
        <v>876</v>
      </c>
      <c r="BE37" s="63">
        <f t="shared" ref="BE37" si="58">BD37+BE36</f>
        <v>904</v>
      </c>
      <c r="BF37" s="63">
        <f t="shared" ref="BF37" si="59">BE37+BF36</f>
        <v>936</v>
      </c>
      <c r="BG37" s="63">
        <f t="shared" ref="BG37" si="60">BF37+BG36</f>
        <v>968</v>
      </c>
      <c r="BH37" s="63">
        <f t="shared" ref="BH37" si="61">BG37+BH36</f>
        <v>1000</v>
      </c>
      <c r="BI37" s="63">
        <f t="shared" ref="BI37" si="62">BH37+BI36</f>
        <v>1032</v>
      </c>
      <c r="BJ37" s="63">
        <f t="shared" ref="BJ37" si="63">BI37+BJ36</f>
        <v>1064</v>
      </c>
      <c r="BK37" s="63">
        <f t="shared" ref="BK37" si="64">BJ37+BK36</f>
        <v>1096</v>
      </c>
      <c r="BL37" s="63">
        <f t="shared" ref="BL37" si="65">BK37+BL36</f>
        <v>1128</v>
      </c>
      <c r="BM37" s="63">
        <f t="shared" ref="BM37" si="66">BL37+BM36</f>
        <v>1160</v>
      </c>
      <c r="BN37" s="63">
        <f t="shared" ref="BN37" si="67">BM37+BN36</f>
        <v>1192</v>
      </c>
      <c r="BO37" s="63">
        <f t="shared" ref="BO37" si="68">BN37+BO36</f>
        <v>1224</v>
      </c>
      <c r="BP37" s="63">
        <f t="shared" ref="BP37" si="69">BO37+BP36</f>
        <v>1256</v>
      </c>
      <c r="BQ37" s="63">
        <f t="shared" ref="BQ37" si="70">BP37+BQ36</f>
        <v>1288</v>
      </c>
    </row>
    <row r="38" spans="2:69">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row>
    <row r="39" spans="2:69">
      <c r="B39" s="3" t="s">
        <v>249</v>
      </c>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row>
    <row r="40" spans="2:69">
      <c r="B40" s="4" t="s">
        <v>246</v>
      </c>
      <c r="J40" s="63">
        <v>0</v>
      </c>
      <c r="K40" s="63">
        <v>0</v>
      </c>
      <c r="L40" s="63">
        <v>0</v>
      </c>
      <c r="M40" s="63">
        <v>0</v>
      </c>
      <c r="N40" s="63">
        <v>0</v>
      </c>
      <c r="O40" s="63">
        <v>0</v>
      </c>
      <c r="P40" s="63">
        <v>0</v>
      </c>
      <c r="Q40" s="63">
        <v>0</v>
      </c>
      <c r="R40" s="63">
        <v>0</v>
      </c>
      <c r="S40" s="63">
        <v>2</v>
      </c>
      <c r="T40" s="63">
        <v>10</v>
      </c>
      <c r="U40" s="63">
        <v>10</v>
      </c>
      <c r="V40" s="63">
        <v>10</v>
      </c>
      <c r="W40" s="63">
        <v>20</v>
      </c>
      <c r="X40" s="63">
        <v>20</v>
      </c>
      <c r="Y40" s="63">
        <v>20</v>
      </c>
      <c r="Z40" s="63">
        <v>20</v>
      </c>
      <c r="AA40" s="63">
        <v>20</v>
      </c>
      <c r="AB40" s="63">
        <v>20</v>
      </c>
      <c r="AC40" s="63">
        <v>20</v>
      </c>
      <c r="AD40" s="63">
        <v>20</v>
      </c>
      <c r="AE40" s="63">
        <v>20</v>
      </c>
      <c r="AF40" s="63">
        <v>20</v>
      </c>
      <c r="AG40" s="63">
        <v>20</v>
      </c>
      <c r="AH40" s="63">
        <v>24</v>
      </c>
      <c r="AI40" s="63">
        <v>24</v>
      </c>
      <c r="AJ40" s="63">
        <v>24</v>
      </c>
      <c r="AK40" s="63">
        <v>24</v>
      </c>
      <c r="AL40" s="63">
        <v>24</v>
      </c>
      <c r="AM40" s="63">
        <v>24</v>
      </c>
      <c r="AN40" s="63">
        <v>24</v>
      </c>
      <c r="AO40" s="63">
        <v>24</v>
      </c>
      <c r="AP40" s="63">
        <v>24</v>
      </c>
      <c r="AQ40" s="63">
        <v>24</v>
      </c>
      <c r="AR40" s="63">
        <v>24</v>
      </c>
      <c r="AS40" s="63">
        <v>24</v>
      </c>
      <c r="AT40" s="63">
        <v>28</v>
      </c>
      <c r="AU40" s="63">
        <v>28</v>
      </c>
      <c r="AV40" s="63">
        <v>28</v>
      </c>
      <c r="AW40" s="63">
        <v>28</v>
      </c>
      <c r="AX40" s="63">
        <v>28</v>
      </c>
      <c r="AY40" s="63">
        <v>28</v>
      </c>
      <c r="AZ40" s="63">
        <v>28</v>
      </c>
      <c r="BA40" s="63">
        <v>28</v>
      </c>
      <c r="BB40" s="63">
        <v>28</v>
      </c>
      <c r="BC40" s="63">
        <v>28</v>
      </c>
      <c r="BD40" s="63">
        <v>28</v>
      </c>
      <c r="BE40" s="63">
        <v>28</v>
      </c>
      <c r="BF40" s="63">
        <v>32</v>
      </c>
      <c r="BG40" s="63">
        <v>32</v>
      </c>
      <c r="BH40" s="63">
        <v>32</v>
      </c>
      <c r="BI40" s="63">
        <v>32</v>
      </c>
      <c r="BJ40" s="63">
        <v>32</v>
      </c>
      <c r="BK40" s="63">
        <v>32</v>
      </c>
      <c r="BL40" s="63">
        <v>32</v>
      </c>
      <c r="BM40" s="63">
        <v>32</v>
      </c>
      <c r="BN40" s="63">
        <v>32</v>
      </c>
      <c r="BO40" s="63">
        <v>32</v>
      </c>
      <c r="BP40" s="63">
        <v>32</v>
      </c>
      <c r="BQ40" s="63">
        <v>32</v>
      </c>
    </row>
    <row r="41" spans="2:69">
      <c r="B41" s="4" t="s">
        <v>247</v>
      </c>
      <c r="J41" s="63">
        <v>0</v>
      </c>
      <c r="K41" s="63">
        <f>J41+K40</f>
        <v>0</v>
      </c>
      <c r="L41" s="63">
        <f t="shared" ref="L41" si="71">K41+L40</f>
        <v>0</v>
      </c>
      <c r="M41" s="63">
        <f t="shared" ref="M41" si="72">L41+M40</f>
        <v>0</v>
      </c>
      <c r="N41" s="63">
        <f t="shared" ref="N41" si="73">M41+N40</f>
        <v>0</v>
      </c>
      <c r="O41" s="63">
        <f t="shared" ref="O41" si="74">N41+O40</f>
        <v>0</v>
      </c>
      <c r="P41" s="63">
        <f t="shared" ref="P41" si="75">O41+P40</f>
        <v>0</v>
      </c>
      <c r="Q41" s="63">
        <f t="shared" ref="Q41" si="76">P41+Q40</f>
        <v>0</v>
      </c>
      <c r="R41" s="63">
        <f t="shared" ref="R41" si="77">Q41+R40</f>
        <v>0</v>
      </c>
      <c r="S41" s="63">
        <f t="shared" ref="S41" si="78">R41+S40</f>
        <v>2</v>
      </c>
      <c r="T41" s="63">
        <f t="shared" ref="T41" si="79">S41+T40</f>
        <v>12</v>
      </c>
      <c r="U41" s="63">
        <f t="shared" ref="U41" si="80">T41+U40</f>
        <v>22</v>
      </c>
      <c r="V41" s="63">
        <f t="shared" ref="V41" si="81">U41+V40</f>
        <v>32</v>
      </c>
      <c r="W41" s="63">
        <f t="shared" ref="W41" si="82">V41+W40</f>
        <v>52</v>
      </c>
      <c r="X41" s="63">
        <f t="shared" ref="X41" si="83">W41+X40</f>
        <v>72</v>
      </c>
      <c r="Y41" s="63">
        <f t="shared" ref="Y41" si="84">X41+Y40</f>
        <v>92</v>
      </c>
      <c r="Z41" s="63">
        <f t="shared" ref="Z41" si="85">Y41+Z40</f>
        <v>112</v>
      </c>
      <c r="AA41" s="63">
        <f t="shared" ref="AA41" si="86">Z41+AA40</f>
        <v>132</v>
      </c>
      <c r="AB41" s="63">
        <f t="shared" ref="AB41" si="87">AA41+AB40</f>
        <v>152</v>
      </c>
      <c r="AC41" s="63">
        <f t="shared" ref="AC41" si="88">AB41+AC40</f>
        <v>172</v>
      </c>
      <c r="AD41" s="63">
        <f t="shared" ref="AD41" si="89">AC41+AD40</f>
        <v>192</v>
      </c>
      <c r="AE41" s="63">
        <f t="shared" ref="AE41" si="90">AD41+AE40</f>
        <v>212</v>
      </c>
      <c r="AF41" s="63">
        <f t="shared" ref="AF41" si="91">AE41+AF40</f>
        <v>232</v>
      </c>
      <c r="AG41" s="63">
        <f t="shared" ref="AG41" si="92">AF41+AG40</f>
        <v>252</v>
      </c>
      <c r="AH41" s="63">
        <f t="shared" ref="AH41" si="93">AG41+AH40</f>
        <v>276</v>
      </c>
      <c r="AI41" s="63">
        <f t="shared" ref="AI41" si="94">AH41+AI40</f>
        <v>300</v>
      </c>
      <c r="AJ41" s="63">
        <f t="shared" ref="AJ41" si="95">AI41+AJ40</f>
        <v>324</v>
      </c>
      <c r="AK41" s="63">
        <f t="shared" ref="AK41" si="96">AJ41+AK40</f>
        <v>348</v>
      </c>
      <c r="AL41" s="63">
        <f t="shared" ref="AL41" si="97">AK41+AL40</f>
        <v>372</v>
      </c>
      <c r="AM41" s="63">
        <f t="shared" ref="AM41" si="98">AL41+AM40</f>
        <v>396</v>
      </c>
      <c r="AN41" s="63">
        <f t="shared" ref="AN41" si="99">AM41+AN40</f>
        <v>420</v>
      </c>
      <c r="AO41" s="63">
        <f t="shared" ref="AO41" si="100">AN41+AO40</f>
        <v>444</v>
      </c>
      <c r="AP41" s="63">
        <f t="shared" ref="AP41" si="101">AO41+AP40</f>
        <v>468</v>
      </c>
      <c r="AQ41" s="63">
        <f t="shared" ref="AQ41" si="102">AP41+AQ40</f>
        <v>492</v>
      </c>
      <c r="AR41" s="63">
        <f t="shared" ref="AR41" si="103">AQ41+AR40</f>
        <v>516</v>
      </c>
      <c r="AS41" s="63">
        <f t="shared" ref="AS41" si="104">AR41+AS40</f>
        <v>540</v>
      </c>
      <c r="AT41" s="63">
        <f t="shared" ref="AT41" si="105">AS41+AT40</f>
        <v>568</v>
      </c>
      <c r="AU41" s="63">
        <f t="shared" ref="AU41" si="106">AT41+AU40</f>
        <v>596</v>
      </c>
      <c r="AV41" s="63">
        <f t="shared" ref="AV41" si="107">AU41+AV40</f>
        <v>624</v>
      </c>
      <c r="AW41" s="63">
        <f t="shared" ref="AW41" si="108">AV41+AW40</f>
        <v>652</v>
      </c>
      <c r="AX41" s="63">
        <f t="shared" ref="AX41" si="109">AW41+AX40</f>
        <v>680</v>
      </c>
      <c r="AY41" s="63">
        <f t="shared" ref="AY41" si="110">AX41+AY40</f>
        <v>708</v>
      </c>
      <c r="AZ41" s="63">
        <f t="shared" ref="AZ41" si="111">AY41+AZ40</f>
        <v>736</v>
      </c>
      <c r="BA41" s="63">
        <f t="shared" ref="BA41" si="112">AZ41+BA40</f>
        <v>764</v>
      </c>
      <c r="BB41" s="63">
        <f t="shared" ref="BB41" si="113">BA41+BB40</f>
        <v>792</v>
      </c>
      <c r="BC41" s="63">
        <f t="shared" ref="BC41" si="114">BB41+BC40</f>
        <v>820</v>
      </c>
      <c r="BD41" s="63">
        <f t="shared" ref="BD41" si="115">BC41+BD40</f>
        <v>848</v>
      </c>
      <c r="BE41" s="63">
        <f t="shared" ref="BE41" si="116">BD41+BE40</f>
        <v>876</v>
      </c>
      <c r="BF41" s="63">
        <f t="shared" ref="BF41" si="117">BE41+BF40</f>
        <v>908</v>
      </c>
      <c r="BG41" s="63">
        <f t="shared" ref="BG41" si="118">BF41+BG40</f>
        <v>940</v>
      </c>
      <c r="BH41" s="63">
        <f t="shared" ref="BH41" si="119">BG41+BH40</f>
        <v>972</v>
      </c>
      <c r="BI41" s="63">
        <f t="shared" ref="BI41" si="120">BH41+BI40</f>
        <v>1004</v>
      </c>
      <c r="BJ41" s="63">
        <f t="shared" ref="BJ41" si="121">BI41+BJ40</f>
        <v>1036</v>
      </c>
      <c r="BK41" s="63">
        <f t="shared" ref="BK41" si="122">BJ41+BK40</f>
        <v>1068</v>
      </c>
      <c r="BL41" s="63">
        <f t="shared" ref="BL41" si="123">BK41+BL40</f>
        <v>1100</v>
      </c>
      <c r="BM41" s="63">
        <f t="shared" ref="BM41" si="124">BL41+BM40</f>
        <v>1132</v>
      </c>
      <c r="BN41" s="63">
        <f t="shared" ref="BN41" si="125">BM41+BN40</f>
        <v>1164</v>
      </c>
      <c r="BO41" s="63">
        <f t="shared" ref="BO41" si="126">BN41+BO40</f>
        <v>1196</v>
      </c>
      <c r="BP41" s="63">
        <f t="shared" ref="BP41" si="127">BO41+BP40</f>
        <v>1228</v>
      </c>
      <c r="BQ41" s="63">
        <f t="shared" ref="BQ41" si="128">BP41+BQ40</f>
        <v>1260</v>
      </c>
    </row>
    <row r="42" spans="2:69">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row>
    <row r="43" spans="2:69">
      <c r="B43" s="3" t="s">
        <v>368</v>
      </c>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row>
    <row r="44" spans="2:69">
      <c r="B44" s="4" t="s">
        <v>246</v>
      </c>
      <c r="J44" s="63">
        <v>0</v>
      </c>
      <c r="K44" s="63">
        <v>0</v>
      </c>
      <c r="L44" s="63">
        <v>0</v>
      </c>
      <c r="M44" s="63">
        <v>0</v>
      </c>
      <c r="N44" s="63">
        <v>0</v>
      </c>
      <c r="O44" s="63">
        <v>0</v>
      </c>
      <c r="P44" s="63">
        <v>0</v>
      </c>
      <c r="Q44" s="63">
        <v>0</v>
      </c>
      <c r="R44" s="63">
        <v>0</v>
      </c>
      <c r="S44" s="63">
        <v>0</v>
      </c>
      <c r="T44" s="63">
        <v>0</v>
      </c>
      <c r="U44" s="63">
        <v>0</v>
      </c>
      <c r="V44" s="63">
        <v>0</v>
      </c>
      <c r="W44" s="63">
        <v>0</v>
      </c>
      <c r="X44" s="63">
        <v>0</v>
      </c>
      <c r="Y44" s="63">
        <v>0</v>
      </c>
      <c r="Z44" s="63">
        <v>0</v>
      </c>
      <c r="AA44" s="63">
        <v>0</v>
      </c>
      <c r="AB44" s="63">
        <v>0</v>
      </c>
      <c r="AC44" s="63">
        <v>0</v>
      </c>
      <c r="AD44" s="63">
        <v>0</v>
      </c>
      <c r="AE44" s="63">
        <v>0</v>
      </c>
      <c r="AF44" s="63">
        <v>0</v>
      </c>
      <c r="AG44" s="63">
        <v>0</v>
      </c>
      <c r="AH44" s="63">
        <v>0</v>
      </c>
      <c r="AI44" s="63">
        <v>0</v>
      </c>
      <c r="AJ44" s="63">
        <v>0</v>
      </c>
      <c r="AK44" s="63">
        <v>0</v>
      </c>
      <c r="AL44" s="63">
        <v>0</v>
      </c>
      <c r="AM44" s="63">
        <v>0</v>
      </c>
      <c r="AN44" s="63">
        <v>0</v>
      </c>
      <c r="AO44" s="63">
        <v>0</v>
      </c>
      <c r="AP44" s="63">
        <v>0</v>
      </c>
      <c r="AQ44" s="63">
        <v>0</v>
      </c>
      <c r="AR44" s="63">
        <v>0</v>
      </c>
      <c r="AS44" s="63">
        <v>0</v>
      </c>
      <c r="AT44" s="63">
        <v>0</v>
      </c>
      <c r="AU44" s="63">
        <v>0</v>
      </c>
      <c r="AV44" s="63">
        <v>0</v>
      </c>
      <c r="AW44" s="63">
        <v>0</v>
      </c>
      <c r="AX44" s="63">
        <v>0</v>
      </c>
      <c r="AY44" s="63">
        <v>0</v>
      </c>
      <c r="AZ44" s="63">
        <v>0</v>
      </c>
      <c r="BA44" s="63">
        <v>0</v>
      </c>
      <c r="BB44" s="63">
        <v>0</v>
      </c>
      <c r="BC44" s="63">
        <v>0</v>
      </c>
      <c r="BD44" s="63">
        <v>0</v>
      </c>
      <c r="BE44" s="63">
        <v>0</v>
      </c>
      <c r="BF44" s="63">
        <v>0</v>
      </c>
      <c r="BG44" s="63">
        <v>0</v>
      </c>
      <c r="BH44" s="63">
        <v>0</v>
      </c>
      <c r="BI44" s="63">
        <v>0</v>
      </c>
      <c r="BJ44" s="63">
        <v>0</v>
      </c>
      <c r="BK44" s="63">
        <v>0</v>
      </c>
      <c r="BL44" s="63">
        <v>0</v>
      </c>
      <c r="BM44" s="63">
        <v>0</v>
      </c>
      <c r="BN44" s="63">
        <v>0</v>
      </c>
      <c r="BO44" s="63">
        <v>0</v>
      </c>
      <c r="BP44" s="63">
        <v>0</v>
      </c>
      <c r="BQ44" s="63">
        <v>0</v>
      </c>
    </row>
    <row r="45" spans="2:69">
      <c r="B45" s="4" t="s">
        <v>247</v>
      </c>
      <c r="J45" s="63">
        <v>0</v>
      </c>
      <c r="K45" s="63">
        <f>J45+K44</f>
        <v>0</v>
      </c>
      <c r="L45" s="63">
        <f t="shared" ref="L45" si="129">K45+L44</f>
        <v>0</v>
      </c>
      <c r="M45" s="63">
        <f t="shared" ref="M45" si="130">L45+M44</f>
        <v>0</v>
      </c>
      <c r="N45" s="63">
        <f t="shared" ref="N45" si="131">M45+N44</f>
        <v>0</v>
      </c>
      <c r="O45" s="63">
        <f t="shared" ref="O45" si="132">N45+O44</f>
        <v>0</v>
      </c>
      <c r="P45" s="63">
        <f t="shared" ref="P45" si="133">O45+P44</f>
        <v>0</v>
      </c>
      <c r="Q45" s="63">
        <f t="shared" ref="Q45" si="134">P45+Q44</f>
        <v>0</v>
      </c>
      <c r="R45" s="63">
        <f t="shared" ref="R45" si="135">Q45+R44</f>
        <v>0</v>
      </c>
      <c r="S45" s="63">
        <f t="shared" ref="S45" si="136">R45+S44</f>
        <v>0</v>
      </c>
      <c r="T45" s="63">
        <f t="shared" ref="T45" si="137">S45+T44</f>
        <v>0</v>
      </c>
      <c r="U45" s="63">
        <f t="shared" ref="U45" si="138">T45+U44</f>
        <v>0</v>
      </c>
      <c r="V45" s="63">
        <f t="shared" ref="V45" si="139">U45+V44</f>
        <v>0</v>
      </c>
      <c r="W45" s="63">
        <f t="shared" ref="W45" si="140">V45+W44</f>
        <v>0</v>
      </c>
      <c r="X45" s="63">
        <f t="shared" ref="X45" si="141">W45+X44</f>
        <v>0</v>
      </c>
      <c r="Y45" s="63">
        <f t="shared" ref="Y45" si="142">X45+Y44</f>
        <v>0</v>
      </c>
      <c r="Z45" s="63">
        <f t="shared" ref="Z45" si="143">Y45+Z44</f>
        <v>0</v>
      </c>
      <c r="AA45" s="63">
        <f t="shared" ref="AA45" si="144">Z45+AA44</f>
        <v>0</v>
      </c>
      <c r="AB45" s="63">
        <f t="shared" ref="AB45" si="145">AA45+AB44</f>
        <v>0</v>
      </c>
      <c r="AC45" s="63">
        <f t="shared" ref="AC45" si="146">AB45+AC44</f>
        <v>0</v>
      </c>
      <c r="AD45" s="63">
        <f t="shared" ref="AD45" si="147">AC45+AD44</f>
        <v>0</v>
      </c>
      <c r="AE45" s="63">
        <f t="shared" ref="AE45" si="148">AD45+AE44</f>
        <v>0</v>
      </c>
      <c r="AF45" s="63">
        <f t="shared" ref="AF45" si="149">AE45+AF44</f>
        <v>0</v>
      </c>
      <c r="AG45" s="63">
        <f t="shared" ref="AG45" si="150">AF45+AG44</f>
        <v>0</v>
      </c>
      <c r="AH45" s="63">
        <f t="shared" ref="AH45" si="151">AG45+AH44</f>
        <v>0</v>
      </c>
      <c r="AI45" s="63">
        <f t="shared" ref="AI45" si="152">AH45+AI44</f>
        <v>0</v>
      </c>
      <c r="AJ45" s="63">
        <f t="shared" ref="AJ45" si="153">AI45+AJ44</f>
        <v>0</v>
      </c>
      <c r="AK45" s="63">
        <f t="shared" ref="AK45" si="154">AJ45+AK44</f>
        <v>0</v>
      </c>
      <c r="AL45" s="63">
        <f t="shared" ref="AL45" si="155">AK45+AL44</f>
        <v>0</v>
      </c>
      <c r="AM45" s="63">
        <f t="shared" ref="AM45" si="156">AL45+AM44</f>
        <v>0</v>
      </c>
      <c r="AN45" s="63">
        <f t="shared" ref="AN45" si="157">AM45+AN44</f>
        <v>0</v>
      </c>
      <c r="AO45" s="63">
        <f t="shared" ref="AO45" si="158">AN45+AO44</f>
        <v>0</v>
      </c>
      <c r="AP45" s="63">
        <f t="shared" ref="AP45" si="159">AO45+AP44</f>
        <v>0</v>
      </c>
      <c r="AQ45" s="63">
        <f t="shared" ref="AQ45" si="160">AP45+AQ44</f>
        <v>0</v>
      </c>
      <c r="AR45" s="63">
        <f t="shared" ref="AR45" si="161">AQ45+AR44</f>
        <v>0</v>
      </c>
      <c r="AS45" s="63">
        <f t="shared" ref="AS45" si="162">AR45+AS44</f>
        <v>0</v>
      </c>
      <c r="AT45" s="63">
        <f t="shared" ref="AT45" si="163">AS45+AT44</f>
        <v>0</v>
      </c>
      <c r="AU45" s="63">
        <f t="shared" ref="AU45" si="164">AT45+AU44</f>
        <v>0</v>
      </c>
      <c r="AV45" s="63">
        <f t="shared" ref="AV45" si="165">AU45+AV44</f>
        <v>0</v>
      </c>
      <c r="AW45" s="63">
        <f t="shared" ref="AW45" si="166">AV45+AW44</f>
        <v>0</v>
      </c>
      <c r="AX45" s="63">
        <f t="shared" ref="AX45" si="167">AW45+AX44</f>
        <v>0</v>
      </c>
      <c r="AY45" s="63">
        <f t="shared" ref="AY45" si="168">AX45+AY44</f>
        <v>0</v>
      </c>
      <c r="AZ45" s="63">
        <f t="shared" ref="AZ45" si="169">AY45+AZ44</f>
        <v>0</v>
      </c>
      <c r="BA45" s="63">
        <f t="shared" ref="BA45" si="170">AZ45+BA44</f>
        <v>0</v>
      </c>
      <c r="BB45" s="63">
        <f t="shared" ref="BB45" si="171">BA45+BB44</f>
        <v>0</v>
      </c>
      <c r="BC45" s="63">
        <f t="shared" ref="BC45" si="172">BB45+BC44</f>
        <v>0</v>
      </c>
      <c r="BD45" s="63">
        <f t="shared" ref="BD45" si="173">BC45+BD44</f>
        <v>0</v>
      </c>
      <c r="BE45" s="63">
        <f t="shared" ref="BE45" si="174">BD45+BE44</f>
        <v>0</v>
      </c>
      <c r="BF45" s="63">
        <f t="shared" ref="BF45" si="175">BE45+BF44</f>
        <v>0</v>
      </c>
      <c r="BG45" s="63">
        <f t="shared" ref="BG45" si="176">BF45+BG44</f>
        <v>0</v>
      </c>
      <c r="BH45" s="63">
        <f t="shared" ref="BH45" si="177">BG45+BH44</f>
        <v>0</v>
      </c>
      <c r="BI45" s="63">
        <f t="shared" ref="BI45" si="178">BH45+BI44</f>
        <v>0</v>
      </c>
      <c r="BJ45" s="63">
        <f t="shared" ref="BJ45" si="179">BI45+BJ44</f>
        <v>0</v>
      </c>
      <c r="BK45" s="63">
        <f t="shared" ref="BK45" si="180">BJ45+BK44</f>
        <v>0</v>
      </c>
      <c r="BL45" s="63">
        <f t="shared" ref="BL45" si="181">BK45+BL44</f>
        <v>0</v>
      </c>
      <c r="BM45" s="63">
        <f t="shared" ref="BM45" si="182">BL45+BM44</f>
        <v>0</v>
      </c>
      <c r="BN45" s="63">
        <f t="shared" ref="BN45" si="183">BM45+BN44</f>
        <v>0</v>
      </c>
      <c r="BO45" s="63">
        <f t="shared" ref="BO45" si="184">BN45+BO44</f>
        <v>0</v>
      </c>
      <c r="BP45" s="63">
        <f t="shared" ref="BP45" si="185">BO45+BP44</f>
        <v>0</v>
      </c>
      <c r="BQ45" s="63">
        <f t="shared" ref="BQ45" si="186">BP45+BQ44</f>
        <v>0</v>
      </c>
    </row>
    <row r="49" spans="2:69">
      <c r="B49" s="3" t="s">
        <v>250</v>
      </c>
    </row>
    <row r="50" spans="2:69">
      <c r="B50" s="3" t="s">
        <v>251</v>
      </c>
    </row>
    <row r="51" spans="2:69">
      <c r="B51" s="4" t="s">
        <v>252</v>
      </c>
      <c r="J51" s="4">
        <v>1000</v>
      </c>
      <c r="K51" s="4">
        <v>1000</v>
      </c>
      <c r="L51" s="4">
        <v>1000</v>
      </c>
      <c r="M51" s="4">
        <v>1000</v>
      </c>
      <c r="N51" s="4">
        <v>1000</v>
      </c>
      <c r="O51" s="4">
        <v>1000</v>
      </c>
      <c r="P51" s="4">
        <v>1000</v>
      </c>
      <c r="Q51" s="4">
        <v>1000</v>
      </c>
      <c r="R51" s="4">
        <v>1000</v>
      </c>
      <c r="S51" s="4">
        <v>1000</v>
      </c>
      <c r="T51" s="4">
        <v>1000</v>
      </c>
      <c r="U51" s="4">
        <v>1000</v>
      </c>
      <c r="V51" s="4">
        <v>1000</v>
      </c>
      <c r="W51" s="4">
        <v>1000</v>
      </c>
      <c r="X51" s="4">
        <v>1000</v>
      </c>
      <c r="Y51" s="4">
        <v>1000</v>
      </c>
      <c r="Z51" s="4">
        <v>1000</v>
      </c>
      <c r="AA51" s="4">
        <v>1000</v>
      </c>
      <c r="AB51" s="4">
        <v>1000</v>
      </c>
      <c r="AC51" s="4">
        <v>1000</v>
      </c>
      <c r="AD51" s="4">
        <v>1000</v>
      </c>
      <c r="AE51" s="4">
        <v>1000</v>
      </c>
      <c r="AF51" s="4">
        <v>1000</v>
      </c>
      <c r="AG51" s="4">
        <v>1000</v>
      </c>
      <c r="AH51" s="4">
        <f>AG51+10%*AG51</f>
        <v>1100</v>
      </c>
      <c r="AI51" s="4">
        <f>AH51</f>
        <v>1100</v>
      </c>
      <c r="AJ51" s="4">
        <f t="shared" ref="AJ51:AS51" si="187">AI51</f>
        <v>1100</v>
      </c>
      <c r="AK51" s="4">
        <f t="shared" si="187"/>
        <v>1100</v>
      </c>
      <c r="AL51" s="4">
        <f t="shared" si="187"/>
        <v>1100</v>
      </c>
      <c r="AM51" s="4">
        <f t="shared" si="187"/>
        <v>1100</v>
      </c>
      <c r="AN51" s="4">
        <f t="shared" si="187"/>
        <v>1100</v>
      </c>
      <c r="AO51" s="4">
        <f t="shared" si="187"/>
        <v>1100</v>
      </c>
      <c r="AP51" s="4">
        <f t="shared" si="187"/>
        <v>1100</v>
      </c>
      <c r="AQ51" s="4">
        <f t="shared" si="187"/>
        <v>1100</v>
      </c>
      <c r="AR51" s="4">
        <f t="shared" si="187"/>
        <v>1100</v>
      </c>
      <c r="AS51" s="4">
        <f t="shared" si="187"/>
        <v>1100</v>
      </c>
      <c r="AT51" s="4">
        <f>AS51+10%*AS51</f>
        <v>1210</v>
      </c>
      <c r="AU51" s="4">
        <f>AT51</f>
        <v>1210</v>
      </c>
      <c r="AV51" s="4">
        <f t="shared" ref="AV51:BE51" si="188">AU51</f>
        <v>1210</v>
      </c>
      <c r="AW51" s="4">
        <f t="shared" si="188"/>
        <v>1210</v>
      </c>
      <c r="AX51" s="4">
        <f t="shared" si="188"/>
        <v>1210</v>
      </c>
      <c r="AY51" s="4">
        <f t="shared" si="188"/>
        <v>1210</v>
      </c>
      <c r="AZ51" s="4">
        <f t="shared" si="188"/>
        <v>1210</v>
      </c>
      <c r="BA51" s="4">
        <f t="shared" si="188"/>
        <v>1210</v>
      </c>
      <c r="BB51" s="4">
        <f t="shared" si="188"/>
        <v>1210</v>
      </c>
      <c r="BC51" s="4">
        <f t="shared" si="188"/>
        <v>1210</v>
      </c>
      <c r="BD51" s="4">
        <f t="shared" si="188"/>
        <v>1210</v>
      </c>
      <c r="BE51" s="4">
        <f t="shared" si="188"/>
        <v>1210</v>
      </c>
      <c r="BF51" s="4">
        <f t="shared" ref="BF51:BF56" si="189">BE51</f>
        <v>1210</v>
      </c>
      <c r="BG51" s="4">
        <f t="shared" ref="BG51:BG56" si="190">BF51</f>
        <v>1210</v>
      </c>
      <c r="BH51" s="4">
        <f t="shared" ref="BH51:BH56" si="191">BG51</f>
        <v>1210</v>
      </c>
      <c r="BI51" s="4">
        <f t="shared" ref="BI51:BI56" si="192">BH51</f>
        <v>1210</v>
      </c>
      <c r="BJ51" s="4">
        <f t="shared" ref="BJ51:BJ56" si="193">BI51</f>
        <v>1210</v>
      </c>
      <c r="BK51" s="4">
        <f t="shared" ref="BK51:BK56" si="194">BJ51</f>
        <v>1210</v>
      </c>
      <c r="BL51" s="4">
        <f t="shared" ref="BL51:BL56" si="195">BK51</f>
        <v>1210</v>
      </c>
      <c r="BM51" s="4">
        <f t="shared" ref="BM51:BM56" si="196">BL51</f>
        <v>1210</v>
      </c>
      <c r="BN51" s="4">
        <f t="shared" ref="BN51:BN56" si="197">BM51</f>
        <v>1210</v>
      </c>
      <c r="BO51" s="4">
        <f t="shared" ref="BO51:BO56" si="198">BN51</f>
        <v>1210</v>
      </c>
      <c r="BP51" s="4">
        <f t="shared" ref="BP51:BP56" si="199">BO51</f>
        <v>1210</v>
      </c>
      <c r="BQ51" s="4">
        <f t="shared" ref="BQ51:BQ56" si="200">BP51</f>
        <v>1210</v>
      </c>
    </row>
    <row r="52" spans="2:69">
      <c r="B52" s="4" t="s">
        <v>253</v>
      </c>
      <c r="J52" s="4">
        <v>750</v>
      </c>
      <c r="K52" s="4">
        <v>750</v>
      </c>
      <c r="L52" s="4">
        <v>750</v>
      </c>
      <c r="M52" s="4">
        <v>750</v>
      </c>
      <c r="N52" s="4">
        <v>750</v>
      </c>
      <c r="O52" s="4">
        <v>750</v>
      </c>
      <c r="P52" s="4">
        <v>750</v>
      </c>
      <c r="Q52" s="4">
        <v>750</v>
      </c>
      <c r="R52" s="4">
        <v>750</v>
      </c>
      <c r="S52" s="4">
        <v>750</v>
      </c>
      <c r="T52" s="4">
        <v>750</v>
      </c>
      <c r="U52" s="4">
        <v>750</v>
      </c>
      <c r="V52" s="4">
        <v>750</v>
      </c>
      <c r="W52" s="4">
        <v>750</v>
      </c>
      <c r="X52" s="4">
        <v>750</v>
      </c>
      <c r="Y52" s="4">
        <v>750</v>
      </c>
      <c r="Z52" s="4">
        <v>750</v>
      </c>
      <c r="AA52" s="4">
        <v>750</v>
      </c>
      <c r="AB52" s="4">
        <v>750</v>
      </c>
      <c r="AC52" s="4">
        <v>750</v>
      </c>
      <c r="AD52" s="4">
        <v>750</v>
      </c>
      <c r="AE52" s="4">
        <v>750</v>
      </c>
      <c r="AF52" s="4">
        <v>750</v>
      </c>
      <c r="AG52" s="4">
        <v>750</v>
      </c>
      <c r="AH52" s="4">
        <f t="shared" ref="AH52:AH56" si="201">AG52+10%*AG52</f>
        <v>825</v>
      </c>
      <c r="AI52" s="4">
        <f t="shared" ref="AI52:AS56" si="202">AH52</f>
        <v>825</v>
      </c>
      <c r="AJ52" s="4">
        <f t="shared" si="202"/>
        <v>825</v>
      </c>
      <c r="AK52" s="4">
        <f t="shared" si="202"/>
        <v>825</v>
      </c>
      <c r="AL52" s="4">
        <f t="shared" si="202"/>
        <v>825</v>
      </c>
      <c r="AM52" s="4">
        <f t="shared" si="202"/>
        <v>825</v>
      </c>
      <c r="AN52" s="4">
        <f t="shared" si="202"/>
        <v>825</v>
      </c>
      <c r="AO52" s="4">
        <f t="shared" si="202"/>
        <v>825</v>
      </c>
      <c r="AP52" s="4">
        <f t="shared" si="202"/>
        <v>825</v>
      </c>
      <c r="AQ52" s="4">
        <f t="shared" si="202"/>
        <v>825</v>
      </c>
      <c r="AR52" s="4">
        <f t="shared" si="202"/>
        <v>825</v>
      </c>
      <c r="AS52" s="4">
        <f t="shared" si="202"/>
        <v>825</v>
      </c>
      <c r="AT52" s="4">
        <f t="shared" ref="AT52:AT56" si="203">AS52+10%*AS52</f>
        <v>907.5</v>
      </c>
      <c r="AU52" s="4">
        <f t="shared" ref="AU52:BE56" si="204">AT52</f>
        <v>907.5</v>
      </c>
      <c r="AV52" s="4">
        <f t="shared" si="204"/>
        <v>907.5</v>
      </c>
      <c r="AW52" s="4">
        <f t="shared" si="204"/>
        <v>907.5</v>
      </c>
      <c r="AX52" s="4">
        <f t="shared" si="204"/>
        <v>907.5</v>
      </c>
      <c r="AY52" s="4">
        <f t="shared" si="204"/>
        <v>907.5</v>
      </c>
      <c r="AZ52" s="4">
        <f t="shared" si="204"/>
        <v>907.5</v>
      </c>
      <c r="BA52" s="4">
        <f t="shared" si="204"/>
        <v>907.5</v>
      </c>
      <c r="BB52" s="4">
        <f t="shared" si="204"/>
        <v>907.5</v>
      </c>
      <c r="BC52" s="4">
        <f t="shared" si="204"/>
        <v>907.5</v>
      </c>
      <c r="BD52" s="4">
        <f t="shared" si="204"/>
        <v>907.5</v>
      </c>
      <c r="BE52" s="4">
        <f t="shared" si="204"/>
        <v>907.5</v>
      </c>
      <c r="BF52" s="4">
        <f t="shared" si="189"/>
        <v>907.5</v>
      </c>
      <c r="BG52" s="4">
        <f t="shared" si="190"/>
        <v>907.5</v>
      </c>
      <c r="BH52" s="4">
        <f t="shared" si="191"/>
        <v>907.5</v>
      </c>
      <c r="BI52" s="4">
        <f t="shared" si="192"/>
        <v>907.5</v>
      </c>
      <c r="BJ52" s="4">
        <f t="shared" si="193"/>
        <v>907.5</v>
      </c>
      <c r="BK52" s="4">
        <f t="shared" si="194"/>
        <v>907.5</v>
      </c>
      <c r="BL52" s="4">
        <f t="shared" si="195"/>
        <v>907.5</v>
      </c>
      <c r="BM52" s="4">
        <f t="shared" si="196"/>
        <v>907.5</v>
      </c>
      <c r="BN52" s="4">
        <f t="shared" si="197"/>
        <v>907.5</v>
      </c>
      <c r="BO52" s="4">
        <f t="shared" si="198"/>
        <v>907.5</v>
      </c>
      <c r="BP52" s="4">
        <f t="shared" si="199"/>
        <v>907.5</v>
      </c>
      <c r="BQ52" s="4">
        <f t="shared" si="200"/>
        <v>907.5</v>
      </c>
    </row>
    <row r="53" spans="2:69">
      <c r="B53" s="4" t="s">
        <v>254</v>
      </c>
      <c r="J53" s="4">
        <v>250</v>
      </c>
      <c r="K53" s="4">
        <v>250</v>
      </c>
      <c r="L53" s="4">
        <v>250</v>
      </c>
      <c r="M53" s="4">
        <v>250</v>
      </c>
      <c r="N53" s="4">
        <v>250</v>
      </c>
      <c r="O53" s="4">
        <v>250</v>
      </c>
      <c r="P53" s="4">
        <v>250</v>
      </c>
      <c r="Q53" s="4">
        <v>250</v>
      </c>
      <c r="R53" s="4">
        <v>250</v>
      </c>
      <c r="S53" s="4">
        <v>250</v>
      </c>
      <c r="T53" s="4">
        <v>250</v>
      </c>
      <c r="U53" s="4">
        <v>250</v>
      </c>
      <c r="V53" s="4">
        <v>250</v>
      </c>
      <c r="W53" s="4">
        <v>250</v>
      </c>
      <c r="X53" s="4">
        <v>250</v>
      </c>
      <c r="Y53" s="4">
        <v>250</v>
      </c>
      <c r="Z53" s="4">
        <v>250</v>
      </c>
      <c r="AA53" s="4">
        <v>250</v>
      </c>
      <c r="AB53" s="4">
        <v>250</v>
      </c>
      <c r="AC53" s="4">
        <v>250</v>
      </c>
      <c r="AD53" s="4">
        <v>250</v>
      </c>
      <c r="AE53" s="4">
        <v>250</v>
      </c>
      <c r="AF53" s="4">
        <v>250</v>
      </c>
      <c r="AG53" s="4">
        <v>250</v>
      </c>
      <c r="AH53" s="4">
        <f t="shared" si="201"/>
        <v>275</v>
      </c>
      <c r="AI53" s="4">
        <f t="shared" si="202"/>
        <v>275</v>
      </c>
      <c r="AJ53" s="4">
        <f t="shared" si="202"/>
        <v>275</v>
      </c>
      <c r="AK53" s="4">
        <f t="shared" si="202"/>
        <v>275</v>
      </c>
      <c r="AL53" s="4">
        <f t="shared" si="202"/>
        <v>275</v>
      </c>
      <c r="AM53" s="4">
        <f t="shared" si="202"/>
        <v>275</v>
      </c>
      <c r="AN53" s="4">
        <f t="shared" si="202"/>
        <v>275</v>
      </c>
      <c r="AO53" s="4">
        <f t="shared" si="202"/>
        <v>275</v>
      </c>
      <c r="AP53" s="4">
        <f t="shared" si="202"/>
        <v>275</v>
      </c>
      <c r="AQ53" s="4">
        <f t="shared" si="202"/>
        <v>275</v>
      </c>
      <c r="AR53" s="4">
        <f t="shared" si="202"/>
        <v>275</v>
      </c>
      <c r="AS53" s="4">
        <f t="shared" si="202"/>
        <v>275</v>
      </c>
      <c r="AT53" s="4">
        <f t="shared" si="203"/>
        <v>302.5</v>
      </c>
      <c r="AU53" s="4">
        <f t="shared" si="204"/>
        <v>302.5</v>
      </c>
      <c r="AV53" s="4">
        <f t="shared" si="204"/>
        <v>302.5</v>
      </c>
      <c r="AW53" s="4">
        <f t="shared" si="204"/>
        <v>302.5</v>
      </c>
      <c r="AX53" s="4">
        <f t="shared" si="204"/>
        <v>302.5</v>
      </c>
      <c r="AY53" s="4">
        <f t="shared" si="204"/>
        <v>302.5</v>
      </c>
      <c r="AZ53" s="4">
        <f t="shared" si="204"/>
        <v>302.5</v>
      </c>
      <c r="BA53" s="4">
        <f t="shared" si="204"/>
        <v>302.5</v>
      </c>
      <c r="BB53" s="4">
        <f t="shared" si="204"/>
        <v>302.5</v>
      </c>
      <c r="BC53" s="4">
        <f t="shared" si="204"/>
        <v>302.5</v>
      </c>
      <c r="BD53" s="4">
        <f t="shared" si="204"/>
        <v>302.5</v>
      </c>
      <c r="BE53" s="4">
        <f t="shared" si="204"/>
        <v>302.5</v>
      </c>
      <c r="BF53" s="4">
        <f t="shared" si="189"/>
        <v>302.5</v>
      </c>
      <c r="BG53" s="4">
        <f t="shared" si="190"/>
        <v>302.5</v>
      </c>
      <c r="BH53" s="4">
        <f t="shared" si="191"/>
        <v>302.5</v>
      </c>
      <c r="BI53" s="4">
        <f t="shared" si="192"/>
        <v>302.5</v>
      </c>
      <c r="BJ53" s="4">
        <f t="shared" si="193"/>
        <v>302.5</v>
      </c>
      <c r="BK53" s="4">
        <f t="shared" si="194"/>
        <v>302.5</v>
      </c>
      <c r="BL53" s="4">
        <f t="shared" si="195"/>
        <v>302.5</v>
      </c>
      <c r="BM53" s="4">
        <f t="shared" si="196"/>
        <v>302.5</v>
      </c>
      <c r="BN53" s="4">
        <f t="shared" si="197"/>
        <v>302.5</v>
      </c>
      <c r="BO53" s="4">
        <f t="shared" si="198"/>
        <v>302.5</v>
      </c>
      <c r="BP53" s="4">
        <f t="shared" si="199"/>
        <v>302.5</v>
      </c>
      <c r="BQ53" s="4">
        <f t="shared" si="200"/>
        <v>302.5</v>
      </c>
    </row>
    <row r="54" spans="2:69">
      <c r="B54" s="4" t="s">
        <v>255</v>
      </c>
      <c r="J54" s="4">
        <v>75</v>
      </c>
      <c r="K54" s="4">
        <v>75</v>
      </c>
      <c r="L54" s="4">
        <v>75</v>
      </c>
      <c r="M54" s="4">
        <v>75</v>
      </c>
      <c r="N54" s="4">
        <v>75</v>
      </c>
      <c r="O54" s="4">
        <v>75</v>
      </c>
      <c r="P54" s="4">
        <v>75</v>
      </c>
      <c r="Q54" s="4">
        <v>75</v>
      </c>
      <c r="R54" s="4">
        <v>75</v>
      </c>
      <c r="S54" s="4">
        <v>75</v>
      </c>
      <c r="T54" s="4">
        <v>75</v>
      </c>
      <c r="U54" s="4">
        <v>75</v>
      </c>
      <c r="V54" s="4">
        <v>75</v>
      </c>
      <c r="W54" s="4">
        <v>75</v>
      </c>
      <c r="X54" s="4">
        <v>75</v>
      </c>
      <c r="Y54" s="4">
        <v>75</v>
      </c>
      <c r="Z54" s="4">
        <v>75</v>
      </c>
      <c r="AA54" s="4">
        <v>75</v>
      </c>
      <c r="AB54" s="4">
        <v>75</v>
      </c>
      <c r="AC54" s="4">
        <v>75</v>
      </c>
      <c r="AD54" s="4">
        <v>75</v>
      </c>
      <c r="AE54" s="4">
        <v>75</v>
      </c>
      <c r="AF54" s="4">
        <v>75</v>
      </c>
      <c r="AG54" s="4">
        <v>75</v>
      </c>
      <c r="AH54" s="4">
        <f t="shared" si="201"/>
        <v>82.5</v>
      </c>
      <c r="AI54" s="4">
        <f t="shared" si="202"/>
        <v>82.5</v>
      </c>
      <c r="AJ54" s="4">
        <f t="shared" si="202"/>
        <v>82.5</v>
      </c>
      <c r="AK54" s="4">
        <f t="shared" si="202"/>
        <v>82.5</v>
      </c>
      <c r="AL54" s="4">
        <f t="shared" si="202"/>
        <v>82.5</v>
      </c>
      <c r="AM54" s="4">
        <f t="shared" si="202"/>
        <v>82.5</v>
      </c>
      <c r="AN54" s="4">
        <f t="shared" si="202"/>
        <v>82.5</v>
      </c>
      <c r="AO54" s="4">
        <f t="shared" si="202"/>
        <v>82.5</v>
      </c>
      <c r="AP54" s="4">
        <f t="shared" si="202"/>
        <v>82.5</v>
      </c>
      <c r="AQ54" s="4">
        <f t="shared" si="202"/>
        <v>82.5</v>
      </c>
      <c r="AR54" s="4">
        <f t="shared" si="202"/>
        <v>82.5</v>
      </c>
      <c r="AS54" s="4">
        <f t="shared" si="202"/>
        <v>82.5</v>
      </c>
      <c r="AT54" s="4">
        <f t="shared" si="203"/>
        <v>90.75</v>
      </c>
      <c r="AU54" s="4">
        <f t="shared" si="204"/>
        <v>90.75</v>
      </c>
      <c r="AV54" s="4">
        <f t="shared" si="204"/>
        <v>90.75</v>
      </c>
      <c r="AW54" s="4">
        <f t="shared" si="204"/>
        <v>90.75</v>
      </c>
      <c r="AX54" s="4">
        <f t="shared" si="204"/>
        <v>90.75</v>
      </c>
      <c r="AY54" s="4">
        <f t="shared" si="204"/>
        <v>90.75</v>
      </c>
      <c r="AZ54" s="4">
        <f t="shared" si="204"/>
        <v>90.75</v>
      </c>
      <c r="BA54" s="4">
        <f t="shared" si="204"/>
        <v>90.75</v>
      </c>
      <c r="BB54" s="4">
        <f t="shared" si="204"/>
        <v>90.75</v>
      </c>
      <c r="BC54" s="4">
        <f t="shared" si="204"/>
        <v>90.75</v>
      </c>
      <c r="BD54" s="4">
        <f t="shared" si="204"/>
        <v>90.75</v>
      </c>
      <c r="BE54" s="4">
        <f t="shared" si="204"/>
        <v>90.75</v>
      </c>
      <c r="BF54" s="4">
        <f t="shared" si="189"/>
        <v>90.75</v>
      </c>
      <c r="BG54" s="4">
        <f t="shared" si="190"/>
        <v>90.75</v>
      </c>
      <c r="BH54" s="4">
        <f t="shared" si="191"/>
        <v>90.75</v>
      </c>
      <c r="BI54" s="4">
        <f t="shared" si="192"/>
        <v>90.75</v>
      </c>
      <c r="BJ54" s="4">
        <f t="shared" si="193"/>
        <v>90.75</v>
      </c>
      <c r="BK54" s="4">
        <f t="shared" si="194"/>
        <v>90.75</v>
      </c>
      <c r="BL54" s="4">
        <f t="shared" si="195"/>
        <v>90.75</v>
      </c>
      <c r="BM54" s="4">
        <f t="shared" si="196"/>
        <v>90.75</v>
      </c>
      <c r="BN54" s="4">
        <f t="shared" si="197"/>
        <v>90.75</v>
      </c>
      <c r="BO54" s="4">
        <f t="shared" si="198"/>
        <v>90.75</v>
      </c>
      <c r="BP54" s="4">
        <f t="shared" si="199"/>
        <v>90.75</v>
      </c>
      <c r="BQ54" s="4">
        <f t="shared" si="200"/>
        <v>90.75</v>
      </c>
    </row>
    <row r="55" spans="2:69">
      <c r="B55" s="4" t="s">
        <v>256</v>
      </c>
      <c r="J55" s="4">
        <v>50</v>
      </c>
      <c r="K55" s="4">
        <v>50</v>
      </c>
      <c r="L55" s="4">
        <v>50</v>
      </c>
      <c r="M55" s="4">
        <v>50</v>
      </c>
      <c r="N55" s="4">
        <v>50</v>
      </c>
      <c r="O55" s="4">
        <v>50</v>
      </c>
      <c r="P55" s="4">
        <v>50</v>
      </c>
      <c r="Q55" s="4">
        <v>50</v>
      </c>
      <c r="R55" s="4">
        <v>50</v>
      </c>
      <c r="S55" s="4">
        <v>50</v>
      </c>
      <c r="T55" s="4">
        <v>50</v>
      </c>
      <c r="U55" s="4">
        <v>50</v>
      </c>
      <c r="V55" s="4">
        <v>50</v>
      </c>
      <c r="W55" s="4">
        <v>50</v>
      </c>
      <c r="X55" s="4">
        <v>50</v>
      </c>
      <c r="Y55" s="4">
        <v>50</v>
      </c>
      <c r="Z55" s="4">
        <v>50</v>
      </c>
      <c r="AA55" s="4">
        <v>50</v>
      </c>
      <c r="AB55" s="4">
        <v>50</v>
      </c>
      <c r="AC55" s="4">
        <v>50</v>
      </c>
      <c r="AD55" s="4">
        <v>50</v>
      </c>
      <c r="AE55" s="4">
        <v>50</v>
      </c>
      <c r="AF55" s="4">
        <v>50</v>
      </c>
      <c r="AG55" s="4">
        <v>50</v>
      </c>
      <c r="AH55" s="4">
        <f t="shared" si="201"/>
        <v>55</v>
      </c>
      <c r="AI55" s="4">
        <f t="shared" si="202"/>
        <v>55</v>
      </c>
      <c r="AJ55" s="4">
        <f t="shared" si="202"/>
        <v>55</v>
      </c>
      <c r="AK55" s="4">
        <f t="shared" si="202"/>
        <v>55</v>
      </c>
      <c r="AL55" s="4">
        <f t="shared" si="202"/>
        <v>55</v>
      </c>
      <c r="AM55" s="4">
        <f t="shared" si="202"/>
        <v>55</v>
      </c>
      <c r="AN55" s="4">
        <f t="shared" si="202"/>
        <v>55</v>
      </c>
      <c r="AO55" s="4">
        <f t="shared" si="202"/>
        <v>55</v>
      </c>
      <c r="AP55" s="4">
        <f t="shared" si="202"/>
        <v>55</v>
      </c>
      <c r="AQ55" s="4">
        <f t="shared" si="202"/>
        <v>55</v>
      </c>
      <c r="AR55" s="4">
        <f t="shared" si="202"/>
        <v>55</v>
      </c>
      <c r="AS55" s="4">
        <f t="shared" si="202"/>
        <v>55</v>
      </c>
      <c r="AT55" s="4">
        <f t="shared" si="203"/>
        <v>60.5</v>
      </c>
      <c r="AU55" s="4">
        <f t="shared" si="204"/>
        <v>60.5</v>
      </c>
      <c r="AV55" s="4">
        <f t="shared" si="204"/>
        <v>60.5</v>
      </c>
      <c r="AW55" s="4">
        <f t="shared" si="204"/>
        <v>60.5</v>
      </c>
      <c r="AX55" s="4">
        <f t="shared" si="204"/>
        <v>60.5</v>
      </c>
      <c r="AY55" s="4">
        <f t="shared" si="204"/>
        <v>60.5</v>
      </c>
      <c r="AZ55" s="4">
        <f t="shared" si="204"/>
        <v>60.5</v>
      </c>
      <c r="BA55" s="4">
        <f t="shared" si="204"/>
        <v>60.5</v>
      </c>
      <c r="BB55" s="4">
        <f t="shared" si="204"/>
        <v>60.5</v>
      </c>
      <c r="BC55" s="4">
        <f t="shared" si="204"/>
        <v>60.5</v>
      </c>
      <c r="BD55" s="4">
        <f t="shared" si="204"/>
        <v>60.5</v>
      </c>
      <c r="BE55" s="4">
        <f t="shared" si="204"/>
        <v>60.5</v>
      </c>
      <c r="BF55" s="4">
        <f t="shared" si="189"/>
        <v>60.5</v>
      </c>
      <c r="BG55" s="4">
        <f t="shared" si="190"/>
        <v>60.5</v>
      </c>
      <c r="BH55" s="4">
        <f t="shared" si="191"/>
        <v>60.5</v>
      </c>
      <c r="BI55" s="4">
        <f t="shared" si="192"/>
        <v>60.5</v>
      </c>
      <c r="BJ55" s="4">
        <f t="shared" si="193"/>
        <v>60.5</v>
      </c>
      <c r="BK55" s="4">
        <f t="shared" si="194"/>
        <v>60.5</v>
      </c>
      <c r="BL55" s="4">
        <f t="shared" si="195"/>
        <v>60.5</v>
      </c>
      <c r="BM55" s="4">
        <f t="shared" si="196"/>
        <v>60.5</v>
      </c>
      <c r="BN55" s="4">
        <f t="shared" si="197"/>
        <v>60.5</v>
      </c>
      <c r="BO55" s="4">
        <f t="shared" si="198"/>
        <v>60.5</v>
      </c>
      <c r="BP55" s="4">
        <f t="shared" si="199"/>
        <v>60.5</v>
      </c>
      <c r="BQ55" s="4">
        <f t="shared" si="200"/>
        <v>60.5</v>
      </c>
    </row>
    <row r="56" spans="2:69">
      <c r="B56" s="4" t="s">
        <v>257</v>
      </c>
      <c r="J56" s="4">
        <v>0</v>
      </c>
      <c r="K56" s="4">
        <v>0</v>
      </c>
      <c r="L56" s="4">
        <v>0</v>
      </c>
      <c r="M56" s="4">
        <v>0</v>
      </c>
      <c r="N56" s="4">
        <v>0</v>
      </c>
      <c r="O56" s="4">
        <v>0</v>
      </c>
      <c r="P56" s="4">
        <v>0</v>
      </c>
      <c r="Q56" s="4">
        <v>0</v>
      </c>
      <c r="R56" s="4">
        <v>0</v>
      </c>
      <c r="S56" s="4">
        <v>0</v>
      </c>
      <c r="T56" s="4">
        <v>0</v>
      </c>
      <c r="U56" s="4">
        <v>0</v>
      </c>
      <c r="V56" s="4">
        <v>0</v>
      </c>
      <c r="W56" s="4">
        <v>0</v>
      </c>
      <c r="X56" s="4">
        <v>0</v>
      </c>
      <c r="Y56" s="4">
        <v>0</v>
      </c>
      <c r="Z56" s="4">
        <v>0</v>
      </c>
      <c r="AA56" s="4">
        <v>0</v>
      </c>
      <c r="AB56" s="4">
        <v>0</v>
      </c>
      <c r="AC56" s="4">
        <v>0</v>
      </c>
      <c r="AD56" s="4">
        <v>0</v>
      </c>
      <c r="AE56" s="4">
        <v>0</v>
      </c>
      <c r="AF56" s="4">
        <v>0</v>
      </c>
      <c r="AG56" s="4">
        <v>0</v>
      </c>
      <c r="AH56" s="4">
        <f t="shared" si="201"/>
        <v>0</v>
      </c>
      <c r="AI56" s="4">
        <f t="shared" si="202"/>
        <v>0</v>
      </c>
      <c r="AJ56" s="4">
        <f t="shared" si="202"/>
        <v>0</v>
      </c>
      <c r="AK56" s="4">
        <f t="shared" si="202"/>
        <v>0</v>
      </c>
      <c r="AL56" s="4">
        <f t="shared" si="202"/>
        <v>0</v>
      </c>
      <c r="AM56" s="4">
        <f t="shared" si="202"/>
        <v>0</v>
      </c>
      <c r="AN56" s="4">
        <f t="shared" si="202"/>
        <v>0</v>
      </c>
      <c r="AO56" s="4">
        <f t="shared" si="202"/>
        <v>0</v>
      </c>
      <c r="AP56" s="4">
        <f t="shared" si="202"/>
        <v>0</v>
      </c>
      <c r="AQ56" s="4">
        <f t="shared" si="202"/>
        <v>0</v>
      </c>
      <c r="AR56" s="4">
        <f t="shared" si="202"/>
        <v>0</v>
      </c>
      <c r="AS56" s="4">
        <f t="shared" si="202"/>
        <v>0</v>
      </c>
      <c r="AT56" s="4">
        <f t="shared" si="203"/>
        <v>0</v>
      </c>
      <c r="AU56" s="4">
        <f t="shared" si="204"/>
        <v>0</v>
      </c>
      <c r="AV56" s="4">
        <f t="shared" si="204"/>
        <v>0</v>
      </c>
      <c r="AW56" s="4">
        <f t="shared" si="204"/>
        <v>0</v>
      </c>
      <c r="AX56" s="4">
        <f t="shared" si="204"/>
        <v>0</v>
      </c>
      <c r="AY56" s="4">
        <f t="shared" si="204"/>
        <v>0</v>
      </c>
      <c r="AZ56" s="4">
        <f t="shared" si="204"/>
        <v>0</v>
      </c>
      <c r="BA56" s="4">
        <f t="shared" si="204"/>
        <v>0</v>
      </c>
      <c r="BB56" s="4">
        <f t="shared" si="204"/>
        <v>0</v>
      </c>
      <c r="BC56" s="4">
        <f t="shared" si="204"/>
        <v>0</v>
      </c>
      <c r="BD56" s="4">
        <f t="shared" si="204"/>
        <v>0</v>
      </c>
      <c r="BE56" s="4">
        <f t="shared" si="204"/>
        <v>0</v>
      </c>
      <c r="BF56" s="4">
        <f t="shared" si="189"/>
        <v>0</v>
      </c>
      <c r="BG56" s="4">
        <f t="shared" si="190"/>
        <v>0</v>
      </c>
      <c r="BH56" s="4">
        <f t="shared" si="191"/>
        <v>0</v>
      </c>
      <c r="BI56" s="4">
        <f t="shared" si="192"/>
        <v>0</v>
      </c>
      <c r="BJ56" s="4">
        <f t="shared" si="193"/>
        <v>0</v>
      </c>
      <c r="BK56" s="4">
        <f t="shared" si="194"/>
        <v>0</v>
      </c>
      <c r="BL56" s="4">
        <f t="shared" si="195"/>
        <v>0</v>
      </c>
      <c r="BM56" s="4">
        <f t="shared" si="196"/>
        <v>0</v>
      </c>
      <c r="BN56" s="4">
        <f t="shared" si="197"/>
        <v>0</v>
      </c>
      <c r="BO56" s="4">
        <f t="shared" si="198"/>
        <v>0</v>
      </c>
      <c r="BP56" s="4">
        <f t="shared" si="199"/>
        <v>0</v>
      </c>
      <c r="BQ56" s="4">
        <f t="shared" si="200"/>
        <v>0</v>
      </c>
    </row>
    <row r="58" spans="2:69">
      <c r="B58" s="3" t="s">
        <v>258</v>
      </c>
    </row>
    <row r="59" spans="2:69">
      <c r="B59" s="4" t="s">
        <v>259</v>
      </c>
      <c r="J59" s="4">
        <v>75</v>
      </c>
      <c r="K59" s="4">
        <v>75</v>
      </c>
      <c r="L59" s="4">
        <v>75</v>
      </c>
      <c r="M59" s="4">
        <v>75</v>
      </c>
      <c r="N59" s="4">
        <v>75</v>
      </c>
      <c r="O59" s="4">
        <v>75</v>
      </c>
      <c r="P59" s="4">
        <v>75</v>
      </c>
      <c r="Q59" s="4">
        <v>75</v>
      </c>
      <c r="R59" s="4">
        <v>75</v>
      </c>
      <c r="S59" s="4">
        <v>75</v>
      </c>
      <c r="T59" s="4">
        <v>75</v>
      </c>
      <c r="U59" s="4">
        <v>75</v>
      </c>
      <c r="V59" s="4">
        <v>75</v>
      </c>
      <c r="W59" s="4">
        <v>75</v>
      </c>
      <c r="X59" s="4">
        <v>75</v>
      </c>
      <c r="Y59" s="4">
        <v>75</v>
      </c>
      <c r="Z59" s="4">
        <v>75</v>
      </c>
      <c r="AA59" s="4">
        <v>75</v>
      </c>
      <c r="AB59" s="4">
        <v>75</v>
      </c>
      <c r="AC59" s="4">
        <v>75</v>
      </c>
      <c r="AD59" s="4">
        <v>75</v>
      </c>
      <c r="AE59" s="4">
        <v>75</v>
      </c>
      <c r="AF59" s="4">
        <v>75</v>
      </c>
      <c r="AG59" s="4">
        <v>75</v>
      </c>
      <c r="AH59" s="4">
        <f t="shared" ref="AH59:AH61" si="205">AG59+10%*AG59</f>
        <v>82.5</v>
      </c>
      <c r="AI59" s="4">
        <f t="shared" ref="AI59:AU61" si="206">AH59</f>
        <v>82.5</v>
      </c>
      <c r="AJ59" s="4">
        <f t="shared" si="206"/>
        <v>82.5</v>
      </c>
      <c r="AK59" s="4">
        <f t="shared" si="206"/>
        <v>82.5</v>
      </c>
      <c r="AL59" s="4">
        <f t="shared" si="206"/>
        <v>82.5</v>
      </c>
      <c r="AM59" s="4">
        <f t="shared" si="206"/>
        <v>82.5</v>
      </c>
      <c r="AN59" s="4">
        <f t="shared" si="206"/>
        <v>82.5</v>
      </c>
      <c r="AO59" s="4">
        <f t="shared" si="206"/>
        <v>82.5</v>
      </c>
      <c r="AP59" s="4">
        <f t="shared" si="206"/>
        <v>82.5</v>
      </c>
      <c r="AQ59" s="4">
        <f t="shared" si="206"/>
        <v>82.5</v>
      </c>
      <c r="AR59" s="4">
        <f t="shared" si="206"/>
        <v>82.5</v>
      </c>
      <c r="AS59" s="4">
        <f t="shared" si="206"/>
        <v>82.5</v>
      </c>
      <c r="AT59" s="4">
        <f t="shared" ref="AT59:AT61" si="207">AS59+10%*AS59</f>
        <v>90.75</v>
      </c>
      <c r="AU59" s="4">
        <f t="shared" si="206"/>
        <v>90.75</v>
      </c>
      <c r="AV59" s="4">
        <f t="shared" ref="AV59:BE59" si="208">AU59</f>
        <v>90.75</v>
      </c>
      <c r="AW59" s="4">
        <f t="shared" si="208"/>
        <v>90.75</v>
      </c>
      <c r="AX59" s="4">
        <f t="shared" si="208"/>
        <v>90.75</v>
      </c>
      <c r="AY59" s="4">
        <f t="shared" si="208"/>
        <v>90.75</v>
      </c>
      <c r="AZ59" s="4">
        <f t="shared" si="208"/>
        <v>90.75</v>
      </c>
      <c r="BA59" s="4">
        <f t="shared" si="208"/>
        <v>90.75</v>
      </c>
      <c r="BB59" s="4">
        <f t="shared" si="208"/>
        <v>90.75</v>
      </c>
      <c r="BC59" s="4">
        <f t="shared" si="208"/>
        <v>90.75</v>
      </c>
      <c r="BD59" s="4">
        <f t="shared" si="208"/>
        <v>90.75</v>
      </c>
      <c r="BE59" s="4">
        <f t="shared" si="208"/>
        <v>90.75</v>
      </c>
      <c r="BF59" s="4">
        <f t="shared" ref="BF59:BF61" si="209">BE59</f>
        <v>90.75</v>
      </c>
      <c r="BG59" s="4">
        <f t="shared" ref="BG59:BG61" si="210">BF59</f>
        <v>90.75</v>
      </c>
      <c r="BH59" s="4">
        <f t="shared" ref="BH59:BH61" si="211">BG59</f>
        <v>90.75</v>
      </c>
      <c r="BI59" s="4">
        <f t="shared" ref="BI59:BI61" si="212">BH59</f>
        <v>90.75</v>
      </c>
      <c r="BJ59" s="4">
        <f t="shared" ref="BJ59:BJ61" si="213">BI59</f>
        <v>90.75</v>
      </c>
      <c r="BK59" s="4">
        <f t="shared" ref="BK59:BK61" si="214">BJ59</f>
        <v>90.75</v>
      </c>
      <c r="BL59" s="4">
        <f t="shared" ref="BL59:BL61" si="215">BK59</f>
        <v>90.75</v>
      </c>
      <c r="BM59" s="4">
        <f t="shared" ref="BM59:BM61" si="216">BL59</f>
        <v>90.75</v>
      </c>
      <c r="BN59" s="4">
        <f t="shared" ref="BN59:BN61" si="217">BM59</f>
        <v>90.75</v>
      </c>
      <c r="BO59" s="4">
        <f t="shared" ref="BO59:BO61" si="218">BN59</f>
        <v>90.75</v>
      </c>
      <c r="BP59" s="4">
        <f t="shared" ref="BP59:BP61" si="219">BO59</f>
        <v>90.75</v>
      </c>
      <c r="BQ59" s="4">
        <f t="shared" ref="BQ59:BQ61" si="220">BP59</f>
        <v>90.75</v>
      </c>
    </row>
    <row r="60" spans="2:69">
      <c r="B60" s="4" t="s">
        <v>260</v>
      </c>
      <c r="J60" s="4">
        <v>0</v>
      </c>
      <c r="K60" s="4">
        <v>0</v>
      </c>
      <c r="L60" s="4">
        <v>0</v>
      </c>
      <c r="M60" s="4">
        <v>0</v>
      </c>
      <c r="N60" s="4">
        <v>0</v>
      </c>
      <c r="O60" s="4">
        <v>0</v>
      </c>
      <c r="P60" s="4">
        <v>0</v>
      </c>
      <c r="Q60" s="4">
        <v>0</v>
      </c>
      <c r="R60" s="4">
        <v>0</v>
      </c>
      <c r="S60" s="4">
        <v>0</v>
      </c>
      <c r="T60" s="4">
        <v>25</v>
      </c>
      <c r="U60" s="4">
        <v>25</v>
      </c>
      <c r="V60" s="4">
        <v>25</v>
      </c>
      <c r="W60" s="4">
        <v>25</v>
      </c>
      <c r="X60" s="4">
        <v>25</v>
      </c>
      <c r="Y60" s="4">
        <v>25</v>
      </c>
      <c r="Z60" s="4">
        <v>25</v>
      </c>
      <c r="AA60" s="4">
        <v>25</v>
      </c>
      <c r="AB60" s="4">
        <v>25</v>
      </c>
      <c r="AC60" s="4">
        <v>25</v>
      </c>
      <c r="AD60" s="4">
        <v>25</v>
      </c>
      <c r="AE60" s="4">
        <v>25</v>
      </c>
      <c r="AF60" s="4">
        <v>25</v>
      </c>
      <c r="AG60" s="4">
        <v>25</v>
      </c>
      <c r="AH60" s="4">
        <f t="shared" si="205"/>
        <v>27.5</v>
      </c>
      <c r="AI60" s="4">
        <f t="shared" si="206"/>
        <v>27.5</v>
      </c>
      <c r="AJ60" s="4">
        <f t="shared" si="206"/>
        <v>27.5</v>
      </c>
      <c r="AK60" s="4">
        <f t="shared" si="206"/>
        <v>27.5</v>
      </c>
      <c r="AL60" s="4">
        <f t="shared" si="206"/>
        <v>27.5</v>
      </c>
      <c r="AM60" s="4">
        <f t="shared" si="206"/>
        <v>27.5</v>
      </c>
      <c r="AN60" s="4">
        <f t="shared" si="206"/>
        <v>27.5</v>
      </c>
      <c r="AO60" s="4">
        <f t="shared" si="206"/>
        <v>27.5</v>
      </c>
      <c r="AP60" s="4">
        <f t="shared" si="206"/>
        <v>27.5</v>
      </c>
      <c r="AQ60" s="4">
        <f t="shared" si="206"/>
        <v>27.5</v>
      </c>
      <c r="AR60" s="4">
        <f t="shared" si="206"/>
        <v>27.5</v>
      </c>
      <c r="AS60" s="4">
        <f t="shared" si="206"/>
        <v>27.5</v>
      </c>
      <c r="AT60" s="4">
        <f t="shared" si="207"/>
        <v>30.25</v>
      </c>
      <c r="AU60" s="4">
        <f t="shared" si="206"/>
        <v>30.25</v>
      </c>
      <c r="AV60" s="4">
        <f t="shared" ref="AV60:BE60" si="221">AU60</f>
        <v>30.25</v>
      </c>
      <c r="AW60" s="4">
        <f t="shared" si="221"/>
        <v>30.25</v>
      </c>
      <c r="AX60" s="4">
        <f t="shared" si="221"/>
        <v>30.25</v>
      </c>
      <c r="AY60" s="4">
        <f t="shared" si="221"/>
        <v>30.25</v>
      </c>
      <c r="AZ60" s="4">
        <f t="shared" si="221"/>
        <v>30.25</v>
      </c>
      <c r="BA60" s="4">
        <f t="shared" si="221"/>
        <v>30.25</v>
      </c>
      <c r="BB60" s="4">
        <f t="shared" si="221"/>
        <v>30.25</v>
      </c>
      <c r="BC60" s="4">
        <f t="shared" si="221"/>
        <v>30.25</v>
      </c>
      <c r="BD60" s="4">
        <f t="shared" si="221"/>
        <v>30.25</v>
      </c>
      <c r="BE60" s="4">
        <f t="shared" si="221"/>
        <v>30.25</v>
      </c>
      <c r="BF60" s="4">
        <f t="shared" si="209"/>
        <v>30.25</v>
      </c>
      <c r="BG60" s="4">
        <f t="shared" si="210"/>
        <v>30.25</v>
      </c>
      <c r="BH60" s="4">
        <f t="shared" si="211"/>
        <v>30.25</v>
      </c>
      <c r="BI60" s="4">
        <f t="shared" si="212"/>
        <v>30.25</v>
      </c>
      <c r="BJ60" s="4">
        <f t="shared" si="213"/>
        <v>30.25</v>
      </c>
      <c r="BK60" s="4">
        <f t="shared" si="214"/>
        <v>30.25</v>
      </c>
      <c r="BL60" s="4">
        <f t="shared" si="215"/>
        <v>30.25</v>
      </c>
      <c r="BM60" s="4">
        <f t="shared" si="216"/>
        <v>30.25</v>
      </c>
      <c r="BN60" s="4">
        <f t="shared" si="217"/>
        <v>30.25</v>
      </c>
      <c r="BO60" s="4">
        <f t="shared" si="218"/>
        <v>30.25</v>
      </c>
      <c r="BP60" s="4">
        <f t="shared" si="219"/>
        <v>30.25</v>
      </c>
      <c r="BQ60" s="4">
        <f t="shared" si="220"/>
        <v>30.25</v>
      </c>
    </row>
    <row r="61" spans="2:69">
      <c r="B61" s="4" t="s">
        <v>261</v>
      </c>
      <c r="J61" s="4">
        <v>0</v>
      </c>
      <c r="K61" s="4">
        <v>0</v>
      </c>
      <c r="L61" s="4">
        <v>0</v>
      </c>
      <c r="M61" s="4">
        <v>0</v>
      </c>
      <c r="N61" s="4">
        <v>0</v>
      </c>
      <c r="O61" s="4">
        <v>0</v>
      </c>
      <c r="P61" s="4">
        <v>0</v>
      </c>
      <c r="Q61" s="4">
        <v>0</v>
      </c>
      <c r="R61" s="4">
        <v>0</v>
      </c>
      <c r="S61" s="4">
        <v>0</v>
      </c>
      <c r="T61" s="4">
        <v>50</v>
      </c>
      <c r="U61" s="4">
        <v>50</v>
      </c>
      <c r="V61" s="4">
        <v>50</v>
      </c>
      <c r="W61" s="4">
        <v>50</v>
      </c>
      <c r="X61" s="4">
        <v>50</v>
      </c>
      <c r="Y61" s="4">
        <v>50</v>
      </c>
      <c r="Z61" s="4">
        <v>50</v>
      </c>
      <c r="AA61" s="4">
        <v>50</v>
      </c>
      <c r="AB61" s="4">
        <v>50</v>
      </c>
      <c r="AC61" s="4">
        <v>50</v>
      </c>
      <c r="AD61" s="4">
        <v>50</v>
      </c>
      <c r="AE61" s="4">
        <v>50</v>
      </c>
      <c r="AF61" s="4">
        <v>50</v>
      </c>
      <c r="AG61" s="4">
        <v>50</v>
      </c>
      <c r="AH61" s="4">
        <f t="shared" si="205"/>
        <v>55</v>
      </c>
      <c r="AI61" s="4">
        <f t="shared" si="206"/>
        <v>55</v>
      </c>
      <c r="AJ61" s="4">
        <f t="shared" si="206"/>
        <v>55</v>
      </c>
      <c r="AK61" s="4">
        <f t="shared" si="206"/>
        <v>55</v>
      </c>
      <c r="AL61" s="4">
        <f t="shared" si="206"/>
        <v>55</v>
      </c>
      <c r="AM61" s="4">
        <f t="shared" si="206"/>
        <v>55</v>
      </c>
      <c r="AN61" s="4">
        <f t="shared" si="206"/>
        <v>55</v>
      </c>
      <c r="AO61" s="4">
        <f t="shared" si="206"/>
        <v>55</v>
      </c>
      <c r="AP61" s="4">
        <f t="shared" si="206"/>
        <v>55</v>
      </c>
      <c r="AQ61" s="4">
        <f t="shared" si="206"/>
        <v>55</v>
      </c>
      <c r="AR61" s="4">
        <f t="shared" si="206"/>
        <v>55</v>
      </c>
      <c r="AS61" s="4">
        <f t="shared" si="206"/>
        <v>55</v>
      </c>
      <c r="AT61" s="4">
        <f t="shared" si="207"/>
        <v>60.5</v>
      </c>
      <c r="AU61" s="4">
        <f t="shared" si="206"/>
        <v>60.5</v>
      </c>
      <c r="AV61" s="4">
        <f t="shared" ref="AV61:BE61" si="222">AU61</f>
        <v>60.5</v>
      </c>
      <c r="AW61" s="4">
        <f t="shared" si="222"/>
        <v>60.5</v>
      </c>
      <c r="AX61" s="4">
        <f t="shared" si="222"/>
        <v>60.5</v>
      </c>
      <c r="AY61" s="4">
        <f t="shared" si="222"/>
        <v>60.5</v>
      </c>
      <c r="AZ61" s="4">
        <f t="shared" si="222"/>
        <v>60.5</v>
      </c>
      <c r="BA61" s="4">
        <f t="shared" si="222"/>
        <v>60.5</v>
      </c>
      <c r="BB61" s="4">
        <f t="shared" si="222"/>
        <v>60.5</v>
      </c>
      <c r="BC61" s="4">
        <f t="shared" si="222"/>
        <v>60.5</v>
      </c>
      <c r="BD61" s="4">
        <f t="shared" si="222"/>
        <v>60.5</v>
      </c>
      <c r="BE61" s="4">
        <f t="shared" si="222"/>
        <v>60.5</v>
      </c>
      <c r="BF61" s="4">
        <f t="shared" si="209"/>
        <v>60.5</v>
      </c>
      <c r="BG61" s="4">
        <f t="shared" si="210"/>
        <v>60.5</v>
      </c>
      <c r="BH61" s="4">
        <f t="shared" si="211"/>
        <v>60.5</v>
      </c>
      <c r="BI61" s="4">
        <f t="shared" si="212"/>
        <v>60.5</v>
      </c>
      <c r="BJ61" s="4">
        <f t="shared" si="213"/>
        <v>60.5</v>
      </c>
      <c r="BK61" s="4">
        <f t="shared" si="214"/>
        <v>60.5</v>
      </c>
      <c r="BL61" s="4">
        <f t="shared" si="215"/>
        <v>60.5</v>
      </c>
      <c r="BM61" s="4">
        <f t="shared" si="216"/>
        <v>60.5</v>
      </c>
      <c r="BN61" s="4">
        <f t="shared" si="217"/>
        <v>60.5</v>
      </c>
      <c r="BO61" s="4">
        <f t="shared" si="218"/>
        <v>60.5</v>
      </c>
      <c r="BP61" s="4">
        <f t="shared" si="219"/>
        <v>60.5</v>
      </c>
      <c r="BQ61" s="4">
        <f t="shared" si="220"/>
        <v>60.5</v>
      </c>
    </row>
    <row r="62" spans="2:69">
      <c r="B62" s="4" t="s">
        <v>262</v>
      </c>
      <c r="J62" s="37">
        <v>0.7</v>
      </c>
      <c r="K62" s="37">
        <v>0.7</v>
      </c>
      <c r="L62" s="37">
        <v>0.7</v>
      </c>
      <c r="M62" s="37">
        <v>0.7</v>
      </c>
      <c r="N62" s="37">
        <v>0.7</v>
      </c>
      <c r="O62" s="37">
        <v>0.7</v>
      </c>
      <c r="P62" s="37">
        <v>0.7</v>
      </c>
      <c r="Q62" s="37">
        <v>0.7</v>
      </c>
      <c r="R62" s="37">
        <v>0.7</v>
      </c>
      <c r="S62" s="37">
        <v>0.7</v>
      </c>
      <c r="T62" s="37">
        <v>0.7</v>
      </c>
      <c r="U62" s="37">
        <v>0.7</v>
      </c>
      <c r="V62" s="37">
        <v>0.7</v>
      </c>
      <c r="W62" s="37">
        <v>0.7</v>
      </c>
      <c r="X62" s="37">
        <v>0.7</v>
      </c>
      <c r="Y62" s="37">
        <v>0.7</v>
      </c>
      <c r="Z62" s="37">
        <v>0.7</v>
      </c>
      <c r="AA62" s="37">
        <v>0.7</v>
      </c>
      <c r="AB62" s="37">
        <v>0.7</v>
      </c>
      <c r="AC62" s="37">
        <v>0.7</v>
      </c>
      <c r="AD62" s="37">
        <v>0.7</v>
      </c>
      <c r="AE62" s="37">
        <v>0.7</v>
      </c>
      <c r="AF62" s="37">
        <v>0.7</v>
      </c>
      <c r="AG62" s="37">
        <v>0.7</v>
      </c>
      <c r="AH62" s="37">
        <v>0.7</v>
      </c>
      <c r="AI62" s="37">
        <v>0.7</v>
      </c>
      <c r="AJ62" s="37">
        <v>0.7</v>
      </c>
      <c r="AK62" s="37">
        <v>0.7</v>
      </c>
      <c r="AL62" s="37">
        <v>0.7</v>
      </c>
      <c r="AM62" s="37">
        <v>0.7</v>
      </c>
      <c r="AN62" s="37">
        <v>0.7</v>
      </c>
      <c r="AO62" s="37">
        <v>0.7</v>
      </c>
      <c r="AP62" s="37">
        <v>0.7</v>
      </c>
      <c r="AQ62" s="37">
        <v>0.7</v>
      </c>
      <c r="AR62" s="37">
        <v>0.7</v>
      </c>
      <c r="AS62" s="37">
        <v>0.7</v>
      </c>
      <c r="AT62" s="37">
        <v>0.7</v>
      </c>
      <c r="AU62" s="37">
        <v>0.7</v>
      </c>
      <c r="AV62" s="37">
        <v>0.7</v>
      </c>
      <c r="AW62" s="37">
        <v>0.7</v>
      </c>
      <c r="AX62" s="37">
        <v>0.7</v>
      </c>
      <c r="AY62" s="37">
        <v>0.7</v>
      </c>
      <c r="AZ62" s="37">
        <v>0.7</v>
      </c>
      <c r="BA62" s="37">
        <v>0.7</v>
      </c>
      <c r="BB62" s="37">
        <v>0.7</v>
      </c>
      <c r="BC62" s="37">
        <v>0.7</v>
      </c>
      <c r="BD62" s="37">
        <v>0.7</v>
      </c>
      <c r="BE62" s="37">
        <v>0.7</v>
      </c>
      <c r="BF62" s="37">
        <v>0.7</v>
      </c>
      <c r="BG62" s="37">
        <v>0.7</v>
      </c>
      <c r="BH62" s="37">
        <v>0.7</v>
      </c>
      <c r="BI62" s="37">
        <v>0.7</v>
      </c>
      <c r="BJ62" s="37">
        <v>0.7</v>
      </c>
      <c r="BK62" s="37">
        <v>0.7</v>
      </c>
      <c r="BL62" s="37">
        <v>0.7</v>
      </c>
      <c r="BM62" s="37">
        <v>0.7</v>
      </c>
      <c r="BN62" s="37">
        <v>0.7</v>
      </c>
      <c r="BO62" s="37">
        <v>0.7</v>
      </c>
      <c r="BP62" s="37">
        <v>0.7</v>
      </c>
      <c r="BQ62" s="37">
        <v>0.7</v>
      </c>
    </row>
    <row r="63" spans="2:69">
      <c r="B63" s="4" t="s">
        <v>263</v>
      </c>
      <c r="J63" s="37">
        <v>0.3</v>
      </c>
      <c r="K63" s="37">
        <v>0.3</v>
      </c>
      <c r="L63" s="37">
        <v>0.3</v>
      </c>
      <c r="M63" s="37">
        <v>0.3</v>
      </c>
      <c r="N63" s="37">
        <v>0.3</v>
      </c>
      <c r="O63" s="37">
        <v>0.3</v>
      </c>
      <c r="P63" s="37">
        <v>0.3</v>
      </c>
      <c r="Q63" s="37">
        <v>0.3</v>
      </c>
      <c r="R63" s="37">
        <v>0.3</v>
      </c>
      <c r="S63" s="37">
        <v>0.3</v>
      </c>
      <c r="T63" s="37">
        <v>0.3</v>
      </c>
      <c r="U63" s="37">
        <v>0.3</v>
      </c>
      <c r="V63" s="37">
        <v>0.3</v>
      </c>
      <c r="W63" s="37">
        <v>0.3</v>
      </c>
      <c r="X63" s="37">
        <v>0.3</v>
      </c>
      <c r="Y63" s="37">
        <v>0.3</v>
      </c>
      <c r="Z63" s="37">
        <v>0.3</v>
      </c>
      <c r="AA63" s="37">
        <v>0.3</v>
      </c>
      <c r="AB63" s="37">
        <v>0.3</v>
      </c>
      <c r="AC63" s="37">
        <v>0.3</v>
      </c>
      <c r="AD63" s="37">
        <v>0.3</v>
      </c>
      <c r="AE63" s="37">
        <v>0.3</v>
      </c>
      <c r="AF63" s="37">
        <v>0.3</v>
      </c>
      <c r="AG63" s="37">
        <v>0.3</v>
      </c>
      <c r="AH63" s="37">
        <v>0.3</v>
      </c>
      <c r="AI63" s="37">
        <v>0.3</v>
      </c>
      <c r="AJ63" s="37">
        <v>0.3</v>
      </c>
      <c r="AK63" s="37">
        <v>0.3</v>
      </c>
      <c r="AL63" s="37">
        <v>0.3</v>
      </c>
      <c r="AM63" s="37">
        <v>0.3</v>
      </c>
      <c r="AN63" s="37">
        <v>0.3</v>
      </c>
      <c r="AO63" s="37">
        <v>0.3</v>
      </c>
      <c r="AP63" s="37">
        <v>0.3</v>
      </c>
      <c r="AQ63" s="37">
        <v>0.3</v>
      </c>
      <c r="AR63" s="37">
        <v>0.3</v>
      </c>
      <c r="AS63" s="37">
        <v>0.3</v>
      </c>
      <c r="AT63" s="37">
        <v>0.3</v>
      </c>
      <c r="AU63" s="37">
        <v>0.3</v>
      </c>
      <c r="AV63" s="37">
        <v>0.3</v>
      </c>
      <c r="AW63" s="37">
        <v>0.3</v>
      </c>
      <c r="AX63" s="37">
        <v>0.3</v>
      </c>
      <c r="AY63" s="37">
        <v>0.3</v>
      </c>
      <c r="AZ63" s="37">
        <v>0.3</v>
      </c>
      <c r="BA63" s="37">
        <v>0.3</v>
      </c>
      <c r="BB63" s="37">
        <v>0.3</v>
      </c>
      <c r="BC63" s="37">
        <v>0.3</v>
      </c>
      <c r="BD63" s="37">
        <v>0.3</v>
      </c>
      <c r="BE63" s="37">
        <v>0.3</v>
      </c>
      <c r="BF63" s="37">
        <v>0.3</v>
      </c>
      <c r="BG63" s="37">
        <v>0.3</v>
      </c>
      <c r="BH63" s="37">
        <v>0.3</v>
      </c>
      <c r="BI63" s="37">
        <v>0.3</v>
      </c>
      <c r="BJ63" s="37">
        <v>0.3</v>
      </c>
      <c r="BK63" s="37">
        <v>0.3</v>
      </c>
      <c r="BL63" s="37">
        <v>0.3</v>
      </c>
      <c r="BM63" s="37">
        <v>0.3</v>
      </c>
      <c r="BN63" s="37">
        <v>0.3</v>
      </c>
      <c r="BO63" s="37">
        <v>0.3</v>
      </c>
      <c r="BP63" s="37">
        <v>0.3</v>
      </c>
      <c r="BQ63" s="37">
        <v>0.3</v>
      </c>
    </row>
    <row r="64" spans="2:69">
      <c r="B64" s="4" t="s">
        <v>264</v>
      </c>
      <c r="J64" s="4">
        <v>0</v>
      </c>
      <c r="K64" s="4">
        <v>0</v>
      </c>
      <c r="L64" s="4">
        <v>0</v>
      </c>
      <c r="M64" s="4">
        <v>0</v>
      </c>
      <c r="N64" s="4">
        <v>0</v>
      </c>
      <c r="O64" s="4">
        <v>0</v>
      </c>
      <c r="P64" s="4">
        <v>0</v>
      </c>
      <c r="Q64" s="4">
        <v>0</v>
      </c>
      <c r="R64" s="4">
        <v>0</v>
      </c>
      <c r="S64" s="4">
        <v>0</v>
      </c>
      <c r="T64" s="4">
        <v>0</v>
      </c>
      <c r="U64" s="4">
        <v>50</v>
      </c>
      <c r="V64" s="4">
        <v>50</v>
      </c>
      <c r="W64" s="4">
        <v>50</v>
      </c>
      <c r="X64" s="4">
        <v>75</v>
      </c>
      <c r="Y64" s="4">
        <v>75</v>
      </c>
      <c r="Z64" s="4">
        <v>75</v>
      </c>
      <c r="AA64" s="4">
        <v>75</v>
      </c>
      <c r="AB64" s="4">
        <v>75</v>
      </c>
      <c r="AC64" s="4">
        <v>75</v>
      </c>
      <c r="AD64" s="4">
        <v>75</v>
      </c>
      <c r="AE64" s="4">
        <v>75</v>
      </c>
      <c r="AF64" s="4">
        <v>75</v>
      </c>
      <c r="AG64" s="4">
        <v>75</v>
      </c>
      <c r="AH64" s="4">
        <f t="shared" ref="AH64:AH65" si="223">AG64+10%*AG64</f>
        <v>82.5</v>
      </c>
      <c r="AI64" s="4">
        <f t="shared" ref="AI64:AI65" si="224">AH64</f>
        <v>82.5</v>
      </c>
      <c r="AJ64" s="4">
        <f t="shared" ref="AJ64:AS64" si="225">AI64</f>
        <v>82.5</v>
      </c>
      <c r="AK64" s="4">
        <f t="shared" si="225"/>
        <v>82.5</v>
      </c>
      <c r="AL64" s="4">
        <f t="shared" si="225"/>
        <v>82.5</v>
      </c>
      <c r="AM64" s="4">
        <f t="shared" si="225"/>
        <v>82.5</v>
      </c>
      <c r="AN64" s="4">
        <f t="shared" si="225"/>
        <v>82.5</v>
      </c>
      <c r="AO64" s="4">
        <f t="shared" si="225"/>
        <v>82.5</v>
      </c>
      <c r="AP64" s="4">
        <f t="shared" si="225"/>
        <v>82.5</v>
      </c>
      <c r="AQ64" s="4">
        <f t="shared" si="225"/>
        <v>82.5</v>
      </c>
      <c r="AR64" s="4">
        <f t="shared" si="225"/>
        <v>82.5</v>
      </c>
      <c r="AS64" s="4">
        <f t="shared" si="225"/>
        <v>82.5</v>
      </c>
      <c r="AT64" s="4">
        <f t="shared" ref="AT64" si="226">AS64+10%*AS64</f>
        <v>90.75</v>
      </c>
      <c r="AU64" s="4">
        <f t="shared" ref="AU64" si="227">AT64</f>
        <v>90.75</v>
      </c>
      <c r="AV64" s="4">
        <f t="shared" ref="AV64:BE65" si="228">AU64</f>
        <v>90.75</v>
      </c>
      <c r="AW64" s="4">
        <f t="shared" si="228"/>
        <v>90.75</v>
      </c>
      <c r="AX64" s="4">
        <f t="shared" si="228"/>
        <v>90.75</v>
      </c>
      <c r="AY64" s="4">
        <f t="shared" si="228"/>
        <v>90.75</v>
      </c>
      <c r="AZ64" s="4">
        <f t="shared" si="228"/>
        <v>90.75</v>
      </c>
      <c r="BA64" s="4">
        <f t="shared" si="228"/>
        <v>90.75</v>
      </c>
      <c r="BB64" s="4">
        <f t="shared" si="228"/>
        <v>90.75</v>
      </c>
      <c r="BC64" s="4">
        <f t="shared" si="228"/>
        <v>90.75</v>
      </c>
      <c r="BD64" s="4">
        <f t="shared" si="228"/>
        <v>90.75</v>
      </c>
      <c r="BE64" s="4">
        <f t="shared" si="228"/>
        <v>90.75</v>
      </c>
      <c r="BF64" s="4">
        <f t="shared" ref="BF64:BF65" si="229">BE64</f>
        <v>90.75</v>
      </c>
      <c r="BG64" s="4">
        <f t="shared" ref="BG64:BG65" si="230">BF64</f>
        <v>90.75</v>
      </c>
      <c r="BH64" s="4">
        <f t="shared" ref="BH64:BH65" si="231">BG64</f>
        <v>90.75</v>
      </c>
      <c r="BI64" s="4">
        <f t="shared" ref="BI64:BI65" si="232">BH64</f>
        <v>90.75</v>
      </c>
      <c r="BJ64" s="4">
        <f t="shared" ref="BJ64:BJ65" si="233">BI64</f>
        <v>90.75</v>
      </c>
      <c r="BK64" s="4">
        <f t="shared" ref="BK64:BK65" si="234">BJ64</f>
        <v>90.75</v>
      </c>
      <c r="BL64" s="4">
        <f t="shared" ref="BL64:BL65" si="235">BK64</f>
        <v>90.75</v>
      </c>
      <c r="BM64" s="4">
        <f t="shared" ref="BM64:BM65" si="236">BL64</f>
        <v>90.75</v>
      </c>
      <c r="BN64" s="4">
        <f t="shared" ref="BN64:BN65" si="237">BM64</f>
        <v>90.75</v>
      </c>
      <c r="BO64" s="4">
        <f t="shared" ref="BO64:BO65" si="238">BN64</f>
        <v>90.75</v>
      </c>
      <c r="BP64" s="4">
        <f t="shared" ref="BP64:BP65" si="239">BO64</f>
        <v>90.75</v>
      </c>
      <c r="BQ64" s="4">
        <f t="shared" ref="BQ64:BQ65" si="240">BP64</f>
        <v>90.75</v>
      </c>
    </row>
    <row r="65" spans="1:69">
      <c r="A65" s="73"/>
      <c r="B65" s="143" t="s">
        <v>371</v>
      </c>
      <c r="C65" s="143"/>
      <c r="D65" s="143"/>
      <c r="L65" s="4">
        <v>0</v>
      </c>
      <c r="M65" s="4">
        <v>0</v>
      </c>
      <c r="N65" s="4">
        <v>0</v>
      </c>
      <c r="O65" s="4">
        <v>0</v>
      </c>
      <c r="P65" s="4">
        <v>0</v>
      </c>
      <c r="Q65" s="4">
        <v>0</v>
      </c>
      <c r="R65" s="4">
        <v>0</v>
      </c>
      <c r="S65" s="4">
        <v>0</v>
      </c>
      <c r="T65" s="4">
        <v>0</v>
      </c>
      <c r="U65" s="4">
        <v>0</v>
      </c>
      <c r="V65" s="4">
        <v>0</v>
      </c>
      <c r="W65" s="4">
        <v>0</v>
      </c>
      <c r="X65" s="4">
        <v>0</v>
      </c>
      <c r="Y65" s="4">
        <v>100</v>
      </c>
      <c r="Z65" s="4">
        <v>100</v>
      </c>
      <c r="AA65" s="4">
        <v>100</v>
      </c>
      <c r="AB65" s="4">
        <v>100</v>
      </c>
      <c r="AC65" s="4">
        <v>100</v>
      </c>
      <c r="AD65" s="4">
        <v>100</v>
      </c>
      <c r="AE65" s="4">
        <v>100</v>
      </c>
      <c r="AF65" s="4">
        <v>100</v>
      </c>
      <c r="AG65" s="4">
        <v>100</v>
      </c>
      <c r="AH65" s="4">
        <f t="shared" si="223"/>
        <v>110</v>
      </c>
      <c r="AI65" s="4">
        <f t="shared" si="224"/>
        <v>110</v>
      </c>
      <c r="AJ65" s="4">
        <f t="shared" ref="AJ65:AS65" si="241">AI65</f>
        <v>110</v>
      </c>
      <c r="AK65" s="4">
        <f t="shared" si="241"/>
        <v>110</v>
      </c>
      <c r="AL65" s="4">
        <f t="shared" si="241"/>
        <v>110</v>
      </c>
      <c r="AM65" s="4">
        <f t="shared" si="241"/>
        <v>110</v>
      </c>
      <c r="AN65" s="4">
        <f t="shared" si="241"/>
        <v>110</v>
      </c>
      <c r="AO65" s="4">
        <f t="shared" si="241"/>
        <v>110</v>
      </c>
      <c r="AP65" s="4">
        <f t="shared" si="241"/>
        <v>110</v>
      </c>
      <c r="AQ65" s="4">
        <f t="shared" si="241"/>
        <v>110</v>
      </c>
      <c r="AR65" s="4">
        <f t="shared" si="241"/>
        <v>110</v>
      </c>
      <c r="AS65" s="4">
        <f t="shared" si="241"/>
        <v>110</v>
      </c>
      <c r="AT65" s="4">
        <f t="shared" ref="AT65" si="242">AS65+10%*AS65</f>
        <v>121</v>
      </c>
      <c r="AU65" s="4">
        <f t="shared" ref="AU65" si="243">AT65</f>
        <v>121</v>
      </c>
      <c r="AV65" s="4">
        <f t="shared" si="228"/>
        <v>121</v>
      </c>
      <c r="AW65" s="4">
        <f t="shared" si="228"/>
        <v>121</v>
      </c>
      <c r="AX65" s="4">
        <f t="shared" si="228"/>
        <v>121</v>
      </c>
      <c r="AY65" s="4">
        <f t="shared" si="228"/>
        <v>121</v>
      </c>
      <c r="AZ65" s="4">
        <f t="shared" si="228"/>
        <v>121</v>
      </c>
      <c r="BA65" s="4">
        <f t="shared" si="228"/>
        <v>121</v>
      </c>
      <c r="BB65" s="4">
        <f t="shared" si="228"/>
        <v>121</v>
      </c>
      <c r="BC65" s="4">
        <f t="shared" si="228"/>
        <v>121</v>
      </c>
      <c r="BD65" s="4">
        <f t="shared" si="228"/>
        <v>121</v>
      </c>
      <c r="BE65" s="4">
        <f t="shared" si="228"/>
        <v>121</v>
      </c>
      <c r="BF65" s="4">
        <f t="shared" si="229"/>
        <v>121</v>
      </c>
      <c r="BG65" s="4">
        <f t="shared" si="230"/>
        <v>121</v>
      </c>
      <c r="BH65" s="4">
        <f t="shared" si="231"/>
        <v>121</v>
      </c>
      <c r="BI65" s="4">
        <f t="shared" si="232"/>
        <v>121</v>
      </c>
      <c r="BJ65" s="4">
        <f t="shared" si="233"/>
        <v>121</v>
      </c>
      <c r="BK65" s="4">
        <f t="shared" si="234"/>
        <v>121</v>
      </c>
      <c r="BL65" s="4">
        <f t="shared" si="235"/>
        <v>121</v>
      </c>
      <c r="BM65" s="4">
        <f t="shared" si="236"/>
        <v>121</v>
      </c>
      <c r="BN65" s="4">
        <f t="shared" si="237"/>
        <v>121</v>
      </c>
      <c r="BO65" s="4">
        <f t="shared" si="238"/>
        <v>121</v>
      </c>
      <c r="BP65" s="4">
        <f t="shared" si="239"/>
        <v>121</v>
      </c>
      <c r="BQ65" s="4">
        <f t="shared" si="240"/>
        <v>121</v>
      </c>
    </row>
    <row r="67" spans="1:69">
      <c r="B67" s="3" t="s">
        <v>269</v>
      </c>
    </row>
    <row r="68" spans="1:69">
      <c r="B68" s="4" t="s">
        <v>270</v>
      </c>
      <c r="J68" s="4">
        <v>150</v>
      </c>
      <c r="K68" s="4">
        <v>150</v>
      </c>
      <c r="L68" s="4">
        <v>150</v>
      </c>
      <c r="M68" s="4">
        <v>150</v>
      </c>
      <c r="N68" s="4">
        <v>150</v>
      </c>
      <c r="O68" s="4">
        <v>150</v>
      </c>
      <c r="P68" s="4">
        <v>150</v>
      </c>
      <c r="Q68" s="4">
        <v>150</v>
      </c>
      <c r="R68" s="4">
        <v>150</v>
      </c>
      <c r="S68" s="4">
        <v>150</v>
      </c>
      <c r="T68" s="4">
        <v>150</v>
      </c>
      <c r="U68" s="4">
        <v>150</v>
      </c>
      <c r="V68" s="4">
        <v>150</v>
      </c>
      <c r="W68" s="4">
        <v>150</v>
      </c>
      <c r="X68" s="4">
        <v>150</v>
      </c>
      <c r="Y68" s="4">
        <v>150</v>
      </c>
      <c r="Z68" s="4">
        <v>150</v>
      </c>
      <c r="AA68" s="4">
        <v>150</v>
      </c>
      <c r="AB68" s="4">
        <v>150</v>
      </c>
      <c r="AC68" s="4">
        <v>150</v>
      </c>
      <c r="AD68" s="4">
        <v>150</v>
      </c>
      <c r="AE68" s="4">
        <v>150</v>
      </c>
      <c r="AF68" s="4">
        <v>150</v>
      </c>
      <c r="AG68" s="4">
        <v>150</v>
      </c>
      <c r="AH68" s="4">
        <f t="shared" ref="AH68" si="244">AG68+10%*AG68</f>
        <v>165</v>
      </c>
      <c r="AI68" s="4">
        <f t="shared" ref="AI68:AS68" si="245">AH68</f>
        <v>165</v>
      </c>
      <c r="AJ68" s="4">
        <f t="shared" si="245"/>
        <v>165</v>
      </c>
      <c r="AK68" s="4">
        <f t="shared" si="245"/>
        <v>165</v>
      </c>
      <c r="AL68" s="4">
        <f t="shared" si="245"/>
        <v>165</v>
      </c>
      <c r="AM68" s="4">
        <f t="shared" si="245"/>
        <v>165</v>
      </c>
      <c r="AN68" s="4">
        <f t="shared" si="245"/>
        <v>165</v>
      </c>
      <c r="AO68" s="4">
        <f t="shared" si="245"/>
        <v>165</v>
      </c>
      <c r="AP68" s="4">
        <f t="shared" si="245"/>
        <v>165</v>
      </c>
      <c r="AQ68" s="4">
        <f t="shared" si="245"/>
        <v>165</v>
      </c>
      <c r="AR68" s="4">
        <f t="shared" si="245"/>
        <v>165</v>
      </c>
      <c r="AS68" s="4">
        <f t="shared" si="245"/>
        <v>165</v>
      </c>
      <c r="AT68" s="4">
        <f t="shared" ref="AT68" si="246">AS68+10%*AS68</f>
        <v>181.5</v>
      </c>
      <c r="AU68" s="4">
        <f t="shared" ref="AU68:BE68" si="247">AT68</f>
        <v>181.5</v>
      </c>
      <c r="AV68" s="4">
        <f t="shared" si="247"/>
        <v>181.5</v>
      </c>
      <c r="AW68" s="4">
        <f t="shared" si="247"/>
        <v>181.5</v>
      </c>
      <c r="AX68" s="4">
        <f t="shared" si="247"/>
        <v>181.5</v>
      </c>
      <c r="AY68" s="4">
        <f t="shared" si="247"/>
        <v>181.5</v>
      </c>
      <c r="AZ68" s="4">
        <f t="shared" si="247"/>
        <v>181.5</v>
      </c>
      <c r="BA68" s="4">
        <f t="shared" si="247"/>
        <v>181.5</v>
      </c>
      <c r="BB68" s="4">
        <f t="shared" si="247"/>
        <v>181.5</v>
      </c>
      <c r="BC68" s="4">
        <f t="shared" si="247"/>
        <v>181.5</v>
      </c>
      <c r="BD68" s="4">
        <f t="shared" si="247"/>
        <v>181.5</v>
      </c>
      <c r="BE68" s="4">
        <f t="shared" si="247"/>
        <v>181.5</v>
      </c>
      <c r="BF68" s="4">
        <f t="shared" ref="BF68" si="248">BE68</f>
        <v>181.5</v>
      </c>
      <c r="BG68" s="4">
        <f t="shared" ref="BG68" si="249">BF68</f>
        <v>181.5</v>
      </c>
      <c r="BH68" s="4">
        <f t="shared" ref="BH68" si="250">BG68</f>
        <v>181.5</v>
      </c>
      <c r="BI68" s="4">
        <f t="shared" ref="BI68" si="251">BH68</f>
        <v>181.5</v>
      </c>
      <c r="BJ68" s="4">
        <f t="shared" ref="BJ68" si="252">BI68</f>
        <v>181.5</v>
      </c>
      <c r="BK68" s="4">
        <f t="shared" ref="BK68" si="253">BJ68</f>
        <v>181.5</v>
      </c>
      <c r="BL68" s="4">
        <f t="shared" ref="BL68" si="254">BK68</f>
        <v>181.5</v>
      </c>
      <c r="BM68" s="4">
        <f t="shared" ref="BM68" si="255">BL68</f>
        <v>181.5</v>
      </c>
      <c r="BN68" s="4">
        <f t="shared" ref="BN68" si="256">BM68</f>
        <v>181.5</v>
      </c>
      <c r="BO68" s="4">
        <f t="shared" ref="BO68" si="257">BN68</f>
        <v>181.5</v>
      </c>
      <c r="BP68" s="4">
        <f t="shared" ref="BP68" si="258">BO68</f>
        <v>181.5</v>
      </c>
      <c r="BQ68" s="4">
        <f t="shared" ref="BQ68" si="259">BP68</f>
        <v>181.5</v>
      </c>
    </row>
    <row r="70" spans="1:69">
      <c r="B70" s="3" t="s">
        <v>271</v>
      </c>
    </row>
    <row r="71" spans="1:69">
      <c r="B71" s="4" t="s">
        <v>272</v>
      </c>
      <c r="J71" s="4">
        <v>100</v>
      </c>
      <c r="K71" s="4">
        <v>100</v>
      </c>
      <c r="L71" s="4">
        <v>100</v>
      </c>
      <c r="M71" s="4">
        <v>100</v>
      </c>
      <c r="N71" s="4">
        <v>100</v>
      </c>
      <c r="O71" s="4">
        <v>100</v>
      </c>
      <c r="P71" s="4">
        <v>100</v>
      </c>
      <c r="Q71" s="4">
        <v>100</v>
      </c>
      <c r="R71" s="4">
        <v>100</v>
      </c>
      <c r="S71" s="4">
        <v>100</v>
      </c>
      <c r="T71" s="4">
        <v>100</v>
      </c>
      <c r="U71" s="4">
        <v>100</v>
      </c>
      <c r="V71" s="4">
        <v>100</v>
      </c>
      <c r="W71" s="4">
        <v>100</v>
      </c>
      <c r="X71" s="4">
        <v>100</v>
      </c>
      <c r="Y71" s="4">
        <v>100</v>
      </c>
      <c r="Z71" s="4">
        <v>100</v>
      </c>
      <c r="AA71" s="4">
        <v>100</v>
      </c>
      <c r="AB71" s="4">
        <v>100</v>
      </c>
      <c r="AC71" s="4">
        <v>100</v>
      </c>
      <c r="AD71" s="4">
        <v>100</v>
      </c>
      <c r="AE71" s="4">
        <v>100</v>
      </c>
      <c r="AF71" s="4">
        <v>100</v>
      </c>
      <c r="AG71" s="4">
        <v>100</v>
      </c>
      <c r="AH71" s="4">
        <f t="shared" ref="AH71:AH72" si="260">AG71+10%*AG71</f>
        <v>110</v>
      </c>
      <c r="AI71" s="4">
        <f t="shared" ref="AI71:AS72" si="261">AH71</f>
        <v>110</v>
      </c>
      <c r="AJ71" s="4">
        <f t="shared" si="261"/>
        <v>110</v>
      </c>
      <c r="AK71" s="4">
        <f t="shared" si="261"/>
        <v>110</v>
      </c>
      <c r="AL71" s="4">
        <f t="shared" si="261"/>
        <v>110</v>
      </c>
      <c r="AM71" s="4">
        <f t="shared" si="261"/>
        <v>110</v>
      </c>
      <c r="AN71" s="4">
        <f t="shared" si="261"/>
        <v>110</v>
      </c>
      <c r="AO71" s="4">
        <f t="shared" si="261"/>
        <v>110</v>
      </c>
      <c r="AP71" s="4">
        <f t="shared" si="261"/>
        <v>110</v>
      </c>
      <c r="AQ71" s="4">
        <f t="shared" si="261"/>
        <v>110</v>
      </c>
      <c r="AR71" s="4">
        <f t="shared" si="261"/>
        <v>110</v>
      </c>
      <c r="AS71" s="4">
        <f t="shared" si="261"/>
        <v>110</v>
      </c>
      <c r="AT71" s="4">
        <f t="shared" ref="AT71" si="262">AS71+10%*AS71</f>
        <v>121</v>
      </c>
      <c r="AU71" s="4">
        <f t="shared" ref="AU71:BE71" si="263">AT71</f>
        <v>121</v>
      </c>
      <c r="AV71" s="4">
        <f t="shared" si="263"/>
        <v>121</v>
      </c>
      <c r="AW71" s="4">
        <f t="shared" si="263"/>
        <v>121</v>
      </c>
      <c r="AX71" s="4">
        <f t="shared" si="263"/>
        <v>121</v>
      </c>
      <c r="AY71" s="4">
        <f t="shared" si="263"/>
        <v>121</v>
      </c>
      <c r="AZ71" s="4">
        <f t="shared" si="263"/>
        <v>121</v>
      </c>
      <c r="BA71" s="4">
        <f t="shared" si="263"/>
        <v>121</v>
      </c>
      <c r="BB71" s="4">
        <f t="shared" si="263"/>
        <v>121</v>
      </c>
      <c r="BC71" s="4">
        <f t="shared" si="263"/>
        <v>121</v>
      </c>
      <c r="BD71" s="4">
        <f t="shared" si="263"/>
        <v>121</v>
      </c>
      <c r="BE71" s="4">
        <f t="shared" si="263"/>
        <v>121</v>
      </c>
      <c r="BF71" s="4">
        <f t="shared" ref="BF71:BF72" si="264">BE71</f>
        <v>121</v>
      </c>
      <c r="BG71" s="4">
        <f t="shared" ref="BG71:BG72" si="265">BF71</f>
        <v>121</v>
      </c>
      <c r="BH71" s="4">
        <f t="shared" ref="BH71:BH72" si="266">BG71</f>
        <v>121</v>
      </c>
      <c r="BI71" s="4">
        <f t="shared" ref="BI71:BI72" si="267">BH71</f>
        <v>121</v>
      </c>
      <c r="BJ71" s="4">
        <f t="shared" ref="BJ71:BJ72" si="268">BI71</f>
        <v>121</v>
      </c>
      <c r="BK71" s="4">
        <f t="shared" ref="BK71:BK72" si="269">BJ71</f>
        <v>121</v>
      </c>
      <c r="BL71" s="4">
        <f t="shared" ref="BL71:BL72" si="270">BK71</f>
        <v>121</v>
      </c>
      <c r="BM71" s="4">
        <f t="shared" ref="BM71:BM72" si="271">BL71</f>
        <v>121</v>
      </c>
      <c r="BN71" s="4">
        <f t="shared" ref="BN71:BN72" si="272">BM71</f>
        <v>121</v>
      </c>
      <c r="BO71" s="4">
        <f t="shared" ref="BO71:BO72" si="273">BN71</f>
        <v>121</v>
      </c>
      <c r="BP71" s="4">
        <f t="shared" ref="BP71:BP72" si="274">BO71</f>
        <v>121</v>
      </c>
      <c r="BQ71" s="4">
        <f t="shared" ref="BQ71:BQ72" si="275">BP71</f>
        <v>121</v>
      </c>
    </row>
    <row r="72" spans="1:69">
      <c r="B72" s="4" t="s">
        <v>273</v>
      </c>
      <c r="J72" s="4">
        <v>0</v>
      </c>
      <c r="K72" s="4">
        <v>0</v>
      </c>
      <c r="L72" s="4">
        <v>0</v>
      </c>
      <c r="M72" s="4">
        <v>0</v>
      </c>
      <c r="N72" s="4">
        <v>0</v>
      </c>
      <c r="O72" s="4">
        <v>0</v>
      </c>
      <c r="P72" s="4">
        <v>0</v>
      </c>
      <c r="Q72" s="4">
        <v>0</v>
      </c>
      <c r="R72" s="4">
        <v>0</v>
      </c>
      <c r="S72" s="4">
        <v>0</v>
      </c>
      <c r="T72" s="4">
        <v>0</v>
      </c>
      <c r="U72" s="4">
        <v>50</v>
      </c>
      <c r="V72" s="4">
        <v>50</v>
      </c>
      <c r="W72" s="4">
        <v>50</v>
      </c>
      <c r="X72" s="4">
        <v>50</v>
      </c>
      <c r="Y72" s="4">
        <v>50</v>
      </c>
      <c r="Z72" s="4">
        <v>50</v>
      </c>
      <c r="AA72" s="4">
        <v>50</v>
      </c>
      <c r="AB72" s="4">
        <v>50</v>
      </c>
      <c r="AC72" s="4">
        <v>50</v>
      </c>
      <c r="AD72" s="4">
        <v>50</v>
      </c>
      <c r="AE72" s="4">
        <v>50</v>
      </c>
      <c r="AF72" s="4">
        <v>50</v>
      </c>
      <c r="AG72" s="4">
        <v>50</v>
      </c>
      <c r="AH72" s="4">
        <f t="shared" si="260"/>
        <v>55</v>
      </c>
      <c r="AI72" s="4">
        <f t="shared" si="261"/>
        <v>55</v>
      </c>
      <c r="AJ72" s="4">
        <f t="shared" si="261"/>
        <v>55</v>
      </c>
      <c r="AK72" s="4">
        <f t="shared" si="261"/>
        <v>55</v>
      </c>
      <c r="AL72" s="4">
        <f t="shared" si="261"/>
        <v>55</v>
      </c>
      <c r="AM72" s="4">
        <f t="shared" si="261"/>
        <v>55</v>
      </c>
      <c r="AN72" s="4">
        <f t="shared" si="261"/>
        <v>55</v>
      </c>
      <c r="AO72" s="4">
        <f t="shared" si="261"/>
        <v>55</v>
      </c>
      <c r="AP72" s="4">
        <f t="shared" si="261"/>
        <v>55</v>
      </c>
      <c r="AQ72" s="4">
        <f t="shared" si="261"/>
        <v>55</v>
      </c>
      <c r="AR72" s="4">
        <f t="shared" si="261"/>
        <v>55</v>
      </c>
      <c r="AS72" s="4">
        <f t="shared" si="261"/>
        <v>55</v>
      </c>
      <c r="AT72" s="4">
        <f t="shared" ref="AT72" si="276">AS72+10%*AS72</f>
        <v>60.5</v>
      </c>
      <c r="AU72" s="4">
        <f t="shared" ref="AU72:BE72" si="277">AT72</f>
        <v>60.5</v>
      </c>
      <c r="AV72" s="4">
        <f t="shared" si="277"/>
        <v>60.5</v>
      </c>
      <c r="AW72" s="4">
        <f t="shared" si="277"/>
        <v>60.5</v>
      </c>
      <c r="AX72" s="4">
        <f t="shared" si="277"/>
        <v>60.5</v>
      </c>
      <c r="AY72" s="4">
        <f t="shared" si="277"/>
        <v>60.5</v>
      </c>
      <c r="AZ72" s="4">
        <f t="shared" si="277"/>
        <v>60.5</v>
      </c>
      <c r="BA72" s="4">
        <f t="shared" si="277"/>
        <v>60.5</v>
      </c>
      <c r="BB72" s="4">
        <f t="shared" si="277"/>
        <v>60.5</v>
      </c>
      <c r="BC72" s="4">
        <f t="shared" si="277"/>
        <v>60.5</v>
      </c>
      <c r="BD72" s="4">
        <f t="shared" si="277"/>
        <v>60.5</v>
      </c>
      <c r="BE72" s="4">
        <f t="shared" si="277"/>
        <v>60.5</v>
      </c>
      <c r="BF72" s="4">
        <f t="shared" si="264"/>
        <v>60.5</v>
      </c>
      <c r="BG72" s="4">
        <f t="shared" si="265"/>
        <v>60.5</v>
      </c>
      <c r="BH72" s="4">
        <f t="shared" si="266"/>
        <v>60.5</v>
      </c>
      <c r="BI72" s="4">
        <f t="shared" si="267"/>
        <v>60.5</v>
      </c>
      <c r="BJ72" s="4">
        <f t="shared" si="268"/>
        <v>60.5</v>
      </c>
      <c r="BK72" s="4">
        <f t="shared" si="269"/>
        <v>60.5</v>
      </c>
      <c r="BL72" s="4">
        <f t="shared" si="270"/>
        <v>60.5</v>
      </c>
      <c r="BM72" s="4">
        <f t="shared" si="271"/>
        <v>60.5</v>
      </c>
      <c r="BN72" s="4">
        <f t="shared" si="272"/>
        <v>60.5</v>
      </c>
      <c r="BO72" s="4">
        <f t="shared" si="273"/>
        <v>60.5</v>
      </c>
      <c r="BP72" s="4">
        <f t="shared" si="274"/>
        <v>60.5</v>
      </c>
      <c r="BQ72" s="4">
        <f t="shared" si="275"/>
        <v>60.5</v>
      </c>
    </row>
    <row r="74" spans="1:69">
      <c r="B74" s="3" t="s">
        <v>275</v>
      </c>
    </row>
    <row r="75" spans="1:69">
      <c r="B75" s="4" t="s">
        <v>274</v>
      </c>
      <c r="J75" s="4">
        <v>300</v>
      </c>
      <c r="K75" s="4">
        <v>300</v>
      </c>
      <c r="L75" s="4">
        <v>300</v>
      </c>
      <c r="M75" s="4">
        <v>300</v>
      </c>
      <c r="N75" s="4">
        <v>300</v>
      </c>
      <c r="O75" s="4">
        <v>300</v>
      </c>
      <c r="P75" s="4">
        <v>300</v>
      </c>
      <c r="Q75" s="4">
        <v>300</v>
      </c>
      <c r="R75" s="4">
        <v>300</v>
      </c>
      <c r="S75" s="4">
        <v>300</v>
      </c>
      <c r="T75" s="4">
        <v>300</v>
      </c>
      <c r="U75" s="4">
        <v>300</v>
      </c>
      <c r="V75" s="4">
        <v>300</v>
      </c>
      <c r="W75" s="4">
        <v>300</v>
      </c>
      <c r="X75" s="4">
        <v>300</v>
      </c>
      <c r="Y75" s="4">
        <v>300</v>
      </c>
      <c r="Z75" s="4">
        <v>300</v>
      </c>
      <c r="AA75" s="4">
        <v>300</v>
      </c>
      <c r="AB75" s="4">
        <v>300</v>
      </c>
      <c r="AC75" s="4">
        <v>300</v>
      </c>
      <c r="AD75" s="4">
        <v>300</v>
      </c>
      <c r="AE75" s="4">
        <v>300</v>
      </c>
      <c r="AF75" s="4">
        <v>300</v>
      </c>
      <c r="AG75" s="4">
        <v>300</v>
      </c>
      <c r="AH75" s="4">
        <f t="shared" ref="AH75" si="278">AG75+10%*AG75</f>
        <v>330</v>
      </c>
      <c r="AI75" s="4">
        <f t="shared" ref="AI75:AS75" si="279">AH75</f>
        <v>330</v>
      </c>
      <c r="AJ75" s="4">
        <f t="shared" si="279"/>
        <v>330</v>
      </c>
      <c r="AK75" s="4">
        <f t="shared" si="279"/>
        <v>330</v>
      </c>
      <c r="AL75" s="4">
        <f t="shared" si="279"/>
        <v>330</v>
      </c>
      <c r="AM75" s="4">
        <f t="shared" si="279"/>
        <v>330</v>
      </c>
      <c r="AN75" s="4">
        <f t="shared" si="279"/>
        <v>330</v>
      </c>
      <c r="AO75" s="4">
        <f t="shared" si="279"/>
        <v>330</v>
      </c>
      <c r="AP75" s="4">
        <f t="shared" si="279"/>
        <v>330</v>
      </c>
      <c r="AQ75" s="4">
        <f t="shared" si="279"/>
        <v>330</v>
      </c>
      <c r="AR75" s="4">
        <f t="shared" si="279"/>
        <v>330</v>
      </c>
      <c r="AS75" s="4">
        <f t="shared" si="279"/>
        <v>330</v>
      </c>
      <c r="AT75" s="4">
        <f t="shared" ref="AT75" si="280">AS75+10%*AS75</f>
        <v>363</v>
      </c>
      <c r="AU75" s="4">
        <f t="shared" ref="AU75:BE75" si="281">AT75</f>
        <v>363</v>
      </c>
      <c r="AV75" s="4">
        <f t="shared" si="281"/>
        <v>363</v>
      </c>
      <c r="AW75" s="4">
        <f t="shared" si="281"/>
        <v>363</v>
      </c>
      <c r="AX75" s="4">
        <f t="shared" si="281"/>
        <v>363</v>
      </c>
      <c r="AY75" s="4">
        <f t="shared" si="281"/>
        <v>363</v>
      </c>
      <c r="AZ75" s="4">
        <f t="shared" si="281"/>
        <v>363</v>
      </c>
      <c r="BA75" s="4">
        <f t="shared" si="281"/>
        <v>363</v>
      </c>
      <c r="BB75" s="4">
        <f t="shared" si="281"/>
        <v>363</v>
      </c>
      <c r="BC75" s="4">
        <f t="shared" si="281"/>
        <v>363</v>
      </c>
      <c r="BD75" s="4">
        <f t="shared" si="281"/>
        <v>363</v>
      </c>
      <c r="BE75" s="4">
        <f t="shared" si="281"/>
        <v>363</v>
      </c>
      <c r="BF75" s="4">
        <f t="shared" ref="BF75" si="282">BE75</f>
        <v>363</v>
      </c>
      <c r="BG75" s="4">
        <f t="shared" ref="BG75" si="283">BF75</f>
        <v>363</v>
      </c>
      <c r="BH75" s="4">
        <f t="shared" ref="BH75" si="284">BG75</f>
        <v>363</v>
      </c>
      <c r="BI75" s="4">
        <f t="shared" ref="BI75" si="285">BH75</f>
        <v>363</v>
      </c>
      <c r="BJ75" s="4">
        <f t="shared" ref="BJ75" si="286">BI75</f>
        <v>363</v>
      </c>
      <c r="BK75" s="4">
        <f t="shared" ref="BK75" si="287">BJ75</f>
        <v>363</v>
      </c>
      <c r="BL75" s="4">
        <f t="shared" ref="BL75" si="288">BK75</f>
        <v>363</v>
      </c>
      <c r="BM75" s="4">
        <f t="shared" ref="BM75" si="289">BL75</f>
        <v>363</v>
      </c>
      <c r="BN75" s="4">
        <f t="shared" ref="BN75" si="290">BM75</f>
        <v>363</v>
      </c>
      <c r="BO75" s="4">
        <f t="shared" ref="BO75" si="291">BN75</f>
        <v>363</v>
      </c>
      <c r="BP75" s="4">
        <f t="shared" ref="BP75" si="292">BO75</f>
        <v>363</v>
      </c>
      <c r="BQ75" s="4">
        <f t="shared" ref="BQ75" si="293">BP75</f>
        <v>363</v>
      </c>
    </row>
    <row r="77" spans="1:69">
      <c r="B77" s="3" t="s">
        <v>276</v>
      </c>
    </row>
    <row r="78" spans="1:69">
      <c r="B78" s="4" t="s">
        <v>277</v>
      </c>
      <c r="J78" s="4">
        <v>125</v>
      </c>
      <c r="K78" s="4">
        <v>125</v>
      </c>
      <c r="L78" s="4">
        <v>125</v>
      </c>
      <c r="M78" s="4">
        <v>125</v>
      </c>
      <c r="N78" s="4">
        <v>125</v>
      </c>
      <c r="O78" s="4">
        <v>125</v>
      </c>
      <c r="P78" s="4">
        <v>125</v>
      </c>
      <c r="Q78" s="4">
        <v>125</v>
      </c>
      <c r="R78" s="4">
        <v>125</v>
      </c>
      <c r="S78" s="4">
        <v>125</v>
      </c>
      <c r="T78" s="4">
        <v>125</v>
      </c>
      <c r="U78" s="4">
        <v>125</v>
      </c>
      <c r="V78" s="4">
        <v>125</v>
      </c>
      <c r="W78" s="4">
        <v>125</v>
      </c>
      <c r="X78" s="4">
        <v>125</v>
      </c>
      <c r="Y78" s="4">
        <v>125</v>
      </c>
      <c r="Z78" s="4">
        <v>125</v>
      </c>
      <c r="AA78" s="4">
        <v>125</v>
      </c>
      <c r="AB78" s="4">
        <v>125</v>
      </c>
      <c r="AC78" s="4">
        <v>125</v>
      </c>
      <c r="AD78" s="4">
        <v>125</v>
      </c>
      <c r="AE78" s="4">
        <v>125</v>
      </c>
      <c r="AF78" s="4">
        <v>125</v>
      </c>
      <c r="AG78" s="4">
        <v>125</v>
      </c>
      <c r="AH78" s="4">
        <f t="shared" ref="AH78:AH80" si="294">AG78+10%*AG78</f>
        <v>137.5</v>
      </c>
      <c r="AI78" s="4">
        <f t="shared" ref="AI78:AS80" si="295">AH78</f>
        <v>137.5</v>
      </c>
      <c r="AJ78" s="4">
        <f t="shared" si="295"/>
        <v>137.5</v>
      </c>
      <c r="AK78" s="4">
        <f t="shared" si="295"/>
        <v>137.5</v>
      </c>
      <c r="AL78" s="4">
        <f t="shared" si="295"/>
        <v>137.5</v>
      </c>
      <c r="AM78" s="4">
        <f t="shared" si="295"/>
        <v>137.5</v>
      </c>
      <c r="AN78" s="4">
        <f t="shared" si="295"/>
        <v>137.5</v>
      </c>
      <c r="AO78" s="4">
        <f t="shared" si="295"/>
        <v>137.5</v>
      </c>
      <c r="AP78" s="4">
        <f t="shared" si="295"/>
        <v>137.5</v>
      </c>
      <c r="AQ78" s="4">
        <f t="shared" si="295"/>
        <v>137.5</v>
      </c>
      <c r="AR78" s="4">
        <f t="shared" si="295"/>
        <v>137.5</v>
      </c>
      <c r="AS78" s="4">
        <f t="shared" si="295"/>
        <v>137.5</v>
      </c>
      <c r="AT78" s="4">
        <f t="shared" ref="AT78" si="296">AS78+10%*AS78</f>
        <v>151.25</v>
      </c>
      <c r="AU78" s="4">
        <f t="shared" ref="AU78:BE78" si="297">AT78</f>
        <v>151.25</v>
      </c>
      <c r="AV78" s="4">
        <f t="shared" si="297"/>
        <v>151.25</v>
      </c>
      <c r="AW78" s="4">
        <f t="shared" si="297"/>
        <v>151.25</v>
      </c>
      <c r="AX78" s="4">
        <f t="shared" si="297"/>
        <v>151.25</v>
      </c>
      <c r="AY78" s="4">
        <f t="shared" si="297"/>
        <v>151.25</v>
      </c>
      <c r="AZ78" s="4">
        <f t="shared" si="297"/>
        <v>151.25</v>
      </c>
      <c r="BA78" s="4">
        <f t="shared" si="297"/>
        <v>151.25</v>
      </c>
      <c r="BB78" s="4">
        <f t="shared" si="297"/>
        <v>151.25</v>
      </c>
      <c r="BC78" s="4">
        <f t="shared" si="297"/>
        <v>151.25</v>
      </c>
      <c r="BD78" s="4">
        <f t="shared" si="297"/>
        <v>151.25</v>
      </c>
      <c r="BE78" s="4">
        <f t="shared" si="297"/>
        <v>151.25</v>
      </c>
      <c r="BF78" s="4">
        <f t="shared" ref="BF78:BF80" si="298">BE78</f>
        <v>151.25</v>
      </c>
      <c r="BG78" s="4">
        <f t="shared" ref="BG78:BG80" si="299">BF78</f>
        <v>151.25</v>
      </c>
      <c r="BH78" s="4">
        <f t="shared" ref="BH78:BH80" si="300">BG78</f>
        <v>151.25</v>
      </c>
      <c r="BI78" s="4">
        <f t="shared" ref="BI78:BI80" si="301">BH78</f>
        <v>151.25</v>
      </c>
      <c r="BJ78" s="4">
        <f t="shared" ref="BJ78:BJ80" si="302">BI78</f>
        <v>151.25</v>
      </c>
      <c r="BK78" s="4">
        <f t="shared" ref="BK78:BK80" si="303">BJ78</f>
        <v>151.25</v>
      </c>
      <c r="BL78" s="4">
        <f t="shared" ref="BL78:BL80" si="304">BK78</f>
        <v>151.25</v>
      </c>
      <c r="BM78" s="4">
        <f t="shared" ref="BM78:BM80" si="305">BL78</f>
        <v>151.25</v>
      </c>
      <c r="BN78" s="4">
        <f t="shared" ref="BN78:BN80" si="306">BM78</f>
        <v>151.25</v>
      </c>
      <c r="BO78" s="4">
        <f t="shared" ref="BO78:BO80" si="307">BN78</f>
        <v>151.25</v>
      </c>
      <c r="BP78" s="4">
        <f t="shared" ref="BP78:BP80" si="308">BO78</f>
        <v>151.25</v>
      </c>
      <c r="BQ78" s="4">
        <f t="shared" ref="BQ78:BQ80" si="309">BP78</f>
        <v>151.25</v>
      </c>
    </row>
    <row r="79" spans="1:69">
      <c r="B79" s="4" t="s">
        <v>278</v>
      </c>
      <c r="J79" s="4">
        <v>0</v>
      </c>
      <c r="K79" s="4">
        <v>0</v>
      </c>
      <c r="L79" s="4">
        <v>0</v>
      </c>
      <c r="M79" s="4">
        <v>0</v>
      </c>
      <c r="N79" s="4">
        <v>0</v>
      </c>
      <c r="O79" s="4">
        <v>0</v>
      </c>
      <c r="P79" s="4">
        <v>0</v>
      </c>
      <c r="Q79" s="4">
        <v>0</v>
      </c>
      <c r="R79" s="4">
        <v>0</v>
      </c>
      <c r="S79" s="4">
        <v>0</v>
      </c>
      <c r="T79" s="4">
        <v>50</v>
      </c>
      <c r="U79" s="4">
        <v>50</v>
      </c>
      <c r="V79" s="4">
        <v>50</v>
      </c>
      <c r="W79" s="4">
        <v>50</v>
      </c>
      <c r="X79" s="4">
        <v>75</v>
      </c>
      <c r="Y79" s="4">
        <v>75</v>
      </c>
      <c r="Z79" s="4">
        <v>75</v>
      </c>
      <c r="AA79" s="4">
        <v>75</v>
      </c>
      <c r="AB79" s="4">
        <v>75</v>
      </c>
      <c r="AC79" s="4">
        <v>75</v>
      </c>
      <c r="AD79" s="4">
        <v>75</v>
      </c>
      <c r="AE79" s="4">
        <v>75</v>
      </c>
      <c r="AF79" s="4">
        <v>75</v>
      </c>
      <c r="AG79" s="4">
        <v>75</v>
      </c>
      <c r="AH79" s="4">
        <f t="shared" si="294"/>
        <v>82.5</v>
      </c>
      <c r="AI79" s="4">
        <f t="shared" si="295"/>
        <v>82.5</v>
      </c>
      <c r="AJ79" s="4">
        <f t="shared" si="295"/>
        <v>82.5</v>
      </c>
      <c r="AK79" s="4">
        <f t="shared" si="295"/>
        <v>82.5</v>
      </c>
      <c r="AL79" s="4">
        <f t="shared" si="295"/>
        <v>82.5</v>
      </c>
      <c r="AM79" s="4">
        <f t="shared" si="295"/>
        <v>82.5</v>
      </c>
      <c r="AN79" s="4">
        <f t="shared" si="295"/>
        <v>82.5</v>
      </c>
      <c r="AO79" s="4">
        <f t="shared" si="295"/>
        <v>82.5</v>
      </c>
      <c r="AP79" s="4">
        <f t="shared" si="295"/>
        <v>82.5</v>
      </c>
      <c r="AQ79" s="4">
        <f t="shared" si="295"/>
        <v>82.5</v>
      </c>
      <c r="AR79" s="4">
        <f t="shared" si="295"/>
        <v>82.5</v>
      </c>
      <c r="AS79" s="4">
        <f t="shared" si="295"/>
        <v>82.5</v>
      </c>
      <c r="AT79" s="4">
        <f t="shared" ref="AT79" si="310">AS79+10%*AS79</f>
        <v>90.75</v>
      </c>
      <c r="AU79" s="4">
        <f t="shared" ref="AU79:BE79" si="311">AT79</f>
        <v>90.75</v>
      </c>
      <c r="AV79" s="4">
        <f t="shared" si="311"/>
        <v>90.75</v>
      </c>
      <c r="AW79" s="4">
        <f t="shared" si="311"/>
        <v>90.75</v>
      </c>
      <c r="AX79" s="4">
        <f t="shared" si="311"/>
        <v>90.75</v>
      </c>
      <c r="AY79" s="4">
        <f t="shared" si="311"/>
        <v>90.75</v>
      </c>
      <c r="AZ79" s="4">
        <f t="shared" si="311"/>
        <v>90.75</v>
      </c>
      <c r="BA79" s="4">
        <f t="shared" si="311"/>
        <v>90.75</v>
      </c>
      <c r="BB79" s="4">
        <f t="shared" si="311"/>
        <v>90.75</v>
      </c>
      <c r="BC79" s="4">
        <f t="shared" si="311"/>
        <v>90.75</v>
      </c>
      <c r="BD79" s="4">
        <f t="shared" si="311"/>
        <v>90.75</v>
      </c>
      <c r="BE79" s="4">
        <f t="shared" si="311"/>
        <v>90.75</v>
      </c>
      <c r="BF79" s="4">
        <f t="shared" si="298"/>
        <v>90.75</v>
      </c>
      <c r="BG79" s="4">
        <f t="shared" si="299"/>
        <v>90.75</v>
      </c>
      <c r="BH79" s="4">
        <f t="shared" si="300"/>
        <v>90.75</v>
      </c>
      <c r="BI79" s="4">
        <f t="shared" si="301"/>
        <v>90.75</v>
      </c>
      <c r="BJ79" s="4">
        <f t="shared" si="302"/>
        <v>90.75</v>
      </c>
      <c r="BK79" s="4">
        <f t="shared" si="303"/>
        <v>90.75</v>
      </c>
      <c r="BL79" s="4">
        <f t="shared" si="304"/>
        <v>90.75</v>
      </c>
      <c r="BM79" s="4">
        <f t="shared" si="305"/>
        <v>90.75</v>
      </c>
      <c r="BN79" s="4">
        <f t="shared" si="306"/>
        <v>90.75</v>
      </c>
      <c r="BO79" s="4">
        <f t="shared" si="307"/>
        <v>90.75</v>
      </c>
      <c r="BP79" s="4">
        <f t="shared" si="308"/>
        <v>90.75</v>
      </c>
      <c r="BQ79" s="4">
        <f t="shared" si="309"/>
        <v>90.75</v>
      </c>
    </row>
    <row r="80" spans="1:69">
      <c r="A80" s="73"/>
      <c r="B80" s="143" t="s">
        <v>373</v>
      </c>
      <c r="C80" s="143"/>
      <c r="D80" s="143"/>
      <c r="L80" s="4">
        <v>0</v>
      </c>
      <c r="M80" s="4">
        <v>0</v>
      </c>
      <c r="N80" s="4">
        <v>0</v>
      </c>
      <c r="O80" s="4">
        <v>0</v>
      </c>
      <c r="P80" s="4">
        <v>0</v>
      </c>
      <c r="Q80" s="4">
        <v>0</v>
      </c>
      <c r="R80" s="4">
        <v>0</v>
      </c>
      <c r="S80" s="4">
        <v>0</v>
      </c>
      <c r="T80" s="4">
        <v>0</v>
      </c>
      <c r="U80" s="4">
        <v>0</v>
      </c>
      <c r="V80" s="4">
        <v>0</v>
      </c>
      <c r="W80" s="4">
        <v>0</v>
      </c>
      <c r="X80" s="4">
        <v>0</v>
      </c>
      <c r="Y80" s="4">
        <v>100</v>
      </c>
      <c r="Z80" s="4">
        <v>100</v>
      </c>
      <c r="AA80" s="4">
        <v>100</v>
      </c>
      <c r="AB80" s="4">
        <v>100</v>
      </c>
      <c r="AC80" s="4">
        <v>100</v>
      </c>
      <c r="AD80" s="4">
        <v>100</v>
      </c>
      <c r="AE80" s="4">
        <v>100</v>
      </c>
      <c r="AF80" s="4">
        <v>100</v>
      </c>
      <c r="AG80" s="4">
        <v>100</v>
      </c>
      <c r="AH80" s="4">
        <f t="shared" si="294"/>
        <v>110</v>
      </c>
      <c r="AI80" s="4">
        <f t="shared" si="295"/>
        <v>110</v>
      </c>
      <c r="AJ80" s="4">
        <f t="shared" si="295"/>
        <v>110</v>
      </c>
      <c r="AK80" s="4">
        <f t="shared" si="295"/>
        <v>110</v>
      </c>
      <c r="AL80" s="4">
        <f t="shared" si="295"/>
        <v>110</v>
      </c>
      <c r="AM80" s="4">
        <f t="shared" si="295"/>
        <v>110</v>
      </c>
      <c r="AN80" s="4">
        <f t="shared" si="295"/>
        <v>110</v>
      </c>
      <c r="AO80" s="4">
        <f t="shared" si="295"/>
        <v>110</v>
      </c>
      <c r="AP80" s="4">
        <f t="shared" si="295"/>
        <v>110</v>
      </c>
      <c r="AQ80" s="4">
        <f t="shared" si="295"/>
        <v>110</v>
      </c>
      <c r="AR80" s="4">
        <f t="shared" si="295"/>
        <v>110</v>
      </c>
      <c r="AS80" s="4">
        <f t="shared" si="295"/>
        <v>110</v>
      </c>
      <c r="AT80" s="4">
        <f t="shared" ref="AT80" si="312">AS80+10%*AS80</f>
        <v>121</v>
      </c>
      <c r="AU80" s="4">
        <f t="shared" ref="AU80:BE80" si="313">AT80</f>
        <v>121</v>
      </c>
      <c r="AV80" s="4">
        <f t="shared" si="313"/>
        <v>121</v>
      </c>
      <c r="AW80" s="4">
        <f t="shared" si="313"/>
        <v>121</v>
      </c>
      <c r="AX80" s="4">
        <f t="shared" si="313"/>
        <v>121</v>
      </c>
      <c r="AY80" s="4">
        <f t="shared" si="313"/>
        <v>121</v>
      </c>
      <c r="AZ80" s="4">
        <f t="shared" si="313"/>
        <v>121</v>
      </c>
      <c r="BA80" s="4">
        <f t="shared" si="313"/>
        <v>121</v>
      </c>
      <c r="BB80" s="4">
        <f t="shared" si="313"/>
        <v>121</v>
      </c>
      <c r="BC80" s="4">
        <f t="shared" si="313"/>
        <v>121</v>
      </c>
      <c r="BD80" s="4">
        <f t="shared" si="313"/>
        <v>121</v>
      </c>
      <c r="BE80" s="4">
        <f t="shared" si="313"/>
        <v>121</v>
      </c>
      <c r="BF80" s="4">
        <f t="shared" si="298"/>
        <v>121</v>
      </c>
      <c r="BG80" s="4">
        <f t="shared" si="299"/>
        <v>121</v>
      </c>
      <c r="BH80" s="4">
        <f t="shared" si="300"/>
        <v>121</v>
      </c>
      <c r="BI80" s="4">
        <f t="shared" si="301"/>
        <v>121</v>
      </c>
      <c r="BJ80" s="4">
        <f t="shared" si="302"/>
        <v>121</v>
      </c>
      <c r="BK80" s="4">
        <f t="shared" si="303"/>
        <v>121</v>
      </c>
      <c r="BL80" s="4">
        <f t="shared" si="304"/>
        <v>121</v>
      </c>
      <c r="BM80" s="4">
        <f t="shared" si="305"/>
        <v>121</v>
      </c>
      <c r="BN80" s="4">
        <f t="shared" si="306"/>
        <v>121</v>
      </c>
      <c r="BO80" s="4">
        <f t="shared" si="307"/>
        <v>121</v>
      </c>
      <c r="BP80" s="4">
        <f t="shared" si="308"/>
        <v>121</v>
      </c>
      <c r="BQ80" s="4">
        <f t="shared" si="309"/>
        <v>121</v>
      </c>
    </row>
    <row r="82" spans="2:69">
      <c r="B82" s="3" t="s">
        <v>370</v>
      </c>
    </row>
    <row r="83" spans="2:69">
      <c r="B83" s="4" t="s">
        <v>369</v>
      </c>
      <c r="J83" s="4">
        <v>200</v>
      </c>
      <c r="K83" s="4">
        <v>200</v>
      </c>
      <c r="L83" s="4">
        <v>200</v>
      </c>
      <c r="M83" s="4">
        <v>200</v>
      </c>
      <c r="N83" s="4">
        <v>200</v>
      </c>
      <c r="O83" s="4">
        <v>200</v>
      </c>
      <c r="P83" s="4">
        <v>200</v>
      </c>
      <c r="Q83" s="4">
        <v>200</v>
      </c>
      <c r="R83" s="4">
        <v>200</v>
      </c>
      <c r="S83" s="4">
        <v>200</v>
      </c>
      <c r="T83" s="4">
        <v>200</v>
      </c>
      <c r="U83" s="4">
        <v>200</v>
      </c>
      <c r="V83" s="4">
        <v>200</v>
      </c>
      <c r="W83" s="4">
        <v>200</v>
      </c>
      <c r="X83" s="4">
        <v>200</v>
      </c>
      <c r="Y83" s="4">
        <v>200</v>
      </c>
      <c r="Z83" s="4">
        <v>200</v>
      </c>
      <c r="AA83" s="4">
        <v>200</v>
      </c>
      <c r="AB83" s="4">
        <v>200</v>
      </c>
      <c r="AC83" s="4">
        <v>200</v>
      </c>
      <c r="AD83" s="4">
        <v>200</v>
      </c>
      <c r="AE83" s="4">
        <v>200</v>
      </c>
      <c r="AF83" s="4">
        <v>200</v>
      </c>
      <c r="AG83" s="4">
        <v>200</v>
      </c>
      <c r="AH83" s="4">
        <f t="shared" ref="AH83" si="314">AG83+10%*AG83</f>
        <v>220</v>
      </c>
      <c r="AI83" s="4">
        <f t="shared" ref="AI83:AS83" si="315">AH83</f>
        <v>220</v>
      </c>
      <c r="AJ83" s="4">
        <f t="shared" si="315"/>
        <v>220</v>
      </c>
      <c r="AK83" s="4">
        <f t="shared" si="315"/>
        <v>220</v>
      </c>
      <c r="AL83" s="4">
        <f t="shared" si="315"/>
        <v>220</v>
      </c>
      <c r="AM83" s="4">
        <f t="shared" si="315"/>
        <v>220</v>
      </c>
      <c r="AN83" s="4">
        <f t="shared" si="315"/>
        <v>220</v>
      </c>
      <c r="AO83" s="4">
        <f t="shared" si="315"/>
        <v>220</v>
      </c>
      <c r="AP83" s="4">
        <f t="shared" si="315"/>
        <v>220</v>
      </c>
      <c r="AQ83" s="4">
        <f t="shared" si="315"/>
        <v>220</v>
      </c>
      <c r="AR83" s="4">
        <f t="shared" si="315"/>
        <v>220</v>
      </c>
      <c r="AS83" s="4">
        <f t="shared" si="315"/>
        <v>220</v>
      </c>
      <c r="AT83" s="4">
        <f t="shared" ref="AT83" si="316">AS83+10%*AS83</f>
        <v>242</v>
      </c>
      <c r="AU83" s="4">
        <f t="shared" ref="AU83:BE83" si="317">AT83</f>
        <v>242</v>
      </c>
      <c r="AV83" s="4">
        <f t="shared" si="317"/>
        <v>242</v>
      </c>
      <c r="AW83" s="4">
        <f t="shared" si="317"/>
        <v>242</v>
      </c>
      <c r="AX83" s="4">
        <f t="shared" si="317"/>
        <v>242</v>
      </c>
      <c r="AY83" s="4">
        <f t="shared" si="317"/>
        <v>242</v>
      </c>
      <c r="AZ83" s="4">
        <f t="shared" si="317"/>
        <v>242</v>
      </c>
      <c r="BA83" s="4">
        <f t="shared" si="317"/>
        <v>242</v>
      </c>
      <c r="BB83" s="4">
        <f t="shared" si="317"/>
        <v>242</v>
      </c>
      <c r="BC83" s="4">
        <f t="shared" si="317"/>
        <v>242</v>
      </c>
      <c r="BD83" s="4">
        <f t="shared" si="317"/>
        <v>242</v>
      </c>
      <c r="BE83" s="4">
        <f t="shared" si="317"/>
        <v>242</v>
      </c>
      <c r="BF83" s="4">
        <f t="shared" ref="BF83" si="318">BE83</f>
        <v>242</v>
      </c>
      <c r="BG83" s="4">
        <f t="shared" ref="BG83" si="319">BF83</f>
        <v>242</v>
      </c>
      <c r="BH83" s="4">
        <f t="shared" ref="BH83" si="320">BG83</f>
        <v>242</v>
      </c>
      <c r="BI83" s="4">
        <f t="shared" ref="BI83" si="321">BH83</f>
        <v>242</v>
      </c>
      <c r="BJ83" s="4">
        <f t="shared" ref="BJ83" si="322">BI83</f>
        <v>242</v>
      </c>
      <c r="BK83" s="4">
        <f t="shared" ref="BK83" si="323">BJ83</f>
        <v>242</v>
      </c>
      <c r="BL83" s="4">
        <f t="shared" ref="BL83" si="324">BK83</f>
        <v>242</v>
      </c>
      <c r="BM83" s="4">
        <f t="shared" ref="BM83" si="325">BL83</f>
        <v>242</v>
      </c>
      <c r="BN83" s="4">
        <f t="shared" ref="BN83" si="326">BM83</f>
        <v>242</v>
      </c>
      <c r="BO83" s="4">
        <f t="shared" ref="BO83" si="327">BN83</f>
        <v>242</v>
      </c>
      <c r="BP83" s="4">
        <f t="shared" ref="BP83" si="328">BO83</f>
        <v>242</v>
      </c>
      <c r="BQ83" s="4">
        <f t="shared" ref="BQ83" si="329">BP83</f>
        <v>242</v>
      </c>
    </row>
    <row r="87" spans="2:69">
      <c r="B87" s="3" t="s">
        <v>279</v>
      </c>
    </row>
    <row r="88" spans="2:69">
      <c r="B88" s="3" t="s">
        <v>280</v>
      </c>
    </row>
    <row r="89" spans="2:69">
      <c r="B89" s="4" t="s">
        <v>281</v>
      </c>
      <c r="J89" s="4">
        <v>623</v>
      </c>
      <c r="K89" s="4">
        <v>623</v>
      </c>
      <c r="L89" s="4">
        <v>623</v>
      </c>
      <c r="M89" s="4">
        <v>623</v>
      </c>
      <c r="N89" s="4">
        <v>623</v>
      </c>
      <c r="O89" s="4">
        <v>623</v>
      </c>
      <c r="P89" s="4">
        <v>623</v>
      </c>
      <c r="Q89" s="4">
        <v>623</v>
      </c>
      <c r="R89" s="4">
        <v>623</v>
      </c>
      <c r="S89" s="4">
        <v>623</v>
      </c>
      <c r="T89" s="4">
        <v>623</v>
      </c>
      <c r="U89" s="4">
        <v>623</v>
      </c>
      <c r="V89" s="4">
        <v>623</v>
      </c>
      <c r="W89" s="4">
        <v>623</v>
      </c>
      <c r="X89" s="4">
        <v>623</v>
      </c>
      <c r="Y89" s="4">
        <v>623</v>
      </c>
      <c r="Z89" s="4">
        <v>623</v>
      </c>
      <c r="AA89" s="4">
        <v>623</v>
      </c>
      <c r="AB89" s="4">
        <v>623</v>
      </c>
      <c r="AC89" s="4">
        <v>623</v>
      </c>
      <c r="AD89" s="4">
        <v>623</v>
      </c>
      <c r="AE89" s="4">
        <v>623</v>
      </c>
      <c r="AF89" s="4">
        <v>623</v>
      </c>
      <c r="AG89" s="4">
        <v>623</v>
      </c>
      <c r="AH89" s="4">
        <v>623</v>
      </c>
      <c r="AI89" s="4">
        <v>623</v>
      </c>
      <c r="AJ89" s="4">
        <v>623</v>
      </c>
      <c r="AK89" s="4">
        <v>623</v>
      </c>
      <c r="AL89" s="4">
        <v>623</v>
      </c>
      <c r="AM89" s="4">
        <v>623</v>
      </c>
      <c r="AN89" s="4">
        <v>623</v>
      </c>
      <c r="AO89" s="4">
        <v>623</v>
      </c>
      <c r="AP89" s="4">
        <v>623</v>
      </c>
      <c r="AQ89" s="4">
        <v>623</v>
      </c>
      <c r="AR89" s="4">
        <v>623</v>
      </c>
      <c r="AS89" s="4">
        <v>623</v>
      </c>
      <c r="AT89" s="4">
        <v>623</v>
      </c>
      <c r="AU89" s="4">
        <v>623</v>
      </c>
      <c r="AV89" s="4">
        <v>623</v>
      </c>
      <c r="AW89" s="4">
        <v>623</v>
      </c>
      <c r="AX89" s="4">
        <v>623</v>
      </c>
      <c r="AY89" s="4">
        <v>623</v>
      </c>
      <c r="AZ89" s="4">
        <v>623</v>
      </c>
      <c r="BA89" s="4">
        <v>623</v>
      </c>
      <c r="BB89" s="4">
        <v>623</v>
      </c>
      <c r="BC89" s="4">
        <v>623</v>
      </c>
      <c r="BD89" s="4">
        <v>623</v>
      </c>
      <c r="BE89" s="4">
        <v>623</v>
      </c>
      <c r="BF89" s="4">
        <v>623</v>
      </c>
      <c r="BG89" s="4">
        <v>623</v>
      </c>
      <c r="BH89" s="4">
        <v>623</v>
      </c>
      <c r="BI89" s="4">
        <v>623</v>
      </c>
      <c r="BJ89" s="4">
        <v>623</v>
      </c>
      <c r="BK89" s="4">
        <v>623</v>
      </c>
      <c r="BL89" s="4">
        <v>623</v>
      </c>
      <c r="BM89" s="4">
        <v>623</v>
      </c>
      <c r="BN89" s="4">
        <v>623</v>
      </c>
      <c r="BO89" s="4">
        <v>623</v>
      </c>
      <c r="BP89" s="4">
        <v>623</v>
      </c>
      <c r="BQ89" s="4">
        <v>623</v>
      </c>
    </row>
    <row r="90" spans="2:69">
      <c r="B90" s="4" t="s">
        <v>282</v>
      </c>
      <c r="J90" s="4">
        <v>600</v>
      </c>
      <c r="K90" s="4">
        <v>600</v>
      </c>
      <c r="L90" s="4">
        <v>600</v>
      </c>
      <c r="M90" s="4">
        <v>600</v>
      </c>
      <c r="N90" s="4">
        <v>600</v>
      </c>
      <c r="O90" s="4">
        <v>600</v>
      </c>
      <c r="P90" s="4">
        <v>600</v>
      </c>
      <c r="Q90" s="4">
        <v>600</v>
      </c>
      <c r="R90" s="4">
        <v>600</v>
      </c>
      <c r="S90" s="4">
        <v>600</v>
      </c>
      <c r="T90" s="4">
        <v>600</v>
      </c>
      <c r="U90" s="4">
        <v>600</v>
      </c>
      <c r="V90" s="4">
        <v>600</v>
      </c>
      <c r="W90" s="4">
        <v>600</v>
      </c>
      <c r="X90" s="4">
        <v>600</v>
      </c>
      <c r="Y90" s="4">
        <v>600</v>
      </c>
      <c r="Z90" s="4">
        <v>600</v>
      </c>
      <c r="AA90" s="4">
        <v>600</v>
      </c>
      <c r="AB90" s="4">
        <v>600</v>
      </c>
      <c r="AC90" s="4">
        <v>600</v>
      </c>
      <c r="AD90" s="4">
        <v>600</v>
      </c>
      <c r="AE90" s="4">
        <v>600</v>
      </c>
      <c r="AF90" s="4">
        <v>600</v>
      </c>
      <c r="AG90" s="4">
        <v>600</v>
      </c>
      <c r="AH90" s="4">
        <v>600</v>
      </c>
      <c r="AI90" s="4">
        <v>600</v>
      </c>
      <c r="AJ90" s="4">
        <v>600</v>
      </c>
      <c r="AK90" s="4">
        <v>600</v>
      </c>
      <c r="AL90" s="4">
        <v>600</v>
      </c>
      <c r="AM90" s="4">
        <v>600</v>
      </c>
      <c r="AN90" s="4">
        <v>600</v>
      </c>
      <c r="AO90" s="4">
        <v>600</v>
      </c>
      <c r="AP90" s="4">
        <v>600</v>
      </c>
      <c r="AQ90" s="4">
        <v>600</v>
      </c>
      <c r="AR90" s="4">
        <v>600</v>
      </c>
      <c r="AS90" s="4">
        <v>600</v>
      </c>
      <c r="AT90" s="4">
        <v>600</v>
      </c>
      <c r="AU90" s="4">
        <v>600</v>
      </c>
      <c r="AV90" s="4">
        <v>600</v>
      </c>
      <c r="AW90" s="4">
        <v>600</v>
      </c>
      <c r="AX90" s="4">
        <v>600</v>
      </c>
      <c r="AY90" s="4">
        <v>600</v>
      </c>
      <c r="AZ90" s="4">
        <v>600</v>
      </c>
      <c r="BA90" s="4">
        <v>600</v>
      </c>
      <c r="BB90" s="4">
        <v>600</v>
      </c>
      <c r="BC90" s="4">
        <v>600</v>
      </c>
      <c r="BD90" s="4">
        <v>600</v>
      </c>
      <c r="BE90" s="4">
        <v>600</v>
      </c>
      <c r="BF90" s="4">
        <v>600</v>
      </c>
      <c r="BG90" s="4">
        <v>600</v>
      </c>
      <c r="BH90" s="4">
        <v>600</v>
      </c>
      <c r="BI90" s="4">
        <v>600</v>
      </c>
      <c r="BJ90" s="4">
        <v>600</v>
      </c>
      <c r="BK90" s="4">
        <v>600</v>
      </c>
      <c r="BL90" s="4">
        <v>600</v>
      </c>
      <c r="BM90" s="4">
        <v>600</v>
      </c>
      <c r="BN90" s="4">
        <v>600</v>
      </c>
      <c r="BO90" s="4">
        <v>600</v>
      </c>
      <c r="BP90" s="4">
        <v>600</v>
      </c>
      <c r="BQ90" s="4">
        <v>600</v>
      </c>
    </row>
    <row r="91" spans="2:69">
      <c r="B91" s="4" t="s">
        <v>283</v>
      </c>
      <c r="J91" s="4">
        <v>48</v>
      </c>
      <c r="K91" s="4">
        <v>48</v>
      </c>
      <c r="L91" s="4">
        <v>48</v>
      </c>
      <c r="M91" s="4">
        <v>48</v>
      </c>
      <c r="N91" s="4">
        <v>48</v>
      </c>
      <c r="O91" s="4">
        <v>48</v>
      </c>
      <c r="P91" s="4">
        <v>48</v>
      </c>
      <c r="Q91" s="4">
        <v>48</v>
      </c>
      <c r="R91" s="4">
        <v>48</v>
      </c>
      <c r="S91" s="4">
        <v>48</v>
      </c>
      <c r="T91" s="4">
        <v>48</v>
      </c>
      <c r="U91" s="4">
        <v>48</v>
      </c>
      <c r="V91" s="4">
        <v>48</v>
      </c>
      <c r="W91" s="4">
        <v>48</v>
      </c>
      <c r="X91" s="4">
        <v>48</v>
      </c>
      <c r="Y91" s="4">
        <v>48</v>
      </c>
      <c r="Z91" s="4">
        <v>48</v>
      </c>
      <c r="AA91" s="4">
        <v>48</v>
      </c>
      <c r="AB91" s="4">
        <v>48</v>
      </c>
      <c r="AC91" s="4">
        <v>48</v>
      </c>
      <c r="AD91" s="4">
        <v>48</v>
      </c>
      <c r="AE91" s="4">
        <v>48</v>
      </c>
      <c r="AF91" s="4">
        <v>48</v>
      </c>
      <c r="AG91" s="4">
        <v>48</v>
      </c>
      <c r="AH91" s="4">
        <v>48</v>
      </c>
      <c r="AI91" s="4">
        <v>48</v>
      </c>
      <c r="AJ91" s="4">
        <v>48</v>
      </c>
      <c r="AK91" s="4">
        <v>48</v>
      </c>
      <c r="AL91" s="4">
        <v>48</v>
      </c>
      <c r="AM91" s="4">
        <v>48</v>
      </c>
      <c r="AN91" s="4">
        <v>48</v>
      </c>
      <c r="AO91" s="4">
        <v>48</v>
      </c>
      <c r="AP91" s="4">
        <v>48</v>
      </c>
      <c r="AQ91" s="4">
        <v>48</v>
      </c>
      <c r="AR91" s="4">
        <v>48</v>
      </c>
      <c r="AS91" s="4">
        <v>48</v>
      </c>
      <c r="AT91" s="4">
        <v>48</v>
      </c>
      <c r="AU91" s="4">
        <v>48</v>
      </c>
      <c r="AV91" s="4">
        <v>48</v>
      </c>
      <c r="AW91" s="4">
        <v>48</v>
      </c>
      <c r="AX91" s="4">
        <v>48</v>
      </c>
      <c r="AY91" s="4">
        <v>48</v>
      </c>
      <c r="AZ91" s="4">
        <v>48</v>
      </c>
      <c r="BA91" s="4">
        <v>48</v>
      </c>
      <c r="BB91" s="4">
        <v>48</v>
      </c>
      <c r="BC91" s="4">
        <v>48</v>
      </c>
      <c r="BD91" s="4">
        <v>48</v>
      </c>
      <c r="BE91" s="4">
        <v>48</v>
      </c>
      <c r="BF91" s="4">
        <v>48</v>
      </c>
      <c r="BG91" s="4">
        <v>48</v>
      </c>
      <c r="BH91" s="4">
        <v>48</v>
      </c>
      <c r="BI91" s="4">
        <v>48</v>
      </c>
      <c r="BJ91" s="4">
        <v>48</v>
      </c>
      <c r="BK91" s="4">
        <v>48</v>
      </c>
      <c r="BL91" s="4">
        <v>48</v>
      </c>
      <c r="BM91" s="4">
        <v>48</v>
      </c>
      <c r="BN91" s="4">
        <v>48</v>
      </c>
      <c r="BO91" s="4">
        <v>48</v>
      </c>
      <c r="BP91" s="4">
        <v>48</v>
      </c>
      <c r="BQ91" s="4">
        <v>48</v>
      </c>
    </row>
    <row r="92" spans="2:69">
      <c r="B92" s="4" t="s">
        <v>284</v>
      </c>
      <c r="J92" s="4">
        <v>200</v>
      </c>
      <c r="K92" s="4">
        <v>200</v>
      </c>
      <c r="L92" s="4">
        <v>200</v>
      </c>
      <c r="M92" s="4">
        <v>200</v>
      </c>
      <c r="N92" s="4">
        <v>200</v>
      </c>
      <c r="O92" s="4">
        <v>200</v>
      </c>
      <c r="P92" s="4">
        <v>200</v>
      </c>
      <c r="Q92" s="4">
        <v>200</v>
      </c>
      <c r="R92" s="4">
        <v>200</v>
      </c>
      <c r="S92" s="4">
        <v>200</v>
      </c>
      <c r="T92" s="4">
        <v>200</v>
      </c>
      <c r="U92" s="4">
        <v>200</v>
      </c>
      <c r="V92" s="4">
        <v>200</v>
      </c>
      <c r="W92" s="4">
        <v>200</v>
      </c>
      <c r="X92" s="4">
        <v>200</v>
      </c>
      <c r="Y92" s="4">
        <v>200</v>
      </c>
      <c r="Z92" s="4">
        <v>200</v>
      </c>
      <c r="AA92" s="4">
        <v>200</v>
      </c>
      <c r="AB92" s="4">
        <v>200</v>
      </c>
      <c r="AC92" s="4">
        <v>200</v>
      </c>
      <c r="AD92" s="4">
        <v>200</v>
      </c>
      <c r="AE92" s="4">
        <v>200</v>
      </c>
      <c r="AF92" s="4">
        <v>200</v>
      </c>
      <c r="AG92" s="4">
        <v>200</v>
      </c>
      <c r="AH92" s="4">
        <v>200</v>
      </c>
      <c r="AI92" s="4">
        <v>200</v>
      </c>
      <c r="AJ92" s="4">
        <v>200</v>
      </c>
      <c r="AK92" s="4">
        <v>200</v>
      </c>
      <c r="AL92" s="4">
        <v>200</v>
      </c>
      <c r="AM92" s="4">
        <v>200</v>
      </c>
      <c r="AN92" s="4">
        <v>200</v>
      </c>
      <c r="AO92" s="4">
        <v>200</v>
      </c>
      <c r="AP92" s="4">
        <v>200</v>
      </c>
      <c r="AQ92" s="4">
        <v>200</v>
      </c>
      <c r="AR92" s="4">
        <v>200</v>
      </c>
      <c r="AS92" s="4">
        <v>200</v>
      </c>
      <c r="AT92" s="4">
        <v>200</v>
      </c>
      <c r="AU92" s="4">
        <v>200</v>
      </c>
      <c r="AV92" s="4">
        <v>200</v>
      </c>
      <c r="AW92" s="4">
        <v>200</v>
      </c>
      <c r="AX92" s="4">
        <v>200</v>
      </c>
      <c r="AY92" s="4">
        <v>200</v>
      </c>
      <c r="AZ92" s="4">
        <v>200</v>
      </c>
      <c r="BA92" s="4">
        <v>200</v>
      </c>
      <c r="BB92" s="4">
        <v>200</v>
      </c>
      <c r="BC92" s="4">
        <v>200</v>
      </c>
      <c r="BD92" s="4">
        <v>200</v>
      </c>
      <c r="BE92" s="4">
        <v>200</v>
      </c>
      <c r="BF92" s="4">
        <v>200</v>
      </c>
      <c r="BG92" s="4">
        <v>200</v>
      </c>
      <c r="BH92" s="4">
        <v>200</v>
      </c>
      <c r="BI92" s="4">
        <v>200</v>
      </c>
      <c r="BJ92" s="4">
        <v>200</v>
      </c>
      <c r="BK92" s="4">
        <v>200</v>
      </c>
      <c r="BL92" s="4">
        <v>200</v>
      </c>
      <c r="BM92" s="4">
        <v>200</v>
      </c>
      <c r="BN92" s="4">
        <v>200</v>
      </c>
      <c r="BO92" s="4">
        <v>200</v>
      </c>
      <c r="BP92" s="4">
        <v>200</v>
      </c>
      <c r="BQ92" s="4">
        <v>200</v>
      </c>
    </row>
    <row r="93" spans="2:69">
      <c r="B93" s="4" t="s">
        <v>288</v>
      </c>
      <c r="J93" s="4">
        <v>22.5</v>
      </c>
      <c r="K93" s="4">
        <v>22.5</v>
      </c>
      <c r="L93" s="4">
        <v>22.5</v>
      </c>
      <c r="M93" s="4">
        <v>22.5</v>
      </c>
      <c r="N93" s="4">
        <v>22.5</v>
      </c>
      <c r="O93" s="4">
        <v>22.5</v>
      </c>
      <c r="P93" s="4">
        <v>22.5</v>
      </c>
      <c r="Q93" s="4">
        <v>22.5</v>
      </c>
      <c r="R93" s="4">
        <v>22.5</v>
      </c>
      <c r="S93" s="4">
        <v>22.5</v>
      </c>
      <c r="T93" s="4">
        <v>22.5</v>
      </c>
      <c r="U93" s="4">
        <v>22.5</v>
      </c>
      <c r="V93" s="4">
        <v>22.5</v>
      </c>
      <c r="W93" s="4">
        <v>22.5</v>
      </c>
      <c r="X93" s="4">
        <v>22.5</v>
      </c>
      <c r="Y93" s="4">
        <v>22.5</v>
      </c>
      <c r="Z93" s="4">
        <v>22.5</v>
      </c>
      <c r="AA93" s="4">
        <v>22.5</v>
      </c>
      <c r="AB93" s="4">
        <v>22.5</v>
      </c>
      <c r="AC93" s="4">
        <v>22.5</v>
      </c>
      <c r="AD93" s="4">
        <v>22.5</v>
      </c>
      <c r="AE93" s="4">
        <v>22.5</v>
      </c>
      <c r="AF93" s="4">
        <v>22.5</v>
      </c>
      <c r="AG93" s="4">
        <v>22.5</v>
      </c>
      <c r="AH93" s="4">
        <v>22.5</v>
      </c>
      <c r="AI93" s="4">
        <v>22.5</v>
      </c>
      <c r="AJ93" s="4">
        <v>22.5</v>
      </c>
      <c r="AK93" s="4">
        <v>22.5</v>
      </c>
      <c r="AL93" s="4">
        <v>22.5</v>
      </c>
      <c r="AM93" s="4">
        <v>22.5</v>
      </c>
      <c r="AN93" s="4">
        <v>22.5</v>
      </c>
      <c r="AO93" s="4">
        <v>22.5</v>
      </c>
      <c r="AP93" s="4">
        <v>22.5</v>
      </c>
      <c r="AQ93" s="4">
        <v>22.5</v>
      </c>
      <c r="AR93" s="4">
        <v>22.5</v>
      </c>
      <c r="AS93" s="4">
        <v>22.5</v>
      </c>
      <c r="AT93" s="4">
        <v>22.5</v>
      </c>
      <c r="AU93" s="4">
        <v>22.5</v>
      </c>
      <c r="AV93" s="4">
        <v>22.5</v>
      </c>
      <c r="AW93" s="4">
        <v>22.5</v>
      </c>
      <c r="AX93" s="4">
        <v>22.5</v>
      </c>
      <c r="AY93" s="4">
        <v>22.5</v>
      </c>
      <c r="AZ93" s="4">
        <v>22.5</v>
      </c>
      <c r="BA93" s="4">
        <v>22.5</v>
      </c>
      <c r="BB93" s="4">
        <v>22.5</v>
      </c>
      <c r="BC93" s="4">
        <v>22.5</v>
      </c>
      <c r="BD93" s="4">
        <v>22.5</v>
      </c>
      <c r="BE93" s="4">
        <v>22.5</v>
      </c>
      <c r="BF93" s="4">
        <v>22.5</v>
      </c>
      <c r="BG93" s="4">
        <v>22.5</v>
      </c>
      <c r="BH93" s="4">
        <v>22.5</v>
      </c>
      <c r="BI93" s="4">
        <v>22.5</v>
      </c>
      <c r="BJ93" s="4">
        <v>22.5</v>
      </c>
      <c r="BK93" s="4">
        <v>22.5</v>
      </c>
      <c r="BL93" s="4">
        <v>22.5</v>
      </c>
      <c r="BM93" s="4">
        <v>22.5</v>
      </c>
      <c r="BN93" s="4">
        <v>22.5</v>
      </c>
      <c r="BO93" s="4">
        <v>22.5</v>
      </c>
      <c r="BP93" s="4">
        <v>22.5</v>
      </c>
      <c r="BQ93" s="4">
        <v>22.5</v>
      </c>
    </row>
    <row r="94" spans="2:69">
      <c r="B94" s="4" t="s">
        <v>285</v>
      </c>
      <c r="J94" s="4">
        <v>0</v>
      </c>
      <c r="K94" s="4">
        <v>0</v>
      </c>
      <c r="L94" s="4">
        <v>0</v>
      </c>
      <c r="M94" s="4">
        <v>0</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c r="AE94" s="4">
        <v>0</v>
      </c>
      <c r="AF94" s="4">
        <v>0</v>
      </c>
      <c r="AG94" s="4">
        <v>0</v>
      </c>
      <c r="AH94" s="4">
        <v>0</v>
      </c>
      <c r="AI94" s="4">
        <v>0</v>
      </c>
      <c r="AJ94" s="4">
        <v>0</v>
      </c>
      <c r="AK94" s="4">
        <v>0</v>
      </c>
      <c r="AL94" s="4">
        <v>0</v>
      </c>
      <c r="AM94" s="4">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4">
        <v>0</v>
      </c>
      <c r="BF94" s="4">
        <v>0</v>
      </c>
      <c r="BG94" s="4">
        <v>0</v>
      </c>
      <c r="BH94" s="4">
        <v>0</v>
      </c>
      <c r="BI94" s="4">
        <v>0</v>
      </c>
      <c r="BJ94" s="4">
        <v>0</v>
      </c>
      <c r="BK94" s="4">
        <v>0</v>
      </c>
      <c r="BL94" s="4">
        <v>0</v>
      </c>
      <c r="BM94" s="4">
        <v>0</v>
      </c>
      <c r="BN94" s="4">
        <v>0</v>
      </c>
      <c r="BO94" s="4">
        <v>0</v>
      </c>
      <c r="BP94" s="4">
        <v>0</v>
      </c>
      <c r="BQ94" s="4">
        <v>0</v>
      </c>
    </row>
    <row r="95" spans="2:69">
      <c r="B95" s="4" t="s">
        <v>286</v>
      </c>
      <c r="J95" s="4">
        <v>0</v>
      </c>
      <c r="K95" s="4">
        <v>0</v>
      </c>
      <c r="L95" s="4">
        <v>0</v>
      </c>
      <c r="M95" s="4">
        <v>0</v>
      </c>
      <c r="N95" s="4">
        <v>0</v>
      </c>
      <c r="O95" s="4">
        <v>0</v>
      </c>
      <c r="P95" s="4">
        <v>0</v>
      </c>
      <c r="Q95" s="4">
        <v>0</v>
      </c>
      <c r="R95" s="4">
        <v>0</v>
      </c>
      <c r="S95" s="4">
        <v>0</v>
      </c>
      <c r="T95" s="4">
        <v>0</v>
      </c>
      <c r="U95" s="4">
        <v>0</v>
      </c>
      <c r="V95" s="4">
        <v>60</v>
      </c>
      <c r="W95" s="4">
        <v>60</v>
      </c>
      <c r="X95" s="4">
        <v>60</v>
      </c>
      <c r="Y95" s="4">
        <v>60</v>
      </c>
      <c r="Z95" s="4">
        <v>60</v>
      </c>
      <c r="AA95" s="4">
        <v>60</v>
      </c>
      <c r="AB95" s="4">
        <v>60</v>
      </c>
      <c r="AC95" s="4">
        <v>60</v>
      </c>
      <c r="AD95" s="4">
        <v>60</v>
      </c>
      <c r="AE95" s="4">
        <v>60</v>
      </c>
      <c r="AF95" s="4">
        <v>60</v>
      </c>
      <c r="AG95" s="4">
        <v>60</v>
      </c>
      <c r="AH95" s="4">
        <v>60</v>
      </c>
      <c r="AI95" s="4">
        <v>60</v>
      </c>
      <c r="AJ95" s="4">
        <v>60</v>
      </c>
      <c r="AK95" s="4">
        <v>60</v>
      </c>
      <c r="AL95" s="4">
        <v>60</v>
      </c>
      <c r="AM95" s="4">
        <v>60</v>
      </c>
      <c r="AN95" s="4">
        <v>60</v>
      </c>
      <c r="AO95" s="4">
        <v>60</v>
      </c>
      <c r="AP95" s="4">
        <v>60</v>
      </c>
      <c r="AQ95" s="4">
        <v>60</v>
      </c>
      <c r="AR95" s="4">
        <v>60</v>
      </c>
      <c r="AS95" s="4">
        <v>60</v>
      </c>
      <c r="AT95" s="4">
        <v>60</v>
      </c>
      <c r="AU95" s="4">
        <v>60</v>
      </c>
      <c r="AV95" s="4">
        <v>60</v>
      </c>
      <c r="AW95" s="4">
        <v>60</v>
      </c>
      <c r="AX95" s="4">
        <v>60</v>
      </c>
      <c r="AY95" s="4">
        <v>60</v>
      </c>
      <c r="AZ95" s="4">
        <v>60</v>
      </c>
      <c r="BA95" s="4">
        <v>60</v>
      </c>
      <c r="BB95" s="4">
        <v>60</v>
      </c>
      <c r="BC95" s="4">
        <v>60</v>
      </c>
      <c r="BD95" s="4">
        <v>60</v>
      </c>
      <c r="BE95" s="4">
        <v>60</v>
      </c>
      <c r="BF95" s="4">
        <v>60</v>
      </c>
      <c r="BG95" s="4">
        <v>60</v>
      </c>
      <c r="BH95" s="4">
        <v>60</v>
      </c>
      <c r="BI95" s="4">
        <v>60</v>
      </c>
      <c r="BJ95" s="4">
        <v>60</v>
      </c>
      <c r="BK95" s="4">
        <v>60</v>
      </c>
      <c r="BL95" s="4">
        <v>60</v>
      </c>
      <c r="BM95" s="4">
        <v>60</v>
      </c>
      <c r="BN95" s="4">
        <v>60</v>
      </c>
      <c r="BO95" s="4">
        <v>60</v>
      </c>
      <c r="BP95" s="4">
        <v>60</v>
      </c>
      <c r="BQ95" s="4">
        <v>60</v>
      </c>
    </row>
    <row r="96" spans="2:69">
      <c r="B96" s="3" t="s">
        <v>248</v>
      </c>
    </row>
    <row r="97" spans="2:69">
      <c r="B97" s="4" t="s">
        <v>287</v>
      </c>
      <c r="J97" s="4">
        <v>22.5</v>
      </c>
      <c r="K97" s="4">
        <v>22.5</v>
      </c>
      <c r="L97" s="4">
        <v>22.5</v>
      </c>
      <c r="M97" s="4">
        <v>22.5</v>
      </c>
      <c r="N97" s="4">
        <v>22.5</v>
      </c>
      <c r="O97" s="4">
        <v>22.5</v>
      </c>
      <c r="P97" s="4">
        <v>22.5</v>
      </c>
      <c r="Q97" s="4">
        <v>22.5</v>
      </c>
      <c r="R97" s="4">
        <v>22.5</v>
      </c>
      <c r="S97" s="4">
        <v>22.5</v>
      </c>
      <c r="T97" s="4">
        <v>22.5</v>
      </c>
      <c r="U97" s="4">
        <v>22.5</v>
      </c>
      <c r="V97" s="4">
        <v>22.5</v>
      </c>
      <c r="W97" s="4">
        <v>22.5</v>
      </c>
      <c r="X97" s="4">
        <v>22.5</v>
      </c>
      <c r="Y97" s="4">
        <v>22.5</v>
      </c>
      <c r="Z97" s="4">
        <v>22.5</v>
      </c>
      <c r="AA97" s="4">
        <v>22.5</v>
      </c>
      <c r="AB97" s="4">
        <v>22.5</v>
      </c>
      <c r="AC97" s="4">
        <v>22.5</v>
      </c>
      <c r="AD97" s="4">
        <v>22.5</v>
      </c>
      <c r="AE97" s="4">
        <v>22.5</v>
      </c>
      <c r="AF97" s="4">
        <v>22.5</v>
      </c>
      <c r="AG97" s="4">
        <v>22.5</v>
      </c>
      <c r="AH97" s="4">
        <v>22.5</v>
      </c>
      <c r="AI97" s="4">
        <v>22.5</v>
      </c>
      <c r="AJ97" s="4">
        <v>22.5</v>
      </c>
      <c r="AK97" s="4">
        <v>22.5</v>
      </c>
      <c r="AL97" s="4">
        <v>22.5</v>
      </c>
      <c r="AM97" s="4">
        <v>22.5</v>
      </c>
      <c r="AN97" s="4">
        <v>22.5</v>
      </c>
      <c r="AO97" s="4">
        <v>22.5</v>
      </c>
      <c r="AP97" s="4">
        <v>22.5</v>
      </c>
      <c r="AQ97" s="4">
        <v>22.5</v>
      </c>
      <c r="AR97" s="4">
        <v>22.5</v>
      </c>
      <c r="AS97" s="4">
        <v>22.5</v>
      </c>
      <c r="AT97" s="4">
        <v>22.5</v>
      </c>
      <c r="AU97" s="4">
        <v>22.5</v>
      </c>
      <c r="AV97" s="4">
        <v>22.5</v>
      </c>
      <c r="AW97" s="4">
        <v>22.5</v>
      </c>
      <c r="AX97" s="4">
        <v>22.5</v>
      </c>
      <c r="AY97" s="4">
        <v>22.5</v>
      </c>
      <c r="AZ97" s="4">
        <v>22.5</v>
      </c>
      <c r="BA97" s="4">
        <v>22.5</v>
      </c>
      <c r="BB97" s="4">
        <v>22.5</v>
      </c>
      <c r="BC97" s="4">
        <v>22.5</v>
      </c>
      <c r="BD97" s="4">
        <v>22.5</v>
      </c>
      <c r="BE97" s="4">
        <v>22.5</v>
      </c>
      <c r="BF97" s="4">
        <v>22.5</v>
      </c>
      <c r="BG97" s="4">
        <v>22.5</v>
      </c>
      <c r="BH97" s="4">
        <v>22.5</v>
      </c>
      <c r="BI97" s="4">
        <v>22.5</v>
      </c>
      <c r="BJ97" s="4">
        <v>22.5</v>
      </c>
      <c r="BK97" s="4">
        <v>22.5</v>
      </c>
      <c r="BL97" s="4">
        <v>22.5</v>
      </c>
      <c r="BM97" s="4">
        <v>22.5</v>
      </c>
      <c r="BN97" s="4">
        <v>22.5</v>
      </c>
      <c r="BO97" s="4">
        <v>22.5</v>
      </c>
      <c r="BP97" s="4">
        <v>22.5</v>
      </c>
      <c r="BQ97" s="4">
        <v>22.5</v>
      </c>
    </row>
    <row r="98" spans="2:69">
      <c r="B98" s="4" t="s">
        <v>296</v>
      </c>
      <c r="J98" s="4">
        <v>3</v>
      </c>
      <c r="K98" s="4">
        <v>3</v>
      </c>
      <c r="L98" s="4">
        <v>3</v>
      </c>
      <c r="M98" s="4">
        <v>3</v>
      </c>
      <c r="N98" s="4">
        <v>3</v>
      </c>
      <c r="O98" s="4">
        <v>3</v>
      </c>
      <c r="P98" s="4">
        <v>3</v>
      </c>
      <c r="Q98" s="4">
        <v>3</v>
      </c>
      <c r="R98" s="4">
        <v>3</v>
      </c>
      <c r="S98" s="4">
        <v>3</v>
      </c>
      <c r="T98" s="4">
        <v>3</v>
      </c>
      <c r="U98" s="4">
        <v>3</v>
      </c>
      <c r="V98" s="4">
        <v>3</v>
      </c>
      <c r="W98" s="4">
        <v>3</v>
      </c>
      <c r="X98" s="4">
        <v>3</v>
      </c>
      <c r="Y98" s="4">
        <v>3</v>
      </c>
      <c r="Z98" s="4">
        <v>3</v>
      </c>
      <c r="AA98" s="4">
        <v>3</v>
      </c>
      <c r="AB98" s="4">
        <v>3</v>
      </c>
      <c r="AC98" s="4">
        <v>3</v>
      </c>
      <c r="AD98" s="4">
        <v>3</v>
      </c>
      <c r="AE98" s="4">
        <v>3</v>
      </c>
      <c r="AF98" s="4">
        <v>3</v>
      </c>
      <c r="AG98" s="4">
        <v>3</v>
      </c>
      <c r="AH98" s="4">
        <v>3</v>
      </c>
      <c r="AI98" s="4">
        <v>3</v>
      </c>
      <c r="AJ98" s="4">
        <v>3</v>
      </c>
      <c r="AK98" s="4">
        <v>3</v>
      </c>
      <c r="AL98" s="4">
        <v>3</v>
      </c>
      <c r="AM98" s="4">
        <v>3</v>
      </c>
      <c r="AN98" s="4">
        <v>3</v>
      </c>
      <c r="AO98" s="4">
        <v>3</v>
      </c>
      <c r="AP98" s="4">
        <v>3</v>
      </c>
      <c r="AQ98" s="4">
        <v>3</v>
      </c>
      <c r="AR98" s="4">
        <v>3</v>
      </c>
      <c r="AS98" s="4">
        <v>3</v>
      </c>
      <c r="AT98" s="4">
        <v>3</v>
      </c>
      <c r="AU98" s="4">
        <v>3</v>
      </c>
      <c r="AV98" s="4">
        <v>3</v>
      </c>
      <c r="AW98" s="4">
        <v>3</v>
      </c>
      <c r="AX98" s="4">
        <v>3</v>
      </c>
      <c r="AY98" s="4">
        <v>3</v>
      </c>
      <c r="AZ98" s="4">
        <v>3</v>
      </c>
      <c r="BA98" s="4">
        <v>3</v>
      </c>
      <c r="BB98" s="4">
        <v>3</v>
      </c>
      <c r="BC98" s="4">
        <v>3</v>
      </c>
      <c r="BD98" s="4">
        <v>3</v>
      </c>
      <c r="BE98" s="4">
        <v>3</v>
      </c>
      <c r="BF98" s="4">
        <v>3</v>
      </c>
      <c r="BG98" s="4">
        <v>3</v>
      </c>
      <c r="BH98" s="4">
        <v>3</v>
      </c>
      <c r="BI98" s="4">
        <v>3</v>
      </c>
      <c r="BJ98" s="4">
        <v>3</v>
      </c>
      <c r="BK98" s="4">
        <v>3</v>
      </c>
      <c r="BL98" s="4">
        <v>3</v>
      </c>
      <c r="BM98" s="4">
        <v>3</v>
      </c>
      <c r="BN98" s="4">
        <v>3</v>
      </c>
      <c r="BO98" s="4">
        <v>3</v>
      </c>
      <c r="BP98" s="4">
        <v>3</v>
      </c>
      <c r="BQ98" s="4">
        <v>3</v>
      </c>
    </row>
    <row r="99" spans="2:69">
      <c r="B99" s="3" t="s">
        <v>249</v>
      </c>
    </row>
    <row r="100" spans="2:69">
      <c r="B100" s="4" t="s">
        <v>297</v>
      </c>
      <c r="J100" s="4">
        <v>22.5</v>
      </c>
      <c r="K100" s="4">
        <v>22.5</v>
      </c>
      <c r="L100" s="4">
        <v>22.5</v>
      </c>
      <c r="M100" s="4">
        <v>22.5</v>
      </c>
      <c r="N100" s="4">
        <v>22.5</v>
      </c>
      <c r="O100" s="4">
        <v>22.5</v>
      </c>
      <c r="P100" s="4">
        <v>22.5</v>
      </c>
      <c r="Q100" s="4">
        <v>22.5</v>
      </c>
      <c r="R100" s="4">
        <v>22.5</v>
      </c>
      <c r="S100" s="4">
        <v>22.5</v>
      </c>
      <c r="T100" s="4">
        <v>22.5</v>
      </c>
      <c r="U100" s="4">
        <v>22.5</v>
      </c>
      <c r="V100" s="4">
        <v>22.5</v>
      </c>
      <c r="W100" s="4">
        <v>22.5</v>
      </c>
      <c r="X100" s="4">
        <v>22.5</v>
      </c>
      <c r="Y100" s="4">
        <v>22.5</v>
      </c>
      <c r="Z100" s="4">
        <v>22.5</v>
      </c>
      <c r="AA100" s="4">
        <v>22.5</v>
      </c>
      <c r="AB100" s="4">
        <v>22.5</v>
      </c>
      <c r="AC100" s="4">
        <v>22.5</v>
      </c>
      <c r="AD100" s="4">
        <v>22.5</v>
      </c>
      <c r="AE100" s="4">
        <v>22.5</v>
      </c>
      <c r="AF100" s="4">
        <v>22.5</v>
      </c>
      <c r="AG100" s="4">
        <v>22.5</v>
      </c>
      <c r="AH100" s="4">
        <v>22.5</v>
      </c>
      <c r="AI100" s="4">
        <v>22.5</v>
      </c>
      <c r="AJ100" s="4">
        <v>22.5</v>
      </c>
      <c r="AK100" s="4">
        <v>22.5</v>
      </c>
      <c r="AL100" s="4">
        <v>22.5</v>
      </c>
      <c r="AM100" s="4">
        <v>22.5</v>
      </c>
      <c r="AN100" s="4">
        <v>22.5</v>
      </c>
      <c r="AO100" s="4">
        <v>22.5</v>
      </c>
      <c r="AP100" s="4">
        <v>22.5</v>
      </c>
      <c r="AQ100" s="4">
        <v>22.5</v>
      </c>
      <c r="AR100" s="4">
        <v>22.5</v>
      </c>
      <c r="AS100" s="4">
        <v>22.5</v>
      </c>
      <c r="AT100" s="4">
        <v>22.5</v>
      </c>
      <c r="AU100" s="4">
        <v>22.5</v>
      </c>
      <c r="AV100" s="4">
        <v>22.5</v>
      </c>
      <c r="AW100" s="4">
        <v>22.5</v>
      </c>
      <c r="AX100" s="4">
        <v>22.5</v>
      </c>
      <c r="AY100" s="4">
        <v>22.5</v>
      </c>
      <c r="AZ100" s="4">
        <v>22.5</v>
      </c>
      <c r="BA100" s="4">
        <v>22.5</v>
      </c>
      <c r="BB100" s="4">
        <v>22.5</v>
      </c>
      <c r="BC100" s="4">
        <v>22.5</v>
      </c>
      <c r="BD100" s="4">
        <v>22.5</v>
      </c>
      <c r="BE100" s="4">
        <v>22.5</v>
      </c>
      <c r="BF100" s="4">
        <v>22.5</v>
      </c>
      <c r="BG100" s="4">
        <v>22.5</v>
      </c>
      <c r="BH100" s="4">
        <v>22.5</v>
      </c>
      <c r="BI100" s="4">
        <v>22.5</v>
      </c>
      <c r="BJ100" s="4">
        <v>22.5</v>
      </c>
      <c r="BK100" s="4">
        <v>22.5</v>
      </c>
      <c r="BL100" s="4">
        <v>22.5</v>
      </c>
      <c r="BM100" s="4">
        <v>22.5</v>
      </c>
      <c r="BN100" s="4">
        <v>22.5</v>
      </c>
      <c r="BO100" s="4">
        <v>22.5</v>
      </c>
      <c r="BP100" s="4">
        <v>22.5</v>
      </c>
      <c r="BQ100" s="4">
        <v>22.5</v>
      </c>
    </row>
    <row r="101" spans="2:69">
      <c r="B101" s="4" t="s">
        <v>303</v>
      </c>
      <c r="J101" s="4">
        <v>3</v>
      </c>
      <c r="K101" s="4">
        <v>3</v>
      </c>
      <c r="L101" s="4">
        <v>3</v>
      </c>
      <c r="M101" s="4">
        <v>3</v>
      </c>
      <c r="N101" s="4">
        <v>3</v>
      </c>
      <c r="O101" s="4">
        <v>3</v>
      </c>
      <c r="P101" s="4">
        <v>3</v>
      </c>
      <c r="Q101" s="4">
        <v>3</v>
      </c>
      <c r="R101" s="4">
        <v>3</v>
      </c>
      <c r="S101" s="4">
        <v>3</v>
      </c>
      <c r="T101" s="4">
        <v>3</v>
      </c>
      <c r="U101" s="4">
        <v>3</v>
      </c>
      <c r="V101" s="4">
        <v>3</v>
      </c>
      <c r="W101" s="4">
        <v>3</v>
      </c>
      <c r="X101" s="4">
        <v>3</v>
      </c>
      <c r="Y101" s="4">
        <v>3</v>
      </c>
      <c r="Z101" s="4">
        <v>3</v>
      </c>
      <c r="AA101" s="4">
        <v>3</v>
      </c>
      <c r="AB101" s="4">
        <v>3</v>
      </c>
      <c r="AC101" s="4">
        <v>3</v>
      </c>
      <c r="AD101" s="4">
        <v>3</v>
      </c>
      <c r="AE101" s="4">
        <v>3</v>
      </c>
      <c r="AF101" s="4">
        <v>3</v>
      </c>
      <c r="AG101" s="4">
        <v>3</v>
      </c>
      <c r="AH101" s="4">
        <v>3</v>
      </c>
      <c r="AI101" s="4">
        <v>3</v>
      </c>
      <c r="AJ101" s="4">
        <v>3</v>
      </c>
      <c r="AK101" s="4">
        <v>3</v>
      </c>
      <c r="AL101" s="4">
        <v>3</v>
      </c>
      <c r="AM101" s="4">
        <v>3</v>
      </c>
      <c r="AN101" s="4">
        <v>3</v>
      </c>
      <c r="AO101" s="4">
        <v>3</v>
      </c>
      <c r="AP101" s="4">
        <v>3</v>
      </c>
      <c r="AQ101" s="4">
        <v>3</v>
      </c>
      <c r="AR101" s="4">
        <v>3</v>
      </c>
      <c r="AS101" s="4">
        <v>3</v>
      </c>
      <c r="AT101" s="4">
        <v>3</v>
      </c>
      <c r="AU101" s="4">
        <v>3</v>
      </c>
      <c r="AV101" s="4">
        <v>3</v>
      </c>
      <c r="AW101" s="4">
        <v>3</v>
      </c>
      <c r="AX101" s="4">
        <v>3</v>
      </c>
      <c r="AY101" s="4">
        <v>3</v>
      </c>
      <c r="AZ101" s="4">
        <v>3</v>
      </c>
      <c r="BA101" s="4">
        <v>3</v>
      </c>
      <c r="BB101" s="4">
        <v>3</v>
      </c>
      <c r="BC101" s="4">
        <v>3</v>
      </c>
      <c r="BD101" s="4">
        <v>3</v>
      </c>
      <c r="BE101" s="4">
        <v>3</v>
      </c>
      <c r="BF101" s="4">
        <v>3</v>
      </c>
      <c r="BG101" s="4">
        <v>3</v>
      </c>
      <c r="BH101" s="4">
        <v>3</v>
      </c>
      <c r="BI101" s="4">
        <v>3</v>
      </c>
      <c r="BJ101" s="4">
        <v>3</v>
      </c>
      <c r="BK101" s="4">
        <v>3</v>
      </c>
      <c r="BL101" s="4">
        <v>3</v>
      </c>
      <c r="BM101" s="4">
        <v>3</v>
      </c>
      <c r="BN101" s="4">
        <v>3</v>
      </c>
      <c r="BO101" s="4">
        <v>3</v>
      </c>
      <c r="BP101" s="4">
        <v>3</v>
      </c>
      <c r="BQ101" s="4">
        <v>3</v>
      </c>
    </row>
    <row r="102" spans="2:69">
      <c r="B102" s="3" t="s">
        <v>285</v>
      </c>
    </row>
    <row r="103" spans="2:69">
      <c r="B103" s="4" t="s">
        <v>375</v>
      </c>
      <c r="J103" s="4">
        <v>32.5</v>
      </c>
      <c r="K103" s="4">
        <v>32.5</v>
      </c>
      <c r="L103" s="4">
        <v>32.5</v>
      </c>
      <c r="M103" s="4">
        <v>32.5</v>
      </c>
      <c r="N103" s="4">
        <v>32.5</v>
      </c>
      <c r="O103" s="4">
        <v>32.5</v>
      </c>
      <c r="P103" s="4">
        <v>32.5</v>
      </c>
      <c r="Q103" s="4">
        <v>32.5</v>
      </c>
      <c r="R103" s="4">
        <v>32.5</v>
      </c>
      <c r="S103" s="4">
        <v>32.5</v>
      </c>
      <c r="T103" s="4">
        <v>32.5</v>
      </c>
      <c r="U103" s="4">
        <v>32.5</v>
      </c>
      <c r="V103" s="4">
        <v>32.5</v>
      </c>
      <c r="W103" s="4">
        <v>32.5</v>
      </c>
      <c r="X103" s="4">
        <v>32.5</v>
      </c>
      <c r="Y103" s="4">
        <v>32.5</v>
      </c>
      <c r="Z103" s="4">
        <v>32.5</v>
      </c>
      <c r="AA103" s="4">
        <v>32.5</v>
      </c>
      <c r="AB103" s="4">
        <v>32.5</v>
      </c>
      <c r="AC103" s="4">
        <v>32.5</v>
      </c>
      <c r="AD103" s="4">
        <v>32.5</v>
      </c>
      <c r="AE103" s="4">
        <v>32.5</v>
      </c>
      <c r="AF103" s="4">
        <v>32.5</v>
      </c>
      <c r="AG103" s="4">
        <v>32.5</v>
      </c>
      <c r="AH103" s="4">
        <v>32.5</v>
      </c>
      <c r="AI103" s="4">
        <v>32.5</v>
      </c>
      <c r="AJ103" s="4">
        <v>32.5</v>
      </c>
      <c r="AK103" s="4">
        <v>32.5</v>
      </c>
      <c r="AL103" s="4">
        <v>32.5</v>
      </c>
      <c r="AM103" s="4">
        <v>32.5</v>
      </c>
      <c r="AN103" s="4">
        <v>32.5</v>
      </c>
      <c r="AO103" s="4">
        <v>32.5</v>
      </c>
      <c r="AP103" s="4">
        <v>32.5</v>
      </c>
      <c r="AQ103" s="4">
        <v>32.5</v>
      </c>
      <c r="AR103" s="4">
        <v>32.5</v>
      </c>
      <c r="AS103" s="4">
        <v>32.5</v>
      </c>
      <c r="AT103" s="4">
        <v>32.5</v>
      </c>
      <c r="AU103" s="4">
        <v>32.5</v>
      </c>
      <c r="AV103" s="4">
        <v>32.5</v>
      </c>
      <c r="AW103" s="4">
        <v>32.5</v>
      </c>
      <c r="AX103" s="4">
        <v>32.5</v>
      </c>
      <c r="AY103" s="4">
        <v>32.5</v>
      </c>
      <c r="AZ103" s="4">
        <v>32.5</v>
      </c>
      <c r="BA103" s="4">
        <v>32.5</v>
      </c>
      <c r="BB103" s="4">
        <v>32.5</v>
      </c>
      <c r="BC103" s="4">
        <v>32.5</v>
      </c>
      <c r="BD103" s="4">
        <v>32.5</v>
      </c>
      <c r="BE103" s="4">
        <v>32.5</v>
      </c>
      <c r="BF103" s="4">
        <v>32.5</v>
      </c>
      <c r="BG103" s="4">
        <v>32.5</v>
      </c>
      <c r="BH103" s="4">
        <v>32.5</v>
      </c>
      <c r="BI103" s="4">
        <v>32.5</v>
      </c>
      <c r="BJ103" s="4">
        <v>32.5</v>
      </c>
      <c r="BK103" s="4">
        <v>32.5</v>
      </c>
      <c r="BL103" s="4">
        <v>32.5</v>
      </c>
      <c r="BM103" s="4">
        <v>32.5</v>
      </c>
      <c r="BN103" s="4">
        <v>32.5</v>
      </c>
      <c r="BO103" s="4">
        <v>32.5</v>
      </c>
      <c r="BP103" s="4">
        <v>32.5</v>
      </c>
      <c r="BQ103" s="4">
        <v>32.5</v>
      </c>
    </row>
    <row r="104" spans="2:69">
      <c r="B104" s="4" t="s">
        <v>376</v>
      </c>
      <c r="J104" s="4">
        <v>3</v>
      </c>
      <c r="K104" s="4">
        <v>3</v>
      </c>
      <c r="L104" s="4">
        <v>3</v>
      </c>
      <c r="M104" s="4">
        <v>3</v>
      </c>
      <c r="N104" s="4">
        <v>3</v>
      </c>
      <c r="O104" s="4">
        <v>3</v>
      </c>
      <c r="P104" s="4">
        <v>3</v>
      </c>
      <c r="Q104" s="4">
        <v>3</v>
      </c>
      <c r="R104" s="4">
        <v>3</v>
      </c>
      <c r="S104" s="4">
        <v>3</v>
      </c>
      <c r="T104" s="4">
        <v>3</v>
      </c>
      <c r="U104" s="4">
        <v>3</v>
      </c>
      <c r="V104" s="4">
        <v>3</v>
      </c>
      <c r="W104" s="4">
        <v>3</v>
      </c>
      <c r="X104" s="4">
        <v>3</v>
      </c>
      <c r="Y104" s="4">
        <v>3</v>
      </c>
      <c r="Z104" s="4">
        <v>3</v>
      </c>
      <c r="AA104" s="4">
        <v>3</v>
      </c>
      <c r="AB104" s="4">
        <v>3</v>
      </c>
      <c r="AC104" s="4">
        <v>3</v>
      </c>
      <c r="AD104" s="4">
        <v>3</v>
      </c>
      <c r="AE104" s="4">
        <v>3</v>
      </c>
      <c r="AF104" s="4">
        <v>3</v>
      </c>
      <c r="AG104" s="4">
        <v>3</v>
      </c>
      <c r="AH104" s="4">
        <v>3</v>
      </c>
      <c r="AI104" s="4">
        <v>3</v>
      </c>
      <c r="AJ104" s="4">
        <v>3</v>
      </c>
      <c r="AK104" s="4">
        <v>3</v>
      </c>
      <c r="AL104" s="4">
        <v>3</v>
      </c>
      <c r="AM104" s="4">
        <v>3</v>
      </c>
      <c r="AN104" s="4">
        <v>3</v>
      </c>
      <c r="AO104" s="4">
        <v>3</v>
      </c>
      <c r="AP104" s="4">
        <v>3</v>
      </c>
      <c r="AQ104" s="4">
        <v>3</v>
      </c>
      <c r="AR104" s="4">
        <v>3</v>
      </c>
      <c r="AS104" s="4">
        <v>3</v>
      </c>
      <c r="AT104" s="4">
        <v>3</v>
      </c>
      <c r="AU104" s="4">
        <v>3</v>
      </c>
      <c r="AV104" s="4">
        <v>3</v>
      </c>
      <c r="AW104" s="4">
        <v>3</v>
      </c>
      <c r="AX104" s="4">
        <v>3</v>
      </c>
      <c r="AY104" s="4">
        <v>3</v>
      </c>
      <c r="AZ104" s="4">
        <v>3</v>
      </c>
      <c r="BA104" s="4">
        <v>3</v>
      </c>
      <c r="BB104" s="4">
        <v>3</v>
      </c>
      <c r="BC104" s="4">
        <v>3</v>
      </c>
      <c r="BD104" s="4">
        <v>3</v>
      </c>
      <c r="BE104" s="4">
        <v>3</v>
      </c>
      <c r="BF104" s="4">
        <v>3</v>
      </c>
      <c r="BG104" s="4">
        <v>3</v>
      </c>
      <c r="BH104" s="4">
        <v>3</v>
      </c>
      <c r="BI104" s="4">
        <v>3</v>
      </c>
      <c r="BJ104" s="4">
        <v>3</v>
      </c>
      <c r="BK104" s="4">
        <v>3</v>
      </c>
      <c r="BL104" s="4">
        <v>3</v>
      </c>
      <c r="BM104" s="4">
        <v>3</v>
      </c>
      <c r="BN104" s="4">
        <v>3</v>
      </c>
      <c r="BO104" s="4">
        <v>3</v>
      </c>
      <c r="BP104" s="4">
        <v>3</v>
      </c>
      <c r="BQ104" s="4">
        <v>3</v>
      </c>
    </row>
    <row r="105" spans="2:69">
      <c r="B105" s="4" t="s">
        <v>377</v>
      </c>
      <c r="J105" s="4">
        <v>0</v>
      </c>
      <c r="K105" s="4">
        <v>0</v>
      </c>
      <c r="L105" s="4">
        <v>0</v>
      </c>
      <c r="M105" s="4">
        <v>0</v>
      </c>
      <c r="N105" s="4">
        <v>0</v>
      </c>
      <c r="O105" s="4">
        <v>0</v>
      </c>
      <c r="P105" s="4">
        <v>0</v>
      </c>
      <c r="Q105" s="4">
        <v>0</v>
      </c>
      <c r="R105" s="4">
        <v>0</v>
      </c>
      <c r="S105" s="4">
        <v>0</v>
      </c>
      <c r="T105" s="4">
        <v>50</v>
      </c>
      <c r="U105" s="4">
        <v>50</v>
      </c>
      <c r="V105" s="4">
        <v>50</v>
      </c>
      <c r="W105" s="4">
        <v>50</v>
      </c>
      <c r="X105" s="4">
        <v>50</v>
      </c>
      <c r="Y105" s="4">
        <v>50</v>
      </c>
      <c r="Z105" s="4">
        <v>50</v>
      </c>
      <c r="AA105" s="4">
        <v>50</v>
      </c>
      <c r="AB105" s="4">
        <v>50</v>
      </c>
      <c r="AC105" s="4">
        <v>50</v>
      </c>
      <c r="AD105" s="4">
        <v>50</v>
      </c>
      <c r="AE105" s="4">
        <v>50</v>
      </c>
      <c r="AF105" s="4">
        <v>50</v>
      </c>
      <c r="AG105" s="4">
        <v>50</v>
      </c>
      <c r="AH105" s="4">
        <v>50</v>
      </c>
      <c r="AI105" s="4">
        <v>50</v>
      </c>
      <c r="AJ105" s="4">
        <v>50</v>
      </c>
      <c r="AK105" s="4">
        <v>50</v>
      </c>
      <c r="AL105" s="4">
        <v>50</v>
      </c>
      <c r="AM105" s="4">
        <v>50</v>
      </c>
      <c r="AN105" s="4">
        <v>50</v>
      </c>
      <c r="AO105" s="4">
        <v>50</v>
      </c>
      <c r="AP105" s="4">
        <v>50</v>
      </c>
      <c r="AQ105" s="4">
        <v>50</v>
      </c>
      <c r="AR105" s="4">
        <v>50</v>
      </c>
      <c r="AS105" s="4">
        <v>50</v>
      </c>
      <c r="AT105" s="4">
        <v>50</v>
      </c>
      <c r="AU105" s="4">
        <v>50</v>
      </c>
      <c r="AV105" s="4">
        <v>50</v>
      </c>
      <c r="AW105" s="4">
        <v>50</v>
      </c>
      <c r="AX105" s="4">
        <v>50</v>
      </c>
      <c r="AY105" s="4">
        <v>50</v>
      </c>
      <c r="AZ105" s="4">
        <v>50</v>
      </c>
      <c r="BA105" s="4">
        <v>50</v>
      </c>
      <c r="BB105" s="4">
        <v>50</v>
      </c>
      <c r="BC105" s="4">
        <v>50</v>
      </c>
      <c r="BD105" s="4">
        <v>50</v>
      </c>
      <c r="BE105" s="4">
        <v>50</v>
      </c>
      <c r="BF105" s="4">
        <v>50</v>
      </c>
      <c r="BG105" s="4">
        <v>50</v>
      </c>
      <c r="BH105" s="4">
        <v>50</v>
      </c>
      <c r="BI105" s="4">
        <v>50</v>
      </c>
      <c r="BJ105" s="4">
        <v>50</v>
      </c>
      <c r="BK105" s="4">
        <v>50</v>
      </c>
      <c r="BL105" s="4">
        <v>50</v>
      </c>
      <c r="BM105" s="4">
        <v>50</v>
      </c>
      <c r="BN105" s="4">
        <v>50</v>
      </c>
      <c r="BO105" s="4">
        <v>50</v>
      </c>
      <c r="BP105" s="4">
        <v>50</v>
      </c>
      <c r="BQ105" s="4">
        <v>50</v>
      </c>
    </row>
    <row r="108" spans="2:69">
      <c r="B108" s="3" t="s">
        <v>304</v>
      </c>
    </row>
    <row r="109" spans="2:69">
      <c r="B109" s="3" t="s">
        <v>305</v>
      </c>
    </row>
    <row r="110" spans="2:69">
      <c r="B110" s="4" t="s">
        <v>306</v>
      </c>
      <c r="J110" s="39">
        <v>200</v>
      </c>
      <c r="K110" s="39">
        <v>200</v>
      </c>
      <c r="L110" s="39">
        <v>200</v>
      </c>
      <c r="M110" s="39">
        <v>200</v>
      </c>
      <c r="N110" s="39">
        <v>200</v>
      </c>
      <c r="O110" s="39">
        <v>200</v>
      </c>
      <c r="P110" s="39">
        <v>200</v>
      </c>
      <c r="Q110" s="39">
        <v>200</v>
      </c>
      <c r="R110" s="39">
        <v>200</v>
      </c>
      <c r="S110" s="39">
        <v>200</v>
      </c>
      <c r="T110" s="39">
        <v>200</v>
      </c>
      <c r="U110" s="39">
        <v>200</v>
      </c>
      <c r="V110" s="39">
        <v>200</v>
      </c>
      <c r="W110" s="39">
        <v>200</v>
      </c>
      <c r="X110" s="39">
        <v>200</v>
      </c>
      <c r="Y110" s="39">
        <v>200</v>
      </c>
      <c r="Z110" s="39">
        <v>200</v>
      </c>
      <c r="AA110" s="39">
        <v>200</v>
      </c>
      <c r="AB110" s="39">
        <v>200</v>
      </c>
      <c r="AC110" s="39">
        <v>200</v>
      </c>
      <c r="AD110" s="39">
        <v>200</v>
      </c>
      <c r="AE110" s="39">
        <v>200</v>
      </c>
      <c r="AF110" s="39">
        <v>200</v>
      </c>
      <c r="AG110" s="39">
        <v>200</v>
      </c>
      <c r="AH110" s="39">
        <v>200</v>
      </c>
      <c r="AI110" s="39">
        <v>200</v>
      </c>
      <c r="AJ110" s="39">
        <v>200</v>
      </c>
      <c r="AK110" s="39">
        <v>200</v>
      </c>
      <c r="AL110" s="39">
        <v>200</v>
      </c>
      <c r="AM110" s="39">
        <v>200</v>
      </c>
      <c r="AN110" s="39">
        <v>200</v>
      </c>
      <c r="AO110" s="39">
        <v>200</v>
      </c>
      <c r="AP110" s="39">
        <v>200</v>
      </c>
      <c r="AQ110" s="39">
        <v>200</v>
      </c>
      <c r="AR110" s="39">
        <v>200</v>
      </c>
      <c r="AS110" s="39">
        <v>200</v>
      </c>
      <c r="AT110" s="39">
        <v>200</v>
      </c>
      <c r="AU110" s="39">
        <v>200</v>
      </c>
      <c r="AV110" s="39">
        <v>200</v>
      </c>
      <c r="AW110" s="39">
        <v>200</v>
      </c>
      <c r="AX110" s="39">
        <v>200</v>
      </c>
      <c r="AY110" s="39">
        <v>200</v>
      </c>
      <c r="AZ110" s="39">
        <v>200</v>
      </c>
      <c r="BA110" s="39">
        <v>200</v>
      </c>
      <c r="BB110" s="39">
        <v>200</v>
      </c>
      <c r="BC110" s="39">
        <v>200</v>
      </c>
      <c r="BD110" s="39">
        <v>200</v>
      </c>
      <c r="BE110" s="39">
        <v>200</v>
      </c>
      <c r="BF110" s="39">
        <v>200</v>
      </c>
      <c r="BG110" s="39">
        <v>200</v>
      </c>
      <c r="BH110" s="39">
        <v>200</v>
      </c>
      <c r="BI110" s="39">
        <v>200</v>
      </c>
      <c r="BJ110" s="39">
        <v>200</v>
      </c>
      <c r="BK110" s="39">
        <v>200</v>
      </c>
      <c r="BL110" s="39">
        <v>200</v>
      </c>
      <c r="BM110" s="39">
        <v>200</v>
      </c>
      <c r="BN110" s="39">
        <v>200</v>
      </c>
      <c r="BO110" s="39">
        <v>200</v>
      </c>
      <c r="BP110" s="39">
        <v>200</v>
      </c>
      <c r="BQ110" s="39">
        <v>200</v>
      </c>
    </row>
    <row r="111" spans="2:69">
      <c r="B111" s="4" t="s">
        <v>307</v>
      </c>
      <c r="J111" s="39">
        <v>400</v>
      </c>
      <c r="K111" s="39">
        <v>400</v>
      </c>
      <c r="L111" s="39">
        <v>400</v>
      </c>
      <c r="M111" s="39">
        <v>400</v>
      </c>
      <c r="N111" s="39">
        <v>400</v>
      </c>
      <c r="O111" s="39">
        <v>400</v>
      </c>
      <c r="P111" s="39">
        <v>400</v>
      </c>
      <c r="Q111" s="39">
        <v>400</v>
      </c>
      <c r="R111" s="39">
        <v>400</v>
      </c>
      <c r="S111" s="39">
        <v>400</v>
      </c>
      <c r="T111" s="39">
        <v>400</v>
      </c>
      <c r="U111" s="39">
        <v>400</v>
      </c>
      <c r="V111" s="39">
        <v>400</v>
      </c>
      <c r="W111" s="39">
        <v>400</v>
      </c>
      <c r="X111" s="39">
        <v>400</v>
      </c>
      <c r="Y111" s="39">
        <v>400</v>
      </c>
      <c r="Z111" s="39">
        <v>400</v>
      </c>
      <c r="AA111" s="39">
        <v>400</v>
      </c>
      <c r="AB111" s="39">
        <v>400</v>
      </c>
      <c r="AC111" s="39">
        <v>400</v>
      </c>
      <c r="AD111" s="39">
        <v>400</v>
      </c>
      <c r="AE111" s="39">
        <v>400</v>
      </c>
      <c r="AF111" s="39">
        <v>400</v>
      </c>
      <c r="AG111" s="39">
        <v>400</v>
      </c>
      <c r="AH111" s="39">
        <v>400</v>
      </c>
      <c r="AI111" s="39">
        <v>400</v>
      </c>
      <c r="AJ111" s="39">
        <v>400</v>
      </c>
      <c r="AK111" s="39">
        <v>400</v>
      </c>
      <c r="AL111" s="39">
        <v>400</v>
      </c>
      <c r="AM111" s="39">
        <v>400</v>
      </c>
      <c r="AN111" s="39">
        <v>400</v>
      </c>
      <c r="AO111" s="39">
        <v>400</v>
      </c>
      <c r="AP111" s="39">
        <v>400</v>
      </c>
      <c r="AQ111" s="39">
        <v>400</v>
      </c>
      <c r="AR111" s="39">
        <v>400</v>
      </c>
      <c r="AS111" s="39">
        <v>400</v>
      </c>
      <c r="AT111" s="39">
        <v>400</v>
      </c>
      <c r="AU111" s="39">
        <v>400</v>
      </c>
      <c r="AV111" s="39">
        <v>400</v>
      </c>
      <c r="AW111" s="39">
        <v>400</v>
      </c>
      <c r="AX111" s="39">
        <v>400</v>
      </c>
      <c r="AY111" s="39">
        <v>400</v>
      </c>
      <c r="AZ111" s="39">
        <v>400</v>
      </c>
      <c r="BA111" s="39">
        <v>400</v>
      </c>
      <c r="BB111" s="39">
        <v>400</v>
      </c>
      <c r="BC111" s="39">
        <v>400</v>
      </c>
      <c r="BD111" s="39">
        <v>400</v>
      </c>
      <c r="BE111" s="39">
        <v>400</v>
      </c>
      <c r="BF111" s="39">
        <v>400</v>
      </c>
      <c r="BG111" s="39">
        <v>400</v>
      </c>
      <c r="BH111" s="39">
        <v>400</v>
      </c>
      <c r="BI111" s="39">
        <v>400</v>
      </c>
      <c r="BJ111" s="39">
        <v>400</v>
      </c>
      <c r="BK111" s="39">
        <v>400</v>
      </c>
      <c r="BL111" s="39">
        <v>400</v>
      </c>
      <c r="BM111" s="39">
        <v>400</v>
      </c>
      <c r="BN111" s="39">
        <v>400</v>
      </c>
      <c r="BO111" s="39">
        <v>400</v>
      </c>
      <c r="BP111" s="39">
        <v>400</v>
      </c>
      <c r="BQ111" s="39">
        <v>400</v>
      </c>
    </row>
    <row r="112" spans="2:69">
      <c r="B112" s="4" t="s">
        <v>309</v>
      </c>
      <c r="J112" s="39">
        <v>35</v>
      </c>
      <c r="K112" s="39">
        <v>35</v>
      </c>
      <c r="L112" s="39">
        <v>35</v>
      </c>
      <c r="M112" s="39">
        <v>35</v>
      </c>
      <c r="N112" s="39">
        <v>35</v>
      </c>
      <c r="O112" s="39">
        <v>35</v>
      </c>
      <c r="P112" s="39">
        <v>35</v>
      </c>
      <c r="Q112" s="39">
        <v>35</v>
      </c>
      <c r="R112" s="39">
        <v>35</v>
      </c>
      <c r="S112" s="39">
        <v>35</v>
      </c>
      <c r="T112" s="39">
        <v>35</v>
      </c>
      <c r="U112" s="39">
        <v>35</v>
      </c>
      <c r="V112" s="39">
        <v>35</v>
      </c>
      <c r="W112" s="39">
        <v>35</v>
      </c>
      <c r="X112" s="39">
        <v>35</v>
      </c>
      <c r="Y112" s="39">
        <v>35</v>
      </c>
      <c r="Z112" s="39">
        <v>35</v>
      </c>
      <c r="AA112" s="39">
        <v>35</v>
      </c>
      <c r="AB112" s="39">
        <v>35</v>
      </c>
      <c r="AC112" s="39">
        <v>35</v>
      </c>
      <c r="AD112" s="39">
        <v>35</v>
      </c>
      <c r="AE112" s="39">
        <v>35</v>
      </c>
      <c r="AF112" s="39">
        <v>35</v>
      </c>
      <c r="AG112" s="39">
        <v>35</v>
      </c>
      <c r="AH112" s="39">
        <v>35</v>
      </c>
      <c r="AI112" s="39">
        <v>35</v>
      </c>
      <c r="AJ112" s="39">
        <v>35</v>
      </c>
      <c r="AK112" s="39">
        <v>35</v>
      </c>
      <c r="AL112" s="39">
        <v>35</v>
      </c>
      <c r="AM112" s="39">
        <v>35</v>
      </c>
      <c r="AN112" s="39">
        <v>35</v>
      </c>
      <c r="AO112" s="39">
        <v>35</v>
      </c>
      <c r="AP112" s="39">
        <v>35</v>
      </c>
      <c r="AQ112" s="39">
        <v>35</v>
      </c>
      <c r="AR112" s="39">
        <v>35</v>
      </c>
      <c r="AS112" s="39">
        <v>35</v>
      </c>
      <c r="AT112" s="39">
        <v>35</v>
      </c>
      <c r="AU112" s="39">
        <v>35</v>
      </c>
      <c r="AV112" s="39">
        <v>35</v>
      </c>
      <c r="AW112" s="39">
        <v>35</v>
      </c>
      <c r="AX112" s="39">
        <v>35</v>
      </c>
      <c r="AY112" s="39">
        <v>35</v>
      </c>
      <c r="AZ112" s="39">
        <v>35</v>
      </c>
      <c r="BA112" s="39">
        <v>35</v>
      </c>
      <c r="BB112" s="39">
        <v>35</v>
      </c>
      <c r="BC112" s="39">
        <v>35</v>
      </c>
      <c r="BD112" s="39">
        <v>35</v>
      </c>
      <c r="BE112" s="39">
        <v>35</v>
      </c>
      <c r="BF112" s="39">
        <v>35</v>
      </c>
      <c r="BG112" s="39">
        <v>35</v>
      </c>
      <c r="BH112" s="39">
        <v>35</v>
      </c>
      <c r="BI112" s="39">
        <v>35</v>
      </c>
      <c r="BJ112" s="39">
        <v>35</v>
      </c>
      <c r="BK112" s="39">
        <v>35</v>
      </c>
      <c r="BL112" s="39">
        <v>35</v>
      </c>
      <c r="BM112" s="39">
        <v>35</v>
      </c>
      <c r="BN112" s="39">
        <v>35</v>
      </c>
      <c r="BO112" s="39">
        <v>35</v>
      </c>
      <c r="BP112" s="39">
        <v>35</v>
      </c>
      <c r="BQ112" s="39">
        <v>35</v>
      </c>
    </row>
    <row r="113" spans="2:69">
      <c r="B113" s="4" t="s">
        <v>308</v>
      </c>
      <c r="J113" s="39">
        <v>600</v>
      </c>
      <c r="K113" s="39">
        <v>600</v>
      </c>
      <c r="L113" s="39">
        <v>600</v>
      </c>
      <c r="M113" s="39">
        <v>600</v>
      </c>
      <c r="N113" s="39">
        <v>600</v>
      </c>
      <c r="O113" s="39">
        <v>600</v>
      </c>
      <c r="P113" s="39">
        <v>600</v>
      </c>
      <c r="Q113" s="39">
        <v>600</v>
      </c>
      <c r="R113" s="39">
        <v>600</v>
      </c>
      <c r="S113" s="39">
        <v>600</v>
      </c>
      <c r="T113" s="39">
        <v>600</v>
      </c>
      <c r="U113" s="39">
        <v>600</v>
      </c>
      <c r="V113" s="39">
        <v>600</v>
      </c>
      <c r="W113" s="39">
        <v>600</v>
      </c>
      <c r="X113" s="39">
        <v>600</v>
      </c>
      <c r="Y113" s="39">
        <v>600</v>
      </c>
      <c r="Z113" s="39">
        <v>600</v>
      </c>
      <c r="AA113" s="39">
        <v>600</v>
      </c>
      <c r="AB113" s="39">
        <v>600</v>
      </c>
      <c r="AC113" s="39">
        <v>600</v>
      </c>
      <c r="AD113" s="39">
        <v>600</v>
      </c>
      <c r="AE113" s="39">
        <v>600</v>
      </c>
      <c r="AF113" s="39">
        <v>600</v>
      </c>
      <c r="AG113" s="39">
        <v>600</v>
      </c>
      <c r="AH113" s="39">
        <v>600</v>
      </c>
      <c r="AI113" s="39">
        <v>600</v>
      </c>
      <c r="AJ113" s="39">
        <v>600</v>
      </c>
      <c r="AK113" s="39">
        <v>600</v>
      </c>
      <c r="AL113" s="39">
        <v>600</v>
      </c>
      <c r="AM113" s="39">
        <v>600</v>
      </c>
      <c r="AN113" s="39">
        <v>600</v>
      </c>
      <c r="AO113" s="39">
        <v>600</v>
      </c>
      <c r="AP113" s="39">
        <v>600</v>
      </c>
      <c r="AQ113" s="39">
        <v>600</v>
      </c>
      <c r="AR113" s="39">
        <v>600</v>
      </c>
      <c r="AS113" s="39">
        <v>600</v>
      </c>
      <c r="AT113" s="39">
        <v>600</v>
      </c>
      <c r="AU113" s="39">
        <v>600</v>
      </c>
      <c r="AV113" s="39">
        <v>600</v>
      </c>
      <c r="AW113" s="39">
        <v>600</v>
      </c>
      <c r="AX113" s="39">
        <v>600</v>
      </c>
      <c r="AY113" s="39">
        <v>600</v>
      </c>
      <c r="AZ113" s="39">
        <v>600</v>
      </c>
      <c r="BA113" s="39">
        <v>600</v>
      </c>
      <c r="BB113" s="39">
        <v>600</v>
      </c>
      <c r="BC113" s="39">
        <v>600</v>
      </c>
      <c r="BD113" s="39">
        <v>600</v>
      </c>
      <c r="BE113" s="39">
        <v>600</v>
      </c>
      <c r="BF113" s="39">
        <v>600</v>
      </c>
      <c r="BG113" s="39">
        <v>600</v>
      </c>
      <c r="BH113" s="39">
        <v>600</v>
      </c>
      <c r="BI113" s="39">
        <v>600</v>
      </c>
      <c r="BJ113" s="39">
        <v>600</v>
      </c>
      <c r="BK113" s="39">
        <v>600</v>
      </c>
      <c r="BL113" s="39">
        <v>600</v>
      </c>
      <c r="BM113" s="39">
        <v>600</v>
      </c>
      <c r="BN113" s="39">
        <v>600</v>
      </c>
      <c r="BO113" s="39">
        <v>600</v>
      </c>
      <c r="BP113" s="39">
        <v>600</v>
      </c>
      <c r="BQ113" s="39">
        <v>600</v>
      </c>
    </row>
    <row r="114" spans="2:69">
      <c r="B114" s="4" t="s">
        <v>6</v>
      </c>
      <c r="J114" s="58">
        <f>SUM(J110:J113)</f>
        <v>1235</v>
      </c>
      <c r="K114" s="58">
        <f t="shared" ref="K114:BE114" si="330">SUM(K110:K113)</f>
        <v>1235</v>
      </c>
      <c r="L114" s="58">
        <f t="shared" si="330"/>
        <v>1235</v>
      </c>
      <c r="M114" s="58">
        <f t="shared" si="330"/>
        <v>1235</v>
      </c>
      <c r="N114" s="58">
        <f t="shared" si="330"/>
        <v>1235</v>
      </c>
      <c r="O114" s="58">
        <f t="shared" si="330"/>
        <v>1235</v>
      </c>
      <c r="P114" s="58">
        <f t="shared" si="330"/>
        <v>1235</v>
      </c>
      <c r="Q114" s="58">
        <f t="shared" si="330"/>
        <v>1235</v>
      </c>
      <c r="R114" s="58">
        <f t="shared" si="330"/>
        <v>1235</v>
      </c>
      <c r="S114" s="58">
        <f t="shared" si="330"/>
        <v>1235</v>
      </c>
      <c r="T114" s="58">
        <f t="shared" si="330"/>
        <v>1235</v>
      </c>
      <c r="U114" s="58">
        <f t="shared" si="330"/>
        <v>1235</v>
      </c>
      <c r="V114" s="58">
        <f t="shared" si="330"/>
        <v>1235</v>
      </c>
      <c r="W114" s="58">
        <f t="shared" si="330"/>
        <v>1235</v>
      </c>
      <c r="X114" s="58">
        <f t="shared" si="330"/>
        <v>1235</v>
      </c>
      <c r="Y114" s="58">
        <f t="shared" si="330"/>
        <v>1235</v>
      </c>
      <c r="Z114" s="58">
        <f t="shared" si="330"/>
        <v>1235</v>
      </c>
      <c r="AA114" s="58">
        <f t="shared" si="330"/>
        <v>1235</v>
      </c>
      <c r="AB114" s="58">
        <f t="shared" si="330"/>
        <v>1235</v>
      </c>
      <c r="AC114" s="58">
        <f t="shared" si="330"/>
        <v>1235</v>
      </c>
      <c r="AD114" s="58">
        <f t="shared" si="330"/>
        <v>1235</v>
      </c>
      <c r="AE114" s="58">
        <f t="shared" si="330"/>
        <v>1235</v>
      </c>
      <c r="AF114" s="58">
        <f t="shared" si="330"/>
        <v>1235</v>
      </c>
      <c r="AG114" s="58">
        <f t="shared" si="330"/>
        <v>1235</v>
      </c>
      <c r="AH114" s="58">
        <f t="shared" si="330"/>
        <v>1235</v>
      </c>
      <c r="AI114" s="58">
        <f t="shared" si="330"/>
        <v>1235</v>
      </c>
      <c r="AJ114" s="58">
        <f t="shared" si="330"/>
        <v>1235</v>
      </c>
      <c r="AK114" s="58">
        <f t="shared" si="330"/>
        <v>1235</v>
      </c>
      <c r="AL114" s="58">
        <f t="shared" si="330"/>
        <v>1235</v>
      </c>
      <c r="AM114" s="58">
        <f t="shared" si="330"/>
        <v>1235</v>
      </c>
      <c r="AN114" s="58">
        <f t="shared" si="330"/>
        <v>1235</v>
      </c>
      <c r="AO114" s="58">
        <f t="shared" si="330"/>
        <v>1235</v>
      </c>
      <c r="AP114" s="58">
        <f t="shared" si="330"/>
        <v>1235</v>
      </c>
      <c r="AQ114" s="58">
        <f t="shared" si="330"/>
        <v>1235</v>
      </c>
      <c r="AR114" s="58">
        <f t="shared" si="330"/>
        <v>1235</v>
      </c>
      <c r="AS114" s="58">
        <f t="shared" si="330"/>
        <v>1235</v>
      </c>
      <c r="AT114" s="58">
        <f t="shared" si="330"/>
        <v>1235</v>
      </c>
      <c r="AU114" s="58">
        <f t="shared" si="330"/>
        <v>1235</v>
      </c>
      <c r="AV114" s="58">
        <f t="shared" si="330"/>
        <v>1235</v>
      </c>
      <c r="AW114" s="58">
        <f t="shared" si="330"/>
        <v>1235</v>
      </c>
      <c r="AX114" s="58">
        <f t="shared" si="330"/>
        <v>1235</v>
      </c>
      <c r="AY114" s="58">
        <f t="shared" si="330"/>
        <v>1235</v>
      </c>
      <c r="AZ114" s="58">
        <f t="shared" si="330"/>
        <v>1235</v>
      </c>
      <c r="BA114" s="58">
        <f t="shared" si="330"/>
        <v>1235</v>
      </c>
      <c r="BB114" s="58">
        <f t="shared" si="330"/>
        <v>1235</v>
      </c>
      <c r="BC114" s="58">
        <f t="shared" si="330"/>
        <v>1235</v>
      </c>
      <c r="BD114" s="58">
        <f t="shared" si="330"/>
        <v>1235</v>
      </c>
      <c r="BE114" s="58">
        <f t="shared" si="330"/>
        <v>1235</v>
      </c>
      <c r="BF114" s="58">
        <f t="shared" ref="BF114:BQ114" si="331">SUM(BF110:BF113)</f>
        <v>1235</v>
      </c>
      <c r="BG114" s="58">
        <f t="shared" si="331"/>
        <v>1235</v>
      </c>
      <c r="BH114" s="58">
        <f t="shared" si="331"/>
        <v>1235</v>
      </c>
      <c r="BI114" s="58">
        <f t="shared" si="331"/>
        <v>1235</v>
      </c>
      <c r="BJ114" s="58">
        <f t="shared" si="331"/>
        <v>1235</v>
      </c>
      <c r="BK114" s="58">
        <f t="shared" si="331"/>
        <v>1235</v>
      </c>
      <c r="BL114" s="58">
        <f t="shared" si="331"/>
        <v>1235</v>
      </c>
      <c r="BM114" s="58">
        <f t="shared" si="331"/>
        <v>1235</v>
      </c>
      <c r="BN114" s="58">
        <f t="shared" si="331"/>
        <v>1235</v>
      </c>
      <c r="BO114" s="58">
        <f t="shared" si="331"/>
        <v>1235</v>
      </c>
      <c r="BP114" s="58">
        <f t="shared" si="331"/>
        <v>1235</v>
      </c>
      <c r="BQ114" s="58">
        <f t="shared" si="331"/>
        <v>1235</v>
      </c>
    </row>
    <row r="116" spans="2:69">
      <c r="B116" s="4" t="s">
        <v>366</v>
      </c>
      <c r="J116" s="37">
        <v>0.01</v>
      </c>
      <c r="K116" s="37">
        <v>0.01</v>
      </c>
      <c r="L116" s="37">
        <v>0.01</v>
      </c>
      <c r="M116" s="37">
        <v>0.01</v>
      </c>
      <c r="N116" s="37">
        <v>0.01</v>
      </c>
      <c r="O116" s="37">
        <v>0.01</v>
      </c>
      <c r="P116" s="37">
        <v>0.01</v>
      </c>
      <c r="Q116" s="37">
        <v>0.01</v>
      </c>
      <c r="R116" s="37">
        <v>0.01</v>
      </c>
      <c r="S116" s="37">
        <v>0.01</v>
      </c>
      <c r="T116" s="37">
        <v>0.01</v>
      </c>
      <c r="U116" s="37">
        <v>0.01</v>
      </c>
      <c r="V116" s="37">
        <v>0.01</v>
      </c>
      <c r="W116" s="37">
        <v>0.01</v>
      </c>
      <c r="X116" s="37">
        <v>0.01</v>
      </c>
      <c r="Y116" s="37">
        <v>0.01</v>
      </c>
      <c r="Z116" s="37">
        <v>0.01</v>
      </c>
      <c r="AA116" s="37">
        <v>0.01</v>
      </c>
      <c r="AB116" s="37">
        <v>0.01</v>
      </c>
      <c r="AC116" s="37">
        <v>0.01</v>
      </c>
      <c r="AD116" s="37">
        <v>0.01</v>
      </c>
      <c r="AE116" s="37">
        <v>0.01</v>
      </c>
      <c r="AF116" s="37">
        <v>0.01</v>
      </c>
      <c r="AG116" s="37">
        <v>0.01</v>
      </c>
      <c r="AH116" s="37">
        <v>0.01</v>
      </c>
      <c r="AI116" s="37">
        <v>0.01</v>
      </c>
      <c r="AJ116" s="37">
        <v>0.01</v>
      </c>
      <c r="AK116" s="37">
        <v>0.01</v>
      </c>
      <c r="AL116" s="37">
        <v>0.01</v>
      </c>
      <c r="AM116" s="37">
        <v>0.01</v>
      </c>
      <c r="AN116" s="37">
        <v>0.01</v>
      </c>
      <c r="AO116" s="37">
        <v>0.01</v>
      </c>
      <c r="AP116" s="37">
        <v>0.01</v>
      </c>
      <c r="AQ116" s="37">
        <v>0.01</v>
      </c>
      <c r="AR116" s="37">
        <v>0.01</v>
      </c>
      <c r="AS116" s="37">
        <v>0.01</v>
      </c>
      <c r="AT116" s="37">
        <v>0.01</v>
      </c>
      <c r="AU116" s="37">
        <v>0.01</v>
      </c>
      <c r="AV116" s="37">
        <v>0.01</v>
      </c>
      <c r="AW116" s="37">
        <v>0.01</v>
      </c>
      <c r="AX116" s="37">
        <v>0.01</v>
      </c>
      <c r="AY116" s="37">
        <v>0.01</v>
      </c>
      <c r="AZ116" s="37">
        <v>0.01</v>
      </c>
      <c r="BA116" s="37">
        <v>0.01</v>
      </c>
      <c r="BB116" s="37">
        <v>0.01</v>
      </c>
      <c r="BC116" s="37">
        <v>0.01</v>
      </c>
      <c r="BD116" s="37">
        <v>0.01</v>
      </c>
      <c r="BE116" s="37">
        <v>0.01</v>
      </c>
      <c r="BF116" s="37">
        <v>0.01</v>
      </c>
      <c r="BG116" s="37">
        <v>0.01</v>
      </c>
      <c r="BH116" s="37">
        <v>0.01</v>
      </c>
      <c r="BI116" s="37">
        <v>0.01</v>
      </c>
      <c r="BJ116" s="37">
        <v>0.01</v>
      </c>
      <c r="BK116" s="37">
        <v>0.01</v>
      </c>
      <c r="BL116" s="37">
        <v>0.01</v>
      </c>
      <c r="BM116" s="37">
        <v>0.01</v>
      </c>
      <c r="BN116" s="37">
        <v>0.01</v>
      </c>
      <c r="BO116" s="37">
        <v>0.01</v>
      </c>
      <c r="BP116" s="37">
        <v>0.01</v>
      </c>
      <c r="BQ116" s="37">
        <v>0.01</v>
      </c>
    </row>
    <row r="121" spans="2:69">
      <c r="J121" s="66"/>
      <c r="K121" s="66"/>
      <c r="L121" s="66"/>
    </row>
    <row r="122" spans="2:69">
      <c r="J122" s="66"/>
      <c r="K122" s="66"/>
      <c r="L122" s="66"/>
    </row>
  </sheetData>
  <mergeCells count="2">
    <mergeCell ref="B65:D65"/>
    <mergeCell ref="B80:D80"/>
  </mergeCells>
  <pageMargins left="0.7" right="0.7" top="0.75" bottom="0.75" header="0.3" footer="0.3"/>
  <pageSetup paperSize="9" orientation="portrait" horizontalDpi="4294967292" verticalDpi="4294967292"/>
  <ignoredErrors>
    <ignoredError sqref="AT51:AT56 AT59:AT61 AT64:AT65 AT68 AT71:AT72 AT75 AT78:AT80 AT83" formula="1"/>
  </ignoredErrors>
  <legacyDrawing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104"/>
  <sheetViews>
    <sheetView zoomScale="138" workbookViewId="0">
      <pane xSplit="4" ySplit="3" topLeftCell="J67" activePane="bottomRight" state="frozen"/>
      <selection pane="topRight" activeCell="E1" sqref="E1"/>
      <selection pane="bottomLeft" activeCell="A4" sqref="A4"/>
      <selection pane="bottomRight" activeCell="B98" sqref="B98"/>
    </sheetView>
  </sheetViews>
  <sheetFormatPr defaultColWidth="8.77734375" defaultRowHeight="13.8"/>
  <cols>
    <col min="1" max="1" width="13.33203125" style="4" customWidth="1"/>
    <col min="2" max="2" width="36.77734375" style="4" bestFit="1" customWidth="1"/>
    <col min="3" max="3" width="3" style="4" customWidth="1"/>
    <col min="4" max="9" width="10.109375" style="4" hidden="1" customWidth="1"/>
    <col min="10" max="94" width="10.109375" style="4" bestFit="1" customWidth="1"/>
    <col min="95" max="16384" width="8.77734375" style="4"/>
  </cols>
  <sheetData>
    <row r="1" spans="1:73">
      <c r="A1" s="3" t="s">
        <v>80</v>
      </c>
    </row>
    <row r="2" spans="1:73" s="5" customFormat="1">
      <c r="A2" s="3" t="s">
        <v>1</v>
      </c>
      <c r="J2" s="11">
        <f>Timing!J2</f>
        <v>44986</v>
      </c>
      <c r="K2" s="11">
        <f>Timing!K2</f>
        <v>45017</v>
      </c>
      <c r="L2" s="11">
        <f>Timing!L2</f>
        <v>45047</v>
      </c>
      <c r="M2" s="11">
        <f>Timing!M2</f>
        <v>45078</v>
      </c>
      <c r="N2" s="11">
        <f>Timing!N2</f>
        <v>45108</v>
      </c>
      <c r="O2" s="11">
        <f>Timing!O2</f>
        <v>45139</v>
      </c>
      <c r="P2" s="11">
        <f>Timing!P2</f>
        <v>45170</v>
      </c>
      <c r="Q2" s="11">
        <f>Timing!Q2</f>
        <v>45200</v>
      </c>
      <c r="R2" s="11">
        <f>Timing!R2</f>
        <v>45231</v>
      </c>
      <c r="S2" s="11">
        <f>Timing!S2</f>
        <v>45261</v>
      </c>
      <c r="T2" s="11">
        <f>Timing!T2</f>
        <v>45292</v>
      </c>
      <c r="U2" s="11">
        <f>Timing!U2</f>
        <v>45323</v>
      </c>
      <c r="V2" s="11">
        <f>Timing!V2</f>
        <v>45352</v>
      </c>
      <c r="W2" s="11">
        <f>Timing!W2</f>
        <v>45383</v>
      </c>
      <c r="X2" s="11">
        <f>Timing!X2</f>
        <v>45413</v>
      </c>
      <c r="Y2" s="11">
        <f>Timing!Y2</f>
        <v>45444</v>
      </c>
      <c r="Z2" s="11">
        <f>Timing!Z2</f>
        <v>45474</v>
      </c>
      <c r="AA2" s="11">
        <f>Timing!AA2</f>
        <v>45505</v>
      </c>
      <c r="AB2" s="11">
        <f>Timing!AB2</f>
        <v>45536</v>
      </c>
      <c r="AC2" s="11">
        <f>Timing!AC2</f>
        <v>45566</v>
      </c>
      <c r="AD2" s="11">
        <f>Timing!AD2</f>
        <v>45597</v>
      </c>
      <c r="AE2" s="11">
        <f>Timing!AE2</f>
        <v>45627</v>
      </c>
      <c r="AF2" s="11">
        <f>Timing!AF2</f>
        <v>45658</v>
      </c>
      <c r="AG2" s="11">
        <f>Timing!AG2</f>
        <v>45689</v>
      </c>
      <c r="AH2" s="11">
        <f>Timing!AH2</f>
        <v>45717</v>
      </c>
      <c r="AI2" s="11">
        <f>Timing!AI2</f>
        <v>45748</v>
      </c>
      <c r="AJ2" s="11">
        <f>Timing!AJ2</f>
        <v>45778</v>
      </c>
      <c r="AK2" s="11">
        <f>Timing!AK2</f>
        <v>45809</v>
      </c>
      <c r="AL2" s="11">
        <f>Timing!AL2</f>
        <v>45839</v>
      </c>
      <c r="AM2" s="11">
        <f>Timing!AM2</f>
        <v>45870</v>
      </c>
      <c r="AN2" s="11">
        <f>Timing!AN2</f>
        <v>45901</v>
      </c>
      <c r="AO2" s="11">
        <f>Timing!AO2</f>
        <v>45931</v>
      </c>
      <c r="AP2" s="11">
        <f>Timing!AP2</f>
        <v>45962</v>
      </c>
      <c r="AQ2" s="11">
        <f>Timing!AQ2</f>
        <v>45992</v>
      </c>
      <c r="AR2" s="11">
        <f>Timing!AR2</f>
        <v>46023</v>
      </c>
      <c r="AS2" s="11">
        <f>Timing!AS2</f>
        <v>46054</v>
      </c>
      <c r="AT2" s="11">
        <f>Timing!AT2</f>
        <v>46082</v>
      </c>
      <c r="AU2" s="11">
        <f>Timing!AU2</f>
        <v>46113</v>
      </c>
      <c r="AV2" s="11">
        <f>Timing!AV2</f>
        <v>46143</v>
      </c>
      <c r="AW2" s="11">
        <f>Timing!AW2</f>
        <v>46174</v>
      </c>
      <c r="AX2" s="11">
        <f>Timing!AX2</f>
        <v>46204</v>
      </c>
      <c r="AY2" s="11">
        <f>Timing!AY2</f>
        <v>46235</v>
      </c>
      <c r="AZ2" s="11">
        <f>Timing!AZ2</f>
        <v>46266</v>
      </c>
      <c r="BA2" s="11">
        <f>Timing!BA2</f>
        <v>46296</v>
      </c>
      <c r="BB2" s="11">
        <f>Timing!BB2</f>
        <v>46327</v>
      </c>
      <c r="BC2" s="11">
        <f>Timing!BC2</f>
        <v>46357</v>
      </c>
      <c r="BD2" s="11">
        <f>Timing!BD2</f>
        <v>46388</v>
      </c>
      <c r="BE2" s="11">
        <f>Timing!BE2</f>
        <v>46419</v>
      </c>
      <c r="BF2" s="11">
        <f>Timing!BF2</f>
        <v>46447</v>
      </c>
      <c r="BG2" s="11">
        <f>Timing!BG2</f>
        <v>46478</v>
      </c>
      <c r="BH2" s="11">
        <f>Timing!BH2</f>
        <v>46508</v>
      </c>
      <c r="BI2" s="11">
        <f>Timing!BI2</f>
        <v>46539</v>
      </c>
      <c r="BJ2" s="11">
        <f>Timing!BJ2</f>
        <v>46569</v>
      </c>
      <c r="BK2" s="11">
        <f>Timing!BK2</f>
        <v>46600</v>
      </c>
      <c r="BL2" s="11">
        <f>Timing!BL2</f>
        <v>46631</v>
      </c>
      <c r="BM2" s="11">
        <f>Timing!BM2</f>
        <v>46661</v>
      </c>
      <c r="BN2" s="11">
        <f>Timing!BN2</f>
        <v>46692</v>
      </c>
      <c r="BO2" s="11">
        <f>Timing!BO2</f>
        <v>46722</v>
      </c>
      <c r="BP2" s="11">
        <f>Timing!BP2</f>
        <v>46753</v>
      </c>
      <c r="BQ2" s="11">
        <f>Timing!BQ2</f>
        <v>46784</v>
      </c>
      <c r="BR2" s="11"/>
      <c r="BS2" s="11"/>
      <c r="BT2" s="11"/>
      <c r="BU2" s="11"/>
    </row>
    <row r="3" spans="1:73">
      <c r="J3" s="11">
        <f>Timing!J3</f>
        <v>45016</v>
      </c>
      <c r="K3" s="11">
        <f>Timing!K3</f>
        <v>45046</v>
      </c>
      <c r="L3" s="11">
        <f>Timing!L3</f>
        <v>45077</v>
      </c>
      <c r="M3" s="11">
        <f>Timing!M3</f>
        <v>45107</v>
      </c>
      <c r="N3" s="11">
        <f>Timing!N3</f>
        <v>45138</v>
      </c>
      <c r="O3" s="11">
        <f>Timing!O3</f>
        <v>45169</v>
      </c>
      <c r="P3" s="11">
        <f>Timing!P3</f>
        <v>45199</v>
      </c>
      <c r="Q3" s="11">
        <f>Timing!Q3</f>
        <v>45230</v>
      </c>
      <c r="R3" s="11">
        <f>Timing!R3</f>
        <v>45260</v>
      </c>
      <c r="S3" s="11">
        <f>Timing!S3</f>
        <v>45291</v>
      </c>
      <c r="T3" s="11">
        <f>Timing!T3</f>
        <v>45322</v>
      </c>
      <c r="U3" s="11">
        <f>Timing!U3</f>
        <v>45351</v>
      </c>
      <c r="V3" s="11">
        <f>Timing!V3</f>
        <v>45382</v>
      </c>
      <c r="W3" s="11">
        <f>Timing!W3</f>
        <v>45412</v>
      </c>
      <c r="X3" s="11">
        <f>Timing!X3</f>
        <v>45443</v>
      </c>
      <c r="Y3" s="11">
        <f>Timing!Y3</f>
        <v>45473</v>
      </c>
      <c r="Z3" s="11">
        <f>Timing!Z3</f>
        <v>45504</v>
      </c>
      <c r="AA3" s="11">
        <f>Timing!AA3</f>
        <v>45535</v>
      </c>
      <c r="AB3" s="11">
        <f>Timing!AB3</f>
        <v>45565</v>
      </c>
      <c r="AC3" s="11">
        <f>Timing!AC3</f>
        <v>45596</v>
      </c>
      <c r="AD3" s="11">
        <f>Timing!AD3</f>
        <v>45626</v>
      </c>
      <c r="AE3" s="11">
        <f>Timing!AE3</f>
        <v>45657</v>
      </c>
      <c r="AF3" s="11">
        <f>Timing!AF3</f>
        <v>45688</v>
      </c>
      <c r="AG3" s="11">
        <f>Timing!AG3</f>
        <v>45716</v>
      </c>
      <c r="AH3" s="11">
        <f>Timing!AH3</f>
        <v>45747</v>
      </c>
      <c r="AI3" s="11">
        <f>Timing!AI3</f>
        <v>45777</v>
      </c>
      <c r="AJ3" s="11">
        <f>Timing!AJ3</f>
        <v>45808</v>
      </c>
      <c r="AK3" s="11">
        <f>Timing!AK3</f>
        <v>45838</v>
      </c>
      <c r="AL3" s="11">
        <f>Timing!AL3</f>
        <v>45869</v>
      </c>
      <c r="AM3" s="11">
        <f>Timing!AM3</f>
        <v>45900</v>
      </c>
      <c r="AN3" s="11">
        <f>Timing!AN3</f>
        <v>45930</v>
      </c>
      <c r="AO3" s="11">
        <f>Timing!AO3</f>
        <v>45961</v>
      </c>
      <c r="AP3" s="11">
        <f>Timing!AP3</f>
        <v>45991</v>
      </c>
      <c r="AQ3" s="11">
        <f>Timing!AQ3</f>
        <v>46022</v>
      </c>
      <c r="AR3" s="11">
        <f>Timing!AR3</f>
        <v>46053</v>
      </c>
      <c r="AS3" s="11">
        <f>Timing!AS3</f>
        <v>46081</v>
      </c>
      <c r="AT3" s="11">
        <f>Timing!AT3</f>
        <v>46112</v>
      </c>
      <c r="AU3" s="11">
        <f>Timing!AU3</f>
        <v>46142</v>
      </c>
      <c r="AV3" s="11">
        <f>Timing!AV3</f>
        <v>46173</v>
      </c>
      <c r="AW3" s="11">
        <f>Timing!AW3</f>
        <v>46203</v>
      </c>
      <c r="AX3" s="11">
        <f>Timing!AX3</f>
        <v>46234</v>
      </c>
      <c r="AY3" s="11">
        <f>Timing!AY3</f>
        <v>46265</v>
      </c>
      <c r="AZ3" s="11">
        <f>Timing!AZ3</f>
        <v>46295</v>
      </c>
      <c r="BA3" s="11">
        <f>Timing!BA3</f>
        <v>46326</v>
      </c>
      <c r="BB3" s="11">
        <f>Timing!BB3</f>
        <v>46356</v>
      </c>
      <c r="BC3" s="11">
        <f>Timing!BC3</f>
        <v>46387</v>
      </c>
      <c r="BD3" s="11">
        <f>Timing!BD3</f>
        <v>46418</v>
      </c>
      <c r="BE3" s="11">
        <f>Timing!BE3</f>
        <v>46446</v>
      </c>
      <c r="BF3" s="11">
        <f>Timing!BF3</f>
        <v>46477</v>
      </c>
      <c r="BG3" s="11">
        <f>Timing!BG3</f>
        <v>46507</v>
      </c>
      <c r="BH3" s="11">
        <f>Timing!BH3</f>
        <v>46538</v>
      </c>
      <c r="BI3" s="11">
        <f>Timing!BI3</f>
        <v>46568</v>
      </c>
      <c r="BJ3" s="11">
        <f>Timing!BJ3</f>
        <v>46599</v>
      </c>
      <c r="BK3" s="11">
        <f>Timing!BK3</f>
        <v>46630</v>
      </c>
      <c r="BL3" s="11">
        <f>Timing!BL3</f>
        <v>46660</v>
      </c>
      <c r="BM3" s="11">
        <f>Timing!BM3</f>
        <v>46691</v>
      </c>
      <c r="BN3" s="11">
        <f>Timing!BN3</f>
        <v>46721</v>
      </c>
      <c r="BO3" s="11">
        <f>Timing!BO3</f>
        <v>46752</v>
      </c>
      <c r="BP3" s="11">
        <f>Timing!BP3</f>
        <v>46783</v>
      </c>
      <c r="BQ3" s="11">
        <f>Timing!BQ3</f>
        <v>46812</v>
      </c>
      <c r="BR3" s="11"/>
      <c r="BS3" s="11"/>
      <c r="BT3" s="11"/>
      <c r="BU3" s="11"/>
    </row>
    <row r="4" spans="1:73">
      <c r="B4" s="3" t="s">
        <v>83</v>
      </c>
    </row>
    <row r="6" spans="1:73">
      <c r="B6" s="3" t="s">
        <v>82</v>
      </c>
    </row>
    <row r="7" spans="1:73">
      <c r="B7" s="4" t="str">
        <f>B36</f>
        <v>Revenue - new screens</v>
      </c>
      <c r="J7" s="39">
        <f>J38</f>
        <v>30000</v>
      </c>
      <c r="K7" s="39">
        <f t="shared" ref="K7:BD7" si="0">K38</f>
        <v>30000</v>
      </c>
      <c r="L7" s="39">
        <f t="shared" si="0"/>
        <v>0</v>
      </c>
      <c r="M7" s="39">
        <f t="shared" si="0"/>
        <v>30000</v>
      </c>
      <c r="N7" s="39">
        <f t="shared" si="0"/>
        <v>30000</v>
      </c>
      <c r="O7" s="39">
        <f t="shared" si="0"/>
        <v>30000</v>
      </c>
      <c r="P7" s="39">
        <f t="shared" si="0"/>
        <v>60000</v>
      </c>
      <c r="Q7" s="39">
        <f t="shared" si="0"/>
        <v>0</v>
      </c>
      <c r="R7" s="39">
        <f t="shared" si="0"/>
        <v>0</v>
      </c>
      <c r="S7" s="39">
        <f t="shared" si="0"/>
        <v>0</v>
      </c>
      <c r="T7" s="39">
        <f t="shared" si="0"/>
        <v>0</v>
      </c>
      <c r="U7" s="39">
        <f t="shared" si="0"/>
        <v>0</v>
      </c>
      <c r="V7" s="39">
        <f t="shared" si="0"/>
        <v>0</v>
      </c>
      <c r="W7" s="39">
        <f t="shared" si="0"/>
        <v>30000</v>
      </c>
      <c r="X7" s="39">
        <f t="shared" si="0"/>
        <v>30000</v>
      </c>
      <c r="Y7" s="39">
        <f t="shared" si="0"/>
        <v>30000</v>
      </c>
      <c r="Z7" s="39">
        <f t="shared" si="0"/>
        <v>30000</v>
      </c>
      <c r="AA7" s="39">
        <f t="shared" si="0"/>
        <v>30000</v>
      </c>
      <c r="AB7" s="39">
        <f t="shared" si="0"/>
        <v>30000</v>
      </c>
      <c r="AC7" s="39">
        <f t="shared" si="0"/>
        <v>30000</v>
      </c>
      <c r="AD7" s="39">
        <f t="shared" si="0"/>
        <v>30000</v>
      </c>
      <c r="AE7" s="39">
        <f t="shared" si="0"/>
        <v>30000</v>
      </c>
      <c r="AF7" s="39">
        <f t="shared" si="0"/>
        <v>30000</v>
      </c>
      <c r="AG7" s="39">
        <f t="shared" si="0"/>
        <v>30000</v>
      </c>
      <c r="AH7" s="39">
        <f t="shared" si="0"/>
        <v>39600</v>
      </c>
      <c r="AI7" s="39">
        <f t="shared" si="0"/>
        <v>39600</v>
      </c>
      <c r="AJ7" s="39">
        <f t="shared" si="0"/>
        <v>39600</v>
      </c>
      <c r="AK7" s="39">
        <f t="shared" si="0"/>
        <v>39600</v>
      </c>
      <c r="AL7" s="39">
        <f t="shared" si="0"/>
        <v>39600</v>
      </c>
      <c r="AM7" s="39">
        <f t="shared" si="0"/>
        <v>39600</v>
      </c>
      <c r="AN7" s="39">
        <f t="shared" si="0"/>
        <v>39600</v>
      </c>
      <c r="AO7" s="39">
        <f t="shared" si="0"/>
        <v>39600</v>
      </c>
      <c r="AP7" s="39">
        <f t="shared" si="0"/>
        <v>39600</v>
      </c>
      <c r="AQ7" s="39">
        <f t="shared" si="0"/>
        <v>39600</v>
      </c>
      <c r="AR7" s="39">
        <f t="shared" si="0"/>
        <v>39600</v>
      </c>
      <c r="AS7" s="39">
        <f t="shared" si="0"/>
        <v>39600</v>
      </c>
      <c r="AT7" s="39">
        <f t="shared" si="0"/>
        <v>52030</v>
      </c>
      <c r="AU7" s="39">
        <f t="shared" si="0"/>
        <v>52030</v>
      </c>
      <c r="AV7" s="39">
        <f t="shared" si="0"/>
        <v>52030</v>
      </c>
      <c r="AW7" s="39">
        <f t="shared" si="0"/>
        <v>52030</v>
      </c>
      <c r="AX7" s="39">
        <f t="shared" si="0"/>
        <v>52030</v>
      </c>
      <c r="AY7" s="39">
        <f t="shared" si="0"/>
        <v>52030</v>
      </c>
      <c r="AZ7" s="39">
        <f t="shared" si="0"/>
        <v>52030</v>
      </c>
      <c r="BA7" s="39">
        <f t="shared" si="0"/>
        <v>52030</v>
      </c>
      <c r="BB7" s="39">
        <f t="shared" si="0"/>
        <v>52030</v>
      </c>
      <c r="BC7" s="39">
        <f t="shared" si="0"/>
        <v>52030</v>
      </c>
      <c r="BD7" s="39">
        <f t="shared" si="0"/>
        <v>52030</v>
      </c>
      <c r="BE7" s="39">
        <f>BE38</f>
        <v>52030</v>
      </c>
      <c r="BF7" s="39">
        <f t="shared" ref="BF7:BQ7" si="1">BF38</f>
        <v>62920</v>
      </c>
      <c r="BG7" s="39">
        <f t="shared" si="1"/>
        <v>62920</v>
      </c>
      <c r="BH7" s="39">
        <f t="shared" si="1"/>
        <v>62920</v>
      </c>
      <c r="BI7" s="39">
        <f t="shared" si="1"/>
        <v>62920</v>
      </c>
      <c r="BJ7" s="39">
        <f t="shared" si="1"/>
        <v>62920</v>
      </c>
      <c r="BK7" s="39">
        <f t="shared" si="1"/>
        <v>62920</v>
      </c>
      <c r="BL7" s="39">
        <f t="shared" si="1"/>
        <v>62920</v>
      </c>
      <c r="BM7" s="39">
        <f t="shared" si="1"/>
        <v>62920</v>
      </c>
      <c r="BN7" s="39">
        <f t="shared" si="1"/>
        <v>62920</v>
      </c>
      <c r="BO7" s="39">
        <f t="shared" si="1"/>
        <v>62920</v>
      </c>
      <c r="BP7" s="39">
        <f t="shared" si="1"/>
        <v>62920</v>
      </c>
      <c r="BQ7" s="39">
        <f t="shared" si="1"/>
        <v>62920</v>
      </c>
    </row>
    <row r="8" spans="1:73">
      <c r="B8" s="4" t="str">
        <f>B40</f>
        <v>Revenue - set up and installation/Survey/wall mount</v>
      </c>
      <c r="J8" s="39">
        <f>J42</f>
        <v>2250</v>
      </c>
      <c r="K8" s="39">
        <f t="shared" ref="K8:BE8" si="2">K42</f>
        <v>10050</v>
      </c>
      <c r="L8" s="39">
        <f t="shared" si="2"/>
        <v>5620</v>
      </c>
      <c r="M8" s="39">
        <f t="shared" si="2"/>
        <v>19673</v>
      </c>
      <c r="N8" s="39">
        <f t="shared" si="2"/>
        <v>14774</v>
      </c>
      <c r="O8" s="39">
        <f t="shared" si="2"/>
        <v>110844</v>
      </c>
      <c r="P8" s="39">
        <f t="shared" si="2"/>
        <v>31714</v>
      </c>
      <c r="Q8" s="39">
        <f t="shared" si="2"/>
        <v>16000</v>
      </c>
      <c r="R8" s="39">
        <f t="shared" si="2"/>
        <v>15750</v>
      </c>
      <c r="S8" s="39">
        <f t="shared" si="2"/>
        <v>0</v>
      </c>
      <c r="T8" s="39">
        <f t="shared" si="2"/>
        <v>0</v>
      </c>
      <c r="U8" s="39">
        <f t="shared" si="2"/>
        <v>0</v>
      </c>
      <c r="V8" s="39">
        <f t="shared" si="2"/>
        <v>0</v>
      </c>
      <c r="W8" s="39">
        <f t="shared" si="2"/>
        <v>32250</v>
      </c>
      <c r="X8" s="39">
        <f t="shared" si="2"/>
        <v>32250</v>
      </c>
      <c r="Y8" s="39">
        <f t="shared" si="2"/>
        <v>32250</v>
      </c>
      <c r="Z8" s="39">
        <f t="shared" si="2"/>
        <v>32250</v>
      </c>
      <c r="AA8" s="39">
        <f t="shared" si="2"/>
        <v>32250</v>
      </c>
      <c r="AB8" s="39">
        <f t="shared" si="2"/>
        <v>32250</v>
      </c>
      <c r="AC8" s="39">
        <f t="shared" si="2"/>
        <v>32250</v>
      </c>
      <c r="AD8" s="39">
        <f t="shared" si="2"/>
        <v>32250</v>
      </c>
      <c r="AE8" s="39">
        <f t="shared" si="2"/>
        <v>32250</v>
      </c>
      <c r="AF8" s="39">
        <f t="shared" si="2"/>
        <v>32250</v>
      </c>
      <c r="AG8" s="39">
        <f t="shared" si="2"/>
        <v>32250</v>
      </c>
      <c r="AH8" s="39">
        <f t="shared" si="2"/>
        <v>42570</v>
      </c>
      <c r="AI8" s="39">
        <f t="shared" si="2"/>
        <v>42570</v>
      </c>
      <c r="AJ8" s="39">
        <f t="shared" si="2"/>
        <v>42570</v>
      </c>
      <c r="AK8" s="39">
        <f t="shared" si="2"/>
        <v>42570</v>
      </c>
      <c r="AL8" s="39">
        <f t="shared" si="2"/>
        <v>42570</v>
      </c>
      <c r="AM8" s="39">
        <f t="shared" si="2"/>
        <v>42570</v>
      </c>
      <c r="AN8" s="39">
        <f t="shared" si="2"/>
        <v>42570</v>
      </c>
      <c r="AO8" s="39">
        <f t="shared" si="2"/>
        <v>42570</v>
      </c>
      <c r="AP8" s="39">
        <f t="shared" si="2"/>
        <v>42570</v>
      </c>
      <c r="AQ8" s="39">
        <f t="shared" si="2"/>
        <v>42570</v>
      </c>
      <c r="AR8" s="39">
        <f t="shared" si="2"/>
        <v>42570</v>
      </c>
      <c r="AS8" s="39">
        <f t="shared" si="2"/>
        <v>42570</v>
      </c>
      <c r="AT8" s="39">
        <f t="shared" si="2"/>
        <v>55932.25</v>
      </c>
      <c r="AU8" s="39">
        <f t="shared" si="2"/>
        <v>55932.25</v>
      </c>
      <c r="AV8" s="39">
        <f t="shared" si="2"/>
        <v>55932.25</v>
      </c>
      <c r="AW8" s="39">
        <f t="shared" si="2"/>
        <v>55932.25</v>
      </c>
      <c r="AX8" s="39">
        <f t="shared" si="2"/>
        <v>55932.25</v>
      </c>
      <c r="AY8" s="39">
        <f t="shared" si="2"/>
        <v>55932.25</v>
      </c>
      <c r="AZ8" s="39">
        <f t="shared" si="2"/>
        <v>55932.25</v>
      </c>
      <c r="BA8" s="39">
        <f t="shared" si="2"/>
        <v>55932.25</v>
      </c>
      <c r="BB8" s="39">
        <f t="shared" si="2"/>
        <v>55932.25</v>
      </c>
      <c r="BC8" s="39">
        <f t="shared" si="2"/>
        <v>55932.25</v>
      </c>
      <c r="BD8" s="39">
        <f t="shared" si="2"/>
        <v>55932.25</v>
      </c>
      <c r="BE8" s="39">
        <f t="shared" si="2"/>
        <v>55932.25</v>
      </c>
      <c r="BF8" s="39">
        <f t="shared" ref="BF8:BQ8" si="3">BF42</f>
        <v>67639</v>
      </c>
      <c r="BG8" s="39">
        <f t="shared" si="3"/>
        <v>67639</v>
      </c>
      <c r="BH8" s="39">
        <f t="shared" si="3"/>
        <v>67639</v>
      </c>
      <c r="BI8" s="39">
        <f t="shared" si="3"/>
        <v>67639</v>
      </c>
      <c r="BJ8" s="39">
        <f t="shared" si="3"/>
        <v>67639</v>
      </c>
      <c r="BK8" s="39">
        <f t="shared" si="3"/>
        <v>67639</v>
      </c>
      <c r="BL8" s="39">
        <f t="shared" si="3"/>
        <v>67639</v>
      </c>
      <c r="BM8" s="39">
        <f t="shared" si="3"/>
        <v>67639</v>
      </c>
      <c r="BN8" s="39">
        <f t="shared" si="3"/>
        <v>67639</v>
      </c>
      <c r="BO8" s="39">
        <f t="shared" si="3"/>
        <v>67639</v>
      </c>
      <c r="BP8" s="39">
        <f t="shared" si="3"/>
        <v>67639</v>
      </c>
      <c r="BQ8" s="39">
        <f t="shared" si="3"/>
        <v>67639</v>
      </c>
    </row>
    <row r="9" spans="1:73">
      <c r="B9" s="4" t="str">
        <f>B44</f>
        <v>Revenue - software set-up</v>
      </c>
      <c r="J9" s="39">
        <f>J46</f>
        <v>4550</v>
      </c>
      <c r="K9" s="39">
        <f t="shared" ref="K9:BE9" si="4">K46</f>
        <v>1500</v>
      </c>
      <c r="L9" s="39">
        <f t="shared" si="4"/>
        <v>0</v>
      </c>
      <c r="M9" s="39">
        <f t="shared" si="4"/>
        <v>0</v>
      </c>
      <c r="N9" s="39">
        <f t="shared" si="4"/>
        <v>1500</v>
      </c>
      <c r="O9" s="39">
        <f t="shared" si="4"/>
        <v>1500</v>
      </c>
      <c r="P9" s="39">
        <f t="shared" si="4"/>
        <v>3000</v>
      </c>
      <c r="Q9" s="39">
        <f t="shared" si="4"/>
        <v>0</v>
      </c>
      <c r="R9" s="39">
        <f t="shared" si="4"/>
        <v>0</v>
      </c>
      <c r="S9" s="39">
        <f t="shared" si="4"/>
        <v>0</v>
      </c>
      <c r="T9" s="39">
        <f t="shared" si="4"/>
        <v>0</v>
      </c>
      <c r="U9" s="39">
        <f t="shared" si="4"/>
        <v>0</v>
      </c>
      <c r="V9" s="39">
        <f t="shared" si="4"/>
        <v>0</v>
      </c>
      <c r="W9" s="39">
        <f t="shared" si="4"/>
        <v>1500</v>
      </c>
      <c r="X9" s="39">
        <f t="shared" si="4"/>
        <v>1500</v>
      </c>
      <c r="Y9" s="39">
        <f t="shared" si="4"/>
        <v>1500</v>
      </c>
      <c r="Z9" s="39">
        <f t="shared" si="4"/>
        <v>1500</v>
      </c>
      <c r="AA9" s="39">
        <f t="shared" si="4"/>
        <v>1500</v>
      </c>
      <c r="AB9" s="39">
        <f t="shared" si="4"/>
        <v>1500</v>
      </c>
      <c r="AC9" s="39">
        <f t="shared" si="4"/>
        <v>1500</v>
      </c>
      <c r="AD9" s="39">
        <f t="shared" si="4"/>
        <v>1500</v>
      </c>
      <c r="AE9" s="39">
        <f t="shared" si="4"/>
        <v>1500</v>
      </c>
      <c r="AF9" s="39">
        <f t="shared" si="4"/>
        <v>1500</v>
      </c>
      <c r="AG9" s="39">
        <f t="shared" si="4"/>
        <v>1500</v>
      </c>
      <c r="AH9" s="39">
        <f t="shared" si="4"/>
        <v>1980</v>
      </c>
      <c r="AI9" s="39">
        <f t="shared" si="4"/>
        <v>1980</v>
      </c>
      <c r="AJ9" s="39">
        <f t="shared" si="4"/>
        <v>1980</v>
      </c>
      <c r="AK9" s="39">
        <f t="shared" si="4"/>
        <v>1980</v>
      </c>
      <c r="AL9" s="39">
        <f t="shared" si="4"/>
        <v>1980</v>
      </c>
      <c r="AM9" s="39">
        <f t="shared" si="4"/>
        <v>1980</v>
      </c>
      <c r="AN9" s="39">
        <f t="shared" si="4"/>
        <v>1980</v>
      </c>
      <c r="AO9" s="39">
        <f t="shared" si="4"/>
        <v>1980</v>
      </c>
      <c r="AP9" s="39">
        <f t="shared" si="4"/>
        <v>1980</v>
      </c>
      <c r="AQ9" s="39">
        <f t="shared" si="4"/>
        <v>1980</v>
      </c>
      <c r="AR9" s="39">
        <f t="shared" si="4"/>
        <v>1980</v>
      </c>
      <c r="AS9" s="39">
        <f t="shared" si="4"/>
        <v>1980</v>
      </c>
      <c r="AT9" s="39">
        <f t="shared" si="4"/>
        <v>2601.5</v>
      </c>
      <c r="AU9" s="39">
        <f t="shared" si="4"/>
        <v>2601.5</v>
      </c>
      <c r="AV9" s="39">
        <f t="shared" si="4"/>
        <v>2601.5</v>
      </c>
      <c r="AW9" s="39">
        <f t="shared" si="4"/>
        <v>2601.5</v>
      </c>
      <c r="AX9" s="39">
        <f t="shared" si="4"/>
        <v>2601.5</v>
      </c>
      <c r="AY9" s="39">
        <f t="shared" si="4"/>
        <v>2601.5</v>
      </c>
      <c r="AZ9" s="39">
        <f t="shared" si="4"/>
        <v>2601.5</v>
      </c>
      <c r="BA9" s="39">
        <f t="shared" si="4"/>
        <v>2601.5</v>
      </c>
      <c r="BB9" s="39">
        <f t="shared" si="4"/>
        <v>2601.5</v>
      </c>
      <c r="BC9" s="39">
        <f t="shared" si="4"/>
        <v>2601.5</v>
      </c>
      <c r="BD9" s="39">
        <f t="shared" si="4"/>
        <v>2601.5</v>
      </c>
      <c r="BE9" s="39">
        <f t="shared" si="4"/>
        <v>2601.5</v>
      </c>
      <c r="BF9" s="39">
        <f t="shared" ref="BF9:BQ9" si="5">BF46</f>
        <v>3146</v>
      </c>
      <c r="BG9" s="39">
        <f t="shared" si="5"/>
        <v>3146</v>
      </c>
      <c r="BH9" s="39">
        <f t="shared" si="5"/>
        <v>3146</v>
      </c>
      <c r="BI9" s="39">
        <f t="shared" si="5"/>
        <v>3146</v>
      </c>
      <c r="BJ9" s="39">
        <f t="shared" si="5"/>
        <v>3146</v>
      </c>
      <c r="BK9" s="39">
        <f t="shared" si="5"/>
        <v>3146</v>
      </c>
      <c r="BL9" s="39">
        <f t="shared" si="5"/>
        <v>3146</v>
      </c>
      <c r="BM9" s="39">
        <f t="shared" si="5"/>
        <v>3146</v>
      </c>
      <c r="BN9" s="39">
        <f t="shared" si="5"/>
        <v>3146</v>
      </c>
      <c r="BO9" s="39">
        <f t="shared" si="5"/>
        <v>3146</v>
      </c>
      <c r="BP9" s="39">
        <f t="shared" si="5"/>
        <v>3146</v>
      </c>
      <c r="BQ9" s="39">
        <f t="shared" si="5"/>
        <v>3146</v>
      </c>
    </row>
    <row r="10" spans="1:73">
      <c r="B10" s="4" t="str">
        <f>B48</f>
        <v>Revenue - other</v>
      </c>
      <c r="J10" s="39">
        <f>J50</f>
        <v>0</v>
      </c>
      <c r="K10" s="39">
        <f t="shared" ref="K10:BE10" si="6">K50</f>
        <v>0</v>
      </c>
      <c r="L10" s="39">
        <f t="shared" si="6"/>
        <v>0</v>
      </c>
      <c r="M10" s="39">
        <f t="shared" si="6"/>
        <v>0</v>
      </c>
      <c r="N10" s="39">
        <f t="shared" si="6"/>
        <v>0</v>
      </c>
      <c r="O10" s="39">
        <f t="shared" si="6"/>
        <v>1890</v>
      </c>
      <c r="P10" s="39">
        <f t="shared" si="6"/>
        <v>12743</v>
      </c>
      <c r="Q10" s="39">
        <f t="shared" si="6"/>
        <v>1450</v>
      </c>
      <c r="R10" s="39">
        <f t="shared" si="6"/>
        <v>0</v>
      </c>
      <c r="S10" s="39">
        <f t="shared" si="6"/>
        <v>0</v>
      </c>
      <c r="T10" s="39">
        <f t="shared" si="6"/>
        <v>0</v>
      </c>
      <c r="U10" s="39">
        <f t="shared" si="6"/>
        <v>0</v>
      </c>
      <c r="V10" s="39">
        <f t="shared" si="6"/>
        <v>0</v>
      </c>
      <c r="W10" s="39">
        <f t="shared" si="6"/>
        <v>0</v>
      </c>
      <c r="X10" s="39">
        <f t="shared" si="6"/>
        <v>0</v>
      </c>
      <c r="Y10" s="39">
        <f t="shared" si="6"/>
        <v>0</v>
      </c>
      <c r="Z10" s="39">
        <f t="shared" si="6"/>
        <v>0</v>
      </c>
      <c r="AA10" s="39">
        <f t="shared" si="6"/>
        <v>0</v>
      </c>
      <c r="AB10" s="39">
        <f t="shared" si="6"/>
        <v>0</v>
      </c>
      <c r="AC10" s="39">
        <f t="shared" si="6"/>
        <v>0</v>
      </c>
      <c r="AD10" s="39">
        <f t="shared" si="6"/>
        <v>0</v>
      </c>
      <c r="AE10" s="39">
        <f t="shared" si="6"/>
        <v>0</v>
      </c>
      <c r="AF10" s="39">
        <f t="shared" si="6"/>
        <v>0</v>
      </c>
      <c r="AG10" s="39">
        <f t="shared" si="6"/>
        <v>0</v>
      </c>
      <c r="AH10" s="39">
        <f t="shared" si="6"/>
        <v>0</v>
      </c>
      <c r="AI10" s="39">
        <f t="shared" si="6"/>
        <v>0</v>
      </c>
      <c r="AJ10" s="39">
        <f t="shared" si="6"/>
        <v>0</v>
      </c>
      <c r="AK10" s="39">
        <f t="shared" si="6"/>
        <v>0</v>
      </c>
      <c r="AL10" s="39">
        <f t="shared" si="6"/>
        <v>0</v>
      </c>
      <c r="AM10" s="39">
        <f t="shared" si="6"/>
        <v>0</v>
      </c>
      <c r="AN10" s="39">
        <f t="shared" si="6"/>
        <v>0</v>
      </c>
      <c r="AO10" s="39">
        <f t="shared" si="6"/>
        <v>0</v>
      </c>
      <c r="AP10" s="39">
        <f t="shared" si="6"/>
        <v>0</v>
      </c>
      <c r="AQ10" s="39">
        <f t="shared" si="6"/>
        <v>0</v>
      </c>
      <c r="AR10" s="39">
        <f t="shared" si="6"/>
        <v>0</v>
      </c>
      <c r="AS10" s="39">
        <f t="shared" si="6"/>
        <v>0</v>
      </c>
      <c r="AT10" s="39">
        <f t="shared" si="6"/>
        <v>0</v>
      </c>
      <c r="AU10" s="39">
        <f t="shared" si="6"/>
        <v>0</v>
      </c>
      <c r="AV10" s="39">
        <f t="shared" si="6"/>
        <v>0</v>
      </c>
      <c r="AW10" s="39">
        <f t="shared" si="6"/>
        <v>0</v>
      </c>
      <c r="AX10" s="39">
        <f t="shared" si="6"/>
        <v>0</v>
      </c>
      <c r="AY10" s="39">
        <f t="shared" si="6"/>
        <v>0</v>
      </c>
      <c r="AZ10" s="39">
        <f t="shared" si="6"/>
        <v>0</v>
      </c>
      <c r="BA10" s="39">
        <f t="shared" si="6"/>
        <v>0</v>
      </c>
      <c r="BB10" s="39">
        <f t="shared" si="6"/>
        <v>0</v>
      </c>
      <c r="BC10" s="39">
        <f t="shared" si="6"/>
        <v>0</v>
      </c>
      <c r="BD10" s="39">
        <f t="shared" si="6"/>
        <v>0</v>
      </c>
      <c r="BE10" s="39">
        <f t="shared" si="6"/>
        <v>0</v>
      </c>
      <c r="BF10" s="39">
        <f t="shared" ref="BF10:BQ10" si="7">BF50</f>
        <v>0</v>
      </c>
      <c r="BG10" s="39">
        <f t="shared" si="7"/>
        <v>0</v>
      </c>
      <c r="BH10" s="39">
        <f t="shared" si="7"/>
        <v>0</v>
      </c>
      <c r="BI10" s="39">
        <f t="shared" si="7"/>
        <v>0</v>
      </c>
      <c r="BJ10" s="39">
        <f t="shared" si="7"/>
        <v>0</v>
      </c>
      <c r="BK10" s="39">
        <f t="shared" si="7"/>
        <v>0</v>
      </c>
      <c r="BL10" s="39">
        <f t="shared" si="7"/>
        <v>0</v>
      </c>
      <c r="BM10" s="39">
        <f t="shared" si="7"/>
        <v>0</v>
      </c>
      <c r="BN10" s="39">
        <f t="shared" si="7"/>
        <v>0</v>
      </c>
      <c r="BO10" s="39">
        <f t="shared" si="7"/>
        <v>0</v>
      </c>
      <c r="BP10" s="39">
        <f t="shared" si="7"/>
        <v>0</v>
      </c>
      <c r="BQ10" s="39">
        <f t="shared" si="7"/>
        <v>0</v>
      </c>
    </row>
    <row r="11" spans="1:73">
      <c r="B11" s="4" t="str">
        <f>B52</f>
        <v>Revenue - SCCI initial set up</v>
      </c>
      <c r="J11" s="39">
        <f>J54</f>
        <v>0</v>
      </c>
      <c r="K11" s="39">
        <f t="shared" ref="K11:BE11" si="8">K54</f>
        <v>0</v>
      </c>
      <c r="L11" s="39">
        <f t="shared" si="8"/>
        <v>0</v>
      </c>
      <c r="M11" s="39">
        <f t="shared" si="8"/>
        <v>0</v>
      </c>
      <c r="N11" s="39">
        <f t="shared" si="8"/>
        <v>0</v>
      </c>
      <c r="O11" s="39">
        <f t="shared" si="8"/>
        <v>0</v>
      </c>
      <c r="P11" s="39">
        <f t="shared" si="8"/>
        <v>0</v>
      </c>
      <c r="Q11" s="39">
        <f t="shared" si="8"/>
        <v>0</v>
      </c>
      <c r="R11" s="39">
        <f t="shared" si="8"/>
        <v>0</v>
      </c>
      <c r="S11" s="39">
        <f t="shared" si="8"/>
        <v>0</v>
      </c>
      <c r="T11" s="39">
        <f t="shared" si="8"/>
        <v>3000</v>
      </c>
      <c r="U11" s="39">
        <f t="shared" si="8"/>
        <v>3000</v>
      </c>
      <c r="V11" s="39">
        <f t="shared" si="8"/>
        <v>3000</v>
      </c>
      <c r="W11" s="39">
        <f t="shared" si="8"/>
        <v>3000</v>
      </c>
      <c r="X11" s="39">
        <f t="shared" si="8"/>
        <v>3000</v>
      </c>
      <c r="Y11" s="39">
        <f t="shared" si="8"/>
        <v>3000</v>
      </c>
      <c r="Z11" s="39">
        <f t="shared" si="8"/>
        <v>3000</v>
      </c>
      <c r="AA11" s="39">
        <f t="shared" si="8"/>
        <v>3000</v>
      </c>
      <c r="AB11" s="39">
        <f t="shared" si="8"/>
        <v>3000</v>
      </c>
      <c r="AC11" s="39">
        <f t="shared" si="8"/>
        <v>3000</v>
      </c>
      <c r="AD11" s="39">
        <f t="shared" si="8"/>
        <v>3000</v>
      </c>
      <c r="AE11" s="39">
        <f t="shared" si="8"/>
        <v>3000</v>
      </c>
      <c r="AF11" s="39">
        <f t="shared" si="8"/>
        <v>3000</v>
      </c>
      <c r="AG11" s="39">
        <f t="shared" si="8"/>
        <v>3000</v>
      </c>
      <c r="AH11" s="39">
        <f t="shared" si="8"/>
        <v>3960</v>
      </c>
      <c r="AI11" s="39">
        <f t="shared" si="8"/>
        <v>3960</v>
      </c>
      <c r="AJ11" s="39">
        <f t="shared" si="8"/>
        <v>3960</v>
      </c>
      <c r="AK11" s="39">
        <f t="shared" si="8"/>
        <v>3960</v>
      </c>
      <c r="AL11" s="39">
        <f t="shared" si="8"/>
        <v>3960</v>
      </c>
      <c r="AM11" s="39">
        <f t="shared" si="8"/>
        <v>3960</v>
      </c>
      <c r="AN11" s="39">
        <f t="shared" si="8"/>
        <v>3960</v>
      </c>
      <c r="AO11" s="39">
        <f t="shared" si="8"/>
        <v>3960</v>
      </c>
      <c r="AP11" s="39">
        <f t="shared" si="8"/>
        <v>3960</v>
      </c>
      <c r="AQ11" s="39">
        <f t="shared" si="8"/>
        <v>3960</v>
      </c>
      <c r="AR11" s="39">
        <f t="shared" si="8"/>
        <v>3960</v>
      </c>
      <c r="AS11" s="39">
        <f t="shared" si="8"/>
        <v>3960</v>
      </c>
      <c r="AT11" s="39">
        <f t="shared" si="8"/>
        <v>5082</v>
      </c>
      <c r="AU11" s="39">
        <f t="shared" si="8"/>
        <v>5082</v>
      </c>
      <c r="AV11" s="39">
        <f t="shared" si="8"/>
        <v>5082</v>
      </c>
      <c r="AW11" s="39">
        <f t="shared" si="8"/>
        <v>5082</v>
      </c>
      <c r="AX11" s="39">
        <f t="shared" si="8"/>
        <v>5082</v>
      </c>
      <c r="AY11" s="39">
        <f t="shared" si="8"/>
        <v>5082</v>
      </c>
      <c r="AZ11" s="39">
        <f t="shared" si="8"/>
        <v>5082</v>
      </c>
      <c r="BA11" s="39">
        <f t="shared" si="8"/>
        <v>5082</v>
      </c>
      <c r="BB11" s="39">
        <f t="shared" si="8"/>
        <v>5082</v>
      </c>
      <c r="BC11" s="39">
        <f t="shared" si="8"/>
        <v>5082</v>
      </c>
      <c r="BD11" s="39">
        <f t="shared" si="8"/>
        <v>5082</v>
      </c>
      <c r="BE11" s="39">
        <f t="shared" si="8"/>
        <v>5082</v>
      </c>
      <c r="BF11" s="39">
        <f t="shared" ref="BF11:BQ11" si="9">BF54</f>
        <v>5808</v>
      </c>
      <c r="BG11" s="39">
        <f t="shared" si="9"/>
        <v>5808</v>
      </c>
      <c r="BH11" s="39">
        <f t="shared" si="9"/>
        <v>5808</v>
      </c>
      <c r="BI11" s="39">
        <f t="shared" si="9"/>
        <v>5808</v>
      </c>
      <c r="BJ11" s="39">
        <f t="shared" si="9"/>
        <v>5808</v>
      </c>
      <c r="BK11" s="39">
        <f t="shared" si="9"/>
        <v>5808</v>
      </c>
      <c r="BL11" s="39">
        <f t="shared" si="9"/>
        <v>5808</v>
      </c>
      <c r="BM11" s="39">
        <f t="shared" si="9"/>
        <v>5808</v>
      </c>
      <c r="BN11" s="39">
        <f t="shared" si="9"/>
        <v>5808</v>
      </c>
      <c r="BO11" s="39">
        <f t="shared" si="9"/>
        <v>5808</v>
      </c>
      <c r="BP11" s="39">
        <f t="shared" si="9"/>
        <v>5808</v>
      </c>
      <c r="BQ11" s="39">
        <f t="shared" si="9"/>
        <v>5808</v>
      </c>
    </row>
    <row r="12" spans="1:73">
      <c r="B12" s="4" t="str">
        <f>B56</f>
        <v>Revenue - ISP £0 Capex initial set up</v>
      </c>
      <c r="J12" s="39">
        <f>J58</f>
        <v>0</v>
      </c>
      <c r="K12" s="39">
        <f t="shared" ref="K12:BE12" si="10">K58</f>
        <v>0</v>
      </c>
      <c r="L12" s="39">
        <f t="shared" si="10"/>
        <v>0</v>
      </c>
      <c r="M12" s="39">
        <f t="shared" si="10"/>
        <v>0</v>
      </c>
      <c r="N12" s="39">
        <f t="shared" si="10"/>
        <v>0</v>
      </c>
      <c r="O12" s="39">
        <f t="shared" si="10"/>
        <v>0</v>
      </c>
      <c r="P12" s="39">
        <f t="shared" si="10"/>
        <v>0</v>
      </c>
      <c r="Q12" s="39">
        <f t="shared" si="10"/>
        <v>0</v>
      </c>
      <c r="R12" s="39">
        <f t="shared" si="10"/>
        <v>0</v>
      </c>
      <c r="S12" s="39">
        <f t="shared" si="10"/>
        <v>600</v>
      </c>
      <c r="T12" s="39">
        <f t="shared" si="10"/>
        <v>3000</v>
      </c>
      <c r="U12" s="39">
        <f t="shared" si="10"/>
        <v>3000</v>
      </c>
      <c r="V12" s="39">
        <f t="shared" si="10"/>
        <v>3000</v>
      </c>
      <c r="W12" s="39">
        <f t="shared" si="10"/>
        <v>6000</v>
      </c>
      <c r="X12" s="39">
        <f t="shared" si="10"/>
        <v>6000</v>
      </c>
      <c r="Y12" s="39">
        <f t="shared" si="10"/>
        <v>6000</v>
      </c>
      <c r="Z12" s="39">
        <f t="shared" si="10"/>
        <v>6000</v>
      </c>
      <c r="AA12" s="39">
        <f t="shared" si="10"/>
        <v>6000</v>
      </c>
      <c r="AB12" s="39">
        <f t="shared" si="10"/>
        <v>6000</v>
      </c>
      <c r="AC12" s="39">
        <f t="shared" si="10"/>
        <v>6000</v>
      </c>
      <c r="AD12" s="39">
        <f t="shared" si="10"/>
        <v>6000</v>
      </c>
      <c r="AE12" s="39">
        <f t="shared" si="10"/>
        <v>6000</v>
      </c>
      <c r="AF12" s="39">
        <f t="shared" si="10"/>
        <v>6000</v>
      </c>
      <c r="AG12" s="39">
        <f t="shared" si="10"/>
        <v>6000</v>
      </c>
      <c r="AH12" s="39">
        <f t="shared" si="10"/>
        <v>7920</v>
      </c>
      <c r="AI12" s="39">
        <f t="shared" si="10"/>
        <v>7920</v>
      </c>
      <c r="AJ12" s="39">
        <f t="shared" si="10"/>
        <v>7920</v>
      </c>
      <c r="AK12" s="39">
        <f t="shared" si="10"/>
        <v>7920</v>
      </c>
      <c r="AL12" s="39">
        <f t="shared" si="10"/>
        <v>7920</v>
      </c>
      <c r="AM12" s="39">
        <f t="shared" si="10"/>
        <v>7920</v>
      </c>
      <c r="AN12" s="39">
        <f t="shared" si="10"/>
        <v>7920</v>
      </c>
      <c r="AO12" s="39">
        <f t="shared" si="10"/>
        <v>7920</v>
      </c>
      <c r="AP12" s="39">
        <f t="shared" si="10"/>
        <v>7920</v>
      </c>
      <c r="AQ12" s="39">
        <f t="shared" si="10"/>
        <v>7920</v>
      </c>
      <c r="AR12" s="39">
        <f t="shared" si="10"/>
        <v>7920</v>
      </c>
      <c r="AS12" s="39">
        <f t="shared" si="10"/>
        <v>7920</v>
      </c>
      <c r="AT12" s="39">
        <f t="shared" si="10"/>
        <v>10164</v>
      </c>
      <c r="AU12" s="39">
        <f t="shared" si="10"/>
        <v>10164</v>
      </c>
      <c r="AV12" s="39">
        <f t="shared" si="10"/>
        <v>10164</v>
      </c>
      <c r="AW12" s="39">
        <f t="shared" si="10"/>
        <v>10164</v>
      </c>
      <c r="AX12" s="39">
        <f t="shared" si="10"/>
        <v>10164</v>
      </c>
      <c r="AY12" s="39">
        <f t="shared" si="10"/>
        <v>10164</v>
      </c>
      <c r="AZ12" s="39">
        <f t="shared" si="10"/>
        <v>10164</v>
      </c>
      <c r="BA12" s="39">
        <f t="shared" si="10"/>
        <v>10164</v>
      </c>
      <c r="BB12" s="39">
        <f t="shared" si="10"/>
        <v>10164</v>
      </c>
      <c r="BC12" s="39">
        <f t="shared" si="10"/>
        <v>10164</v>
      </c>
      <c r="BD12" s="39">
        <f t="shared" si="10"/>
        <v>10164</v>
      </c>
      <c r="BE12" s="39">
        <f t="shared" si="10"/>
        <v>10164</v>
      </c>
      <c r="BF12" s="39">
        <f t="shared" ref="BF12:BQ12" si="11">BF58</f>
        <v>11616</v>
      </c>
      <c r="BG12" s="39">
        <f t="shared" si="11"/>
        <v>11616</v>
      </c>
      <c r="BH12" s="39">
        <f t="shared" si="11"/>
        <v>11616</v>
      </c>
      <c r="BI12" s="39">
        <f t="shared" si="11"/>
        <v>11616</v>
      </c>
      <c r="BJ12" s="39">
        <f t="shared" si="11"/>
        <v>11616</v>
      </c>
      <c r="BK12" s="39">
        <f t="shared" si="11"/>
        <v>11616</v>
      </c>
      <c r="BL12" s="39">
        <f t="shared" si="11"/>
        <v>11616</v>
      </c>
      <c r="BM12" s="39">
        <f t="shared" si="11"/>
        <v>11616</v>
      </c>
      <c r="BN12" s="39">
        <f t="shared" si="11"/>
        <v>11616</v>
      </c>
      <c r="BO12" s="39">
        <f t="shared" si="11"/>
        <v>11616</v>
      </c>
      <c r="BP12" s="39">
        <f t="shared" si="11"/>
        <v>11616</v>
      </c>
      <c r="BQ12" s="39">
        <f t="shared" si="11"/>
        <v>11616</v>
      </c>
    </row>
    <row r="13" spans="1:73">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row>
    <row r="14" spans="1:73">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1"/>
      <c r="BK14" s="101"/>
      <c r="BL14" s="101"/>
      <c r="BM14" s="101"/>
      <c r="BN14" s="101"/>
      <c r="BO14" s="101"/>
      <c r="BP14" s="101"/>
      <c r="BQ14" s="101"/>
    </row>
    <row r="15" spans="1:73" s="86" customFormat="1">
      <c r="A15" s="110"/>
      <c r="B15" s="86" t="s">
        <v>84</v>
      </c>
      <c r="J15" s="103">
        <f t="shared" ref="J15:BE15" si="12">SUM(J7:J14)</f>
        <v>36800</v>
      </c>
      <c r="K15" s="103">
        <f t="shared" si="12"/>
        <v>41550</v>
      </c>
      <c r="L15" s="103">
        <f t="shared" si="12"/>
        <v>5620</v>
      </c>
      <c r="M15" s="103">
        <f t="shared" si="12"/>
        <v>49673</v>
      </c>
      <c r="N15" s="103">
        <f t="shared" si="12"/>
        <v>46274</v>
      </c>
      <c r="O15" s="103">
        <f t="shared" si="12"/>
        <v>144234</v>
      </c>
      <c r="P15" s="103">
        <f t="shared" si="12"/>
        <v>107457</v>
      </c>
      <c r="Q15" s="103">
        <f t="shared" si="12"/>
        <v>17450</v>
      </c>
      <c r="R15" s="103">
        <f t="shared" si="12"/>
        <v>15750</v>
      </c>
      <c r="S15" s="103">
        <f t="shared" si="12"/>
        <v>600</v>
      </c>
      <c r="T15" s="103">
        <f t="shared" si="12"/>
        <v>6000</v>
      </c>
      <c r="U15" s="103">
        <f>SUM(U7:U14)</f>
        <v>6000</v>
      </c>
      <c r="V15" s="103">
        <f t="shared" si="12"/>
        <v>6000</v>
      </c>
      <c r="W15" s="103">
        <f t="shared" si="12"/>
        <v>72750</v>
      </c>
      <c r="X15" s="103">
        <f t="shared" si="12"/>
        <v>72750</v>
      </c>
      <c r="Y15" s="103">
        <f t="shared" si="12"/>
        <v>72750</v>
      </c>
      <c r="Z15" s="103">
        <f t="shared" si="12"/>
        <v>72750</v>
      </c>
      <c r="AA15" s="103">
        <f t="shared" si="12"/>
        <v>72750</v>
      </c>
      <c r="AB15" s="103">
        <f t="shared" si="12"/>
        <v>72750</v>
      </c>
      <c r="AC15" s="103">
        <f t="shared" si="12"/>
        <v>72750</v>
      </c>
      <c r="AD15" s="103">
        <f t="shared" si="12"/>
        <v>72750</v>
      </c>
      <c r="AE15" s="103">
        <f t="shared" si="12"/>
        <v>72750</v>
      </c>
      <c r="AF15" s="103">
        <f t="shared" si="12"/>
        <v>72750</v>
      </c>
      <c r="AG15" s="103">
        <f t="shared" si="12"/>
        <v>72750</v>
      </c>
      <c r="AH15" s="103">
        <f t="shared" si="12"/>
        <v>96030</v>
      </c>
      <c r="AI15" s="103">
        <f t="shared" si="12"/>
        <v>96030</v>
      </c>
      <c r="AJ15" s="103">
        <f t="shared" si="12"/>
        <v>96030</v>
      </c>
      <c r="AK15" s="103">
        <f t="shared" si="12"/>
        <v>96030</v>
      </c>
      <c r="AL15" s="103">
        <f t="shared" si="12"/>
        <v>96030</v>
      </c>
      <c r="AM15" s="103">
        <f t="shared" si="12"/>
        <v>96030</v>
      </c>
      <c r="AN15" s="103">
        <f t="shared" si="12"/>
        <v>96030</v>
      </c>
      <c r="AO15" s="103">
        <f t="shared" si="12"/>
        <v>96030</v>
      </c>
      <c r="AP15" s="103">
        <f t="shared" si="12"/>
        <v>96030</v>
      </c>
      <c r="AQ15" s="103">
        <f t="shared" si="12"/>
        <v>96030</v>
      </c>
      <c r="AR15" s="103">
        <f t="shared" si="12"/>
        <v>96030</v>
      </c>
      <c r="AS15" s="103">
        <f t="shared" si="12"/>
        <v>96030</v>
      </c>
      <c r="AT15" s="103">
        <f t="shared" si="12"/>
        <v>125809.75</v>
      </c>
      <c r="AU15" s="103">
        <f t="shared" si="12"/>
        <v>125809.75</v>
      </c>
      <c r="AV15" s="103">
        <f t="shared" si="12"/>
        <v>125809.75</v>
      </c>
      <c r="AW15" s="103">
        <f t="shared" si="12"/>
        <v>125809.75</v>
      </c>
      <c r="AX15" s="103">
        <f t="shared" si="12"/>
        <v>125809.75</v>
      </c>
      <c r="AY15" s="103">
        <f t="shared" si="12"/>
        <v>125809.75</v>
      </c>
      <c r="AZ15" s="103">
        <f t="shared" si="12"/>
        <v>125809.75</v>
      </c>
      <c r="BA15" s="103">
        <f t="shared" si="12"/>
        <v>125809.75</v>
      </c>
      <c r="BB15" s="103">
        <f t="shared" si="12"/>
        <v>125809.75</v>
      </c>
      <c r="BC15" s="103">
        <f t="shared" si="12"/>
        <v>125809.75</v>
      </c>
      <c r="BD15" s="103">
        <f t="shared" si="12"/>
        <v>125809.75</v>
      </c>
      <c r="BE15" s="103">
        <f t="shared" si="12"/>
        <v>125809.75</v>
      </c>
      <c r="BF15" s="103">
        <f t="shared" ref="BF15:BQ15" si="13">SUM(BF7:BF14)</f>
        <v>151129</v>
      </c>
      <c r="BG15" s="103">
        <f t="shared" si="13"/>
        <v>151129</v>
      </c>
      <c r="BH15" s="103">
        <f t="shared" si="13"/>
        <v>151129</v>
      </c>
      <c r="BI15" s="103">
        <f t="shared" si="13"/>
        <v>151129</v>
      </c>
      <c r="BJ15" s="103">
        <f t="shared" si="13"/>
        <v>151129</v>
      </c>
      <c r="BK15" s="103">
        <f t="shared" si="13"/>
        <v>151129</v>
      </c>
      <c r="BL15" s="103">
        <f t="shared" si="13"/>
        <v>151129</v>
      </c>
      <c r="BM15" s="103">
        <f t="shared" si="13"/>
        <v>151129</v>
      </c>
      <c r="BN15" s="103">
        <f t="shared" si="13"/>
        <v>151129</v>
      </c>
      <c r="BO15" s="103">
        <f t="shared" si="13"/>
        <v>151129</v>
      </c>
      <c r="BP15" s="103">
        <f t="shared" si="13"/>
        <v>151129</v>
      </c>
      <c r="BQ15" s="103">
        <f t="shared" si="13"/>
        <v>151129</v>
      </c>
    </row>
    <row r="16" spans="1:73">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row>
    <row r="17" spans="1:6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row>
    <row r="18" spans="1:69">
      <c r="B18" s="3" t="s">
        <v>50</v>
      </c>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39"/>
      <c r="AZ18" s="39"/>
      <c r="BA18" s="39"/>
      <c r="BB18" s="39"/>
      <c r="BC18" s="39"/>
      <c r="BD18" s="39"/>
      <c r="BE18" s="39"/>
      <c r="BF18" s="39"/>
      <c r="BG18" s="39"/>
      <c r="BH18" s="39"/>
      <c r="BI18" s="39"/>
      <c r="BJ18" s="39"/>
      <c r="BK18" s="39"/>
      <c r="BL18" s="39"/>
      <c r="BM18" s="39"/>
      <c r="BN18" s="39"/>
      <c r="BO18" s="39"/>
      <c r="BP18" s="39"/>
      <c r="BQ18" s="39"/>
    </row>
    <row r="19" spans="1:69">
      <c r="B19" s="4" t="str">
        <f>B64</f>
        <v>Revenue - Software</v>
      </c>
      <c r="J19" s="39">
        <f t="shared" ref="J19:BE19" si="14">J66</f>
        <v>0</v>
      </c>
      <c r="K19" s="39">
        <f t="shared" si="14"/>
        <v>6750</v>
      </c>
      <c r="L19" s="39">
        <f t="shared" si="14"/>
        <v>9000</v>
      </c>
      <c r="M19" s="39">
        <f t="shared" si="14"/>
        <v>12750</v>
      </c>
      <c r="N19" s="39">
        <f t="shared" si="14"/>
        <v>13500</v>
      </c>
      <c r="O19" s="39">
        <f t="shared" si="14"/>
        <v>13500</v>
      </c>
      <c r="P19" s="39">
        <f t="shared" si="14"/>
        <v>16275</v>
      </c>
      <c r="Q19" s="39">
        <f t="shared" si="14"/>
        <v>17175</v>
      </c>
      <c r="R19" s="39">
        <f t="shared" si="14"/>
        <v>22500</v>
      </c>
      <c r="S19" s="39">
        <f t="shared" si="14"/>
        <v>22500</v>
      </c>
      <c r="T19" s="39">
        <f t="shared" si="14"/>
        <v>22500</v>
      </c>
      <c r="U19" s="39">
        <f t="shared" si="14"/>
        <v>22500</v>
      </c>
      <c r="V19" s="39">
        <f t="shared" si="14"/>
        <v>22500</v>
      </c>
      <c r="W19" s="39">
        <f t="shared" si="14"/>
        <v>22500</v>
      </c>
      <c r="X19" s="39">
        <f t="shared" si="14"/>
        <v>24750</v>
      </c>
      <c r="Y19" s="39">
        <f t="shared" si="14"/>
        <v>27000</v>
      </c>
      <c r="Z19" s="39">
        <f t="shared" si="14"/>
        <v>29250</v>
      </c>
      <c r="AA19" s="39">
        <f t="shared" si="14"/>
        <v>31500</v>
      </c>
      <c r="AB19" s="39">
        <f t="shared" si="14"/>
        <v>33750</v>
      </c>
      <c r="AC19" s="39">
        <f t="shared" si="14"/>
        <v>36000</v>
      </c>
      <c r="AD19" s="39">
        <f t="shared" si="14"/>
        <v>38250</v>
      </c>
      <c r="AE19" s="39">
        <f t="shared" si="14"/>
        <v>40500</v>
      </c>
      <c r="AF19" s="39">
        <f t="shared" si="14"/>
        <v>42750</v>
      </c>
      <c r="AG19" s="39">
        <f t="shared" si="14"/>
        <v>45000</v>
      </c>
      <c r="AH19" s="39">
        <f t="shared" si="14"/>
        <v>51975</v>
      </c>
      <c r="AI19" s="39">
        <f t="shared" si="14"/>
        <v>54945</v>
      </c>
      <c r="AJ19" s="39">
        <f t="shared" si="14"/>
        <v>57915</v>
      </c>
      <c r="AK19" s="39">
        <f t="shared" si="14"/>
        <v>60885</v>
      </c>
      <c r="AL19" s="39">
        <f t="shared" si="14"/>
        <v>63855</v>
      </c>
      <c r="AM19" s="39">
        <f t="shared" si="14"/>
        <v>66825</v>
      </c>
      <c r="AN19" s="39">
        <f t="shared" si="14"/>
        <v>69795</v>
      </c>
      <c r="AO19" s="39">
        <f t="shared" si="14"/>
        <v>72765</v>
      </c>
      <c r="AP19" s="39">
        <f t="shared" si="14"/>
        <v>75735</v>
      </c>
      <c r="AQ19" s="39">
        <f t="shared" si="14"/>
        <v>78705</v>
      </c>
      <c r="AR19" s="39">
        <f t="shared" si="14"/>
        <v>81675</v>
      </c>
      <c r="AS19" s="39">
        <f t="shared" si="14"/>
        <v>84645</v>
      </c>
      <c r="AT19" s="39">
        <f t="shared" si="14"/>
        <v>96376.5</v>
      </c>
      <c r="AU19" s="39">
        <f t="shared" si="14"/>
        <v>100278.75</v>
      </c>
      <c r="AV19" s="39">
        <f t="shared" si="14"/>
        <v>104181</v>
      </c>
      <c r="AW19" s="39">
        <f t="shared" si="14"/>
        <v>108083.25</v>
      </c>
      <c r="AX19" s="39">
        <f t="shared" si="14"/>
        <v>111985.5</v>
      </c>
      <c r="AY19" s="39">
        <f t="shared" si="14"/>
        <v>115887.75</v>
      </c>
      <c r="AZ19" s="39">
        <f t="shared" si="14"/>
        <v>119790</v>
      </c>
      <c r="BA19" s="39">
        <f t="shared" si="14"/>
        <v>123692.25</v>
      </c>
      <c r="BB19" s="39">
        <f t="shared" si="14"/>
        <v>127594.5</v>
      </c>
      <c r="BC19" s="39">
        <f t="shared" si="14"/>
        <v>131496.75</v>
      </c>
      <c r="BD19" s="39">
        <f t="shared" si="14"/>
        <v>135399</v>
      </c>
      <c r="BE19" s="39">
        <f t="shared" si="14"/>
        <v>139301.25</v>
      </c>
      <c r="BF19" s="39">
        <f t="shared" ref="BF19:BQ19" si="15">BF66</f>
        <v>143203.5</v>
      </c>
      <c r="BG19" s="39">
        <f t="shared" si="15"/>
        <v>147922.5</v>
      </c>
      <c r="BH19" s="39">
        <f t="shared" si="15"/>
        <v>152641.5</v>
      </c>
      <c r="BI19" s="39">
        <f t="shared" si="15"/>
        <v>157360.5</v>
      </c>
      <c r="BJ19" s="39">
        <f t="shared" si="15"/>
        <v>162079.5</v>
      </c>
      <c r="BK19" s="39">
        <f t="shared" si="15"/>
        <v>166798.5</v>
      </c>
      <c r="BL19" s="39">
        <f t="shared" si="15"/>
        <v>171517.5</v>
      </c>
      <c r="BM19" s="39">
        <f t="shared" si="15"/>
        <v>176236.5</v>
      </c>
      <c r="BN19" s="39">
        <f t="shared" si="15"/>
        <v>180955.5</v>
      </c>
      <c r="BO19" s="39">
        <f t="shared" si="15"/>
        <v>185674.5</v>
      </c>
      <c r="BP19" s="39">
        <f t="shared" si="15"/>
        <v>190393.5</v>
      </c>
      <c r="BQ19" s="39">
        <f t="shared" si="15"/>
        <v>195112.5</v>
      </c>
    </row>
    <row r="20" spans="1:69">
      <c r="B20" s="4" t="str">
        <f>B68</f>
        <v>Revenue - Per month rental</v>
      </c>
      <c r="J20" s="39">
        <f>J72</f>
        <v>0</v>
      </c>
      <c r="K20" s="39">
        <f t="shared" ref="K20:BE20" si="16">K72</f>
        <v>0</v>
      </c>
      <c r="L20" s="39">
        <f t="shared" si="16"/>
        <v>0</v>
      </c>
      <c r="M20" s="39">
        <f t="shared" si="16"/>
        <v>0</v>
      </c>
      <c r="N20" s="39">
        <f t="shared" si="16"/>
        <v>0</v>
      </c>
      <c r="O20" s="39">
        <f t="shared" si="16"/>
        <v>0</v>
      </c>
      <c r="P20" s="39">
        <f t="shared" si="16"/>
        <v>0</v>
      </c>
      <c r="Q20" s="39">
        <f t="shared" si="16"/>
        <v>0</v>
      </c>
      <c r="R20" s="39">
        <f t="shared" si="16"/>
        <v>0</v>
      </c>
      <c r="S20" s="39">
        <f t="shared" si="16"/>
        <v>0</v>
      </c>
      <c r="T20" s="39">
        <f t="shared" si="16"/>
        <v>9750</v>
      </c>
      <c r="U20" s="39">
        <f t="shared" si="16"/>
        <v>9750</v>
      </c>
      <c r="V20" s="39">
        <f t="shared" si="16"/>
        <v>9750</v>
      </c>
      <c r="W20" s="39">
        <f t="shared" si="16"/>
        <v>9750</v>
      </c>
      <c r="X20" s="39">
        <f t="shared" si="16"/>
        <v>10725</v>
      </c>
      <c r="Y20" s="39">
        <f t="shared" si="16"/>
        <v>11700</v>
      </c>
      <c r="Z20" s="39">
        <f t="shared" si="16"/>
        <v>12675</v>
      </c>
      <c r="AA20" s="39">
        <f t="shared" si="16"/>
        <v>13650</v>
      </c>
      <c r="AB20" s="39">
        <f t="shared" si="16"/>
        <v>14625</v>
      </c>
      <c r="AC20" s="39">
        <f t="shared" si="16"/>
        <v>15600</v>
      </c>
      <c r="AD20" s="39">
        <f t="shared" si="16"/>
        <v>16575</v>
      </c>
      <c r="AE20" s="39">
        <f t="shared" si="16"/>
        <v>17550</v>
      </c>
      <c r="AF20" s="39">
        <f t="shared" si="16"/>
        <v>18525</v>
      </c>
      <c r="AG20" s="39">
        <f t="shared" si="16"/>
        <v>19500</v>
      </c>
      <c r="AH20" s="39">
        <f t="shared" si="16"/>
        <v>22522.5</v>
      </c>
      <c r="AI20" s="39">
        <f t="shared" si="16"/>
        <v>23809.5</v>
      </c>
      <c r="AJ20" s="39">
        <f t="shared" si="16"/>
        <v>25096.5</v>
      </c>
      <c r="AK20" s="39">
        <f t="shared" si="16"/>
        <v>26383.5</v>
      </c>
      <c r="AL20" s="39">
        <f t="shared" si="16"/>
        <v>27670.5</v>
      </c>
      <c r="AM20" s="39">
        <f t="shared" si="16"/>
        <v>28957.5</v>
      </c>
      <c r="AN20" s="39">
        <f t="shared" si="16"/>
        <v>30244.499999999996</v>
      </c>
      <c r="AO20" s="39">
        <f t="shared" si="16"/>
        <v>31531.5</v>
      </c>
      <c r="AP20" s="39">
        <f t="shared" si="16"/>
        <v>32818.499999999993</v>
      </c>
      <c r="AQ20" s="39">
        <f t="shared" si="16"/>
        <v>34105.5</v>
      </c>
      <c r="AR20" s="39">
        <f t="shared" si="16"/>
        <v>35392.5</v>
      </c>
      <c r="AS20" s="39">
        <f t="shared" si="16"/>
        <v>36679.5</v>
      </c>
      <c r="AT20" s="39">
        <f t="shared" si="16"/>
        <v>41763.149999999994</v>
      </c>
      <c r="AU20" s="39">
        <f t="shared" si="16"/>
        <v>43454.125</v>
      </c>
      <c r="AV20" s="39">
        <f t="shared" si="16"/>
        <v>45145.099999999991</v>
      </c>
      <c r="AW20" s="39">
        <f t="shared" si="16"/>
        <v>46836.074999999997</v>
      </c>
      <c r="AX20" s="39">
        <f t="shared" si="16"/>
        <v>48527.049999999996</v>
      </c>
      <c r="AY20" s="39">
        <f t="shared" si="16"/>
        <v>50218.024999999994</v>
      </c>
      <c r="AZ20" s="39">
        <f t="shared" si="16"/>
        <v>51909</v>
      </c>
      <c r="BA20" s="39">
        <f t="shared" si="16"/>
        <v>53599.974999999991</v>
      </c>
      <c r="BB20" s="39">
        <f t="shared" si="16"/>
        <v>55290.95</v>
      </c>
      <c r="BC20" s="39">
        <f t="shared" si="16"/>
        <v>56981.924999999996</v>
      </c>
      <c r="BD20" s="39">
        <f t="shared" si="16"/>
        <v>58672.899999999994</v>
      </c>
      <c r="BE20" s="39">
        <f t="shared" si="16"/>
        <v>60363.875</v>
      </c>
      <c r="BF20" s="39">
        <f t="shared" ref="BF20:BQ20" si="17">BF72</f>
        <v>62054.849999999991</v>
      </c>
      <c r="BG20" s="39">
        <f t="shared" si="17"/>
        <v>64099.75</v>
      </c>
      <c r="BH20" s="39">
        <f t="shared" si="17"/>
        <v>66144.649999999994</v>
      </c>
      <c r="BI20" s="39">
        <f t="shared" si="17"/>
        <v>68189.549999999988</v>
      </c>
      <c r="BJ20" s="39">
        <f t="shared" si="17"/>
        <v>70234.45</v>
      </c>
      <c r="BK20" s="39">
        <f t="shared" si="17"/>
        <v>72279.349999999991</v>
      </c>
      <c r="BL20" s="39">
        <f t="shared" si="17"/>
        <v>74324.25</v>
      </c>
      <c r="BM20" s="39">
        <f t="shared" si="17"/>
        <v>76369.149999999994</v>
      </c>
      <c r="BN20" s="39">
        <f t="shared" si="17"/>
        <v>78414.049999999988</v>
      </c>
      <c r="BO20" s="39">
        <f t="shared" si="17"/>
        <v>80458.949999999983</v>
      </c>
      <c r="BP20" s="39">
        <f t="shared" si="17"/>
        <v>82503.849999999991</v>
      </c>
      <c r="BQ20" s="39">
        <f t="shared" si="17"/>
        <v>84548.75</v>
      </c>
    </row>
    <row r="21" spans="1:69">
      <c r="B21" s="4" t="str">
        <f>B74</f>
        <v>Revenue - Media and Advertising</v>
      </c>
      <c r="J21" s="39">
        <f>J76</f>
        <v>0</v>
      </c>
      <c r="K21" s="39">
        <f t="shared" ref="K21:BE21" si="18">K76</f>
        <v>0</v>
      </c>
      <c r="L21" s="39">
        <f t="shared" si="18"/>
        <v>0</v>
      </c>
      <c r="M21" s="39">
        <f t="shared" si="18"/>
        <v>0</v>
      </c>
      <c r="N21" s="39">
        <f t="shared" si="18"/>
        <v>0</v>
      </c>
      <c r="O21" s="39">
        <f t="shared" si="18"/>
        <v>0</v>
      </c>
      <c r="P21" s="39">
        <f t="shared" si="18"/>
        <v>0</v>
      </c>
      <c r="Q21" s="39">
        <f t="shared" si="18"/>
        <v>0</v>
      </c>
      <c r="R21" s="39">
        <f t="shared" si="18"/>
        <v>0</v>
      </c>
      <c r="S21" s="39">
        <f t="shared" si="18"/>
        <v>0</v>
      </c>
      <c r="T21" s="39">
        <f t="shared" si="18"/>
        <v>0</v>
      </c>
      <c r="U21" s="39">
        <f t="shared" si="18"/>
        <v>15000</v>
      </c>
      <c r="V21" s="39">
        <f t="shared" si="18"/>
        <v>15000</v>
      </c>
      <c r="W21" s="39">
        <f t="shared" si="18"/>
        <v>15000</v>
      </c>
      <c r="X21" s="39">
        <f t="shared" si="18"/>
        <v>24750</v>
      </c>
      <c r="Y21" s="39">
        <f t="shared" si="18"/>
        <v>27000</v>
      </c>
      <c r="Z21" s="39">
        <f t="shared" si="18"/>
        <v>29250</v>
      </c>
      <c r="AA21" s="39">
        <f t="shared" si="18"/>
        <v>31500</v>
      </c>
      <c r="AB21" s="39">
        <f t="shared" si="18"/>
        <v>33750</v>
      </c>
      <c r="AC21" s="39">
        <f t="shared" si="18"/>
        <v>36000</v>
      </c>
      <c r="AD21" s="39">
        <f t="shared" si="18"/>
        <v>38250</v>
      </c>
      <c r="AE21" s="39">
        <f t="shared" si="18"/>
        <v>40500</v>
      </c>
      <c r="AF21" s="39">
        <f t="shared" si="18"/>
        <v>42750</v>
      </c>
      <c r="AG21" s="39">
        <f t="shared" si="18"/>
        <v>45000</v>
      </c>
      <c r="AH21" s="39">
        <f t="shared" si="18"/>
        <v>51975</v>
      </c>
      <c r="AI21" s="39">
        <f t="shared" si="18"/>
        <v>54945</v>
      </c>
      <c r="AJ21" s="39">
        <f t="shared" si="18"/>
        <v>57915</v>
      </c>
      <c r="AK21" s="39">
        <f t="shared" si="18"/>
        <v>60885</v>
      </c>
      <c r="AL21" s="39">
        <f t="shared" si="18"/>
        <v>63855</v>
      </c>
      <c r="AM21" s="39">
        <f t="shared" si="18"/>
        <v>66825</v>
      </c>
      <c r="AN21" s="39">
        <f t="shared" si="18"/>
        <v>69795</v>
      </c>
      <c r="AO21" s="39">
        <f t="shared" si="18"/>
        <v>72765</v>
      </c>
      <c r="AP21" s="39">
        <f t="shared" si="18"/>
        <v>75735</v>
      </c>
      <c r="AQ21" s="39">
        <f t="shared" si="18"/>
        <v>78705</v>
      </c>
      <c r="AR21" s="39">
        <f t="shared" si="18"/>
        <v>81675</v>
      </c>
      <c r="AS21" s="39">
        <f t="shared" si="18"/>
        <v>84645</v>
      </c>
      <c r="AT21" s="39">
        <f t="shared" si="18"/>
        <v>96376.5</v>
      </c>
      <c r="AU21" s="39">
        <f t="shared" si="18"/>
        <v>100278.75</v>
      </c>
      <c r="AV21" s="39">
        <f t="shared" si="18"/>
        <v>104181</v>
      </c>
      <c r="AW21" s="39">
        <f t="shared" si="18"/>
        <v>108083.25</v>
      </c>
      <c r="AX21" s="39">
        <f t="shared" si="18"/>
        <v>111985.5</v>
      </c>
      <c r="AY21" s="39">
        <f t="shared" si="18"/>
        <v>115887.75</v>
      </c>
      <c r="AZ21" s="39">
        <f t="shared" si="18"/>
        <v>119790</v>
      </c>
      <c r="BA21" s="39">
        <f t="shared" si="18"/>
        <v>123692.25</v>
      </c>
      <c r="BB21" s="39">
        <f t="shared" si="18"/>
        <v>127594.5</v>
      </c>
      <c r="BC21" s="39">
        <f t="shared" si="18"/>
        <v>131496.75</v>
      </c>
      <c r="BD21" s="39">
        <f t="shared" si="18"/>
        <v>135399</v>
      </c>
      <c r="BE21" s="39">
        <f t="shared" si="18"/>
        <v>139301.25</v>
      </c>
      <c r="BF21" s="39">
        <f t="shared" ref="BF21:BQ21" si="19">BF76</f>
        <v>143203.5</v>
      </c>
      <c r="BG21" s="39">
        <f t="shared" si="19"/>
        <v>147922.5</v>
      </c>
      <c r="BH21" s="39">
        <f t="shared" si="19"/>
        <v>152641.5</v>
      </c>
      <c r="BI21" s="39">
        <f t="shared" si="19"/>
        <v>157360.5</v>
      </c>
      <c r="BJ21" s="39">
        <f t="shared" si="19"/>
        <v>162079.5</v>
      </c>
      <c r="BK21" s="39">
        <f t="shared" si="19"/>
        <v>166798.5</v>
      </c>
      <c r="BL21" s="39">
        <f t="shared" si="19"/>
        <v>171517.5</v>
      </c>
      <c r="BM21" s="39">
        <f t="shared" si="19"/>
        <v>176236.5</v>
      </c>
      <c r="BN21" s="39">
        <f t="shared" si="19"/>
        <v>180955.5</v>
      </c>
      <c r="BO21" s="39">
        <f t="shared" si="19"/>
        <v>185674.5</v>
      </c>
      <c r="BP21" s="39">
        <f t="shared" si="19"/>
        <v>190393.5</v>
      </c>
      <c r="BQ21" s="39">
        <f t="shared" si="19"/>
        <v>195112.5</v>
      </c>
    </row>
    <row r="22" spans="1:69">
      <c r="B22" s="4" t="str">
        <f>B98</f>
        <v>Revenue - Managing Agent</v>
      </c>
      <c r="J22" s="39">
        <f>J100</f>
        <v>0</v>
      </c>
      <c r="K22" s="39">
        <f t="shared" ref="K22:BE22" si="20">K100</f>
        <v>0</v>
      </c>
      <c r="L22" s="39">
        <f t="shared" si="20"/>
        <v>0</v>
      </c>
      <c r="M22" s="39">
        <f t="shared" si="20"/>
        <v>0</v>
      </c>
      <c r="N22" s="39">
        <f t="shared" si="20"/>
        <v>0</v>
      </c>
      <c r="O22" s="39">
        <f t="shared" si="20"/>
        <v>0</v>
      </c>
      <c r="P22" s="39">
        <f t="shared" si="20"/>
        <v>0</v>
      </c>
      <c r="Q22" s="39">
        <f t="shared" si="20"/>
        <v>0</v>
      </c>
      <c r="R22" s="39">
        <f t="shared" si="20"/>
        <v>0</v>
      </c>
      <c r="S22" s="39">
        <f t="shared" si="20"/>
        <v>0</v>
      </c>
      <c r="T22" s="39">
        <f t="shared" si="20"/>
        <v>0</v>
      </c>
      <c r="U22" s="39">
        <f t="shared" si="20"/>
        <v>0</v>
      </c>
      <c r="V22" s="39">
        <f t="shared" si="20"/>
        <v>0</v>
      </c>
      <c r="W22" s="39">
        <f t="shared" si="20"/>
        <v>0</v>
      </c>
      <c r="X22" s="39">
        <f t="shared" si="20"/>
        <v>0</v>
      </c>
      <c r="Y22" s="39">
        <f t="shared" si="20"/>
        <v>30000</v>
      </c>
      <c r="Z22" s="39">
        <f t="shared" si="20"/>
        <v>30000</v>
      </c>
      <c r="AA22" s="39">
        <f t="shared" si="20"/>
        <v>30000</v>
      </c>
      <c r="AB22" s="39">
        <f t="shared" si="20"/>
        <v>30000</v>
      </c>
      <c r="AC22" s="39">
        <f t="shared" si="20"/>
        <v>33000</v>
      </c>
      <c r="AD22" s="39">
        <f t="shared" si="20"/>
        <v>36000</v>
      </c>
      <c r="AE22" s="39">
        <f t="shared" si="20"/>
        <v>39000</v>
      </c>
      <c r="AF22" s="39">
        <f t="shared" si="20"/>
        <v>42000</v>
      </c>
      <c r="AG22" s="39">
        <f t="shared" si="20"/>
        <v>45000</v>
      </c>
      <c r="AH22" s="39">
        <f t="shared" si="20"/>
        <v>52800</v>
      </c>
      <c r="AI22" s="39">
        <f t="shared" si="20"/>
        <v>56100</v>
      </c>
      <c r="AJ22" s="39">
        <f t="shared" si="20"/>
        <v>59400</v>
      </c>
      <c r="AK22" s="39">
        <f t="shared" si="20"/>
        <v>62700</v>
      </c>
      <c r="AL22" s="39">
        <f t="shared" si="20"/>
        <v>66000</v>
      </c>
      <c r="AM22" s="39">
        <f t="shared" si="20"/>
        <v>69300</v>
      </c>
      <c r="AN22" s="39">
        <f t="shared" si="20"/>
        <v>73260</v>
      </c>
      <c r="AO22" s="39">
        <f t="shared" si="20"/>
        <v>77220</v>
      </c>
      <c r="AP22" s="39">
        <f t="shared" si="20"/>
        <v>81180</v>
      </c>
      <c r="AQ22" s="39">
        <f t="shared" si="20"/>
        <v>85140</v>
      </c>
      <c r="AR22" s="39">
        <f t="shared" si="20"/>
        <v>89100</v>
      </c>
      <c r="AS22" s="39">
        <f t="shared" si="20"/>
        <v>93060</v>
      </c>
      <c r="AT22" s="39">
        <f t="shared" si="20"/>
        <v>106722</v>
      </c>
      <c r="AU22" s="39">
        <f t="shared" si="20"/>
        <v>111078</v>
      </c>
      <c r="AV22" s="39">
        <f t="shared" si="20"/>
        <v>115434</v>
      </c>
      <c r="AW22" s="39">
        <f t="shared" si="20"/>
        <v>119790</v>
      </c>
      <c r="AX22" s="39">
        <f t="shared" si="20"/>
        <v>124146</v>
      </c>
      <c r="AY22" s="39">
        <f t="shared" si="20"/>
        <v>128502</v>
      </c>
      <c r="AZ22" s="39">
        <f t="shared" si="20"/>
        <v>133705</v>
      </c>
      <c r="BA22" s="39">
        <f t="shared" si="20"/>
        <v>138908</v>
      </c>
      <c r="BB22" s="39">
        <f t="shared" si="20"/>
        <v>144111</v>
      </c>
      <c r="BC22" s="39">
        <f t="shared" si="20"/>
        <v>149314</v>
      </c>
      <c r="BD22" s="39">
        <f t="shared" si="20"/>
        <v>154517</v>
      </c>
      <c r="BE22" s="39">
        <f t="shared" si="20"/>
        <v>159720</v>
      </c>
      <c r="BF22" s="39">
        <f t="shared" ref="BF22:BQ22" si="21">BF100</f>
        <v>164923</v>
      </c>
      <c r="BG22" s="39">
        <f t="shared" si="21"/>
        <v>170126</v>
      </c>
      <c r="BH22" s="39">
        <f t="shared" si="21"/>
        <v>175329</v>
      </c>
      <c r="BI22" s="39">
        <f t="shared" si="21"/>
        <v>180532</v>
      </c>
      <c r="BJ22" s="39">
        <f t="shared" si="21"/>
        <v>185735</v>
      </c>
      <c r="BK22" s="39">
        <f t="shared" si="21"/>
        <v>190938</v>
      </c>
      <c r="BL22" s="39">
        <f t="shared" si="21"/>
        <v>197230</v>
      </c>
      <c r="BM22" s="39">
        <f t="shared" si="21"/>
        <v>203522</v>
      </c>
      <c r="BN22" s="39">
        <f t="shared" si="21"/>
        <v>209814</v>
      </c>
      <c r="BO22" s="39">
        <f t="shared" si="21"/>
        <v>216106</v>
      </c>
      <c r="BP22" s="39">
        <f t="shared" si="21"/>
        <v>222398</v>
      </c>
      <c r="BQ22" s="39">
        <f t="shared" si="21"/>
        <v>228690</v>
      </c>
    </row>
    <row r="23" spans="1:69">
      <c r="B23" s="4" t="str">
        <f>B78</f>
        <v>Revenue - SCCI Software rental</v>
      </c>
      <c r="J23" s="39">
        <f>J80</f>
        <v>0</v>
      </c>
      <c r="K23" s="39">
        <f t="shared" ref="K23:BE23" si="22">K80</f>
        <v>0</v>
      </c>
      <c r="L23" s="39">
        <f t="shared" si="22"/>
        <v>0</v>
      </c>
      <c r="M23" s="39">
        <f t="shared" si="22"/>
        <v>0</v>
      </c>
      <c r="N23" s="39">
        <f t="shared" si="22"/>
        <v>0</v>
      </c>
      <c r="O23" s="39">
        <f t="shared" si="22"/>
        <v>0</v>
      </c>
      <c r="P23" s="39">
        <f t="shared" si="22"/>
        <v>0</v>
      </c>
      <c r="Q23" s="39">
        <f t="shared" si="22"/>
        <v>0</v>
      </c>
      <c r="R23" s="39">
        <f t="shared" si="22"/>
        <v>0</v>
      </c>
      <c r="S23" s="39">
        <f t="shared" si="22"/>
        <v>0</v>
      </c>
      <c r="T23" s="39">
        <f t="shared" si="22"/>
        <v>2000</v>
      </c>
      <c r="U23" s="39">
        <f t="shared" si="22"/>
        <v>4000</v>
      </c>
      <c r="V23" s="39">
        <f t="shared" si="22"/>
        <v>6000</v>
      </c>
      <c r="W23" s="39">
        <f t="shared" si="22"/>
        <v>8000</v>
      </c>
      <c r="X23" s="39">
        <f t="shared" si="22"/>
        <v>10000</v>
      </c>
      <c r="Y23" s="39">
        <f t="shared" si="22"/>
        <v>12000</v>
      </c>
      <c r="Z23" s="39">
        <f t="shared" si="22"/>
        <v>14000</v>
      </c>
      <c r="AA23" s="39">
        <f t="shared" si="22"/>
        <v>16000</v>
      </c>
      <c r="AB23" s="39">
        <f t="shared" si="22"/>
        <v>18000</v>
      </c>
      <c r="AC23" s="39">
        <f t="shared" si="22"/>
        <v>20000</v>
      </c>
      <c r="AD23" s="39">
        <f t="shared" si="22"/>
        <v>22000</v>
      </c>
      <c r="AE23" s="39">
        <f t="shared" si="22"/>
        <v>24000</v>
      </c>
      <c r="AF23" s="39">
        <f t="shared" si="22"/>
        <v>26000</v>
      </c>
      <c r="AG23" s="39">
        <f t="shared" si="22"/>
        <v>28000</v>
      </c>
      <c r="AH23" s="39">
        <f t="shared" si="22"/>
        <v>33440</v>
      </c>
      <c r="AI23" s="39">
        <f t="shared" si="22"/>
        <v>36080</v>
      </c>
      <c r="AJ23" s="39">
        <f t="shared" si="22"/>
        <v>38720</v>
      </c>
      <c r="AK23" s="39">
        <f t="shared" si="22"/>
        <v>41360</v>
      </c>
      <c r="AL23" s="39">
        <f t="shared" si="22"/>
        <v>44000</v>
      </c>
      <c r="AM23" s="39">
        <f t="shared" si="22"/>
        <v>46640</v>
      </c>
      <c r="AN23" s="39">
        <f t="shared" si="22"/>
        <v>49280</v>
      </c>
      <c r="AO23" s="39">
        <f t="shared" si="22"/>
        <v>51920</v>
      </c>
      <c r="AP23" s="39">
        <f t="shared" si="22"/>
        <v>54560</v>
      </c>
      <c r="AQ23" s="39">
        <f t="shared" si="22"/>
        <v>57200</v>
      </c>
      <c r="AR23" s="39">
        <f t="shared" si="22"/>
        <v>59840</v>
      </c>
      <c r="AS23" s="39">
        <f t="shared" si="22"/>
        <v>62480</v>
      </c>
      <c r="AT23" s="39">
        <f t="shared" si="22"/>
        <v>72116</v>
      </c>
      <c r="AU23" s="39">
        <f t="shared" si="22"/>
        <v>75504</v>
      </c>
      <c r="AV23" s="39">
        <f t="shared" si="22"/>
        <v>78892</v>
      </c>
      <c r="AW23" s="39">
        <f t="shared" si="22"/>
        <v>82280</v>
      </c>
      <c r="AX23" s="39">
        <f t="shared" si="22"/>
        <v>85668</v>
      </c>
      <c r="AY23" s="39">
        <f t="shared" si="22"/>
        <v>89056</v>
      </c>
      <c r="AZ23" s="39">
        <f t="shared" si="22"/>
        <v>92444</v>
      </c>
      <c r="BA23" s="39">
        <f t="shared" si="22"/>
        <v>95832</v>
      </c>
      <c r="BB23" s="39">
        <f t="shared" si="22"/>
        <v>99220</v>
      </c>
      <c r="BC23" s="39">
        <f t="shared" si="22"/>
        <v>102608</v>
      </c>
      <c r="BD23" s="39">
        <f t="shared" si="22"/>
        <v>105996</v>
      </c>
      <c r="BE23" s="39">
        <f t="shared" si="22"/>
        <v>109384</v>
      </c>
      <c r="BF23" s="39">
        <f t="shared" ref="BF23:BQ23" si="23">BF80</f>
        <v>113256</v>
      </c>
      <c r="BG23" s="39">
        <f t="shared" si="23"/>
        <v>117128</v>
      </c>
      <c r="BH23" s="39">
        <f t="shared" si="23"/>
        <v>121000</v>
      </c>
      <c r="BI23" s="39">
        <f t="shared" si="23"/>
        <v>124872</v>
      </c>
      <c r="BJ23" s="39">
        <f t="shared" si="23"/>
        <v>128744</v>
      </c>
      <c r="BK23" s="39">
        <f t="shared" si="23"/>
        <v>132616</v>
      </c>
      <c r="BL23" s="39">
        <f t="shared" si="23"/>
        <v>136488</v>
      </c>
      <c r="BM23" s="39">
        <f t="shared" si="23"/>
        <v>140360</v>
      </c>
      <c r="BN23" s="39">
        <f t="shared" si="23"/>
        <v>144232</v>
      </c>
      <c r="BO23" s="39">
        <f t="shared" si="23"/>
        <v>148104</v>
      </c>
      <c r="BP23" s="39">
        <f t="shared" si="23"/>
        <v>151976</v>
      </c>
      <c r="BQ23" s="39">
        <f t="shared" si="23"/>
        <v>155848</v>
      </c>
    </row>
    <row r="24" spans="1:69">
      <c r="B24" s="4" t="str">
        <f>B82</f>
        <v>Revenue - SCCI Media and Advertising</v>
      </c>
      <c r="J24" s="39">
        <f>J84</f>
        <v>0</v>
      </c>
      <c r="K24" s="39">
        <f t="shared" ref="K24:BE24" si="24">K84</f>
        <v>0</v>
      </c>
      <c r="L24" s="39">
        <f t="shared" si="24"/>
        <v>0</v>
      </c>
      <c r="M24" s="39">
        <f t="shared" si="24"/>
        <v>0</v>
      </c>
      <c r="N24" s="39">
        <f t="shared" si="24"/>
        <v>0</v>
      </c>
      <c r="O24" s="39">
        <f t="shared" si="24"/>
        <v>0</v>
      </c>
      <c r="P24" s="39">
        <f t="shared" si="24"/>
        <v>0</v>
      </c>
      <c r="Q24" s="39">
        <f t="shared" si="24"/>
        <v>0</v>
      </c>
      <c r="R24" s="39">
        <f t="shared" si="24"/>
        <v>0</v>
      </c>
      <c r="S24" s="39">
        <f t="shared" si="24"/>
        <v>0</v>
      </c>
      <c r="T24" s="39">
        <f t="shared" si="24"/>
        <v>0</v>
      </c>
      <c r="U24" s="39">
        <f t="shared" si="24"/>
        <v>1000</v>
      </c>
      <c r="V24" s="39">
        <f t="shared" si="24"/>
        <v>2000</v>
      </c>
      <c r="W24" s="39">
        <f t="shared" si="24"/>
        <v>3000</v>
      </c>
      <c r="X24" s="39">
        <f t="shared" si="24"/>
        <v>4000</v>
      </c>
      <c r="Y24" s="39">
        <f t="shared" si="24"/>
        <v>5000</v>
      </c>
      <c r="Z24" s="39">
        <f t="shared" si="24"/>
        <v>6000</v>
      </c>
      <c r="AA24" s="39">
        <f t="shared" si="24"/>
        <v>7000</v>
      </c>
      <c r="AB24" s="39">
        <f t="shared" si="24"/>
        <v>8000</v>
      </c>
      <c r="AC24" s="39">
        <f t="shared" si="24"/>
        <v>9000</v>
      </c>
      <c r="AD24" s="39">
        <f t="shared" si="24"/>
        <v>10000</v>
      </c>
      <c r="AE24" s="39">
        <f t="shared" si="24"/>
        <v>11000</v>
      </c>
      <c r="AF24" s="39">
        <f t="shared" si="24"/>
        <v>12000</v>
      </c>
      <c r="AG24" s="39">
        <f t="shared" si="24"/>
        <v>13000</v>
      </c>
      <c r="AH24" s="39">
        <f t="shared" si="24"/>
        <v>15400</v>
      </c>
      <c r="AI24" s="39">
        <f t="shared" si="24"/>
        <v>16720</v>
      </c>
      <c r="AJ24" s="39">
        <f t="shared" si="24"/>
        <v>18040</v>
      </c>
      <c r="AK24" s="39">
        <f t="shared" si="24"/>
        <v>19360</v>
      </c>
      <c r="AL24" s="39">
        <f t="shared" si="24"/>
        <v>20680</v>
      </c>
      <c r="AM24" s="39">
        <f t="shared" si="24"/>
        <v>22000</v>
      </c>
      <c r="AN24" s="39">
        <f t="shared" si="24"/>
        <v>23320</v>
      </c>
      <c r="AO24" s="39">
        <f t="shared" si="24"/>
        <v>24640</v>
      </c>
      <c r="AP24" s="39">
        <f t="shared" si="24"/>
        <v>25960</v>
      </c>
      <c r="AQ24" s="39">
        <f t="shared" si="24"/>
        <v>27280</v>
      </c>
      <c r="AR24" s="39">
        <f t="shared" si="24"/>
        <v>28600</v>
      </c>
      <c r="AS24" s="39">
        <f t="shared" si="24"/>
        <v>29920</v>
      </c>
      <c r="AT24" s="39">
        <f t="shared" si="24"/>
        <v>34364</v>
      </c>
      <c r="AU24" s="39">
        <f t="shared" si="24"/>
        <v>36058</v>
      </c>
      <c r="AV24" s="39">
        <f t="shared" si="24"/>
        <v>37752</v>
      </c>
      <c r="AW24" s="39">
        <f t="shared" si="24"/>
        <v>39446</v>
      </c>
      <c r="AX24" s="39">
        <f t="shared" si="24"/>
        <v>41140</v>
      </c>
      <c r="AY24" s="39">
        <f t="shared" si="24"/>
        <v>42834</v>
      </c>
      <c r="AZ24" s="39">
        <f t="shared" si="24"/>
        <v>44528</v>
      </c>
      <c r="BA24" s="39">
        <f t="shared" si="24"/>
        <v>46222</v>
      </c>
      <c r="BB24" s="39">
        <f t="shared" si="24"/>
        <v>47916</v>
      </c>
      <c r="BC24" s="39">
        <f t="shared" si="24"/>
        <v>49610</v>
      </c>
      <c r="BD24" s="39">
        <f t="shared" si="24"/>
        <v>51304</v>
      </c>
      <c r="BE24" s="39">
        <f t="shared" si="24"/>
        <v>52998</v>
      </c>
      <c r="BF24" s="39">
        <f t="shared" ref="BF24:BQ24" si="25">BF84</f>
        <v>54692</v>
      </c>
      <c r="BG24" s="39">
        <f t="shared" si="25"/>
        <v>56628</v>
      </c>
      <c r="BH24" s="39">
        <f t="shared" si="25"/>
        <v>58564</v>
      </c>
      <c r="BI24" s="39">
        <f t="shared" si="25"/>
        <v>60500</v>
      </c>
      <c r="BJ24" s="39">
        <f t="shared" si="25"/>
        <v>62436</v>
      </c>
      <c r="BK24" s="39">
        <f t="shared" si="25"/>
        <v>64372</v>
      </c>
      <c r="BL24" s="39">
        <f t="shared" si="25"/>
        <v>66308</v>
      </c>
      <c r="BM24" s="39">
        <f t="shared" si="25"/>
        <v>68244</v>
      </c>
      <c r="BN24" s="39">
        <f t="shared" si="25"/>
        <v>70180</v>
      </c>
      <c r="BO24" s="39">
        <f t="shared" si="25"/>
        <v>72116</v>
      </c>
      <c r="BP24" s="39">
        <f t="shared" si="25"/>
        <v>74052</v>
      </c>
      <c r="BQ24" s="39">
        <f t="shared" si="25"/>
        <v>75988</v>
      </c>
    </row>
    <row r="25" spans="1:69">
      <c r="B25" s="4" t="str">
        <f>B86</f>
        <v>Revenue - ISP £0 Capex Software rental</v>
      </c>
      <c r="J25" s="39">
        <f>J88</f>
        <v>0</v>
      </c>
      <c r="K25" s="39">
        <f t="shared" ref="K25:BE25" si="26">K88</f>
        <v>0</v>
      </c>
      <c r="L25" s="39">
        <f t="shared" si="26"/>
        <v>0</v>
      </c>
      <c r="M25" s="39">
        <f t="shared" si="26"/>
        <v>0</v>
      </c>
      <c r="N25" s="39">
        <f t="shared" si="26"/>
        <v>0</v>
      </c>
      <c r="O25" s="39">
        <f t="shared" si="26"/>
        <v>0</v>
      </c>
      <c r="P25" s="39">
        <f t="shared" si="26"/>
        <v>0</v>
      </c>
      <c r="Q25" s="39">
        <f t="shared" si="26"/>
        <v>0</v>
      </c>
      <c r="R25" s="39">
        <f t="shared" si="26"/>
        <v>0</v>
      </c>
      <c r="S25" s="39">
        <f t="shared" si="26"/>
        <v>250</v>
      </c>
      <c r="T25" s="39">
        <f t="shared" si="26"/>
        <v>1500</v>
      </c>
      <c r="U25" s="39">
        <f t="shared" si="26"/>
        <v>2750</v>
      </c>
      <c r="V25" s="39">
        <f t="shared" si="26"/>
        <v>4000</v>
      </c>
      <c r="W25" s="39">
        <f t="shared" si="26"/>
        <v>6500</v>
      </c>
      <c r="X25" s="39">
        <f t="shared" si="26"/>
        <v>9000</v>
      </c>
      <c r="Y25" s="39">
        <f t="shared" si="26"/>
        <v>11500</v>
      </c>
      <c r="Z25" s="39">
        <f t="shared" si="26"/>
        <v>14000</v>
      </c>
      <c r="AA25" s="39">
        <f t="shared" si="26"/>
        <v>16500</v>
      </c>
      <c r="AB25" s="39">
        <f t="shared" si="26"/>
        <v>19000</v>
      </c>
      <c r="AC25" s="39">
        <f t="shared" si="26"/>
        <v>21500</v>
      </c>
      <c r="AD25" s="39">
        <f t="shared" si="26"/>
        <v>24000</v>
      </c>
      <c r="AE25" s="39">
        <f t="shared" si="26"/>
        <v>26500</v>
      </c>
      <c r="AF25" s="39">
        <f t="shared" si="26"/>
        <v>29000</v>
      </c>
      <c r="AG25" s="39">
        <f t="shared" si="26"/>
        <v>31500</v>
      </c>
      <c r="AH25" s="39">
        <f t="shared" si="26"/>
        <v>37950</v>
      </c>
      <c r="AI25" s="39">
        <f t="shared" si="26"/>
        <v>41250</v>
      </c>
      <c r="AJ25" s="39">
        <f t="shared" si="26"/>
        <v>44550</v>
      </c>
      <c r="AK25" s="39">
        <f t="shared" si="26"/>
        <v>47850</v>
      </c>
      <c r="AL25" s="39">
        <f t="shared" si="26"/>
        <v>51150</v>
      </c>
      <c r="AM25" s="39">
        <f t="shared" si="26"/>
        <v>54450</v>
      </c>
      <c r="AN25" s="39">
        <f t="shared" si="26"/>
        <v>57750</v>
      </c>
      <c r="AO25" s="39">
        <f t="shared" si="26"/>
        <v>61050</v>
      </c>
      <c r="AP25" s="39">
        <f t="shared" si="26"/>
        <v>64350</v>
      </c>
      <c r="AQ25" s="39">
        <f t="shared" si="26"/>
        <v>67650</v>
      </c>
      <c r="AR25" s="39">
        <f t="shared" si="26"/>
        <v>70950</v>
      </c>
      <c r="AS25" s="39">
        <f t="shared" si="26"/>
        <v>74250</v>
      </c>
      <c r="AT25" s="39">
        <f t="shared" si="26"/>
        <v>85910</v>
      </c>
      <c r="AU25" s="39">
        <f t="shared" si="26"/>
        <v>90145</v>
      </c>
      <c r="AV25" s="39">
        <f t="shared" si="26"/>
        <v>94380</v>
      </c>
      <c r="AW25" s="39">
        <f t="shared" si="26"/>
        <v>98615</v>
      </c>
      <c r="AX25" s="39">
        <f t="shared" si="26"/>
        <v>102850</v>
      </c>
      <c r="AY25" s="39">
        <f t="shared" si="26"/>
        <v>107085</v>
      </c>
      <c r="AZ25" s="39">
        <f t="shared" si="26"/>
        <v>111320</v>
      </c>
      <c r="BA25" s="39">
        <f t="shared" si="26"/>
        <v>115555</v>
      </c>
      <c r="BB25" s="39">
        <f t="shared" si="26"/>
        <v>119790</v>
      </c>
      <c r="BC25" s="39">
        <f t="shared" si="26"/>
        <v>124025</v>
      </c>
      <c r="BD25" s="39">
        <f t="shared" si="26"/>
        <v>128260</v>
      </c>
      <c r="BE25" s="39">
        <f t="shared" si="26"/>
        <v>132495</v>
      </c>
      <c r="BF25" s="39">
        <f t="shared" ref="BF25:BQ25" si="27">BF88</f>
        <v>137335</v>
      </c>
      <c r="BG25" s="39">
        <f t="shared" si="27"/>
        <v>142175</v>
      </c>
      <c r="BH25" s="39">
        <f t="shared" si="27"/>
        <v>147015</v>
      </c>
      <c r="BI25" s="39">
        <f t="shared" si="27"/>
        <v>151855</v>
      </c>
      <c r="BJ25" s="39">
        <f t="shared" si="27"/>
        <v>156695</v>
      </c>
      <c r="BK25" s="39">
        <f t="shared" si="27"/>
        <v>161535</v>
      </c>
      <c r="BL25" s="39">
        <f t="shared" si="27"/>
        <v>166375</v>
      </c>
      <c r="BM25" s="39">
        <f t="shared" si="27"/>
        <v>171215</v>
      </c>
      <c r="BN25" s="39">
        <f t="shared" si="27"/>
        <v>176055</v>
      </c>
      <c r="BO25" s="39">
        <f t="shared" si="27"/>
        <v>180895</v>
      </c>
      <c r="BP25" s="39">
        <f t="shared" si="27"/>
        <v>185735</v>
      </c>
      <c r="BQ25" s="39">
        <f t="shared" si="27"/>
        <v>190575</v>
      </c>
    </row>
    <row r="26" spans="1:69">
      <c r="B26" s="4" t="str">
        <f>B90</f>
        <v>Revenue - ISP £0 Capex Media and Advertising</v>
      </c>
      <c r="J26" s="39">
        <f>J92</f>
        <v>0</v>
      </c>
      <c r="K26" s="39">
        <f t="shared" ref="K26:BE26" si="28">K92</f>
        <v>0</v>
      </c>
      <c r="L26" s="39">
        <f t="shared" si="28"/>
        <v>0</v>
      </c>
      <c r="M26" s="39">
        <f t="shared" si="28"/>
        <v>0</v>
      </c>
      <c r="N26" s="39">
        <f t="shared" si="28"/>
        <v>0</v>
      </c>
      <c r="O26" s="39">
        <f t="shared" si="28"/>
        <v>0</v>
      </c>
      <c r="P26" s="39">
        <f t="shared" si="28"/>
        <v>0</v>
      </c>
      <c r="Q26" s="39">
        <f t="shared" si="28"/>
        <v>0</v>
      </c>
      <c r="R26" s="39">
        <f t="shared" si="28"/>
        <v>0</v>
      </c>
      <c r="S26" s="39">
        <f t="shared" si="28"/>
        <v>0</v>
      </c>
      <c r="T26" s="39">
        <f t="shared" si="28"/>
        <v>100</v>
      </c>
      <c r="U26" s="39">
        <f t="shared" si="28"/>
        <v>600</v>
      </c>
      <c r="V26" s="39">
        <f t="shared" si="28"/>
        <v>1100</v>
      </c>
      <c r="W26" s="39">
        <f t="shared" si="28"/>
        <v>1600</v>
      </c>
      <c r="X26" s="39">
        <f t="shared" si="28"/>
        <v>3900</v>
      </c>
      <c r="Y26" s="39">
        <f t="shared" si="28"/>
        <v>5400</v>
      </c>
      <c r="Z26" s="39">
        <f t="shared" si="28"/>
        <v>6900</v>
      </c>
      <c r="AA26" s="39">
        <f t="shared" si="28"/>
        <v>8400</v>
      </c>
      <c r="AB26" s="39">
        <f t="shared" si="28"/>
        <v>9900</v>
      </c>
      <c r="AC26" s="39">
        <f t="shared" si="28"/>
        <v>11400</v>
      </c>
      <c r="AD26" s="39">
        <f t="shared" si="28"/>
        <v>12900</v>
      </c>
      <c r="AE26" s="39">
        <f t="shared" si="28"/>
        <v>14400</v>
      </c>
      <c r="AF26" s="39">
        <f t="shared" si="28"/>
        <v>15900</v>
      </c>
      <c r="AG26" s="39">
        <f t="shared" si="28"/>
        <v>17400</v>
      </c>
      <c r="AH26" s="39">
        <f t="shared" si="28"/>
        <v>20790</v>
      </c>
      <c r="AI26" s="39">
        <f t="shared" si="28"/>
        <v>22770</v>
      </c>
      <c r="AJ26" s="39">
        <f t="shared" si="28"/>
        <v>24750</v>
      </c>
      <c r="AK26" s="39">
        <f t="shared" si="28"/>
        <v>26730</v>
      </c>
      <c r="AL26" s="39">
        <f t="shared" si="28"/>
        <v>28710</v>
      </c>
      <c r="AM26" s="39">
        <f t="shared" si="28"/>
        <v>30690</v>
      </c>
      <c r="AN26" s="39">
        <f t="shared" si="28"/>
        <v>32670</v>
      </c>
      <c r="AO26" s="39">
        <f t="shared" si="28"/>
        <v>34650</v>
      </c>
      <c r="AP26" s="39">
        <f t="shared" si="28"/>
        <v>36630</v>
      </c>
      <c r="AQ26" s="39">
        <f t="shared" si="28"/>
        <v>38610</v>
      </c>
      <c r="AR26" s="39">
        <f t="shared" si="28"/>
        <v>40590</v>
      </c>
      <c r="AS26" s="39">
        <f t="shared" si="28"/>
        <v>42570</v>
      </c>
      <c r="AT26" s="39">
        <f t="shared" si="28"/>
        <v>49005</v>
      </c>
      <c r="AU26" s="39">
        <f t="shared" si="28"/>
        <v>51546</v>
      </c>
      <c r="AV26" s="39">
        <f t="shared" si="28"/>
        <v>54087</v>
      </c>
      <c r="AW26" s="39">
        <f t="shared" si="28"/>
        <v>56628</v>
      </c>
      <c r="AX26" s="39">
        <f t="shared" si="28"/>
        <v>59169</v>
      </c>
      <c r="AY26" s="39">
        <f t="shared" si="28"/>
        <v>61710</v>
      </c>
      <c r="AZ26" s="39">
        <f t="shared" si="28"/>
        <v>64251</v>
      </c>
      <c r="BA26" s="39">
        <f t="shared" si="28"/>
        <v>66792</v>
      </c>
      <c r="BB26" s="39">
        <f t="shared" si="28"/>
        <v>69333</v>
      </c>
      <c r="BC26" s="39">
        <f t="shared" si="28"/>
        <v>71874</v>
      </c>
      <c r="BD26" s="39">
        <f t="shared" si="28"/>
        <v>74415</v>
      </c>
      <c r="BE26" s="39">
        <f t="shared" si="28"/>
        <v>76956</v>
      </c>
      <c r="BF26" s="39">
        <f t="shared" ref="BF26:BQ26" si="29">BF92</f>
        <v>79497</v>
      </c>
      <c r="BG26" s="39">
        <f t="shared" si="29"/>
        <v>82401</v>
      </c>
      <c r="BH26" s="39">
        <f t="shared" si="29"/>
        <v>85305</v>
      </c>
      <c r="BI26" s="39">
        <f t="shared" si="29"/>
        <v>88209</v>
      </c>
      <c r="BJ26" s="39">
        <f t="shared" si="29"/>
        <v>91113</v>
      </c>
      <c r="BK26" s="39">
        <f t="shared" si="29"/>
        <v>94017</v>
      </c>
      <c r="BL26" s="39">
        <f t="shared" si="29"/>
        <v>96921</v>
      </c>
      <c r="BM26" s="39">
        <f t="shared" si="29"/>
        <v>99825</v>
      </c>
      <c r="BN26" s="39">
        <f t="shared" si="29"/>
        <v>102729</v>
      </c>
      <c r="BO26" s="39">
        <f t="shared" si="29"/>
        <v>105633</v>
      </c>
      <c r="BP26" s="39">
        <f t="shared" si="29"/>
        <v>108537</v>
      </c>
      <c r="BQ26" s="39">
        <f t="shared" si="29"/>
        <v>111441</v>
      </c>
    </row>
    <row r="27" spans="1:69">
      <c r="B27" s="4" t="str">
        <f>B94</f>
        <v>Revenue - Other  Media and Advertising</v>
      </c>
      <c r="J27" s="39">
        <f>J96</f>
        <v>0</v>
      </c>
      <c r="K27" s="39">
        <f t="shared" ref="K27:BE27" si="30">K96</f>
        <v>0</v>
      </c>
      <c r="L27" s="39">
        <f t="shared" si="30"/>
        <v>0</v>
      </c>
      <c r="M27" s="39">
        <f t="shared" si="30"/>
        <v>0</v>
      </c>
      <c r="N27" s="39">
        <f t="shared" si="30"/>
        <v>0</v>
      </c>
      <c r="O27" s="39">
        <f t="shared" si="30"/>
        <v>0</v>
      </c>
      <c r="P27" s="39">
        <f t="shared" si="30"/>
        <v>0</v>
      </c>
      <c r="Q27" s="39">
        <f t="shared" si="30"/>
        <v>0</v>
      </c>
      <c r="R27" s="39">
        <f t="shared" si="30"/>
        <v>0</v>
      </c>
      <c r="S27" s="39">
        <f t="shared" si="30"/>
        <v>0</v>
      </c>
      <c r="T27" s="39">
        <f t="shared" si="30"/>
        <v>0</v>
      </c>
      <c r="U27" s="39">
        <f t="shared" si="30"/>
        <v>0</v>
      </c>
      <c r="V27" s="39">
        <f t="shared" si="30"/>
        <v>0</v>
      </c>
      <c r="W27" s="39">
        <f t="shared" si="30"/>
        <v>0</v>
      </c>
      <c r="X27" s="39">
        <f t="shared" si="30"/>
        <v>0</v>
      </c>
      <c r="Y27" s="39">
        <f t="shared" si="30"/>
        <v>0</v>
      </c>
      <c r="Z27" s="39">
        <f t="shared" si="30"/>
        <v>0</v>
      </c>
      <c r="AA27" s="39">
        <f t="shared" si="30"/>
        <v>0</v>
      </c>
      <c r="AB27" s="39">
        <f t="shared" si="30"/>
        <v>0</v>
      </c>
      <c r="AC27" s="39">
        <f t="shared" si="30"/>
        <v>0</v>
      </c>
      <c r="AD27" s="39">
        <f t="shared" si="30"/>
        <v>0</v>
      </c>
      <c r="AE27" s="39">
        <f t="shared" si="30"/>
        <v>0</v>
      </c>
      <c r="AF27" s="39">
        <f t="shared" si="30"/>
        <v>0</v>
      </c>
      <c r="AG27" s="39">
        <f t="shared" si="30"/>
        <v>0</v>
      </c>
      <c r="AH27" s="39">
        <f t="shared" si="30"/>
        <v>0</v>
      </c>
      <c r="AI27" s="39">
        <f t="shared" si="30"/>
        <v>0</v>
      </c>
      <c r="AJ27" s="39">
        <f t="shared" si="30"/>
        <v>0</v>
      </c>
      <c r="AK27" s="39">
        <f t="shared" si="30"/>
        <v>0</v>
      </c>
      <c r="AL27" s="39">
        <f t="shared" si="30"/>
        <v>0</v>
      </c>
      <c r="AM27" s="39">
        <f t="shared" si="30"/>
        <v>0</v>
      </c>
      <c r="AN27" s="39">
        <f t="shared" si="30"/>
        <v>0</v>
      </c>
      <c r="AO27" s="39">
        <f t="shared" si="30"/>
        <v>0</v>
      </c>
      <c r="AP27" s="39">
        <f t="shared" si="30"/>
        <v>0</v>
      </c>
      <c r="AQ27" s="39">
        <f t="shared" si="30"/>
        <v>0</v>
      </c>
      <c r="AR27" s="39">
        <f t="shared" si="30"/>
        <v>0</v>
      </c>
      <c r="AS27" s="39">
        <f t="shared" si="30"/>
        <v>0</v>
      </c>
      <c r="AT27" s="39">
        <f t="shared" si="30"/>
        <v>0</v>
      </c>
      <c r="AU27" s="39">
        <f t="shared" si="30"/>
        <v>0</v>
      </c>
      <c r="AV27" s="39">
        <f t="shared" si="30"/>
        <v>0</v>
      </c>
      <c r="AW27" s="39">
        <f t="shared" si="30"/>
        <v>0</v>
      </c>
      <c r="AX27" s="39">
        <f t="shared" si="30"/>
        <v>0</v>
      </c>
      <c r="AY27" s="39">
        <f t="shared" si="30"/>
        <v>0</v>
      </c>
      <c r="AZ27" s="39">
        <f t="shared" si="30"/>
        <v>0</v>
      </c>
      <c r="BA27" s="39">
        <f t="shared" si="30"/>
        <v>0</v>
      </c>
      <c r="BB27" s="39">
        <f t="shared" si="30"/>
        <v>0</v>
      </c>
      <c r="BC27" s="39">
        <f t="shared" si="30"/>
        <v>0</v>
      </c>
      <c r="BD27" s="39">
        <f t="shared" si="30"/>
        <v>0</v>
      </c>
      <c r="BE27" s="39">
        <f t="shared" si="30"/>
        <v>0</v>
      </c>
      <c r="BF27" s="39">
        <f t="shared" ref="BF27:BQ27" si="31">BF96</f>
        <v>0</v>
      </c>
      <c r="BG27" s="39">
        <f t="shared" si="31"/>
        <v>0</v>
      </c>
      <c r="BH27" s="39">
        <f t="shared" si="31"/>
        <v>0</v>
      </c>
      <c r="BI27" s="39">
        <f t="shared" si="31"/>
        <v>0</v>
      </c>
      <c r="BJ27" s="39">
        <f t="shared" si="31"/>
        <v>0</v>
      </c>
      <c r="BK27" s="39">
        <f t="shared" si="31"/>
        <v>0</v>
      </c>
      <c r="BL27" s="39">
        <f t="shared" si="31"/>
        <v>0</v>
      </c>
      <c r="BM27" s="39">
        <f t="shared" si="31"/>
        <v>0</v>
      </c>
      <c r="BN27" s="39">
        <f t="shared" si="31"/>
        <v>0</v>
      </c>
      <c r="BO27" s="39">
        <f t="shared" si="31"/>
        <v>0</v>
      </c>
      <c r="BP27" s="39">
        <f t="shared" si="31"/>
        <v>0</v>
      </c>
      <c r="BQ27" s="39">
        <f t="shared" si="31"/>
        <v>0</v>
      </c>
    </row>
    <row r="28" spans="1:69">
      <c r="B28" s="4" t="str">
        <f>B102</f>
        <v>Revenue - ISP £0 Capex Managing Agent</v>
      </c>
      <c r="J28" s="39">
        <f>J104</f>
        <v>0</v>
      </c>
      <c r="K28" s="39">
        <f t="shared" ref="K28:BE28" si="32">K104</f>
        <v>0</v>
      </c>
      <c r="L28" s="39">
        <f t="shared" si="32"/>
        <v>0</v>
      </c>
      <c r="M28" s="39">
        <f t="shared" si="32"/>
        <v>0</v>
      </c>
      <c r="N28" s="39">
        <f t="shared" si="32"/>
        <v>0</v>
      </c>
      <c r="O28" s="39">
        <f t="shared" si="32"/>
        <v>0</v>
      </c>
      <c r="P28" s="39">
        <f t="shared" si="32"/>
        <v>0</v>
      </c>
      <c r="Q28" s="39">
        <f t="shared" si="32"/>
        <v>0</v>
      </c>
      <c r="R28" s="39">
        <f t="shared" si="32"/>
        <v>0</v>
      </c>
      <c r="S28" s="39">
        <f t="shared" si="32"/>
        <v>0</v>
      </c>
      <c r="T28" s="39">
        <f t="shared" si="32"/>
        <v>0</v>
      </c>
      <c r="U28" s="39">
        <f t="shared" si="32"/>
        <v>0</v>
      </c>
      <c r="V28" s="39">
        <f t="shared" si="32"/>
        <v>0</v>
      </c>
      <c r="W28" s="39">
        <f t="shared" si="32"/>
        <v>0</v>
      </c>
      <c r="X28" s="39">
        <f t="shared" si="32"/>
        <v>0</v>
      </c>
      <c r="Y28" s="39">
        <f t="shared" si="32"/>
        <v>200</v>
      </c>
      <c r="Z28" s="39">
        <f t="shared" si="32"/>
        <v>1200</v>
      </c>
      <c r="AA28" s="39">
        <f t="shared" si="32"/>
        <v>2200</v>
      </c>
      <c r="AB28" s="39">
        <f t="shared" si="32"/>
        <v>3200</v>
      </c>
      <c r="AC28" s="39">
        <f t="shared" si="32"/>
        <v>5200</v>
      </c>
      <c r="AD28" s="39">
        <f t="shared" si="32"/>
        <v>7200</v>
      </c>
      <c r="AE28" s="39">
        <f t="shared" si="32"/>
        <v>9200</v>
      </c>
      <c r="AF28" s="39">
        <f t="shared" si="32"/>
        <v>11200</v>
      </c>
      <c r="AG28" s="39">
        <f t="shared" si="32"/>
        <v>13200</v>
      </c>
      <c r="AH28" s="39">
        <f t="shared" si="32"/>
        <v>16720</v>
      </c>
      <c r="AI28" s="39">
        <f t="shared" si="32"/>
        <v>18920</v>
      </c>
      <c r="AJ28" s="39">
        <f t="shared" si="32"/>
        <v>21120</v>
      </c>
      <c r="AK28" s="39">
        <f t="shared" si="32"/>
        <v>23320</v>
      </c>
      <c r="AL28" s="39">
        <f t="shared" si="32"/>
        <v>25520</v>
      </c>
      <c r="AM28" s="39">
        <f t="shared" si="32"/>
        <v>27720</v>
      </c>
      <c r="AN28" s="39">
        <f t="shared" si="32"/>
        <v>30360</v>
      </c>
      <c r="AO28" s="39">
        <f t="shared" si="32"/>
        <v>33000</v>
      </c>
      <c r="AP28" s="39">
        <f t="shared" si="32"/>
        <v>35640</v>
      </c>
      <c r="AQ28" s="39">
        <f t="shared" si="32"/>
        <v>38280</v>
      </c>
      <c r="AR28" s="39">
        <f t="shared" si="32"/>
        <v>40920</v>
      </c>
      <c r="AS28" s="39">
        <f t="shared" si="32"/>
        <v>43560</v>
      </c>
      <c r="AT28" s="39">
        <f t="shared" si="32"/>
        <v>50820</v>
      </c>
      <c r="AU28" s="39">
        <f t="shared" si="32"/>
        <v>53724</v>
      </c>
      <c r="AV28" s="39">
        <f t="shared" si="32"/>
        <v>56628</v>
      </c>
      <c r="AW28" s="39">
        <f t="shared" si="32"/>
        <v>59532</v>
      </c>
      <c r="AX28" s="39">
        <f t="shared" si="32"/>
        <v>62436</v>
      </c>
      <c r="AY28" s="39">
        <f t="shared" si="32"/>
        <v>65340</v>
      </c>
      <c r="AZ28" s="39">
        <f t="shared" si="32"/>
        <v>68728</v>
      </c>
      <c r="BA28" s="39">
        <f t="shared" si="32"/>
        <v>72116</v>
      </c>
      <c r="BB28" s="39">
        <f t="shared" si="32"/>
        <v>75504</v>
      </c>
      <c r="BC28" s="39">
        <f t="shared" si="32"/>
        <v>78892</v>
      </c>
      <c r="BD28" s="39">
        <f t="shared" si="32"/>
        <v>82280</v>
      </c>
      <c r="BE28" s="39">
        <f t="shared" si="32"/>
        <v>85668</v>
      </c>
      <c r="BF28" s="39">
        <f t="shared" ref="BF28:BQ28" si="33">BF104</f>
        <v>89056</v>
      </c>
      <c r="BG28" s="39">
        <f t="shared" si="33"/>
        <v>92444</v>
      </c>
      <c r="BH28" s="39">
        <f t="shared" si="33"/>
        <v>95832</v>
      </c>
      <c r="BI28" s="39">
        <f t="shared" si="33"/>
        <v>99220</v>
      </c>
      <c r="BJ28" s="39">
        <f t="shared" si="33"/>
        <v>102608</v>
      </c>
      <c r="BK28" s="39">
        <f t="shared" si="33"/>
        <v>105996</v>
      </c>
      <c r="BL28" s="39">
        <f t="shared" si="33"/>
        <v>109868</v>
      </c>
      <c r="BM28" s="39">
        <f t="shared" si="33"/>
        <v>113740</v>
      </c>
      <c r="BN28" s="39">
        <f t="shared" si="33"/>
        <v>117612</v>
      </c>
      <c r="BO28" s="39">
        <f t="shared" si="33"/>
        <v>121484</v>
      </c>
      <c r="BP28" s="39">
        <f t="shared" si="33"/>
        <v>125356</v>
      </c>
      <c r="BQ28" s="39">
        <f t="shared" si="33"/>
        <v>129228</v>
      </c>
    </row>
    <row r="29" spans="1:6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39"/>
      <c r="AZ29" s="39"/>
      <c r="BA29" s="39"/>
      <c r="BB29" s="39"/>
      <c r="BC29" s="39"/>
      <c r="BD29" s="39"/>
      <c r="BE29" s="39"/>
      <c r="BF29" s="39"/>
      <c r="BG29" s="39"/>
      <c r="BH29" s="39"/>
      <c r="BI29" s="39"/>
      <c r="BJ29" s="39"/>
      <c r="BK29" s="39"/>
      <c r="BL29" s="39"/>
      <c r="BM29" s="39"/>
      <c r="BN29" s="39"/>
      <c r="BO29" s="39"/>
      <c r="BP29" s="39"/>
      <c r="BQ29" s="39"/>
    </row>
    <row r="30" spans="1:69">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c r="AJ30" s="101"/>
      <c r="AK30" s="101"/>
      <c r="AL30" s="101"/>
      <c r="AM30" s="101"/>
      <c r="AN30" s="101"/>
      <c r="AO30" s="101"/>
      <c r="AP30" s="101"/>
      <c r="AQ30" s="101"/>
      <c r="AR30" s="101"/>
      <c r="AS30" s="101"/>
      <c r="AT30" s="101"/>
      <c r="AU30" s="101"/>
      <c r="AV30" s="101"/>
      <c r="AW30" s="101"/>
      <c r="AX30" s="101"/>
      <c r="AY30" s="101"/>
      <c r="AZ30" s="101"/>
      <c r="BA30" s="101"/>
      <c r="BB30" s="101"/>
      <c r="BC30" s="101"/>
      <c r="BD30" s="101"/>
      <c r="BE30" s="101"/>
      <c r="BF30" s="101"/>
      <c r="BG30" s="101"/>
      <c r="BH30" s="101"/>
      <c r="BI30" s="101"/>
      <c r="BJ30" s="101"/>
      <c r="BK30" s="101"/>
      <c r="BL30" s="101"/>
      <c r="BM30" s="101"/>
      <c r="BN30" s="101"/>
      <c r="BO30" s="101"/>
      <c r="BP30" s="101"/>
      <c r="BQ30" s="101"/>
    </row>
    <row r="31" spans="1:69" s="90" customFormat="1">
      <c r="A31" s="111"/>
      <c r="B31" s="86" t="s">
        <v>85</v>
      </c>
      <c r="J31" s="108">
        <f t="shared" ref="J31:BE31" si="34">SUM(J19:J30)</f>
        <v>0</v>
      </c>
      <c r="K31" s="108">
        <f t="shared" si="34"/>
        <v>6750</v>
      </c>
      <c r="L31" s="108">
        <f t="shared" si="34"/>
        <v>9000</v>
      </c>
      <c r="M31" s="108">
        <f t="shared" si="34"/>
        <v>12750</v>
      </c>
      <c r="N31" s="108">
        <f t="shared" si="34"/>
        <v>13500</v>
      </c>
      <c r="O31" s="108">
        <f t="shared" si="34"/>
        <v>13500</v>
      </c>
      <c r="P31" s="108">
        <f t="shared" si="34"/>
        <v>16275</v>
      </c>
      <c r="Q31" s="108">
        <f t="shared" si="34"/>
        <v>17175</v>
      </c>
      <c r="R31" s="108">
        <f t="shared" si="34"/>
        <v>22500</v>
      </c>
      <c r="S31" s="108">
        <f t="shared" si="34"/>
        <v>22750</v>
      </c>
      <c r="T31" s="108">
        <f t="shared" si="34"/>
        <v>35850</v>
      </c>
      <c r="U31" s="108">
        <f>SUM(U19:U30)</f>
        <v>55600</v>
      </c>
      <c r="V31" s="108">
        <f t="shared" si="34"/>
        <v>60350</v>
      </c>
      <c r="W31" s="108">
        <f t="shared" si="34"/>
        <v>66350</v>
      </c>
      <c r="X31" s="108">
        <f t="shared" si="34"/>
        <v>87125</v>
      </c>
      <c r="Y31" s="108">
        <f t="shared" si="34"/>
        <v>129800</v>
      </c>
      <c r="Z31" s="108">
        <f>SUM(Z19:Z30)</f>
        <v>143275</v>
      </c>
      <c r="AA31" s="108">
        <f t="shared" si="34"/>
        <v>156750</v>
      </c>
      <c r="AB31" s="108">
        <f t="shared" si="34"/>
        <v>170225</v>
      </c>
      <c r="AC31" s="108">
        <f t="shared" si="34"/>
        <v>187700</v>
      </c>
      <c r="AD31" s="108">
        <f t="shared" si="34"/>
        <v>205175</v>
      </c>
      <c r="AE31" s="108">
        <f t="shared" si="34"/>
        <v>222650</v>
      </c>
      <c r="AF31" s="108">
        <f t="shared" si="34"/>
        <v>240125</v>
      </c>
      <c r="AG31" s="108">
        <f t="shared" si="34"/>
        <v>257600</v>
      </c>
      <c r="AH31" s="108">
        <f t="shared" si="34"/>
        <v>303572.5</v>
      </c>
      <c r="AI31" s="108">
        <f t="shared" si="34"/>
        <v>325539.5</v>
      </c>
      <c r="AJ31" s="108">
        <f t="shared" si="34"/>
        <v>347506.5</v>
      </c>
      <c r="AK31" s="108">
        <f t="shared" si="34"/>
        <v>369473.5</v>
      </c>
      <c r="AL31" s="108">
        <f t="shared" si="34"/>
        <v>391440.5</v>
      </c>
      <c r="AM31" s="108">
        <f t="shared" si="34"/>
        <v>413407.5</v>
      </c>
      <c r="AN31" s="108">
        <f t="shared" si="34"/>
        <v>436474.5</v>
      </c>
      <c r="AO31" s="108">
        <f t="shared" si="34"/>
        <v>459541.5</v>
      </c>
      <c r="AP31" s="108">
        <f t="shared" si="34"/>
        <v>482608.5</v>
      </c>
      <c r="AQ31" s="108">
        <f t="shared" si="34"/>
        <v>505675.5</v>
      </c>
      <c r="AR31" s="108">
        <f t="shared" si="34"/>
        <v>528742.5</v>
      </c>
      <c r="AS31" s="108">
        <f t="shared" si="34"/>
        <v>551809.5</v>
      </c>
      <c r="AT31" s="108">
        <f t="shared" si="34"/>
        <v>633453.15</v>
      </c>
      <c r="AU31" s="108">
        <f t="shared" si="34"/>
        <v>662066.625</v>
      </c>
      <c r="AV31" s="108">
        <f t="shared" si="34"/>
        <v>690680.1</v>
      </c>
      <c r="AW31" s="108">
        <f t="shared" si="34"/>
        <v>719293.57499999995</v>
      </c>
      <c r="AX31" s="108">
        <f t="shared" si="34"/>
        <v>747907.05</v>
      </c>
      <c r="AY31" s="108">
        <f t="shared" si="34"/>
        <v>776520.52500000002</v>
      </c>
      <c r="AZ31" s="108">
        <f t="shared" si="34"/>
        <v>806465</v>
      </c>
      <c r="BA31" s="108">
        <f t="shared" si="34"/>
        <v>836409.47499999998</v>
      </c>
      <c r="BB31" s="108">
        <f t="shared" si="34"/>
        <v>866353.95</v>
      </c>
      <c r="BC31" s="108">
        <f t="shared" si="34"/>
        <v>896298.42500000005</v>
      </c>
      <c r="BD31" s="108">
        <f t="shared" si="34"/>
        <v>926242.9</v>
      </c>
      <c r="BE31" s="108">
        <f t="shared" si="34"/>
        <v>956187.375</v>
      </c>
      <c r="BF31" s="108">
        <f>SUM(BF19:BF30)</f>
        <v>987220.85</v>
      </c>
      <c r="BG31" s="108">
        <f t="shared" ref="BG31:BQ31" si="35">SUM(BG19:BG30)</f>
        <v>1020846.75</v>
      </c>
      <c r="BH31" s="108">
        <f t="shared" si="35"/>
        <v>1054472.6499999999</v>
      </c>
      <c r="BI31" s="108">
        <f t="shared" si="35"/>
        <v>1088098.55</v>
      </c>
      <c r="BJ31" s="108">
        <f t="shared" si="35"/>
        <v>1121724.45</v>
      </c>
      <c r="BK31" s="108">
        <f t="shared" si="35"/>
        <v>1155350.3500000001</v>
      </c>
      <c r="BL31" s="108">
        <f t="shared" si="35"/>
        <v>1190549.25</v>
      </c>
      <c r="BM31" s="108">
        <f t="shared" si="35"/>
        <v>1225748.1499999999</v>
      </c>
      <c r="BN31" s="108">
        <f t="shared" si="35"/>
        <v>1260947.05</v>
      </c>
      <c r="BO31" s="108">
        <f t="shared" si="35"/>
        <v>1296145.95</v>
      </c>
      <c r="BP31" s="108">
        <f t="shared" si="35"/>
        <v>1331344.8500000001</v>
      </c>
      <c r="BQ31" s="108">
        <f t="shared" si="35"/>
        <v>1366543.75</v>
      </c>
    </row>
    <row r="32" spans="1:6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c r="BM32" s="39"/>
      <c r="BN32" s="39"/>
      <c r="BO32" s="39"/>
      <c r="BP32" s="39"/>
      <c r="BQ32" s="39"/>
    </row>
    <row r="33" spans="1:69">
      <c r="A33" s="4" t="s">
        <v>6</v>
      </c>
      <c r="J33" s="39"/>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39"/>
      <c r="AY33" s="39"/>
      <c r="AZ33" s="39"/>
      <c r="BA33" s="39"/>
      <c r="BB33" s="39"/>
      <c r="BC33" s="39"/>
      <c r="BD33" s="39"/>
      <c r="BE33" s="39"/>
      <c r="BF33" s="39"/>
      <c r="BG33" s="39"/>
      <c r="BH33" s="39"/>
      <c r="BI33" s="39"/>
      <c r="BJ33" s="39"/>
      <c r="BK33" s="39"/>
      <c r="BL33" s="39"/>
      <c r="BM33" s="39"/>
      <c r="BN33" s="39"/>
      <c r="BO33" s="39"/>
      <c r="BP33" s="39"/>
      <c r="BQ33" s="39"/>
    </row>
    <row r="34" spans="1:69">
      <c r="J34" s="39"/>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row>
    <row r="35" spans="1:69">
      <c r="B35" s="3" t="s">
        <v>82</v>
      </c>
      <c r="J35" s="39"/>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c r="AX35" s="39"/>
      <c r="AY35" s="39"/>
      <c r="AZ35" s="39"/>
      <c r="BA35" s="39"/>
      <c r="BB35" s="39"/>
      <c r="BC35" s="39"/>
      <c r="BD35" s="39"/>
      <c r="BE35" s="39"/>
      <c r="BF35" s="39"/>
      <c r="BG35" s="39"/>
      <c r="BH35" s="39"/>
      <c r="BI35" s="39"/>
      <c r="BJ35" s="39"/>
      <c r="BK35" s="39"/>
      <c r="BL35" s="39"/>
      <c r="BM35" s="39"/>
      <c r="BN35" s="39"/>
      <c r="BO35" s="39"/>
      <c r="BP35" s="39"/>
      <c r="BQ35" s="39"/>
    </row>
    <row r="36" spans="1:69">
      <c r="B36" s="4" t="s">
        <v>252</v>
      </c>
      <c r="J36" s="39">
        <v>30000</v>
      </c>
      <c r="K36" s="39">
        <v>30000</v>
      </c>
      <c r="L36" s="39">
        <v>0</v>
      </c>
      <c r="M36" s="39">
        <v>30000</v>
      </c>
      <c r="N36" s="39">
        <v>30000</v>
      </c>
      <c r="O36" s="39">
        <v>30000</v>
      </c>
      <c r="P36" s="39">
        <v>60000</v>
      </c>
      <c r="Q36" s="39">
        <v>0</v>
      </c>
      <c r="R36" s="39">
        <f>Inputs!R32*Inputs!R51</f>
        <v>0</v>
      </c>
      <c r="S36" s="39">
        <f>Inputs!S32*Inputs!S51</f>
        <v>0</v>
      </c>
      <c r="T36" s="39">
        <f>Inputs!T32*Inputs!T51</f>
        <v>0</v>
      </c>
      <c r="U36" s="39">
        <f>Inputs!U32*Inputs!U51</f>
        <v>0</v>
      </c>
      <c r="V36" s="39">
        <f>Inputs!V32*Inputs!V51</f>
        <v>0</v>
      </c>
      <c r="W36" s="39">
        <f>Inputs!W32*Inputs!W51</f>
        <v>30000</v>
      </c>
      <c r="X36" s="39">
        <f>Inputs!X32*Inputs!X51</f>
        <v>30000</v>
      </c>
      <c r="Y36" s="39">
        <f>Inputs!Y32*Inputs!Y51</f>
        <v>30000</v>
      </c>
      <c r="Z36" s="39">
        <f>Inputs!Z32*Inputs!Z51</f>
        <v>30000</v>
      </c>
      <c r="AA36" s="39">
        <f>Inputs!AA32*Inputs!AA51</f>
        <v>30000</v>
      </c>
      <c r="AB36" s="39">
        <f>Inputs!AB32*Inputs!AB51</f>
        <v>30000</v>
      </c>
      <c r="AC36" s="39">
        <f>Inputs!AC32*Inputs!AC51</f>
        <v>30000</v>
      </c>
      <c r="AD36" s="39">
        <f>Inputs!AD32*Inputs!AD51</f>
        <v>30000</v>
      </c>
      <c r="AE36" s="39">
        <f>Inputs!AE32*Inputs!AE51</f>
        <v>30000</v>
      </c>
      <c r="AF36" s="39">
        <f>Inputs!AF32*Inputs!AF51</f>
        <v>30000</v>
      </c>
      <c r="AG36" s="39">
        <f>Inputs!AG32*Inputs!AG51</f>
        <v>30000</v>
      </c>
      <c r="AH36" s="39">
        <f>Inputs!AH32*Inputs!AH51</f>
        <v>39600</v>
      </c>
      <c r="AI36" s="39">
        <f>Inputs!AI32*Inputs!AI51</f>
        <v>39600</v>
      </c>
      <c r="AJ36" s="39">
        <f>Inputs!AJ32*Inputs!AJ51</f>
        <v>39600</v>
      </c>
      <c r="AK36" s="39">
        <f>Inputs!AK32*Inputs!AK51</f>
        <v>39600</v>
      </c>
      <c r="AL36" s="39">
        <f>Inputs!AL32*Inputs!AL51</f>
        <v>39600</v>
      </c>
      <c r="AM36" s="39">
        <f>Inputs!AM32*Inputs!AM51</f>
        <v>39600</v>
      </c>
      <c r="AN36" s="39">
        <f>Inputs!AN32*Inputs!AN51</f>
        <v>39600</v>
      </c>
      <c r="AO36" s="39">
        <f>Inputs!AO32*Inputs!AO51</f>
        <v>39600</v>
      </c>
      <c r="AP36" s="39">
        <f>Inputs!AP32*Inputs!AP51</f>
        <v>39600</v>
      </c>
      <c r="AQ36" s="39">
        <f>Inputs!AQ32*Inputs!AQ51</f>
        <v>39600</v>
      </c>
      <c r="AR36" s="39">
        <f>Inputs!AR32*Inputs!AR51</f>
        <v>39600</v>
      </c>
      <c r="AS36" s="39">
        <f>Inputs!AS32*Inputs!AS51</f>
        <v>39600</v>
      </c>
      <c r="AT36" s="39">
        <f>Inputs!AT32*Inputs!AT51</f>
        <v>52030</v>
      </c>
      <c r="AU36" s="39">
        <f>Inputs!AU32*Inputs!AU51</f>
        <v>52030</v>
      </c>
      <c r="AV36" s="39">
        <f>Inputs!AV32*Inputs!AV51</f>
        <v>52030</v>
      </c>
      <c r="AW36" s="39">
        <f>Inputs!AW32*Inputs!AW51</f>
        <v>52030</v>
      </c>
      <c r="AX36" s="39">
        <f>Inputs!AX32*Inputs!AX51</f>
        <v>52030</v>
      </c>
      <c r="AY36" s="39">
        <f>Inputs!AY32*Inputs!AY51</f>
        <v>52030</v>
      </c>
      <c r="AZ36" s="39">
        <f>Inputs!AZ32*Inputs!AZ51</f>
        <v>52030</v>
      </c>
      <c r="BA36" s="39">
        <f>Inputs!BA32*Inputs!BA51</f>
        <v>52030</v>
      </c>
      <c r="BB36" s="39">
        <f>Inputs!BB32*Inputs!BB51</f>
        <v>52030</v>
      </c>
      <c r="BC36" s="39">
        <f>Inputs!BC32*Inputs!BC51</f>
        <v>52030</v>
      </c>
      <c r="BD36" s="39">
        <f>Inputs!BD32*Inputs!BD51</f>
        <v>52030</v>
      </c>
      <c r="BE36" s="39">
        <f>Inputs!BE32*Inputs!BE51</f>
        <v>52030</v>
      </c>
      <c r="BF36" s="39">
        <f>Inputs!BF32*Inputs!BF51</f>
        <v>62920</v>
      </c>
      <c r="BG36" s="39">
        <f>Inputs!BG32*Inputs!BG51</f>
        <v>62920</v>
      </c>
      <c r="BH36" s="39">
        <f>Inputs!BH32*Inputs!BH51</f>
        <v>62920</v>
      </c>
      <c r="BI36" s="39">
        <f>Inputs!BI32*Inputs!BI51</f>
        <v>62920</v>
      </c>
      <c r="BJ36" s="39">
        <f>Inputs!BJ32*Inputs!BJ51</f>
        <v>62920</v>
      </c>
      <c r="BK36" s="39">
        <f>Inputs!BK32*Inputs!BK51</f>
        <v>62920</v>
      </c>
      <c r="BL36" s="39">
        <f>Inputs!BL32*Inputs!BL51</f>
        <v>62920</v>
      </c>
      <c r="BM36" s="39">
        <f>Inputs!BM32*Inputs!BM51</f>
        <v>62920</v>
      </c>
      <c r="BN36" s="39">
        <f>Inputs!BN32*Inputs!BN51</f>
        <v>62920</v>
      </c>
      <c r="BO36" s="39">
        <f>Inputs!BO32*Inputs!BO51</f>
        <v>62920</v>
      </c>
      <c r="BP36" s="39">
        <f>Inputs!BP32*Inputs!BP51</f>
        <v>62920</v>
      </c>
      <c r="BQ36" s="39">
        <f>Inputs!BQ32*Inputs!BQ51</f>
        <v>62920</v>
      </c>
    </row>
    <row r="37" spans="1:69">
      <c r="B37" s="9"/>
      <c r="C37" s="9"/>
      <c r="D37" s="9"/>
      <c r="E37" s="9"/>
      <c r="F37" s="9"/>
      <c r="G37" s="9"/>
      <c r="H37" s="9"/>
      <c r="I37" s="9"/>
      <c r="J37" s="42"/>
      <c r="K37" s="42"/>
      <c r="L37" s="42"/>
      <c r="M37" s="42"/>
      <c r="N37" s="42"/>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N37" s="42"/>
      <c r="BO37" s="42"/>
      <c r="BP37" s="42"/>
      <c r="BQ37" s="42"/>
    </row>
    <row r="38" spans="1:69">
      <c r="B38" s="4" t="s">
        <v>6</v>
      </c>
      <c r="J38" s="39">
        <f t="shared" ref="J38:BE38" si="36">SUM(J36:J37)</f>
        <v>30000</v>
      </c>
      <c r="K38" s="39">
        <f t="shared" si="36"/>
        <v>30000</v>
      </c>
      <c r="L38" s="39">
        <f t="shared" si="36"/>
        <v>0</v>
      </c>
      <c r="M38" s="39">
        <f t="shared" si="36"/>
        <v>30000</v>
      </c>
      <c r="N38" s="39">
        <f t="shared" si="36"/>
        <v>30000</v>
      </c>
      <c r="O38" s="39">
        <f t="shared" si="36"/>
        <v>30000</v>
      </c>
      <c r="P38" s="39">
        <f t="shared" si="36"/>
        <v>60000</v>
      </c>
      <c r="Q38" s="39">
        <f t="shared" si="36"/>
        <v>0</v>
      </c>
      <c r="R38" s="39">
        <f t="shared" si="36"/>
        <v>0</v>
      </c>
      <c r="S38" s="39">
        <f t="shared" si="36"/>
        <v>0</v>
      </c>
      <c r="T38" s="39">
        <f t="shared" si="36"/>
        <v>0</v>
      </c>
      <c r="U38" s="39">
        <f t="shared" si="36"/>
        <v>0</v>
      </c>
      <c r="V38" s="39">
        <f t="shared" si="36"/>
        <v>0</v>
      </c>
      <c r="W38" s="39">
        <f t="shared" si="36"/>
        <v>30000</v>
      </c>
      <c r="X38" s="39">
        <f t="shared" si="36"/>
        <v>30000</v>
      </c>
      <c r="Y38" s="39">
        <f t="shared" si="36"/>
        <v>30000</v>
      </c>
      <c r="Z38" s="39">
        <f t="shared" si="36"/>
        <v>30000</v>
      </c>
      <c r="AA38" s="39">
        <f t="shared" si="36"/>
        <v>30000</v>
      </c>
      <c r="AB38" s="39">
        <f t="shared" si="36"/>
        <v>30000</v>
      </c>
      <c r="AC38" s="39">
        <f t="shared" si="36"/>
        <v>30000</v>
      </c>
      <c r="AD38" s="39">
        <f t="shared" si="36"/>
        <v>30000</v>
      </c>
      <c r="AE38" s="39">
        <f t="shared" si="36"/>
        <v>30000</v>
      </c>
      <c r="AF38" s="39">
        <f t="shared" si="36"/>
        <v>30000</v>
      </c>
      <c r="AG38" s="39">
        <f t="shared" si="36"/>
        <v>30000</v>
      </c>
      <c r="AH38" s="39">
        <f t="shared" si="36"/>
        <v>39600</v>
      </c>
      <c r="AI38" s="39">
        <f t="shared" si="36"/>
        <v>39600</v>
      </c>
      <c r="AJ38" s="39">
        <f t="shared" si="36"/>
        <v>39600</v>
      </c>
      <c r="AK38" s="39">
        <f t="shared" si="36"/>
        <v>39600</v>
      </c>
      <c r="AL38" s="39">
        <f t="shared" si="36"/>
        <v>39600</v>
      </c>
      <c r="AM38" s="39">
        <f t="shared" si="36"/>
        <v>39600</v>
      </c>
      <c r="AN38" s="39">
        <f t="shared" si="36"/>
        <v>39600</v>
      </c>
      <c r="AO38" s="39">
        <f t="shared" si="36"/>
        <v>39600</v>
      </c>
      <c r="AP38" s="39">
        <f t="shared" si="36"/>
        <v>39600</v>
      </c>
      <c r="AQ38" s="39">
        <f t="shared" si="36"/>
        <v>39600</v>
      </c>
      <c r="AR38" s="39">
        <f t="shared" si="36"/>
        <v>39600</v>
      </c>
      <c r="AS38" s="39">
        <f t="shared" si="36"/>
        <v>39600</v>
      </c>
      <c r="AT38" s="39">
        <f t="shared" si="36"/>
        <v>52030</v>
      </c>
      <c r="AU38" s="39">
        <f t="shared" si="36"/>
        <v>52030</v>
      </c>
      <c r="AV38" s="39">
        <f t="shared" si="36"/>
        <v>52030</v>
      </c>
      <c r="AW38" s="39">
        <f t="shared" si="36"/>
        <v>52030</v>
      </c>
      <c r="AX38" s="39">
        <f t="shared" si="36"/>
        <v>52030</v>
      </c>
      <c r="AY38" s="39">
        <f t="shared" si="36"/>
        <v>52030</v>
      </c>
      <c r="AZ38" s="39">
        <f t="shared" si="36"/>
        <v>52030</v>
      </c>
      <c r="BA38" s="39">
        <f t="shared" si="36"/>
        <v>52030</v>
      </c>
      <c r="BB38" s="39">
        <f t="shared" si="36"/>
        <v>52030</v>
      </c>
      <c r="BC38" s="39">
        <f t="shared" si="36"/>
        <v>52030</v>
      </c>
      <c r="BD38" s="39">
        <f t="shared" si="36"/>
        <v>52030</v>
      </c>
      <c r="BE38" s="39">
        <f t="shared" si="36"/>
        <v>52030</v>
      </c>
      <c r="BF38" s="39">
        <f t="shared" ref="BF38:BQ38" si="37">SUM(BF36:BF37)</f>
        <v>62920</v>
      </c>
      <c r="BG38" s="39">
        <f t="shared" si="37"/>
        <v>62920</v>
      </c>
      <c r="BH38" s="39">
        <f t="shared" si="37"/>
        <v>62920</v>
      </c>
      <c r="BI38" s="39">
        <f t="shared" si="37"/>
        <v>62920</v>
      </c>
      <c r="BJ38" s="39">
        <f t="shared" si="37"/>
        <v>62920</v>
      </c>
      <c r="BK38" s="39">
        <f t="shared" si="37"/>
        <v>62920</v>
      </c>
      <c r="BL38" s="39">
        <f t="shared" si="37"/>
        <v>62920</v>
      </c>
      <c r="BM38" s="39">
        <f t="shared" si="37"/>
        <v>62920</v>
      </c>
      <c r="BN38" s="39">
        <f t="shared" si="37"/>
        <v>62920</v>
      </c>
      <c r="BO38" s="39">
        <f t="shared" si="37"/>
        <v>62920</v>
      </c>
      <c r="BP38" s="39">
        <f t="shared" si="37"/>
        <v>62920</v>
      </c>
      <c r="BQ38" s="39">
        <f t="shared" si="37"/>
        <v>62920</v>
      </c>
    </row>
    <row r="39" spans="1:6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row>
    <row r="40" spans="1:69">
      <c r="B40" s="4" t="s">
        <v>265</v>
      </c>
      <c r="J40" s="39">
        <v>2250</v>
      </c>
      <c r="K40" s="39">
        <f>2250+7800</f>
        <v>10050</v>
      </c>
      <c r="L40" s="39">
        <v>5620</v>
      </c>
      <c r="M40" s="39">
        <f>2250+17423</f>
        <v>19673</v>
      </c>
      <c r="N40" s="39">
        <f>2250+12524</f>
        <v>14774</v>
      </c>
      <c r="O40" s="39">
        <f>2250+78094+30500</f>
        <v>110844</v>
      </c>
      <c r="P40" s="39">
        <v>31714</v>
      </c>
      <c r="Q40" s="39">
        <v>16000</v>
      </c>
      <c r="R40" s="39">
        <v>15750</v>
      </c>
      <c r="S40" s="39">
        <f>Inputs!S32*(Inputs!S52+Inputs!S53+Inputs!S54)</f>
        <v>0</v>
      </c>
      <c r="T40" s="39">
        <f>Inputs!T32*(Inputs!T52+Inputs!T53+Inputs!T54)</f>
        <v>0</v>
      </c>
      <c r="U40" s="39">
        <f>Inputs!U32*(Inputs!U52+Inputs!U53+Inputs!U54)</f>
        <v>0</v>
      </c>
      <c r="V40" s="39">
        <f>Inputs!V32*(Inputs!V52+Inputs!V53+Inputs!V54)</f>
        <v>0</v>
      </c>
      <c r="W40" s="39">
        <f>Inputs!W32*(Inputs!W52+Inputs!W53+Inputs!W54)</f>
        <v>32250</v>
      </c>
      <c r="X40" s="39">
        <f>Inputs!X32*(Inputs!X52+Inputs!X53+Inputs!X54)</f>
        <v>32250</v>
      </c>
      <c r="Y40" s="39">
        <f>Inputs!Y32*(Inputs!Y52+Inputs!Y53+Inputs!Y54)</f>
        <v>32250</v>
      </c>
      <c r="Z40" s="39">
        <f>Inputs!Z32*(Inputs!Z52+Inputs!Z53+Inputs!Z54)</f>
        <v>32250</v>
      </c>
      <c r="AA40" s="39">
        <f>Inputs!AA32*(Inputs!AA52+Inputs!AA53+Inputs!AA54)</f>
        <v>32250</v>
      </c>
      <c r="AB40" s="39">
        <f>Inputs!AB32*(Inputs!AB52+Inputs!AB53+Inputs!AB54)</f>
        <v>32250</v>
      </c>
      <c r="AC40" s="39">
        <f>Inputs!AC32*(Inputs!AC52+Inputs!AC53+Inputs!AC54)</f>
        <v>32250</v>
      </c>
      <c r="AD40" s="39">
        <f>Inputs!AD32*(Inputs!AD52+Inputs!AD53+Inputs!AD54)</f>
        <v>32250</v>
      </c>
      <c r="AE40" s="39">
        <f>Inputs!AE32*(Inputs!AE52+Inputs!AE53+Inputs!AE54)</f>
        <v>32250</v>
      </c>
      <c r="AF40" s="39">
        <f>Inputs!AF32*(Inputs!AF52+Inputs!AF53+Inputs!AF54)</f>
        <v>32250</v>
      </c>
      <c r="AG40" s="39">
        <f>Inputs!AG32*(Inputs!AG52+Inputs!AG53+Inputs!AG54)</f>
        <v>32250</v>
      </c>
      <c r="AH40" s="39">
        <f>Inputs!AH32*(Inputs!AH52+Inputs!AH53+Inputs!AH54)</f>
        <v>42570</v>
      </c>
      <c r="AI40" s="39">
        <f>Inputs!AI32*(Inputs!AI52+Inputs!AI53+Inputs!AI54)</f>
        <v>42570</v>
      </c>
      <c r="AJ40" s="39">
        <f>Inputs!AJ32*(Inputs!AJ52+Inputs!AJ53+Inputs!AJ54)</f>
        <v>42570</v>
      </c>
      <c r="AK40" s="39">
        <f>Inputs!AK32*(Inputs!AK52+Inputs!AK53+Inputs!AK54)</f>
        <v>42570</v>
      </c>
      <c r="AL40" s="39">
        <f>Inputs!AL32*(Inputs!AL52+Inputs!AL53+Inputs!AL54)</f>
        <v>42570</v>
      </c>
      <c r="AM40" s="39">
        <f>Inputs!AM32*(Inputs!AM52+Inputs!AM53+Inputs!AM54)</f>
        <v>42570</v>
      </c>
      <c r="AN40" s="39">
        <f>Inputs!AN32*(Inputs!AN52+Inputs!AN53+Inputs!AN54)</f>
        <v>42570</v>
      </c>
      <c r="AO40" s="39">
        <f>Inputs!AO32*(Inputs!AO52+Inputs!AO53+Inputs!AO54)</f>
        <v>42570</v>
      </c>
      <c r="AP40" s="39">
        <f>Inputs!AP32*(Inputs!AP52+Inputs!AP53+Inputs!AP54)</f>
        <v>42570</v>
      </c>
      <c r="AQ40" s="39">
        <f>Inputs!AQ32*(Inputs!AQ52+Inputs!AQ53+Inputs!AQ54)</f>
        <v>42570</v>
      </c>
      <c r="AR40" s="39">
        <f>Inputs!AR32*(Inputs!AR52+Inputs!AR53+Inputs!AR54)</f>
        <v>42570</v>
      </c>
      <c r="AS40" s="39">
        <f>Inputs!AS32*(Inputs!AS52+Inputs!AS53+Inputs!AS54)</f>
        <v>42570</v>
      </c>
      <c r="AT40" s="39">
        <f>Inputs!AT32*(Inputs!AT52+Inputs!AT53+Inputs!AT54)</f>
        <v>55932.25</v>
      </c>
      <c r="AU40" s="39">
        <f>Inputs!AU32*(Inputs!AU52+Inputs!AU53+Inputs!AU54)</f>
        <v>55932.25</v>
      </c>
      <c r="AV40" s="39">
        <f>Inputs!AV32*(Inputs!AV52+Inputs!AV53+Inputs!AV54)</f>
        <v>55932.25</v>
      </c>
      <c r="AW40" s="39">
        <f>Inputs!AW32*(Inputs!AW52+Inputs!AW53+Inputs!AW54)</f>
        <v>55932.25</v>
      </c>
      <c r="AX40" s="39">
        <f>Inputs!AX32*(Inputs!AX52+Inputs!AX53+Inputs!AX54)</f>
        <v>55932.25</v>
      </c>
      <c r="AY40" s="39">
        <f>Inputs!AY32*(Inputs!AY52+Inputs!AY53+Inputs!AY54)</f>
        <v>55932.25</v>
      </c>
      <c r="AZ40" s="39">
        <f>Inputs!AZ32*(Inputs!AZ52+Inputs!AZ53+Inputs!AZ54)</f>
        <v>55932.25</v>
      </c>
      <c r="BA40" s="39">
        <f>Inputs!BA32*(Inputs!BA52+Inputs!BA53+Inputs!BA54)</f>
        <v>55932.25</v>
      </c>
      <c r="BB40" s="39">
        <f>Inputs!BB32*(Inputs!BB52+Inputs!BB53+Inputs!BB54)</f>
        <v>55932.25</v>
      </c>
      <c r="BC40" s="39">
        <f>Inputs!BC32*(Inputs!BC52+Inputs!BC53+Inputs!BC54)</f>
        <v>55932.25</v>
      </c>
      <c r="BD40" s="39">
        <f>Inputs!BD32*(Inputs!BD52+Inputs!BD53+Inputs!BD54)</f>
        <v>55932.25</v>
      </c>
      <c r="BE40" s="39">
        <f>Inputs!BE32*(Inputs!BE52+Inputs!BE53+Inputs!BE54)</f>
        <v>55932.25</v>
      </c>
      <c r="BF40" s="39">
        <f>Inputs!BF32*(Inputs!BF52+Inputs!BF53+Inputs!BF54)</f>
        <v>67639</v>
      </c>
      <c r="BG40" s="39">
        <f>Inputs!BG32*(Inputs!BG52+Inputs!BG53+Inputs!BG54)</f>
        <v>67639</v>
      </c>
      <c r="BH40" s="39">
        <f>Inputs!BH32*(Inputs!BH52+Inputs!BH53+Inputs!BH54)</f>
        <v>67639</v>
      </c>
      <c r="BI40" s="39">
        <f>Inputs!BI32*(Inputs!BI52+Inputs!BI53+Inputs!BI54)</f>
        <v>67639</v>
      </c>
      <c r="BJ40" s="39">
        <f>Inputs!BJ32*(Inputs!BJ52+Inputs!BJ53+Inputs!BJ54)</f>
        <v>67639</v>
      </c>
      <c r="BK40" s="39">
        <f>Inputs!BK32*(Inputs!BK52+Inputs!BK53+Inputs!BK54)</f>
        <v>67639</v>
      </c>
      <c r="BL40" s="39">
        <f>Inputs!BL32*(Inputs!BL52+Inputs!BL53+Inputs!BL54)</f>
        <v>67639</v>
      </c>
      <c r="BM40" s="39">
        <f>Inputs!BM32*(Inputs!BM52+Inputs!BM53+Inputs!BM54)</f>
        <v>67639</v>
      </c>
      <c r="BN40" s="39">
        <f>Inputs!BN32*(Inputs!BN52+Inputs!BN53+Inputs!BN54)</f>
        <v>67639</v>
      </c>
      <c r="BO40" s="39">
        <f>Inputs!BO32*(Inputs!BO52+Inputs!BO53+Inputs!BO54)</f>
        <v>67639</v>
      </c>
      <c r="BP40" s="39">
        <f>Inputs!BP32*(Inputs!BP52+Inputs!BP53+Inputs!BP54)</f>
        <v>67639</v>
      </c>
      <c r="BQ40" s="39">
        <f>Inputs!BQ32*(Inputs!BQ52+Inputs!BQ53+Inputs!BQ54)</f>
        <v>67639</v>
      </c>
    </row>
    <row r="41" spans="1:69">
      <c r="B41" s="9"/>
      <c r="C41" s="9"/>
      <c r="D41" s="9"/>
      <c r="E41" s="9"/>
      <c r="F41" s="9"/>
      <c r="G41" s="9"/>
      <c r="H41" s="9"/>
      <c r="I41" s="9"/>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c r="BI41" s="42"/>
      <c r="BJ41" s="42"/>
      <c r="BK41" s="42"/>
      <c r="BL41" s="42"/>
      <c r="BM41" s="42"/>
      <c r="BN41" s="42"/>
      <c r="BO41" s="42"/>
      <c r="BP41" s="42"/>
      <c r="BQ41" s="42"/>
    </row>
    <row r="42" spans="1:69">
      <c r="B42" s="4" t="s">
        <v>6</v>
      </c>
      <c r="J42" s="39">
        <f t="shared" ref="J42:BE42" si="38">SUM(J40:J41)</f>
        <v>2250</v>
      </c>
      <c r="K42" s="39">
        <f t="shared" si="38"/>
        <v>10050</v>
      </c>
      <c r="L42" s="39">
        <f t="shared" si="38"/>
        <v>5620</v>
      </c>
      <c r="M42" s="39">
        <f t="shared" si="38"/>
        <v>19673</v>
      </c>
      <c r="N42" s="39">
        <f t="shared" si="38"/>
        <v>14774</v>
      </c>
      <c r="O42" s="39">
        <f t="shared" si="38"/>
        <v>110844</v>
      </c>
      <c r="P42" s="39">
        <f t="shared" si="38"/>
        <v>31714</v>
      </c>
      <c r="Q42" s="39">
        <f t="shared" si="38"/>
        <v>16000</v>
      </c>
      <c r="R42" s="39">
        <f t="shared" si="38"/>
        <v>15750</v>
      </c>
      <c r="S42" s="39">
        <f t="shared" si="38"/>
        <v>0</v>
      </c>
      <c r="T42" s="39">
        <f t="shared" si="38"/>
        <v>0</v>
      </c>
      <c r="U42" s="39">
        <f t="shared" si="38"/>
        <v>0</v>
      </c>
      <c r="V42" s="39">
        <f t="shared" si="38"/>
        <v>0</v>
      </c>
      <c r="W42" s="39">
        <f t="shared" si="38"/>
        <v>32250</v>
      </c>
      <c r="X42" s="39">
        <f t="shared" si="38"/>
        <v>32250</v>
      </c>
      <c r="Y42" s="39">
        <f t="shared" si="38"/>
        <v>32250</v>
      </c>
      <c r="Z42" s="39">
        <f t="shared" si="38"/>
        <v>32250</v>
      </c>
      <c r="AA42" s="39">
        <f t="shared" si="38"/>
        <v>32250</v>
      </c>
      <c r="AB42" s="39">
        <f t="shared" si="38"/>
        <v>32250</v>
      </c>
      <c r="AC42" s="39">
        <f t="shared" si="38"/>
        <v>32250</v>
      </c>
      <c r="AD42" s="39">
        <f t="shared" si="38"/>
        <v>32250</v>
      </c>
      <c r="AE42" s="39">
        <f t="shared" si="38"/>
        <v>32250</v>
      </c>
      <c r="AF42" s="39">
        <f t="shared" si="38"/>
        <v>32250</v>
      </c>
      <c r="AG42" s="39">
        <f t="shared" si="38"/>
        <v>32250</v>
      </c>
      <c r="AH42" s="39">
        <f t="shared" si="38"/>
        <v>42570</v>
      </c>
      <c r="AI42" s="39">
        <f t="shared" si="38"/>
        <v>42570</v>
      </c>
      <c r="AJ42" s="39">
        <f t="shared" si="38"/>
        <v>42570</v>
      </c>
      <c r="AK42" s="39">
        <f t="shared" si="38"/>
        <v>42570</v>
      </c>
      <c r="AL42" s="39">
        <f t="shared" si="38"/>
        <v>42570</v>
      </c>
      <c r="AM42" s="39">
        <f t="shared" si="38"/>
        <v>42570</v>
      </c>
      <c r="AN42" s="39">
        <f t="shared" si="38"/>
        <v>42570</v>
      </c>
      <c r="AO42" s="39">
        <f t="shared" si="38"/>
        <v>42570</v>
      </c>
      <c r="AP42" s="39">
        <f t="shared" si="38"/>
        <v>42570</v>
      </c>
      <c r="AQ42" s="39">
        <f t="shared" si="38"/>
        <v>42570</v>
      </c>
      <c r="AR42" s="39">
        <f t="shared" si="38"/>
        <v>42570</v>
      </c>
      <c r="AS42" s="39">
        <f t="shared" si="38"/>
        <v>42570</v>
      </c>
      <c r="AT42" s="39">
        <f t="shared" si="38"/>
        <v>55932.25</v>
      </c>
      <c r="AU42" s="39">
        <f t="shared" si="38"/>
        <v>55932.25</v>
      </c>
      <c r="AV42" s="39">
        <f t="shared" si="38"/>
        <v>55932.25</v>
      </c>
      <c r="AW42" s="39">
        <f t="shared" si="38"/>
        <v>55932.25</v>
      </c>
      <c r="AX42" s="39">
        <f t="shared" si="38"/>
        <v>55932.25</v>
      </c>
      <c r="AY42" s="39">
        <f t="shared" si="38"/>
        <v>55932.25</v>
      </c>
      <c r="AZ42" s="39">
        <f t="shared" si="38"/>
        <v>55932.25</v>
      </c>
      <c r="BA42" s="39">
        <f t="shared" si="38"/>
        <v>55932.25</v>
      </c>
      <c r="BB42" s="39">
        <f t="shared" si="38"/>
        <v>55932.25</v>
      </c>
      <c r="BC42" s="39">
        <f t="shared" si="38"/>
        <v>55932.25</v>
      </c>
      <c r="BD42" s="39">
        <f t="shared" si="38"/>
        <v>55932.25</v>
      </c>
      <c r="BE42" s="39">
        <f t="shared" si="38"/>
        <v>55932.25</v>
      </c>
      <c r="BF42" s="39">
        <f t="shared" ref="BF42:BQ42" si="39">SUM(BF40:BF41)</f>
        <v>67639</v>
      </c>
      <c r="BG42" s="39">
        <f t="shared" si="39"/>
        <v>67639</v>
      </c>
      <c r="BH42" s="39">
        <f t="shared" si="39"/>
        <v>67639</v>
      </c>
      <c r="BI42" s="39">
        <f t="shared" si="39"/>
        <v>67639</v>
      </c>
      <c r="BJ42" s="39">
        <f t="shared" si="39"/>
        <v>67639</v>
      </c>
      <c r="BK42" s="39">
        <f t="shared" si="39"/>
        <v>67639</v>
      </c>
      <c r="BL42" s="39">
        <f t="shared" si="39"/>
        <v>67639</v>
      </c>
      <c r="BM42" s="39">
        <f t="shared" si="39"/>
        <v>67639</v>
      </c>
      <c r="BN42" s="39">
        <f t="shared" si="39"/>
        <v>67639</v>
      </c>
      <c r="BO42" s="39">
        <f t="shared" si="39"/>
        <v>67639</v>
      </c>
      <c r="BP42" s="39">
        <f t="shared" si="39"/>
        <v>67639</v>
      </c>
      <c r="BQ42" s="39">
        <f t="shared" si="39"/>
        <v>67639</v>
      </c>
    </row>
    <row r="43" spans="1:6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c r="BM43" s="39"/>
      <c r="BN43" s="39"/>
      <c r="BO43" s="39"/>
      <c r="BP43" s="39"/>
      <c r="BQ43" s="39"/>
    </row>
    <row r="44" spans="1:69">
      <c r="B44" s="4" t="s">
        <v>266</v>
      </c>
      <c r="J44" s="39">
        <v>4550</v>
      </c>
      <c r="K44" s="39">
        <v>1500</v>
      </c>
      <c r="L44" s="39">
        <v>0</v>
      </c>
      <c r="M44" s="39">
        <v>0</v>
      </c>
      <c r="N44" s="39">
        <v>1500</v>
      </c>
      <c r="O44" s="39">
        <v>1500</v>
      </c>
      <c r="P44" s="39">
        <f>Inputs!P32*Inputs!P55</f>
        <v>3000</v>
      </c>
      <c r="Q44" s="39">
        <v>0</v>
      </c>
      <c r="R44" s="39">
        <f>Inputs!R32*Inputs!R55</f>
        <v>0</v>
      </c>
      <c r="S44" s="39">
        <f>Inputs!S32*Inputs!S55</f>
        <v>0</v>
      </c>
      <c r="T44" s="39">
        <f>Inputs!T32*Inputs!T55</f>
        <v>0</v>
      </c>
      <c r="U44" s="39">
        <f>Inputs!U32*Inputs!U55</f>
        <v>0</v>
      </c>
      <c r="V44" s="39">
        <f>Inputs!V32*Inputs!V55</f>
        <v>0</v>
      </c>
      <c r="W44" s="39">
        <f>Inputs!W32*Inputs!W55</f>
        <v>1500</v>
      </c>
      <c r="X44" s="39">
        <f>Inputs!X32*Inputs!X55</f>
        <v>1500</v>
      </c>
      <c r="Y44" s="39">
        <f>Inputs!Y32*Inputs!Y55</f>
        <v>1500</v>
      </c>
      <c r="Z44" s="39">
        <f>Inputs!Z32*Inputs!Z55</f>
        <v>1500</v>
      </c>
      <c r="AA44" s="39">
        <f>Inputs!AA32*Inputs!AA55</f>
        <v>1500</v>
      </c>
      <c r="AB44" s="39">
        <f>Inputs!AB32*Inputs!AB55</f>
        <v>1500</v>
      </c>
      <c r="AC44" s="39">
        <f>Inputs!AC32*Inputs!AC55</f>
        <v>1500</v>
      </c>
      <c r="AD44" s="39">
        <f>Inputs!AD32*Inputs!AD55</f>
        <v>1500</v>
      </c>
      <c r="AE44" s="39">
        <f>Inputs!AE32*Inputs!AE55</f>
        <v>1500</v>
      </c>
      <c r="AF44" s="39">
        <f>Inputs!AF32*Inputs!AF55</f>
        <v>1500</v>
      </c>
      <c r="AG44" s="39">
        <f>Inputs!AG32*Inputs!AG55</f>
        <v>1500</v>
      </c>
      <c r="AH44" s="39">
        <f>Inputs!AH32*Inputs!AH55</f>
        <v>1980</v>
      </c>
      <c r="AI44" s="39">
        <f>Inputs!AI32*Inputs!AI55</f>
        <v>1980</v>
      </c>
      <c r="AJ44" s="39">
        <f>Inputs!AJ32*Inputs!AJ55</f>
        <v>1980</v>
      </c>
      <c r="AK44" s="39">
        <f>Inputs!AK32*Inputs!AK55</f>
        <v>1980</v>
      </c>
      <c r="AL44" s="39">
        <f>Inputs!AL32*Inputs!AL55</f>
        <v>1980</v>
      </c>
      <c r="AM44" s="39">
        <f>Inputs!AM32*Inputs!AM55</f>
        <v>1980</v>
      </c>
      <c r="AN44" s="39">
        <f>Inputs!AN32*Inputs!AN55</f>
        <v>1980</v>
      </c>
      <c r="AO44" s="39">
        <f>Inputs!AO32*Inputs!AO55</f>
        <v>1980</v>
      </c>
      <c r="AP44" s="39">
        <f>Inputs!AP32*Inputs!AP55</f>
        <v>1980</v>
      </c>
      <c r="AQ44" s="39">
        <f>Inputs!AQ32*Inputs!AQ55</f>
        <v>1980</v>
      </c>
      <c r="AR44" s="39">
        <f>Inputs!AR32*Inputs!AR55</f>
        <v>1980</v>
      </c>
      <c r="AS44" s="39">
        <f>Inputs!AS32*Inputs!AS55</f>
        <v>1980</v>
      </c>
      <c r="AT44" s="39">
        <f>Inputs!AT32*Inputs!AT55</f>
        <v>2601.5</v>
      </c>
      <c r="AU44" s="39">
        <f>Inputs!AU32*Inputs!AU55</f>
        <v>2601.5</v>
      </c>
      <c r="AV44" s="39">
        <f>Inputs!AV32*Inputs!AV55</f>
        <v>2601.5</v>
      </c>
      <c r="AW44" s="39">
        <f>Inputs!AW32*Inputs!AW55</f>
        <v>2601.5</v>
      </c>
      <c r="AX44" s="39">
        <f>Inputs!AX32*Inputs!AX55</f>
        <v>2601.5</v>
      </c>
      <c r="AY44" s="39">
        <f>Inputs!AY32*Inputs!AY55</f>
        <v>2601.5</v>
      </c>
      <c r="AZ44" s="39">
        <f>Inputs!AZ32*Inputs!AZ55</f>
        <v>2601.5</v>
      </c>
      <c r="BA44" s="39">
        <f>Inputs!BA32*Inputs!BA55</f>
        <v>2601.5</v>
      </c>
      <c r="BB44" s="39">
        <f>Inputs!BB32*Inputs!BB55</f>
        <v>2601.5</v>
      </c>
      <c r="BC44" s="39">
        <f>Inputs!BC32*Inputs!BC55</f>
        <v>2601.5</v>
      </c>
      <c r="BD44" s="39">
        <f>Inputs!BD32*Inputs!BD55</f>
        <v>2601.5</v>
      </c>
      <c r="BE44" s="39">
        <f>Inputs!BE32*Inputs!BE55</f>
        <v>2601.5</v>
      </c>
      <c r="BF44" s="39">
        <f>Inputs!BF32*Inputs!BF55</f>
        <v>3146</v>
      </c>
      <c r="BG44" s="39">
        <f>Inputs!BG32*Inputs!BG55</f>
        <v>3146</v>
      </c>
      <c r="BH44" s="39">
        <f>Inputs!BH32*Inputs!BH55</f>
        <v>3146</v>
      </c>
      <c r="BI44" s="39">
        <f>Inputs!BI32*Inputs!BI55</f>
        <v>3146</v>
      </c>
      <c r="BJ44" s="39">
        <f>Inputs!BJ32*Inputs!BJ55</f>
        <v>3146</v>
      </c>
      <c r="BK44" s="39">
        <f>Inputs!BK32*Inputs!BK55</f>
        <v>3146</v>
      </c>
      <c r="BL44" s="39">
        <f>Inputs!BL32*Inputs!BL55</f>
        <v>3146</v>
      </c>
      <c r="BM44" s="39">
        <f>Inputs!BM32*Inputs!BM55</f>
        <v>3146</v>
      </c>
      <c r="BN44" s="39">
        <f>Inputs!BN32*Inputs!BN55</f>
        <v>3146</v>
      </c>
      <c r="BO44" s="39">
        <f>Inputs!BO32*Inputs!BO55</f>
        <v>3146</v>
      </c>
      <c r="BP44" s="39">
        <f>Inputs!BP32*Inputs!BP55</f>
        <v>3146</v>
      </c>
      <c r="BQ44" s="39">
        <f>Inputs!BQ32*Inputs!BQ55</f>
        <v>3146</v>
      </c>
    </row>
    <row r="45" spans="1:69">
      <c r="B45" s="9"/>
      <c r="C45" s="9"/>
      <c r="D45" s="9"/>
      <c r="E45" s="9"/>
      <c r="F45" s="9"/>
      <c r="G45" s="9"/>
      <c r="H45" s="9"/>
      <c r="I45" s="9"/>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c r="BI45" s="42"/>
      <c r="BJ45" s="42"/>
      <c r="BK45" s="42"/>
      <c r="BL45" s="42"/>
      <c r="BM45" s="42"/>
      <c r="BN45" s="42"/>
      <c r="BO45" s="42"/>
      <c r="BP45" s="42"/>
      <c r="BQ45" s="42"/>
    </row>
    <row r="46" spans="1:69">
      <c r="B46" s="4" t="s">
        <v>6</v>
      </c>
      <c r="J46" s="39">
        <f t="shared" ref="J46:BE46" si="40">SUM(J44:J45)</f>
        <v>4550</v>
      </c>
      <c r="K46" s="39">
        <f t="shared" si="40"/>
        <v>1500</v>
      </c>
      <c r="L46" s="39">
        <f t="shared" si="40"/>
        <v>0</v>
      </c>
      <c r="M46" s="39">
        <f t="shared" si="40"/>
        <v>0</v>
      </c>
      <c r="N46" s="39">
        <f t="shared" si="40"/>
        <v>1500</v>
      </c>
      <c r="O46" s="39">
        <f t="shared" si="40"/>
        <v>1500</v>
      </c>
      <c r="P46" s="39">
        <f t="shared" si="40"/>
        <v>3000</v>
      </c>
      <c r="Q46" s="39">
        <f t="shared" si="40"/>
        <v>0</v>
      </c>
      <c r="R46" s="39">
        <f t="shared" si="40"/>
        <v>0</v>
      </c>
      <c r="S46" s="39">
        <f t="shared" si="40"/>
        <v>0</v>
      </c>
      <c r="T46" s="39">
        <f t="shared" si="40"/>
        <v>0</v>
      </c>
      <c r="U46" s="39">
        <f t="shared" si="40"/>
        <v>0</v>
      </c>
      <c r="V46" s="39">
        <f t="shared" si="40"/>
        <v>0</v>
      </c>
      <c r="W46" s="39">
        <f t="shared" si="40"/>
        <v>1500</v>
      </c>
      <c r="X46" s="39">
        <f t="shared" si="40"/>
        <v>1500</v>
      </c>
      <c r="Y46" s="39">
        <f t="shared" si="40"/>
        <v>1500</v>
      </c>
      <c r="Z46" s="39">
        <f t="shared" si="40"/>
        <v>1500</v>
      </c>
      <c r="AA46" s="39">
        <f t="shared" si="40"/>
        <v>1500</v>
      </c>
      <c r="AB46" s="39">
        <f t="shared" si="40"/>
        <v>1500</v>
      </c>
      <c r="AC46" s="39">
        <f t="shared" si="40"/>
        <v>1500</v>
      </c>
      <c r="AD46" s="39">
        <f t="shared" si="40"/>
        <v>1500</v>
      </c>
      <c r="AE46" s="39">
        <f t="shared" si="40"/>
        <v>1500</v>
      </c>
      <c r="AF46" s="39">
        <f t="shared" si="40"/>
        <v>1500</v>
      </c>
      <c r="AG46" s="39">
        <f t="shared" si="40"/>
        <v>1500</v>
      </c>
      <c r="AH46" s="39">
        <f t="shared" si="40"/>
        <v>1980</v>
      </c>
      <c r="AI46" s="39">
        <f t="shared" si="40"/>
        <v>1980</v>
      </c>
      <c r="AJ46" s="39">
        <f t="shared" si="40"/>
        <v>1980</v>
      </c>
      <c r="AK46" s="39">
        <f t="shared" si="40"/>
        <v>1980</v>
      </c>
      <c r="AL46" s="39">
        <f t="shared" si="40"/>
        <v>1980</v>
      </c>
      <c r="AM46" s="39">
        <f t="shared" si="40"/>
        <v>1980</v>
      </c>
      <c r="AN46" s="39">
        <f t="shared" si="40"/>
        <v>1980</v>
      </c>
      <c r="AO46" s="39">
        <f t="shared" si="40"/>
        <v>1980</v>
      </c>
      <c r="AP46" s="39">
        <f t="shared" si="40"/>
        <v>1980</v>
      </c>
      <c r="AQ46" s="39">
        <f t="shared" si="40"/>
        <v>1980</v>
      </c>
      <c r="AR46" s="39">
        <f t="shared" si="40"/>
        <v>1980</v>
      </c>
      <c r="AS46" s="39">
        <f t="shared" si="40"/>
        <v>1980</v>
      </c>
      <c r="AT46" s="39">
        <f t="shared" si="40"/>
        <v>2601.5</v>
      </c>
      <c r="AU46" s="39">
        <f t="shared" si="40"/>
        <v>2601.5</v>
      </c>
      <c r="AV46" s="39">
        <f t="shared" si="40"/>
        <v>2601.5</v>
      </c>
      <c r="AW46" s="39">
        <f t="shared" si="40"/>
        <v>2601.5</v>
      </c>
      <c r="AX46" s="39">
        <f t="shared" si="40"/>
        <v>2601.5</v>
      </c>
      <c r="AY46" s="39">
        <f t="shared" si="40"/>
        <v>2601.5</v>
      </c>
      <c r="AZ46" s="39">
        <f t="shared" si="40"/>
        <v>2601.5</v>
      </c>
      <c r="BA46" s="39">
        <f t="shared" si="40"/>
        <v>2601.5</v>
      </c>
      <c r="BB46" s="39">
        <f t="shared" si="40"/>
        <v>2601.5</v>
      </c>
      <c r="BC46" s="39">
        <f t="shared" si="40"/>
        <v>2601.5</v>
      </c>
      <c r="BD46" s="39">
        <f t="shared" si="40"/>
        <v>2601.5</v>
      </c>
      <c r="BE46" s="39">
        <f t="shared" si="40"/>
        <v>2601.5</v>
      </c>
      <c r="BF46" s="39">
        <f t="shared" ref="BF46:BQ46" si="41">SUM(BF44:BF45)</f>
        <v>3146</v>
      </c>
      <c r="BG46" s="39">
        <f t="shared" si="41"/>
        <v>3146</v>
      </c>
      <c r="BH46" s="39">
        <f t="shared" si="41"/>
        <v>3146</v>
      </c>
      <c r="BI46" s="39">
        <f t="shared" si="41"/>
        <v>3146</v>
      </c>
      <c r="BJ46" s="39">
        <f t="shared" si="41"/>
        <v>3146</v>
      </c>
      <c r="BK46" s="39">
        <f t="shared" si="41"/>
        <v>3146</v>
      </c>
      <c r="BL46" s="39">
        <f t="shared" si="41"/>
        <v>3146</v>
      </c>
      <c r="BM46" s="39">
        <f t="shared" si="41"/>
        <v>3146</v>
      </c>
      <c r="BN46" s="39">
        <f t="shared" si="41"/>
        <v>3146</v>
      </c>
      <c r="BO46" s="39">
        <f t="shared" si="41"/>
        <v>3146</v>
      </c>
      <c r="BP46" s="39">
        <f t="shared" si="41"/>
        <v>3146</v>
      </c>
      <c r="BQ46" s="39">
        <f t="shared" si="41"/>
        <v>3146</v>
      </c>
    </row>
    <row r="47" spans="1:6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row>
    <row r="48" spans="1:69">
      <c r="B48" s="4" t="s">
        <v>267</v>
      </c>
      <c r="J48" s="39">
        <f>Inputs!J56</f>
        <v>0</v>
      </c>
      <c r="K48" s="39">
        <f>Inputs!K56</f>
        <v>0</v>
      </c>
      <c r="L48" s="39">
        <f>Inputs!L56</f>
        <v>0</v>
      </c>
      <c r="M48" s="39">
        <f>Inputs!M56</f>
        <v>0</v>
      </c>
      <c r="N48" s="39">
        <f>Inputs!N56</f>
        <v>0</v>
      </c>
      <c r="O48" s="39">
        <v>1890</v>
      </c>
      <c r="P48" s="39">
        <v>12743</v>
      </c>
      <c r="Q48" s="39">
        <v>1450</v>
      </c>
      <c r="R48" s="39">
        <f>Inputs!R56</f>
        <v>0</v>
      </c>
      <c r="S48" s="39">
        <f>Inputs!S56</f>
        <v>0</v>
      </c>
      <c r="T48" s="39">
        <f>Inputs!T56</f>
        <v>0</v>
      </c>
      <c r="U48" s="39">
        <f>Inputs!U56</f>
        <v>0</v>
      </c>
      <c r="V48" s="39">
        <f>Inputs!V56</f>
        <v>0</v>
      </c>
      <c r="W48" s="39">
        <f>Inputs!W56</f>
        <v>0</v>
      </c>
      <c r="X48" s="39">
        <f>Inputs!X56</f>
        <v>0</v>
      </c>
      <c r="Y48" s="39">
        <f>Inputs!Y56</f>
        <v>0</v>
      </c>
      <c r="Z48" s="39">
        <f>Inputs!Z56</f>
        <v>0</v>
      </c>
      <c r="AA48" s="39">
        <f>Inputs!AA56</f>
        <v>0</v>
      </c>
      <c r="AB48" s="39">
        <f>Inputs!AB56</f>
        <v>0</v>
      </c>
      <c r="AC48" s="39">
        <f>Inputs!AC56</f>
        <v>0</v>
      </c>
      <c r="AD48" s="39">
        <f>Inputs!AD56</f>
        <v>0</v>
      </c>
      <c r="AE48" s="39">
        <f>Inputs!AE56</f>
        <v>0</v>
      </c>
      <c r="AF48" s="39">
        <f>Inputs!AF56</f>
        <v>0</v>
      </c>
      <c r="AG48" s="39">
        <f>Inputs!AG56</f>
        <v>0</v>
      </c>
      <c r="AH48" s="39">
        <f>Inputs!AH56</f>
        <v>0</v>
      </c>
      <c r="AI48" s="39">
        <f>Inputs!AI56</f>
        <v>0</v>
      </c>
      <c r="AJ48" s="39">
        <f>Inputs!AJ56</f>
        <v>0</v>
      </c>
      <c r="AK48" s="39">
        <f>Inputs!AK56</f>
        <v>0</v>
      </c>
      <c r="AL48" s="39">
        <f>Inputs!AL56</f>
        <v>0</v>
      </c>
      <c r="AM48" s="39">
        <f>Inputs!AM56</f>
        <v>0</v>
      </c>
      <c r="AN48" s="39">
        <f>Inputs!AN56</f>
        <v>0</v>
      </c>
      <c r="AO48" s="39">
        <f>Inputs!AO56</f>
        <v>0</v>
      </c>
      <c r="AP48" s="39">
        <f>Inputs!AP56</f>
        <v>0</v>
      </c>
      <c r="AQ48" s="39">
        <f>Inputs!AQ56</f>
        <v>0</v>
      </c>
      <c r="AR48" s="39">
        <f>Inputs!AR56</f>
        <v>0</v>
      </c>
      <c r="AS48" s="39">
        <f>Inputs!AS56</f>
        <v>0</v>
      </c>
      <c r="AT48" s="39">
        <f>Inputs!AT56</f>
        <v>0</v>
      </c>
      <c r="AU48" s="39">
        <f>Inputs!AU56</f>
        <v>0</v>
      </c>
      <c r="AV48" s="39">
        <f>Inputs!AV56</f>
        <v>0</v>
      </c>
      <c r="AW48" s="39">
        <f>Inputs!AW56</f>
        <v>0</v>
      </c>
      <c r="AX48" s="39">
        <f>Inputs!AX56</f>
        <v>0</v>
      </c>
      <c r="AY48" s="39">
        <f>Inputs!AY56</f>
        <v>0</v>
      </c>
      <c r="AZ48" s="39">
        <f>Inputs!AZ56</f>
        <v>0</v>
      </c>
      <c r="BA48" s="39">
        <f>Inputs!BA56</f>
        <v>0</v>
      </c>
      <c r="BB48" s="39">
        <f>Inputs!BB56</f>
        <v>0</v>
      </c>
      <c r="BC48" s="39">
        <f>Inputs!BC56</f>
        <v>0</v>
      </c>
      <c r="BD48" s="39">
        <f>Inputs!BD56</f>
        <v>0</v>
      </c>
      <c r="BE48" s="39">
        <f>Inputs!BE56</f>
        <v>0</v>
      </c>
      <c r="BF48" s="39">
        <f>Inputs!BF56</f>
        <v>0</v>
      </c>
      <c r="BG48" s="39">
        <f>Inputs!BG56</f>
        <v>0</v>
      </c>
      <c r="BH48" s="39">
        <f>Inputs!BH56</f>
        <v>0</v>
      </c>
      <c r="BI48" s="39">
        <f>Inputs!BI56</f>
        <v>0</v>
      </c>
      <c r="BJ48" s="39">
        <f>Inputs!BJ56</f>
        <v>0</v>
      </c>
      <c r="BK48" s="39">
        <f>Inputs!BK56</f>
        <v>0</v>
      </c>
      <c r="BL48" s="39">
        <f>Inputs!BL56</f>
        <v>0</v>
      </c>
      <c r="BM48" s="39">
        <f>Inputs!BM56</f>
        <v>0</v>
      </c>
      <c r="BN48" s="39">
        <f>Inputs!BN56</f>
        <v>0</v>
      </c>
      <c r="BO48" s="39">
        <f>Inputs!BO56</f>
        <v>0</v>
      </c>
      <c r="BP48" s="39">
        <f>Inputs!BP56</f>
        <v>0</v>
      </c>
      <c r="BQ48" s="39">
        <f>Inputs!BQ56</f>
        <v>0</v>
      </c>
    </row>
    <row r="49" spans="2:69">
      <c r="B49" s="9"/>
      <c r="C49" s="9"/>
      <c r="D49" s="9"/>
      <c r="E49" s="9"/>
      <c r="F49" s="9"/>
      <c r="G49" s="9"/>
      <c r="H49" s="9"/>
      <c r="I49" s="9"/>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row>
    <row r="50" spans="2:69">
      <c r="B50" s="4" t="s">
        <v>6</v>
      </c>
      <c r="J50" s="39">
        <f t="shared" ref="J50:BE50" si="42">SUM(J48:J49)</f>
        <v>0</v>
      </c>
      <c r="K50" s="39">
        <f t="shared" si="42"/>
        <v>0</v>
      </c>
      <c r="L50" s="39">
        <f t="shared" si="42"/>
        <v>0</v>
      </c>
      <c r="M50" s="39">
        <f t="shared" si="42"/>
        <v>0</v>
      </c>
      <c r="N50" s="39">
        <f t="shared" si="42"/>
        <v>0</v>
      </c>
      <c r="O50" s="39">
        <f t="shared" si="42"/>
        <v>1890</v>
      </c>
      <c r="P50" s="39">
        <f t="shared" si="42"/>
        <v>12743</v>
      </c>
      <c r="Q50" s="39">
        <f t="shared" si="42"/>
        <v>1450</v>
      </c>
      <c r="R50" s="39">
        <f t="shared" si="42"/>
        <v>0</v>
      </c>
      <c r="S50" s="39">
        <f t="shared" si="42"/>
        <v>0</v>
      </c>
      <c r="T50" s="39">
        <f t="shared" si="42"/>
        <v>0</v>
      </c>
      <c r="U50" s="39">
        <f t="shared" si="42"/>
        <v>0</v>
      </c>
      <c r="V50" s="39">
        <f t="shared" si="42"/>
        <v>0</v>
      </c>
      <c r="W50" s="39">
        <f t="shared" si="42"/>
        <v>0</v>
      </c>
      <c r="X50" s="39">
        <f t="shared" si="42"/>
        <v>0</v>
      </c>
      <c r="Y50" s="39">
        <f t="shared" si="42"/>
        <v>0</v>
      </c>
      <c r="Z50" s="39">
        <f t="shared" si="42"/>
        <v>0</v>
      </c>
      <c r="AA50" s="39">
        <f t="shared" si="42"/>
        <v>0</v>
      </c>
      <c r="AB50" s="39">
        <f t="shared" si="42"/>
        <v>0</v>
      </c>
      <c r="AC50" s="39">
        <f t="shared" si="42"/>
        <v>0</v>
      </c>
      <c r="AD50" s="39">
        <f t="shared" si="42"/>
        <v>0</v>
      </c>
      <c r="AE50" s="39">
        <f t="shared" si="42"/>
        <v>0</v>
      </c>
      <c r="AF50" s="39">
        <f t="shared" si="42"/>
        <v>0</v>
      </c>
      <c r="AG50" s="39">
        <f t="shared" si="42"/>
        <v>0</v>
      </c>
      <c r="AH50" s="39">
        <f t="shared" si="42"/>
        <v>0</v>
      </c>
      <c r="AI50" s="39">
        <f t="shared" si="42"/>
        <v>0</v>
      </c>
      <c r="AJ50" s="39">
        <f t="shared" si="42"/>
        <v>0</v>
      </c>
      <c r="AK50" s="39">
        <f t="shared" si="42"/>
        <v>0</v>
      </c>
      <c r="AL50" s="39">
        <f t="shared" si="42"/>
        <v>0</v>
      </c>
      <c r="AM50" s="39">
        <f t="shared" si="42"/>
        <v>0</v>
      </c>
      <c r="AN50" s="39">
        <f t="shared" si="42"/>
        <v>0</v>
      </c>
      <c r="AO50" s="39">
        <f t="shared" si="42"/>
        <v>0</v>
      </c>
      <c r="AP50" s="39">
        <f t="shared" si="42"/>
        <v>0</v>
      </c>
      <c r="AQ50" s="39">
        <f t="shared" si="42"/>
        <v>0</v>
      </c>
      <c r="AR50" s="39">
        <f t="shared" si="42"/>
        <v>0</v>
      </c>
      <c r="AS50" s="39">
        <f t="shared" si="42"/>
        <v>0</v>
      </c>
      <c r="AT50" s="39">
        <f t="shared" si="42"/>
        <v>0</v>
      </c>
      <c r="AU50" s="39">
        <f t="shared" si="42"/>
        <v>0</v>
      </c>
      <c r="AV50" s="39">
        <f t="shared" si="42"/>
        <v>0</v>
      </c>
      <c r="AW50" s="39">
        <f t="shared" si="42"/>
        <v>0</v>
      </c>
      <c r="AX50" s="39">
        <f t="shared" si="42"/>
        <v>0</v>
      </c>
      <c r="AY50" s="39">
        <f t="shared" si="42"/>
        <v>0</v>
      </c>
      <c r="AZ50" s="39">
        <f t="shared" si="42"/>
        <v>0</v>
      </c>
      <c r="BA50" s="39">
        <f t="shared" si="42"/>
        <v>0</v>
      </c>
      <c r="BB50" s="39">
        <f t="shared" si="42"/>
        <v>0</v>
      </c>
      <c r="BC50" s="39">
        <f t="shared" si="42"/>
        <v>0</v>
      </c>
      <c r="BD50" s="39">
        <f t="shared" si="42"/>
        <v>0</v>
      </c>
      <c r="BE50" s="39">
        <f t="shared" si="42"/>
        <v>0</v>
      </c>
      <c r="BF50" s="39">
        <f t="shared" ref="BF50:BQ50" si="43">SUM(BF48:BF49)</f>
        <v>0</v>
      </c>
      <c r="BG50" s="39">
        <f t="shared" si="43"/>
        <v>0</v>
      </c>
      <c r="BH50" s="39">
        <f t="shared" si="43"/>
        <v>0</v>
      </c>
      <c r="BI50" s="39">
        <f t="shared" si="43"/>
        <v>0</v>
      </c>
      <c r="BJ50" s="39">
        <f t="shared" si="43"/>
        <v>0</v>
      </c>
      <c r="BK50" s="39">
        <f t="shared" si="43"/>
        <v>0</v>
      </c>
      <c r="BL50" s="39">
        <f t="shared" si="43"/>
        <v>0</v>
      </c>
      <c r="BM50" s="39">
        <f t="shared" si="43"/>
        <v>0</v>
      </c>
      <c r="BN50" s="39">
        <f t="shared" si="43"/>
        <v>0</v>
      </c>
      <c r="BO50" s="39">
        <f t="shared" si="43"/>
        <v>0</v>
      </c>
      <c r="BP50" s="39">
        <f t="shared" si="43"/>
        <v>0</v>
      </c>
      <c r="BQ50" s="39">
        <f t="shared" si="43"/>
        <v>0</v>
      </c>
    </row>
    <row r="51" spans="2:6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row>
    <row r="52" spans="2:69">
      <c r="B52" s="4" t="s">
        <v>270</v>
      </c>
      <c r="J52" s="39">
        <f>Inputs!J36*Inputs!J68</f>
        <v>0</v>
      </c>
      <c r="K52" s="39">
        <f>Inputs!K36*Inputs!K68</f>
        <v>0</v>
      </c>
      <c r="L52" s="39">
        <f>Inputs!L36*Inputs!L68</f>
        <v>0</v>
      </c>
      <c r="M52" s="39">
        <f>Inputs!M36*Inputs!M68</f>
        <v>0</v>
      </c>
      <c r="N52" s="39">
        <f>Inputs!N36*Inputs!N68</f>
        <v>0</v>
      </c>
      <c r="O52" s="39">
        <f>Inputs!O36*Inputs!O68</f>
        <v>0</v>
      </c>
      <c r="P52" s="39">
        <f>Inputs!P36*Inputs!P68</f>
        <v>0</v>
      </c>
      <c r="Q52" s="39">
        <f>Inputs!Q36*Inputs!Q68</f>
        <v>0</v>
      </c>
      <c r="R52" s="39">
        <f>Inputs!R36*Inputs!R68</f>
        <v>0</v>
      </c>
      <c r="S52" s="39">
        <f>Inputs!S36*Inputs!S68</f>
        <v>0</v>
      </c>
      <c r="T52" s="39">
        <f>Inputs!T36*Inputs!T68</f>
        <v>3000</v>
      </c>
      <c r="U52" s="39">
        <f>Inputs!U36*Inputs!U68</f>
        <v>3000</v>
      </c>
      <c r="V52" s="39">
        <f>Inputs!V36*Inputs!V68</f>
        <v>3000</v>
      </c>
      <c r="W52" s="39">
        <f>Inputs!W36*Inputs!W68</f>
        <v>3000</v>
      </c>
      <c r="X52" s="39">
        <f>Inputs!X36*Inputs!X68</f>
        <v>3000</v>
      </c>
      <c r="Y52" s="39">
        <f>Inputs!Y36*Inputs!Y68</f>
        <v>3000</v>
      </c>
      <c r="Z52" s="39">
        <f>Inputs!Z36*Inputs!Z68</f>
        <v>3000</v>
      </c>
      <c r="AA52" s="39">
        <f>Inputs!AA36*Inputs!AA68</f>
        <v>3000</v>
      </c>
      <c r="AB52" s="39">
        <f>Inputs!AB36*Inputs!AB68</f>
        <v>3000</v>
      </c>
      <c r="AC52" s="39">
        <f>Inputs!AC36*Inputs!AC68</f>
        <v>3000</v>
      </c>
      <c r="AD52" s="39">
        <f>Inputs!AD36*Inputs!AD68</f>
        <v>3000</v>
      </c>
      <c r="AE52" s="39">
        <f>Inputs!AE36*Inputs!AE68</f>
        <v>3000</v>
      </c>
      <c r="AF52" s="39">
        <f>Inputs!AF36*Inputs!AF68</f>
        <v>3000</v>
      </c>
      <c r="AG52" s="39">
        <f>Inputs!AG36*Inputs!AG68</f>
        <v>3000</v>
      </c>
      <c r="AH52" s="39">
        <f>Inputs!AH36*Inputs!AH68</f>
        <v>3960</v>
      </c>
      <c r="AI52" s="39">
        <f>Inputs!AI36*Inputs!AI68</f>
        <v>3960</v>
      </c>
      <c r="AJ52" s="39">
        <f>Inputs!AJ36*Inputs!AJ68</f>
        <v>3960</v>
      </c>
      <c r="AK52" s="39">
        <f>Inputs!AK36*Inputs!AK68</f>
        <v>3960</v>
      </c>
      <c r="AL52" s="39">
        <f>Inputs!AL36*Inputs!AL68</f>
        <v>3960</v>
      </c>
      <c r="AM52" s="39">
        <f>Inputs!AM36*Inputs!AM68</f>
        <v>3960</v>
      </c>
      <c r="AN52" s="39">
        <f>Inputs!AN36*Inputs!AN68</f>
        <v>3960</v>
      </c>
      <c r="AO52" s="39">
        <f>Inputs!AO36*Inputs!AO68</f>
        <v>3960</v>
      </c>
      <c r="AP52" s="39">
        <f>Inputs!AP36*Inputs!AP68</f>
        <v>3960</v>
      </c>
      <c r="AQ52" s="39">
        <f>Inputs!AQ36*Inputs!AQ68</f>
        <v>3960</v>
      </c>
      <c r="AR52" s="39">
        <f>Inputs!AR36*Inputs!AR68</f>
        <v>3960</v>
      </c>
      <c r="AS52" s="39">
        <f>Inputs!AS36*Inputs!AS68</f>
        <v>3960</v>
      </c>
      <c r="AT52" s="39">
        <f>Inputs!AT36*Inputs!AT68</f>
        <v>5082</v>
      </c>
      <c r="AU52" s="39">
        <f>Inputs!AU36*Inputs!AU68</f>
        <v>5082</v>
      </c>
      <c r="AV52" s="39">
        <f>Inputs!AV36*Inputs!AV68</f>
        <v>5082</v>
      </c>
      <c r="AW52" s="39">
        <f>Inputs!AW36*Inputs!AW68</f>
        <v>5082</v>
      </c>
      <c r="AX52" s="39">
        <f>Inputs!AX36*Inputs!AX68</f>
        <v>5082</v>
      </c>
      <c r="AY52" s="39">
        <f>Inputs!AY36*Inputs!AY68</f>
        <v>5082</v>
      </c>
      <c r="AZ52" s="39">
        <f>Inputs!AZ36*Inputs!AZ68</f>
        <v>5082</v>
      </c>
      <c r="BA52" s="39">
        <f>Inputs!BA36*Inputs!BA68</f>
        <v>5082</v>
      </c>
      <c r="BB52" s="39">
        <f>Inputs!BB36*Inputs!BB68</f>
        <v>5082</v>
      </c>
      <c r="BC52" s="39">
        <f>Inputs!BC36*Inputs!BC68</f>
        <v>5082</v>
      </c>
      <c r="BD52" s="39">
        <f>Inputs!BD36*Inputs!BD68</f>
        <v>5082</v>
      </c>
      <c r="BE52" s="39">
        <f>Inputs!BE36*Inputs!BE68</f>
        <v>5082</v>
      </c>
      <c r="BF52" s="39">
        <f>Inputs!BF36*Inputs!BF68</f>
        <v>5808</v>
      </c>
      <c r="BG52" s="39">
        <f>Inputs!BG36*Inputs!BG68</f>
        <v>5808</v>
      </c>
      <c r="BH52" s="39">
        <f>Inputs!BH36*Inputs!BH68</f>
        <v>5808</v>
      </c>
      <c r="BI52" s="39">
        <f>Inputs!BI36*Inputs!BI68</f>
        <v>5808</v>
      </c>
      <c r="BJ52" s="39">
        <f>Inputs!BJ36*Inputs!BJ68</f>
        <v>5808</v>
      </c>
      <c r="BK52" s="39">
        <f>Inputs!BK36*Inputs!BK68</f>
        <v>5808</v>
      </c>
      <c r="BL52" s="39">
        <f>Inputs!BL36*Inputs!BL68</f>
        <v>5808</v>
      </c>
      <c r="BM52" s="39">
        <f>Inputs!BM36*Inputs!BM68</f>
        <v>5808</v>
      </c>
      <c r="BN52" s="39">
        <f>Inputs!BN36*Inputs!BN68</f>
        <v>5808</v>
      </c>
      <c r="BO52" s="39">
        <f>Inputs!BO36*Inputs!BO68</f>
        <v>5808</v>
      </c>
      <c r="BP52" s="39">
        <f>Inputs!BP36*Inputs!BP68</f>
        <v>5808</v>
      </c>
      <c r="BQ52" s="39">
        <f>Inputs!BQ36*Inputs!BQ68</f>
        <v>5808</v>
      </c>
    </row>
    <row r="53" spans="2:69">
      <c r="B53" s="9"/>
      <c r="C53" s="9"/>
      <c r="D53" s="9"/>
      <c r="E53" s="9"/>
      <c r="F53" s="9"/>
      <c r="G53" s="9"/>
      <c r="H53" s="9"/>
      <c r="I53" s="9"/>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row>
    <row r="54" spans="2:69">
      <c r="B54" s="4" t="s">
        <v>6</v>
      </c>
      <c r="J54" s="39">
        <f t="shared" ref="J54:BE54" si="44">SUM(J52:J53)</f>
        <v>0</v>
      </c>
      <c r="K54" s="39">
        <f t="shared" si="44"/>
        <v>0</v>
      </c>
      <c r="L54" s="39">
        <f t="shared" si="44"/>
        <v>0</v>
      </c>
      <c r="M54" s="39">
        <f t="shared" si="44"/>
        <v>0</v>
      </c>
      <c r="N54" s="39">
        <f t="shared" si="44"/>
        <v>0</v>
      </c>
      <c r="O54" s="39">
        <f t="shared" si="44"/>
        <v>0</v>
      </c>
      <c r="P54" s="39">
        <f t="shared" si="44"/>
        <v>0</v>
      </c>
      <c r="Q54" s="39">
        <f t="shared" si="44"/>
        <v>0</v>
      </c>
      <c r="R54" s="39">
        <f t="shared" si="44"/>
        <v>0</v>
      </c>
      <c r="S54" s="39">
        <f t="shared" si="44"/>
        <v>0</v>
      </c>
      <c r="T54" s="39">
        <f t="shared" si="44"/>
        <v>3000</v>
      </c>
      <c r="U54" s="39">
        <f t="shared" si="44"/>
        <v>3000</v>
      </c>
      <c r="V54" s="39">
        <f t="shared" si="44"/>
        <v>3000</v>
      </c>
      <c r="W54" s="39">
        <f t="shared" si="44"/>
        <v>3000</v>
      </c>
      <c r="X54" s="39">
        <f t="shared" si="44"/>
        <v>3000</v>
      </c>
      <c r="Y54" s="39">
        <f t="shared" si="44"/>
        <v>3000</v>
      </c>
      <c r="Z54" s="39">
        <f t="shared" si="44"/>
        <v>3000</v>
      </c>
      <c r="AA54" s="39">
        <f t="shared" si="44"/>
        <v>3000</v>
      </c>
      <c r="AB54" s="39">
        <f t="shared" si="44"/>
        <v>3000</v>
      </c>
      <c r="AC54" s="39">
        <f t="shared" si="44"/>
        <v>3000</v>
      </c>
      <c r="AD54" s="39">
        <f t="shared" si="44"/>
        <v>3000</v>
      </c>
      <c r="AE54" s="39">
        <f t="shared" si="44"/>
        <v>3000</v>
      </c>
      <c r="AF54" s="39">
        <f t="shared" si="44"/>
        <v>3000</v>
      </c>
      <c r="AG54" s="39">
        <f t="shared" si="44"/>
        <v>3000</v>
      </c>
      <c r="AH54" s="39">
        <f t="shared" si="44"/>
        <v>3960</v>
      </c>
      <c r="AI54" s="39">
        <f t="shared" si="44"/>
        <v>3960</v>
      </c>
      <c r="AJ54" s="39">
        <f t="shared" si="44"/>
        <v>3960</v>
      </c>
      <c r="AK54" s="39">
        <f t="shared" si="44"/>
        <v>3960</v>
      </c>
      <c r="AL54" s="39">
        <f t="shared" si="44"/>
        <v>3960</v>
      </c>
      <c r="AM54" s="39">
        <f t="shared" si="44"/>
        <v>3960</v>
      </c>
      <c r="AN54" s="39">
        <f t="shared" si="44"/>
        <v>3960</v>
      </c>
      <c r="AO54" s="39">
        <f t="shared" si="44"/>
        <v>3960</v>
      </c>
      <c r="AP54" s="39">
        <f t="shared" si="44"/>
        <v>3960</v>
      </c>
      <c r="AQ54" s="39">
        <f t="shared" si="44"/>
        <v>3960</v>
      </c>
      <c r="AR54" s="39">
        <f t="shared" si="44"/>
        <v>3960</v>
      </c>
      <c r="AS54" s="39">
        <f t="shared" si="44"/>
        <v>3960</v>
      </c>
      <c r="AT54" s="39">
        <f t="shared" si="44"/>
        <v>5082</v>
      </c>
      <c r="AU54" s="39">
        <f t="shared" si="44"/>
        <v>5082</v>
      </c>
      <c r="AV54" s="39">
        <f t="shared" si="44"/>
        <v>5082</v>
      </c>
      <c r="AW54" s="39">
        <f t="shared" si="44"/>
        <v>5082</v>
      </c>
      <c r="AX54" s="39">
        <f t="shared" si="44"/>
        <v>5082</v>
      </c>
      <c r="AY54" s="39">
        <f t="shared" si="44"/>
        <v>5082</v>
      </c>
      <c r="AZ54" s="39">
        <f t="shared" si="44"/>
        <v>5082</v>
      </c>
      <c r="BA54" s="39">
        <f t="shared" si="44"/>
        <v>5082</v>
      </c>
      <c r="BB54" s="39">
        <f t="shared" si="44"/>
        <v>5082</v>
      </c>
      <c r="BC54" s="39">
        <f t="shared" si="44"/>
        <v>5082</v>
      </c>
      <c r="BD54" s="39">
        <f t="shared" si="44"/>
        <v>5082</v>
      </c>
      <c r="BE54" s="39">
        <f t="shared" si="44"/>
        <v>5082</v>
      </c>
      <c r="BF54" s="39">
        <f t="shared" ref="BF54:BQ54" si="45">SUM(BF52:BF53)</f>
        <v>5808</v>
      </c>
      <c r="BG54" s="39">
        <f t="shared" si="45"/>
        <v>5808</v>
      </c>
      <c r="BH54" s="39">
        <f t="shared" si="45"/>
        <v>5808</v>
      </c>
      <c r="BI54" s="39">
        <f t="shared" si="45"/>
        <v>5808</v>
      </c>
      <c r="BJ54" s="39">
        <f t="shared" si="45"/>
        <v>5808</v>
      </c>
      <c r="BK54" s="39">
        <f t="shared" si="45"/>
        <v>5808</v>
      </c>
      <c r="BL54" s="39">
        <f t="shared" si="45"/>
        <v>5808</v>
      </c>
      <c r="BM54" s="39">
        <f t="shared" si="45"/>
        <v>5808</v>
      </c>
      <c r="BN54" s="39">
        <f t="shared" si="45"/>
        <v>5808</v>
      </c>
      <c r="BO54" s="39">
        <f t="shared" si="45"/>
        <v>5808</v>
      </c>
      <c r="BP54" s="39">
        <f t="shared" si="45"/>
        <v>5808</v>
      </c>
      <c r="BQ54" s="39">
        <f t="shared" si="45"/>
        <v>5808</v>
      </c>
    </row>
    <row r="55" spans="2:6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row>
    <row r="56" spans="2:69">
      <c r="B56" s="4" t="s">
        <v>274</v>
      </c>
      <c r="J56" s="39">
        <f>Inputs!J40*Inputs!J75</f>
        <v>0</v>
      </c>
      <c r="K56" s="39">
        <f>Inputs!K40*Inputs!K75</f>
        <v>0</v>
      </c>
      <c r="L56" s="39">
        <f>Inputs!L40*Inputs!L75</f>
        <v>0</v>
      </c>
      <c r="M56" s="39">
        <f>Inputs!M40*Inputs!M75</f>
        <v>0</v>
      </c>
      <c r="N56" s="39">
        <f>Inputs!N40*Inputs!N75</f>
        <v>0</v>
      </c>
      <c r="O56" s="39">
        <f>Inputs!O40*Inputs!O75</f>
        <v>0</v>
      </c>
      <c r="P56" s="39">
        <f>Inputs!P40*Inputs!P75</f>
        <v>0</v>
      </c>
      <c r="Q56" s="39">
        <f>Inputs!Q40*Inputs!Q75</f>
        <v>0</v>
      </c>
      <c r="R56" s="39">
        <f>Inputs!R40*Inputs!R75</f>
        <v>0</v>
      </c>
      <c r="S56" s="39">
        <f>Inputs!S40*Inputs!S75</f>
        <v>600</v>
      </c>
      <c r="T56" s="39">
        <f>Inputs!T40*Inputs!T75</f>
        <v>3000</v>
      </c>
      <c r="U56" s="39">
        <f>Inputs!U40*Inputs!U75</f>
        <v>3000</v>
      </c>
      <c r="V56" s="39">
        <f>Inputs!V40*Inputs!V75</f>
        <v>3000</v>
      </c>
      <c r="W56" s="39">
        <f>Inputs!W40*Inputs!W75</f>
        <v>6000</v>
      </c>
      <c r="X56" s="39">
        <f>Inputs!X40*Inputs!X75</f>
        <v>6000</v>
      </c>
      <c r="Y56" s="39">
        <f>Inputs!Y40*Inputs!Y75</f>
        <v>6000</v>
      </c>
      <c r="Z56" s="39">
        <f>Inputs!Z40*Inputs!Z75</f>
        <v>6000</v>
      </c>
      <c r="AA56" s="39">
        <f>Inputs!AA40*Inputs!AA75</f>
        <v>6000</v>
      </c>
      <c r="AB56" s="39">
        <f>Inputs!AB40*Inputs!AB75</f>
        <v>6000</v>
      </c>
      <c r="AC56" s="39">
        <f>Inputs!AC40*Inputs!AC75</f>
        <v>6000</v>
      </c>
      <c r="AD56" s="39">
        <f>Inputs!AD40*Inputs!AD75</f>
        <v>6000</v>
      </c>
      <c r="AE56" s="39">
        <f>Inputs!AE40*Inputs!AE75</f>
        <v>6000</v>
      </c>
      <c r="AF56" s="39">
        <f>Inputs!AF40*Inputs!AF75</f>
        <v>6000</v>
      </c>
      <c r="AG56" s="39">
        <f>Inputs!AG40*Inputs!AG75</f>
        <v>6000</v>
      </c>
      <c r="AH56" s="39">
        <f>Inputs!AH40*Inputs!AH75</f>
        <v>7920</v>
      </c>
      <c r="AI56" s="39">
        <f>Inputs!AI40*Inputs!AI75</f>
        <v>7920</v>
      </c>
      <c r="AJ56" s="39">
        <f>Inputs!AJ40*Inputs!AJ75</f>
        <v>7920</v>
      </c>
      <c r="AK56" s="39">
        <f>Inputs!AK40*Inputs!AK75</f>
        <v>7920</v>
      </c>
      <c r="AL56" s="39">
        <f>Inputs!AL40*Inputs!AL75</f>
        <v>7920</v>
      </c>
      <c r="AM56" s="39">
        <f>Inputs!AM40*Inputs!AM75</f>
        <v>7920</v>
      </c>
      <c r="AN56" s="39">
        <f>Inputs!AN40*Inputs!AN75</f>
        <v>7920</v>
      </c>
      <c r="AO56" s="39">
        <f>Inputs!AO40*Inputs!AO75</f>
        <v>7920</v>
      </c>
      <c r="AP56" s="39">
        <f>Inputs!AP40*Inputs!AP75</f>
        <v>7920</v>
      </c>
      <c r="AQ56" s="39">
        <f>Inputs!AQ40*Inputs!AQ75</f>
        <v>7920</v>
      </c>
      <c r="AR56" s="39">
        <f>Inputs!AR40*Inputs!AR75</f>
        <v>7920</v>
      </c>
      <c r="AS56" s="39">
        <f>Inputs!AS40*Inputs!AS75</f>
        <v>7920</v>
      </c>
      <c r="AT56" s="39">
        <f>Inputs!AT40*Inputs!AT75</f>
        <v>10164</v>
      </c>
      <c r="AU56" s="39">
        <f>Inputs!AU40*Inputs!AU75</f>
        <v>10164</v>
      </c>
      <c r="AV56" s="39">
        <f>Inputs!AV40*Inputs!AV75</f>
        <v>10164</v>
      </c>
      <c r="AW56" s="39">
        <f>Inputs!AW40*Inputs!AW75</f>
        <v>10164</v>
      </c>
      <c r="AX56" s="39">
        <f>Inputs!AX40*Inputs!AX75</f>
        <v>10164</v>
      </c>
      <c r="AY56" s="39">
        <f>Inputs!AY40*Inputs!AY75</f>
        <v>10164</v>
      </c>
      <c r="AZ56" s="39">
        <f>Inputs!AZ40*Inputs!AZ75</f>
        <v>10164</v>
      </c>
      <c r="BA56" s="39">
        <f>Inputs!BA40*Inputs!BA75</f>
        <v>10164</v>
      </c>
      <c r="BB56" s="39">
        <f>Inputs!BB40*Inputs!BB75</f>
        <v>10164</v>
      </c>
      <c r="BC56" s="39">
        <f>Inputs!BC40*Inputs!BC75</f>
        <v>10164</v>
      </c>
      <c r="BD56" s="39">
        <f>Inputs!BD40*Inputs!BD75</f>
        <v>10164</v>
      </c>
      <c r="BE56" s="39">
        <f>Inputs!BE40*Inputs!BE75</f>
        <v>10164</v>
      </c>
      <c r="BF56" s="39">
        <f>Inputs!BF40*Inputs!BF75</f>
        <v>11616</v>
      </c>
      <c r="BG56" s="39">
        <f>Inputs!BG40*Inputs!BG75</f>
        <v>11616</v>
      </c>
      <c r="BH56" s="39">
        <f>Inputs!BH40*Inputs!BH75</f>
        <v>11616</v>
      </c>
      <c r="BI56" s="39">
        <f>Inputs!BI40*Inputs!BI75</f>
        <v>11616</v>
      </c>
      <c r="BJ56" s="39">
        <f>Inputs!BJ40*Inputs!BJ75</f>
        <v>11616</v>
      </c>
      <c r="BK56" s="39">
        <f>Inputs!BK40*Inputs!BK75</f>
        <v>11616</v>
      </c>
      <c r="BL56" s="39">
        <f>Inputs!BL40*Inputs!BL75</f>
        <v>11616</v>
      </c>
      <c r="BM56" s="39">
        <f>Inputs!BM40*Inputs!BM75</f>
        <v>11616</v>
      </c>
      <c r="BN56" s="39">
        <f>Inputs!BN40*Inputs!BN75</f>
        <v>11616</v>
      </c>
      <c r="BO56" s="39">
        <f>Inputs!BO40*Inputs!BO75</f>
        <v>11616</v>
      </c>
      <c r="BP56" s="39">
        <f>Inputs!BP40*Inputs!BP75</f>
        <v>11616</v>
      </c>
      <c r="BQ56" s="39">
        <f>Inputs!BQ40*Inputs!BQ75</f>
        <v>11616</v>
      </c>
    </row>
    <row r="57" spans="2:69">
      <c r="B57" s="9"/>
      <c r="C57" s="9"/>
      <c r="D57" s="9"/>
      <c r="E57" s="9"/>
      <c r="F57" s="9"/>
      <c r="G57" s="9"/>
      <c r="H57" s="9"/>
      <c r="I57" s="9"/>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42"/>
      <c r="BE57" s="42"/>
      <c r="BF57" s="42"/>
      <c r="BG57" s="42"/>
      <c r="BH57" s="42"/>
      <c r="BI57" s="42"/>
      <c r="BJ57" s="42"/>
      <c r="BK57" s="42"/>
      <c r="BL57" s="42"/>
      <c r="BM57" s="42"/>
      <c r="BN57" s="42"/>
      <c r="BO57" s="42"/>
      <c r="BP57" s="42"/>
      <c r="BQ57" s="42"/>
    </row>
    <row r="58" spans="2:69">
      <c r="B58" s="4" t="s">
        <v>6</v>
      </c>
      <c r="J58" s="39">
        <f t="shared" ref="J58:BE58" si="46">SUM(J56:J57)</f>
        <v>0</v>
      </c>
      <c r="K58" s="39">
        <f t="shared" si="46"/>
        <v>0</v>
      </c>
      <c r="L58" s="39">
        <f t="shared" si="46"/>
        <v>0</v>
      </c>
      <c r="M58" s="39">
        <f t="shared" si="46"/>
        <v>0</v>
      </c>
      <c r="N58" s="39">
        <f t="shared" si="46"/>
        <v>0</v>
      </c>
      <c r="O58" s="39">
        <f t="shared" si="46"/>
        <v>0</v>
      </c>
      <c r="P58" s="39">
        <f t="shared" si="46"/>
        <v>0</v>
      </c>
      <c r="Q58" s="39">
        <f t="shared" si="46"/>
        <v>0</v>
      </c>
      <c r="R58" s="39">
        <f t="shared" si="46"/>
        <v>0</v>
      </c>
      <c r="S58" s="39">
        <f t="shared" si="46"/>
        <v>600</v>
      </c>
      <c r="T58" s="39">
        <f t="shared" si="46"/>
        <v>3000</v>
      </c>
      <c r="U58" s="39">
        <f t="shared" si="46"/>
        <v>3000</v>
      </c>
      <c r="V58" s="39">
        <f t="shared" si="46"/>
        <v>3000</v>
      </c>
      <c r="W58" s="39">
        <f t="shared" si="46"/>
        <v>6000</v>
      </c>
      <c r="X58" s="39">
        <f t="shared" si="46"/>
        <v>6000</v>
      </c>
      <c r="Y58" s="39">
        <f t="shared" si="46"/>
        <v>6000</v>
      </c>
      <c r="Z58" s="39">
        <f t="shared" si="46"/>
        <v>6000</v>
      </c>
      <c r="AA58" s="39">
        <f t="shared" si="46"/>
        <v>6000</v>
      </c>
      <c r="AB58" s="39">
        <f t="shared" si="46"/>
        <v>6000</v>
      </c>
      <c r="AC58" s="39">
        <f t="shared" si="46"/>
        <v>6000</v>
      </c>
      <c r="AD58" s="39">
        <f t="shared" si="46"/>
        <v>6000</v>
      </c>
      <c r="AE58" s="39">
        <f t="shared" si="46"/>
        <v>6000</v>
      </c>
      <c r="AF58" s="39">
        <f t="shared" si="46"/>
        <v>6000</v>
      </c>
      <c r="AG58" s="39">
        <f t="shared" si="46"/>
        <v>6000</v>
      </c>
      <c r="AH58" s="39">
        <f t="shared" si="46"/>
        <v>7920</v>
      </c>
      <c r="AI58" s="39">
        <f t="shared" si="46"/>
        <v>7920</v>
      </c>
      <c r="AJ58" s="39">
        <f t="shared" si="46"/>
        <v>7920</v>
      </c>
      <c r="AK58" s="39">
        <f t="shared" si="46"/>
        <v>7920</v>
      </c>
      <c r="AL58" s="39">
        <f t="shared" si="46"/>
        <v>7920</v>
      </c>
      <c r="AM58" s="39">
        <f t="shared" si="46"/>
        <v>7920</v>
      </c>
      <c r="AN58" s="39">
        <f t="shared" si="46"/>
        <v>7920</v>
      </c>
      <c r="AO58" s="39">
        <f t="shared" si="46"/>
        <v>7920</v>
      </c>
      <c r="AP58" s="39">
        <f t="shared" si="46"/>
        <v>7920</v>
      </c>
      <c r="AQ58" s="39">
        <f t="shared" si="46"/>
        <v>7920</v>
      </c>
      <c r="AR58" s="39">
        <f t="shared" si="46"/>
        <v>7920</v>
      </c>
      <c r="AS58" s="39">
        <f t="shared" si="46"/>
        <v>7920</v>
      </c>
      <c r="AT58" s="39">
        <f t="shared" si="46"/>
        <v>10164</v>
      </c>
      <c r="AU58" s="39">
        <f t="shared" si="46"/>
        <v>10164</v>
      </c>
      <c r="AV58" s="39">
        <f t="shared" si="46"/>
        <v>10164</v>
      </c>
      <c r="AW58" s="39">
        <f t="shared" si="46"/>
        <v>10164</v>
      </c>
      <c r="AX58" s="39">
        <f t="shared" si="46"/>
        <v>10164</v>
      </c>
      <c r="AY58" s="39">
        <f t="shared" si="46"/>
        <v>10164</v>
      </c>
      <c r="AZ58" s="39">
        <f t="shared" si="46"/>
        <v>10164</v>
      </c>
      <c r="BA58" s="39">
        <f t="shared" si="46"/>
        <v>10164</v>
      </c>
      <c r="BB58" s="39">
        <f t="shared" si="46"/>
        <v>10164</v>
      </c>
      <c r="BC58" s="39">
        <f t="shared" si="46"/>
        <v>10164</v>
      </c>
      <c r="BD58" s="39">
        <f t="shared" si="46"/>
        <v>10164</v>
      </c>
      <c r="BE58" s="39">
        <f t="shared" si="46"/>
        <v>10164</v>
      </c>
      <c r="BF58" s="39">
        <f t="shared" ref="BF58:BQ58" si="47">SUM(BF56:BF57)</f>
        <v>11616</v>
      </c>
      <c r="BG58" s="39">
        <f t="shared" si="47"/>
        <v>11616</v>
      </c>
      <c r="BH58" s="39">
        <f t="shared" si="47"/>
        <v>11616</v>
      </c>
      <c r="BI58" s="39">
        <f t="shared" si="47"/>
        <v>11616</v>
      </c>
      <c r="BJ58" s="39">
        <f t="shared" si="47"/>
        <v>11616</v>
      </c>
      <c r="BK58" s="39">
        <f t="shared" si="47"/>
        <v>11616</v>
      </c>
      <c r="BL58" s="39">
        <f t="shared" si="47"/>
        <v>11616</v>
      </c>
      <c r="BM58" s="39">
        <f t="shared" si="47"/>
        <v>11616</v>
      </c>
      <c r="BN58" s="39">
        <f t="shared" si="47"/>
        <v>11616</v>
      </c>
      <c r="BO58" s="39">
        <f t="shared" si="47"/>
        <v>11616</v>
      </c>
      <c r="BP58" s="39">
        <f t="shared" si="47"/>
        <v>11616</v>
      </c>
      <c r="BQ58" s="39">
        <f t="shared" si="47"/>
        <v>11616</v>
      </c>
    </row>
    <row r="59" spans="2:6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39"/>
      <c r="AY59" s="39"/>
      <c r="AZ59" s="39"/>
      <c r="BA59" s="39"/>
      <c r="BB59" s="39"/>
      <c r="BC59" s="39"/>
      <c r="BD59" s="39"/>
      <c r="BE59" s="39"/>
      <c r="BF59" s="39"/>
      <c r="BG59" s="39"/>
      <c r="BH59" s="39"/>
      <c r="BI59" s="39"/>
      <c r="BJ59" s="39"/>
      <c r="BK59" s="39"/>
      <c r="BL59" s="39"/>
      <c r="BM59" s="39"/>
      <c r="BN59" s="39"/>
      <c r="BO59" s="39"/>
      <c r="BP59" s="39"/>
      <c r="BQ59" s="39"/>
    </row>
    <row r="60" spans="2:6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row>
    <row r="61" spans="2:6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row>
    <row r="62" spans="2:6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39"/>
      <c r="BK62" s="39"/>
      <c r="BL62" s="39"/>
      <c r="BM62" s="39"/>
      <c r="BN62" s="39"/>
      <c r="BO62" s="39"/>
      <c r="BP62" s="39"/>
      <c r="BQ62" s="39"/>
    </row>
    <row r="63" spans="2:69">
      <c r="B63" s="3" t="s">
        <v>50</v>
      </c>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39"/>
      <c r="AY63" s="39"/>
      <c r="AZ63" s="39"/>
      <c r="BA63" s="39"/>
      <c r="BB63" s="39"/>
      <c r="BC63" s="39"/>
      <c r="BD63" s="39"/>
      <c r="BE63" s="39"/>
      <c r="BF63" s="39"/>
      <c r="BG63" s="39"/>
      <c r="BH63" s="39"/>
      <c r="BI63" s="39"/>
      <c r="BJ63" s="39"/>
      <c r="BK63" s="39"/>
      <c r="BL63" s="39"/>
      <c r="BM63" s="39"/>
      <c r="BN63" s="39"/>
      <c r="BO63" s="39"/>
      <c r="BP63" s="39"/>
      <c r="BQ63" s="39"/>
    </row>
    <row r="64" spans="2:69">
      <c r="B64" s="4" t="s">
        <v>259</v>
      </c>
      <c r="J64" s="39">
        <v>0</v>
      </c>
      <c r="K64" s="39">
        <v>6750</v>
      </c>
      <c r="L64" s="39">
        <v>9000</v>
      </c>
      <c r="M64" s="39">
        <v>12750</v>
      </c>
      <c r="N64" s="39">
        <v>13500</v>
      </c>
      <c r="O64" s="39">
        <v>13500</v>
      </c>
      <c r="P64" s="39">
        <v>16275</v>
      </c>
      <c r="Q64" s="39">
        <v>17175</v>
      </c>
      <c r="R64" s="39">
        <f>Inputs!Q33*Inputs!R59</f>
        <v>22500</v>
      </c>
      <c r="S64" s="39">
        <f>Inputs!R33*Inputs!S59</f>
        <v>22500</v>
      </c>
      <c r="T64" s="39">
        <f>Inputs!S33*Inputs!T59</f>
        <v>22500</v>
      </c>
      <c r="U64" s="39">
        <f>Inputs!T33*Inputs!U59</f>
        <v>22500</v>
      </c>
      <c r="V64" s="39">
        <f>Inputs!U33*Inputs!V59</f>
        <v>22500</v>
      </c>
      <c r="W64" s="39">
        <f>Inputs!V33*Inputs!W59</f>
        <v>22500</v>
      </c>
      <c r="X64" s="39">
        <f>Inputs!W33*Inputs!X59</f>
        <v>24750</v>
      </c>
      <c r="Y64" s="39">
        <f>Inputs!X33*Inputs!Y59</f>
        <v>27000</v>
      </c>
      <c r="Z64" s="39">
        <f>Inputs!Y33*Inputs!Z59</f>
        <v>29250</v>
      </c>
      <c r="AA64" s="39">
        <f>Inputs!Z33*Inputs!AA59</f>
        <v>31500</v>
      </c>
      <c r="AB64" s="39">
        <f>Inputs!AA33*Inputs!AB59</f>
        <v>33750</v>
      </c>
      <c r="AC64" s="39">
        <f>Inputs!AB33*Inputs!AC59</f>
        <v>36000</v>
      </c>
      <c r="AD64" s="39">
        <f>Inputs!AC33*Inputs!AD59</f>
        <v>38250</v>
      </c>
      <c r="AE64" s="39">
        <f>Inputs!AD33*Inputs!AE59</f>
        <v>40500</v>
      </c>
      <c r="AF64" s="39">
        <f>Inputs!AE33*Inputs!AF59</f>
        <v>42750</v>
      </c>
      <c r="AG64" s="39">
        <f>Inputs!AF33*Inputs!AG59</f>
        <v>45000</v>
      </c>
      <c r="AH64" s="39">
        <f>Inputs!AG33*Inputs!AH59</f>
        <v>51975</v>
      </c>
      <c r="AI64" s="39">
        <f>Inputs!AH33*Inputs!AI59</f>
        <v>54945</v>
      </c>
      <c r="AJ64" s="39">
        <f>Inputs!AI33*Inputs!AJ59</f>
        <v>57915</v>
      </c>
      <c r="AK64" s="39">
        <f>Inputs!AJ33*Inputs!AK59</f>
        <v>60885</v>
      </c>
      <c r="AL64" s="39">
        <f>Inputs!AK33*Inputs!AL59</f>
        <v>63855</v>
      </c>
      <c r="AM64" s="39">
        <f>Inputs!AL33*Inputs!AM59</f>
        <v>66825</v>
      </c>
      <c r="AN64" s="39">
        <f>Inputs!AM33*Inputs!AN59</f>
        <v>69795</v>
      </c>
      <c r="AO64" s="39">
        <f>Inputs!AN33*Inputs!AO59</f>
        <v>72765</v>
      </c>
      <c r="AP64" s="39">
        <f>Inputs!AO33*Inputs!AP59</f>
        <v>75735</v>
      </c>
      <c r="AQ64" s="39">
        <f>Inputs!AP33*Inputs!AQ59</f>
        <v>78705</v>
      </c>
      <c r="AR64" s="39">
        <f>Inputs!AQ33*Inputs!AR59</f>
        <v>81675</v>
      </c>
      <c r="AS64" s="39">
        <f>Inputs!AR33*Inputs!AS59</f>
        <v>84645</v>
      </c>
      <c r="AT64" s="39">
        <f>Inputs!AS33*Inputs!AT59</f>
        <v>96376.5</v>
      </c>
      <c r="AU64" s="39">
        <f>Inputs!AT33*Inputs!AU59</f>
        <v>100278.75</v>
      </c>
      <c r="AV64" s="39">
        <f>Inputs!AU33*Inputs!AV59</f>
        <v>104181</v>
      </c>
      <c r="AW64" s="39">
        <f>Inputs!AV33*Inputs!AW59</f>
        <v>108083.25</v>
      </c>
      <c r="AX64" s="39">
        <f>Inputs!AW33*Inputs!AX59</f>
        <v>111985.5</v>
      </c>
      <c r="AY64" s="39">
        <f>Inputs!AX33*Inputs!AY59</f>
        <v>115887.75</v>
      </c>
      <c r="AZ64" s="39">
        <f>Inputs!AY33*Inputs!AZ59</f>
        <v>119790</v>
      </c>
      <c r="BA64" s="39">
        <f>Inputs!AZ33*Inputs!BA59</f>
        <v>123692.25</v>
      </c>
      <c r="BB64" s="39">
        <f>Inputs!BA33*Inputs!BB59</f>
        <v>127594.5</v>
      </c>
      <c r="BC64" s="39">
        <f>Inputs!BB33*Inputs!BC59</f>
        <v>131496.75</v>
      </c>
      <c r="BD64" s="39">
        <f>Inputs!BC33*Inputs!BD59</f>
        <v>135399</v>
      </c>
      <c r="BE64" s="39">
        <f>Inputs!BD33*Inputs!BE59</f>
        <v>139301.25</v>
      </c>
      <c r="BF64" s="39">
        <f>Inputs!BE33*Inputs!BF59</f>
        <v>143203.5</v>
      </c>
      <c r="BG64" s="39">
        <f>Inputs!BF33*Inputs!BG59</f>
        <v>147922.5</v>
      </c>
      <c r="BH64" s="39">
        <f>Inputs!BG33*Inputs!BH59</f>
        <v>152641.5</v>
      </c>
      <c r="BI64" s="39">
        <f>Inputs!BH33*Inputs!BI59</f>
        <v>157360.5</v>
      </c>
      <c r="BJ64" s="39">
        <f>Inputs!BI33*Inputs!BJ59</f>
        <v>162079.5</v>
      </c>
      <c r="BK64" s="39">
        <f>Inputs!BJ33*Inputs!BK59</f>
        <v>166798.5</v>
      </c>
      <c r="BL64" s="39">
        <f>Inputs!BK33*Inputs!BL59</f>
        <v>171517.5</v>
      </c>
      <c r="BM64" s="39">
        <f>Inputs!BL33*Inputs!BM59</f>
        <v>176236.5</v>
      </c>
      <c r="BN64" s="39">
        <f>Inputs!BM33*Inputs!BN59</f>
        <v>180955.5</v>
      </c>
      <c r="BO64" s="39">
        <f>Inputs!BN33*Inputs!BO59</f>
        <v>185674.5</v>
      </c>
      <c r="BP64" s="39">
        <f>Inputs!BO33*Inputs!BP59</f>
        <v>190393.5</v>
      </c>
      <c r="BQ64" s="39">
        <f>Inputs!BP33*Inputs!BQ59</f>
        <v>195112.5</v>
      </c>
    </row>
    <row r="65" spans="2:69">
      <c r="B65" s="9"/>
      <c r="C65" s="9"/>
      <c r="D65" s="9"/>
      <c r="E65" s="9"/>
      <c r="F65" s="9"/>
      <c r="G65" s="9"/>
      <c r="H65" s="9"/>
      <c r="I65" s="9"/>
      <c r="J65" s="42"/>
      <c r="K65" s="42"/>
      <c r="L65" s="42"/>
      <c r="M65" s="42"/>
      <c r="N65" s="42"/>
      <c r="O65" s="42"/>
      <c r="P65" s="42"/>
      <c r="Q65" s="42"/>
      <c r="R65" s="42"/>
      <c r="S65" s="42"/>
      <c r="T65" s="42"/>
      <c r="U65" s="42"/>
      <c r="V65" s="42"/>
      <c r="W65" s="42"/>
      <c r="X65" s="42"/>
      <c r="Y65" s="42"/>
      <c r="Z65" s="42"/>
      <c r="AA65" s="42"/>
      <c r="AB65" s="42"/>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42"/>
      <c r="BE65" s="42"/>
      <c r="BF65" s="42"/>
      <c r="BG65" s="42"/>
      <c r="BH65" s="42"/>
      <c r="BI65" s="42"/>
      <c r="BJ65" s="42"/>
      <c r="BK65" s="42"/>
      <c r="BL65" s="42"/>
      <c r="BM65" s="42"/>
      <c r="BN65" s="42"/>
      <c r="BO65" s="42"/>
      <c r="BP65" s="42"/>
      <c r="BQ65" s="42"/>
    </row>
    <row r="66" spans="2:69">
      <c r="B66" s="4" t="s">
        <v>6</v>
      </c>
      <c r="J66" s="39">
        <f t="shared" ref="J66:BE66" si="48">SUM(J64:J65)</f>
        <v>0</v>
      </c>
      <c r="K66" s="39">
        <f t="shared" si="48"/>
        <v>6750</v>
      </c>
      <c r="L66" s="39">
        <f t="shared" si="48"/>
        <v>9000</v>
      </c>
      <c r="M66" s="39">
        <f t="shared" si="48"/>
        <v>12750</v>
      </c>
      <c r="N66" s="39">
        <f t="shared" si="48"/>
        <v>13500</v>
      </c>
      <c r="O66" s="39">
        <f t="shared" si="48"/>
        <v>13500</v>
      </c>
      <c r="P66" s="39">
        <f t="shared" si="48"/>
        <v>16275</v>
      </c>
      <c r="Q66" s="39">
        <f t="shared" si="48"/>
        <v>17175</v>
      </c>
      <c r="R66" s="39">
        <f t="shared" si="48"/>
        <v>22500</v>
      </c>
      <c r="S66" s="39">
        <f t="shared" si="48"/>
        <v>22500</v>
      </c>
      <c r="T66" s="39">
        <f t="shared" si="48"/>
        <v>22500</v>
      </c>
      <c r="U66" s="39">
        <f t="shared" si="48"/>
        <v>22500</v>
      </c>
      <c r="V66" s="39">
        <f t="shared" si="48"/>
        <v>22500</v>
      </c>
      <c r="W66" s="39">
        <f t="shared" si="48"/>
        <v>22500</v>
      </c>
      <c r="X66" s="39">
        <f t="shared" si="48"/>
        <v>24750</v>
      </c>
      <c r="Y66" s="39">
        <f t="shared" si="48"/>
        <v>27000</v>
      </c>
      <c r="Z66" s="39">
        <f t="shared" si="48"/>
        <v>29250</v>
      </c>
      <c r="AA66" s="39">
        <f t="shared" si="48"/>
        <v>31500</v>
      </c>
      <c r="AB66" s="39">
        <f t="shared" si="48"/>
        <v>33750</v>
      </c>
      <c r="AC66" s="39">
        <f t="shared" si="48"/>
        <v>36000</v>
      </c>
      <c r="AD66" s="39">
        <f t="shared" si="48"/>
        <v>38250</v>
      </c>
      <c r="AE66" s="39">
        <f t="shared" si="48"/>
        <v>40500</v>
      </c>
      <c r="AF66" s="39">
        <f t="shared" si="48"/>
        <v>42750</v>
      </c>
      <c r="AG66" s="39">
        <f t="shared" si="48"/>
        <v>45000</v>
      </c>
      <c r="AH66" s="39">
        <f t="shared" si="48"/>
        <v>51975</v>
      </c>
      <c r="AI66" s="39">
        <f t="shared" si="48"/>
        <v>54945</v>
      </c>
      <c r="AJ66" s="39">
        <f t="shared" si="48"/>
        <v>57915</v>
      </c>
      <c r="AK66" s="39">
        <f t="shared" si="48"/>
        <v>60885</v>
      </c>
      <c r="AL66" s="39">
        <f t="shared" si="48"/>
        <v>63855</v>
      </c>
      <c r="AM66" s="39">
        <f t="shared" si="48"/>
        <v>66825</v>
      </c>
      <c r="AN66" s="39">
        <f t="shared" si="48"/>
        <v>69795</v>
      </c>
      <c r="AO66" s="39">
        <f t="shared" si="48"/>
        <v>72765</v>
      </c>
      <c r="AP66" s="39">
        <f t="shared" si="48"/>
        <v>75735</v>
      </c>
      <c r="AQ66" s="39">
        <f t="shared" si="48"/>
        <v>78705</v>
      </c>
      <c r="AR66" s="39">
        <f t="shared" si="48"/>
        <v>81675</v>
      </c>
      <c r="AS66" s="39">
        <f t="shared" si="48"/>
        <v>84645</v>
      </c>
      <c r="AT66" s="39">
        <f t="shared" si="48"/>
        <v>96376.5</v>
      </c>
      <c r="AU66" s="39">
        <f t="shared" si="48"/>
        <v>100278.75</v>
      </c>
      <c r="AV66" s="39">
        <f t="shared" si="48"/>
        <v>104181</v>
      </c>
      <c r="AW66" s="39">
        <f t="shared" si="48"/>
        <v>108083.25</v>
      </c>
      <c r="AX66" s="39">
        <f t="shared" si="48"/>
        <v>111985.5</v>
      </c>
      <c r="AY66" s="39">
        <f t="shared" si="48"/>
        <v>115887.75</v>
      </c>
      <c r="AZ66" s="39">
        <f t="shared" si="48"/>
        <v>119790</v>
      </c>
      <c r="BA66" s="39">
        <f t="shared" si="48"/>
        <v>123692.25</v>
      </c>
      <c r="BB66" s="39">
        <f t="shared" si="48"/>
        <v>127594.5</v>
      </c>
      <c r="BC66" s="39">
        <f t="shared" si="48"/>
        <v>131496.75</v>
      </c>
      <c r="BD66" s="39">
        <f t="shared" si="48"/>
        <v>135399</v>
      </c>
      <c r="BE66" s="39">
        <f t="shared" si="48"/>
        <v>139301.25</v>
      </c>
      <c r="BF66" s="39">
        <f t="shared" ref="BF66:BQ66" si="49">SUM(BF64:BF65)</f>
        <v>143203.5</v>
      </c>
      <c r="BG66" s="39">
        <f t="shared" si="49"/>
        <v>147922.5</v>
      </c>
      <c r="BH66" s="39">
        <f t="shared" si="49"/>
        <v>152641.5</v>
      </c>
      <c r="BI66" s="39">
        <f t="shared" si="49"/>
        <v>157360.5</v>
      </c>
      <c r="BJ66" s="39">
        <f t="shared" si="49"/>
        <v>162079.5</v>
      </c>
      <c r="BK66" s="39">
        <f t="shared" si="49"/>
        <v>166798.5</v>
      </c>
      <c r="BL66" s="39">
        <f t="shared" si="49"/>
        <v>171517.5</v>
      </c>
      <c r="BM66" s="39">
        <f t="shared" si="49"/>
        <v>176236.5</v>
      </c>
      <c r="BN66" s="39">
        <f t="shared" si="49"/>
        <v>180955.5</v>
      </c>
      <c r="BO66" s="39">
        <f t="shared" si="49"/>
        <v>185674.5</v>
      </c>
      <c r="BP66" s="39">
        <f t="shared" si="49"/>
        <v>190393.5</v>
      </c>
      <c r="BQ66" s="39">
        <f t="shared" si="49"/>
        <v>195112.5</v>
      </c>
    </row>
    <row r="67" spans="2:6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39"/>
      <c r="AY67" s="39"/>
      <c r="AZ67" s="39"/>
      <c r="BA67" s="39"/>
      <c r="BB67" s="39"/>
      <c r="BC67" s="39"/>
      <c r="BD67" s="39"/>
      <c r="BE67" s="39"/>
      <c r="BF67" s="39"/>
      <c r="BG67" s="39"/>
      <c r="BH67" s="39"/>
      <c r="BI67" s="39"/>
      <c r="BJ67" s="39"/>
      <c r="BK67" s="39"/>
      <c r="BL67" s="39"/>
      <c r="BM67" s="39"/>
      <c r="BN67" s="39"/>
      <c r="BO67" s="39"/>
      <c r="BP67" s="39"/>
      <c r="BQ67" s="39"/>
    </row>
    <row r="68" spans="2:69">
      <c r="B68" s="4" t="s">
        <v>268</v>
      </c>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39"/>
      <c r="AZ68" s="39"/>
      <c r="BA68" s="39"/>
      <c r="BB68" s="39"/>
      <c r="BC68" s="39"/>
      <c r="BD68" s="39"/>
      <c r="BE68" s="39"/>
      <c r="BF68" s="39"/>
      <c r="BG68" s="39"/>
      <c r="BH68" s="39"/>
      <c r="BI68" s="39"/>
      <c r="BJ68" s="39"/>
      <c r="BK68" s="39"/>
      <c r="BL68" s="39"/>
      <c r="BM68" s="39"/>
      <c r="BN68" s="39"/>
      <c r="BO68" s="39"/>
      <c r="BP68" s="39"/>
      <c r="BQ68" s="39"/>
    </row>
    <row r="69" spans="2:69">
      <c r="B69" s="4" t="s">
        <v>260</v>
      </c>
      <c r="J69" s="39">
        <v>0</v>
      </c>
      <c r="K69" s="39">
        <v>0</v>
      </c>
      <c r="L69" s="39">
        <v>0</v>
      </c>
      <c r="M69" s="39">
        <v>0</v>
      </c>
      <c r="N69" s="39">
        <v>0</v>
      </c>
      <c r="O69" s="39">
        <v>0</v>
      </c>
      <c r="P69" s="39">
        <f>(Inputs!O33*Inputs!P62)*Inputs!P60</f>
        <v>0</v>
      </c>
      <c r="Q69" s="39">
        <f>(Inputs!P33*Inputs!Q62)*Inputs!Q60</f>
        <v>0</v>
      </c>
      <c r="R69" s="39">
        <f>(Inputs!Q33*Inputs!R62)*Inputs!R60</f>
        <v>0</v>
      </c>
      <c r="S69" s="39">
        <f>(Inputs!R33*Inputs!S62)*Inputs!S60</f>
        <v>0</v>
      </c>
      <c r="T69" s="39">
        <f>(Inputs!S33*Inputs!T62)*Inputs!T60</f>
        <v>5250</v>
      </c>
      <c r="U69" s="39">
        <f>(Inputs!T33*Inputs!U62)*Inputs!U60</f>
        <v>5250</v>
      </c>
      <c r="V69" s="39">
        <f>(Inputs!U33*Inputs!V62)*Inputs!V60</f>
        <v>5250</v>
      </c>
      <c r="W69" s="39">
        <f>(Inputs!V33*Inputs!W62)*Inputs!W60</f>
        <v>5250</v>
      </c>
      <c r="X69" s="39">
        <f>(Inputs!W33*Inputs!X62)*Inputs!X60</f>
        <v>5774.9999999999991</v>
      </c>
      <c r="Y69" s="39">
        <f>(Inputs!X33*Inputs!Y62)*Inputs!Y60</f>
        <v>6299.9999999999991</v>
      </c>
      <c r="Z69" s="39">
        <f>(Inputs!Y33*Inputs!Z62)*Inputs!Z60</f>
        <v>6825</v>
      </c>
      <c r="AA69" s="39">
        <f>(Inputs!Z33*Inputs!AA62)*Inputs!AA60</f>
        <v>7350</v>
      </c>
      <c r="AB69" s="39">
        <f>(Inputs!AA33*Inputs!AB62)*Inputs!AB60</f>
        <v>7875</v>
      </c>
      <c r="AC69" s="39">
        <f>(Inputs!AB33*Inputs!AC62)*Inputs!AC60</f>
        <v>8400</v>
      </c>
      <c r="AD69" s="39">
        <f>(Inputs!AC33*Inputs!AD62)*Inputs!AD60</f>
        <v>8925</v>
      </c>
      <c r="AE69" s="39">
        <f>(Inputs!AD33*Inputs!AE62)*Inputs!AE60</f>
        <v>9450</v>
      </c>
      <c r="AF69" s="39">
        <f>(Inputs!AE33*Inputs!AF62)*Inputs!AF60</f>
        <v>9975</v>
      </c>
      <c r="AG69" s="39">
        <f>(Inputs!AF33*Inputs!AG62)*Inputs!AG60</f>
        <v>10500</v>
      </c>
      <c r="AH69" s="39">
        <f>(Inputs!AG33*Inputs!AH62)*Inputs!AH60</f>
        <v>12127.5</v>
      </c>
      <c r="AI69" s="39">
        <f>(Inputs!AH33*Inputs!AI62)*Inputs!AI60</f>
        <v>12820.5</v>
      </c>
      <c r="AJ69" s="39">
        <f>(Inputs!AI33*Inputs!AJ62)*Inputs!AJ60</f>
        <v>13513.5</v>
      </c>
      <c r="AK69" s="39">
        <f>(Inputs!AJ33*Inputs!AK62)*Inputs!AK60</f>
        <v>14206.5</v>
      </c>
      <c r="AL69" s="39">
        <f>(Inputs!AK33*Inputs!AL62)*Inputs!AL60</f>
        <v>14899.499999999998</v>
      </c>
      <c r="AM69" s="39">
        <f>(Inputs!AL33*Inputs!AM62)*Inputs!AM60</f>
        <v>15592.5</v>
      </c>
      <c r="AN69" s="39">
        <f>(Inputs!AM33*Inputs!AN62)*Inputs!AN60</f>
        <v>16285.499999999998</v>
      </c>
      <c r="AO69" s="39">
        <f>(Inputs!AN33*Inputs!AO62)*Inputs!AO60</f>
        <v>16978.5</v>
      </c>
      <c r="AP69" s="39">
        <f>(Inputs!AO33*Inputs!AP62)*Inputs!AP60</f>
        <v>17671.499999999996</v>
      </c>
      <c r="AQ69" s="39">
        <f>(Inputs!AP33*Inputs!AQ62)*Inputs!AQ60</f>
        <v>18364.5</v>
      </c>
      <c r="AR69" s="39">
        <f>(Inputs!AQ33*Inputs!AR62)*Inputs!AR60</f>
        <v>19057.5</v>
      </c>
      <c r="AS69" s="39">
        <f>(Inputs!AR33*Inputs!AS62)*Inputs!AS60</f>
        <v>19750.499999999996</v>
      </c>
      <c r="AT69" s="39">
        <f>(Inputs!AS33*Inputs!AT62)*Inputs!AT60</f>
        <v>22487.85</v>
      </c>
      <c r="AU69" s="39">
        <f>(Inputs!AT33*Inputs!AU62)*Inputs!AU60</f>
        <v>23398.375</v>
      </c>
      <c r="AV69" s="39">
        <f>(Inputs!AU33*Inputs!AV62)*Inputs!AV60</f>
        <v>24308.899999999998</v>
      </c>
      <c r="AW69" s="39">
        <f>(Inputs!AV33*Inputs!AW62)*Inputs!AW60</f>
        <v>25219.424999999999</v>
      </c>
      <c r="AX69" s="39">
        <f>(Inputs!AW33*Inputs!AX62)*Inputs!AX60</f>
        <v>26129.949999999997</v>
      </c>
      <c r="AY69" s="39">
        <f>(Inputs!AX33*Inputs!AY62)*Inputs!AY60</f>
        <v>27040.474999999999</v>
      </c>
      <c r="AZ69" s="39">
        <f>(Inputs!AY33*Inputs!AZ62)*Inputs!AZ60</f>
        <v>27950.999999999996</v>
      </c>
      <c r="BA69" s="39">
        <f>(Inputs!AZ33*Inputs!BA62)*Inputs!BA60</f>
        <v>28861.524999999998</v>
      </c>
      <c r="BB69" s="39">
        <f>(Inputs!BA33*Inputs!BB62)*Inputs!BB60</f>
        <v>29772.05</v>
      </c>
      <c r="BC69" s="39">
        <f>(Inputs!BB33*Inputs!BC62)*Inputs!BC60</f>
        <v>30682.574999999997</v>
      </c>
      <c r="BD69" s="39">
        <f>(Inputs!BC33*Inputs!BD62)*Inputs!BD60</f>
        <v>31593.099999999995</v>
      </c>
      <c r="BE69" s="39">
        <f>(Inputs!BD33*Inputs!BE62)*Inputs!BE60</f>
        <v>32503.625</v>
      </c>
      <c r="BF69" s="39">
        <f>(Inputs!BE33*Inputs!BF62)*Inputs!BF60</f>
        <v>33414.149999999994</v>
      </c>
      <c r="BG69" s="39">
        <f>(Inputs!BF33*Inputs!BG62)*Inputs!BG60</f>
        <v>34515.25</v>
      </c>
      <c r="BH69" s="39">
        <f>(Inputs!BG33*Inputs!BH62)*Inputs!BH60</f>
        <v>35616.35</v>
      </c>
      <c r="BI69" s="39">
        <f>(Inputs!BH33*Inputs!BI62)*Inputs!BI60</f>
        <v>36717.449999999997</v>
      </c>
      <c r="BJ69" s="39">
        <f>(Inputs!BI33*Inputs!BJ62)*Inputs!BJ60</f>
        <v>37818.549999999996</v>
      </c>
      <c r="BK69" s="39">
        <f>(Inputs!BJ33*Inputs!BK62)*Inputs!BK60</f>
        <v>38919.649999999994</v>
      </c>
      <c r="BL69" s="39">
        <f>(Inputs!BK33*Inputs!BL62)*Inputs!BL60</f>
        <v>40020.75</v>
      </c>
      <c r="BM69" s="39">
        <f>(Inputs!BL33*Inputs!BM62)*Inputs!BM60</f>
        <v>41121.85</v>
      </c>
      <c r="BN69" s="39">
        <f>(Inputs!BM33*Inputs!BN62)*Inputs!BN60</f>
        <v>42222.95</v>
      </c>
      <c r="BO69" s="39">
        <f>(Inputs!BN33*Inputs!BO62)*Inputs!BO60</f>
        <v>43324.049999999996</v>
      </c>
      <c r="BP69" s="39">
        <f>(Inputs!BO33*Inputs!BP62)*Inputs!BP60</f>
        <v>44425.149999999994</v>
      </c>
      <c r="BQ69" s="39">
        <f>(Inputs!BP33*Inputs!BQ62)*Inputs!BQ60</f>
        <v>45526.25</v>
      </c>
    </row>
    <row r="70" spans="2:69">
      <c r="B70" s="4" t="s">
        <v>261</v>
      </c>
      <c r="J70" s="39">
        <v>0</v>
      </c>
      <c r="K70" s="39">
        <v>0</v>
      </c>
      <c r="L70" s="39">
        <v>0</v>
      </c>
      <c r="M70" s="39">
        <v>0</v>
      </c>
      <c r="N70" s="39">
        <v>0</v>
      </c>
      <c r="O70" s="39">
        <v>0</v>
      </c>
      <c r="P70" s="39">
        <f>(Inputs!O33*Inputs!P63)*Inputs!P61</f>
        <v>0</v>
      </c>
      <c r="Q70" s="39">
        <f>(Inputs!P33*Inputs!Q63)*Inputs!Q61</f>
        <v>0</v>
      </c>
      <c r="R70" s="39">
        <f>(Inputs!Q33*Inputs!R63)*Inputs!R61</f>
        <v>0</v>
      </c>
      <c r="S70" s="39">
        <f>(Inputs!R33*Inputs!S63)*Inputs!S61</f>
        <v>0</v>
      </c>
      <c r="T70" s="39">
        <f>(Inputs!S33*Inputs!T63)*Inputs!T61</f>
        <v>4500</v>
      </c>
      <c r="U70" s="39">
        <f>(Inputs!T33*Inputs!U63)*Inputs!U61</f>
        <v>4500</v>
      </c>
      <c r="V70" s="39">
        <f>(Inputs!U33*Inputs!V63)*Inputs!V61</f>
        <v>4500</v>
      </c>
      <c r="W70" s="39">
        <f>(Inputs!V33*Inputs!W63)*Inputs!W61</f>
        <v>4500</v>
      </c>
      <c r="X70" s="39">
        <f>(Inputs!W33*Inputs!X63)*Inputs!X61</f>
        <v>4950</v>
      </c>
      <c r="Y70" s="39">
        <f>(Inputs!X33*Inputs!Y63)*Inputs!Y61</f>
        <v>5400</v>
      </c>
      <c r="Z70" s="39">
        <f>(Inputs!Y33*Inputs!Z63)*Inputs!Z61</f>
        <v>5850</v>
      </c>
      <c r="AA70" s="39">
        <f>(Inputs!Z33*Inputs!AA63)*Inputs!AA61</f>
        <v>6300</v>
      </c>
      <c r="AB70" s="39">
        <f>(Inputs!AA33*Inputs!AB63)*Inputs!AB61</f>
        <v>6750</v>
      </c>
      <c r="AC70" s="39">
        <f>(Inputs!AB33*Inputs!AC63)*Inputs!AC61</f>
        <v>7200</v>
      </c>
      <c r="AD70" s="39">
        <f>(Inputs!AC33*Inputs!AD63)*Inputs!AD61</f>
        <v>7650</v>
      </c>
      <c r="AE70" s="39">
        <f>(Inputs!AD33*Inputs!AE63)*Inputs!AE61</f>
        <v>8100</v>
      </c>
      <c r="AF70" s="39">
        <f>(Inputs!AE33*Inputs!AF63)*Inputs!AF61</f>
        <v>8550</v>
      </c>
      <c r="AG70" s="39">
        <f>(Inputs!AF33*Inputs!AG63)*Inputs!AG61</f>
        <v>9000</v>
      </c>
      <c r="AH70" s="39">
        <f>(Inputs!AG33*Inputs!AH63)*Inputs!AH61</f>
        <v>10395</v>
      </c>
      <c r="AI70" s="39">
        <f>(Inputs!AH33*Inputs!AI63)*Inputs!AI61</f>
        <v>10988.999999999998</v>
      </c>
      <c r="AJ70" s="39">
        <f>(Inputs!AI33*Inputs!AJ63)*Inputs!AJ61</f>
        <v>11583</v>
      </c>
      <c r="AK70" s="39">
        <f>(Inputs!AJ33*Inputs!AK63)*Inputs!AK61</f>
        <v>12177</v>
      </c>
      <c r="AL70" s="39">
        <f>(Inputs!AK33*Inputs!AL63)*Inputs!AL61</f>
        <v>12771</v>
      </c>
      <c r="AM70" s="39">
        <f>(Inputs!AL33*Inputs!AM63)*Inputs!AM61</f>
        <v>13365</v>
      </c>
      <c r="AN70" s="39">
        <f>(Inputs!AM33*Inputs!AN63)*Inputs!AN61</f>
        <v>13958.999999999998</v>
      </c>
      <c r="AO70" s="39">
        <f>(Inputs!AN33*Inputs!AO63)*Inputs!AO61</f>
        <v>14552.999999999998</v>
      </c>
      <c r="AP70" s="39">
        <f>(Inputs!AO33*Inputs!AP63)*Inputs!AP61</f>
        <v>15146.999999999998</v>
      </c>
      <c r="AQ70" s="39">
        <f>(Inputs!AP33*Inputs!AQ63)*Inputs!AQ61</f>
        <v>15741</v>
      </c>
      <c r="AR70" s="39">
        <f>(Inputs!AQ33*Inputs!AR63)*Inputs!AR61</f>
        <v>16335</v>
      </c>
      <c r="AS70" s="39">
        <f>(Inputs!AR33*Inputs!AS63)*Inputs!AS61</f>
        <v>16929</v>
      </c>
      <c r="AT70" s="39">
        <f>(Inputs!AS33*Inputs!AT63)*Inputs!AT61</f>
        <v>19275.3</v>
      </c>
      <c r="AU70" s="39">
        <f>(Inputs!AT33*Inputs!AU63)*Inputs!AU61</f>
        <v>20055.75</v>
      </c>
      <c r="AV70" s="39">
        <f>(Inputs!AU33*Inputs!AV63)*Inputs!AV61</f>
        <v>20836.199999999997</v>
      </c>
      <c r="AW70" s="39">
        <f>(Inputs!AV33*Inputs!AW63)*Inputs!AW61</f>
        <v>21616.65</v>
      </c>
      <c r="AX70" s="39">
        <f>(Inputs!AW33*Inputs!AX63)*Inputs!AX61</f>
        <v>22397.1</v>
      </c>
      <c r="AY70" s="39">
        <f>(Inputs!AX33*Inputs!AY63)*Inputs!AY61</f>
        <v>23177.55</v>
      </c>
      <c r="AZ70" s="39">
        <f>(Inputs!AY33*Inputs!AZ63)*Inputs!AZ61</f>
        <v>23958</v>
      </c>
      <c r="BA70" s="39">
        <f>(Inputs!AZ33*Inputs!BA63)*Inputs!BA61</f>
        <v>24738.449999999997</v>
      </c>
      <c r="BB70" s="39">
        <f>(Inputs!BA33*Inputs!BB63)*Inputs!BB61</f>
        <v>25518.9</v>
      </c>
      <c r="BC70" s="39">
        <f>(Inputs!BB33*Inputs!BC63)*Inputs!BC61</f>
        <v>26299.35</v>
      </c>
      <c r="BD70" s="39">
        <f>(Inputs!BC33*Inputs!BD63)*Inputs!BD61</f>
        <v>27079.8</v>
      </c>
      <c r="BE70" s="39">
        <f>(Inputs!BD33*Inputs!BE63)*Inputs!BE61</f>
        <v>27860.25</v>
      </c>
      <c r="BF70" s="39">
        <f>(Inputs!BE33*Inputs!BF63)*Inputs!BF61</f>
        <v>28640.699999999997</v>
      </c>
      <c r="BG70" s="39">
        <f>(Inputs!BF33*Inputs!BG63)*Inputs!BG61</f>
        <v>29584.5</v>
      </c>
      <c r="BH70" s="39">
        <f>(Inputs!BG33*Inputs!BH63)*Inputs!BH61</f>
        <v>30528.3</v>
      </c>
      <c r="BI70" s="39">
        <f>(Inputs!BH33*Inputs!BI63)*Inputs!BI61</f>
        <v>31472.099999999995</v>
      </c>
      <c r="BJ70" s="39">
        <f>(Inputs!BI33*Inputs!BJ63)*Inputs!BJ61</f>
        <v>32415.899999999998</v>
      </c>
      <c r="BK70" s="39">
        <f>(Inputs!BJ33*Inputs!BK63)*Inputs!BK61</f>
        <v>33359.699999999997</v>
      </c>
      <c r="BL70" s="39">
        <f>(Inputs!BK33*Inputs!BL63)*Inputs!BL61</f>
        <v>34303.5</v>
      </c>
      <c r="BM70" s="39">
        <f>(Inputs!BL33*Inputs!BM63)*Inputs!BM61</f>
        <v>35247.300000000003</v>
      </c>
      <c r="BN70" s="39">
        <f>(Inputs!BM33*Inputs!BN63)*Inputs!BN61</f>
        <v>36191.1</v>
      </c>
      <c r="BO70" s="39">
        <f>(Inputs!BN33*Inputs!BO63)*Inputs!BO61</f>
        <v>37134.899999999994</v>
      </c>
      <c r="BP70" s="39">
        <f>(Inputs!BO33*Inputs!BP63)*Inputs!BP61</f>
        <v>38078.699999999997</v>
      </c>
      <c r="BQ70" s="39">
        <f>(Inputs!BP33*Inputs!BQ63)*Inputs!BQ61</f>
        <v>39022.5</v>
      </c>
    </row>
    <row r="71" spans="2:69">
      <c r="B71" s="9"/>
      <c r="C71" s="9"/>
      <c r="D71" s="9"/>
      <c r="E71" s="9"/>
      <c r="F71" s="9"/>
      <c r="G71" s="9"/>
      <c r="H71" s="9"/>
      <c r="I71" s="9"/>
      <c r="J71" s="42"/>
      <c r="K71" s="42"/>
      <c r="L71" s="42"/>
      <c r="M71" s="42"/>
      <c r="N71" s="42"/>
      <c r="O71" s="42"/>
      <c r="P71" s="42"/>
      <c r="Q71" s="42"/>
      <c r="R71" s="42"/>
      <c r="S71" s="42"/>
      <c r="T71" s="42"/>
      <c r="U71" s="42"/>
      <c r="V71" s="42"/>
      <c r="W71" s="42"/>
      <c r="X71" s="42"/>
      <c r="Y71" s="42"/>
      <c r="Z71" s="42"/>
      <c r="AA71" s="42"/>
      <c r="AB71" s="42"/>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42"/>
      <c r="BE71" s="42"/>
      <c r="BF71" s="42"/>
      <c r="BG71" s="42"/>
      <c r="BH71" s="42"/>
      <c r="BI71" s="42"/>
      <c r="BJ71" s="42"/>
      <c r="BK71" s="42"/>
      <c r="BL71" s="42"/>
      <c r="BM71" s="42"/>
      <c r="BN71" s="42"/>
      <c r="BO71" s="42"/>
      <c r="BP71" s="42"/>
      <c r="BQ71" s="42"/>
    </row>
    <row r="72" spans="2:69">
      <c r="B72" s="4" t="s">
        <v>6</v>
      </c>
      <c r="J72" s="39">
        <f t="shared" ref="J72:BE72" si="50">SUM(J68:J71)</f>
        <v>0</v>
      </c>
      <c r="K72" s="39">
        <f t="shared" si="50"/>
        <v>0</v>
      </c>
      <c r="L72" s="39">
        <f t="shared" si="50"/>
        <v>0</v>
      </c>
      <c r="M72" s="39">
        <f t="shared" si="50"/>
        <v>0</v>
      </c>
      <c r="N72" s="39">
        <f t="shared" si="50"/>
        <v>0</v>
      </c>
      <c r="O72" s="39">
        <f t="shared" si="50"/>
        <v>0</v>
      </c>
      <c r="P72" s="39">
        <f t="shared" si="50"/>
        <v>0</v>
      </c>
      <c r="Q72" s="39">
        <f t="shared" si="50"/>
        <v>0</v>
      </c>
      <c r="R72" s="39">
        <f t="shared" si="50"/>
        <v>0</v>
      </c>
      <c r="S72" s="39">
        <f t="shared" si="50"/>
        <v>0</v>
      </c>
      <c r="T72" s="39">
        <f t="shared" si="50"/>
        <v>9750</v>
      </c>
      <c r="U72" s="39">
        <f t="shared" si="50"/>
        <v>9750</v>
      </c>
      <c r="V72" s="39">
        <f t="shared" si="50"/>
        <v>9750</v>
      </c>
      <c r="W72" s="39">
        <f t="shared" si="50"/>
        <v>9750</v>
      </c>
      <c r="X72" s="39">
        <f t="shared" si="50"/>
        <v>10725</v>
      </c>
      <c r="Y72" s="39">
        <f t="shared" si="50"/>
        <v>11700</v>
      </c>
      <c r="Z72" s="39">
        <f t="shared" si="50"/>
        <v>12675</v>
      </c>
      <c r="AA72" s="39">
        <f t="shared" si="50"/>
        <v>13650</v>
      </c>
      <c r="AB72" s="39">
        <f t="shared" si="50"/>
        <v>14625</v>
      </c>
      <c r="AC72" s="39">
        <f t="shared" si="50"/>
        <v>15600</v>
      </c>
      <c r="AD72" s="39">
        <f t="shared" si="50"/>
        <v>16575</v>
      </c>
      <c r="AE72" s="39">
        <f t="shared" si="50"/>
        <v>17550</v>
      </c>
      <c r="AF72" s="39">
        <f t="shared" si="50"/>
        <v>18525</v>
      </c>
      <c r="AG72" s="39">
        <f t="shared" si="50"/>
        <v>19500</v>
      </c>
      <c r="AH72" s="39">
        <f t="shared" si="50"/>
        <v>22522.5</v>
      </c>
      <c r="AI72" s="39">
        <f t="shared" si="50"/>
        <v>23809.5</v>
      </c>
      <c r="AJ72" s="39">
        <f t="shared" si="50"/>
        <v>25096.5</v>
      </c>
      <c r="AK72" s="39">
        <f t="shared" si="50"/>
        <v>26383.5</v>
      </c>
      <c r="AL72" s="39">
        <f t="shared" si="50"/>
        <v>27670.5</v>
      </c>
      <c r="AM72" s="39">
        <f t="shared" si="50"/>
        <v>28957.5</v>
      </c>
      <c r="AN72" s="39">
        <f t="shared" si="50"/>
        <v>30244.499999999996</v>
      </c>
      <c r="AO72" s="39">
        <f t="shared" si="50"/>
        <v>31531.5</v>
      </c>
      <c r="AP72" s="39">
        <f t="shared" si="50"/>
        <v>32818.499999999993</v>
      </c>
      <c r="AQ72" s="39">
        <f t="shared" si="50"/>
        <v>34105.5</v>
      </c>
      <c r="AR72" s="39">
        <f t="shared" si="50"/>
        <v>35392.5</v>
      </c>
      <c r="AS72" s="39">
        <f t="shared" si="50"/>
        <v>36679.5</v>
      </c>
      <c r="AT72" s="39">
        <f t="shared" si="50"/>
        <v>41763.149999999994</v>
      </c>
      <c r="AU72" s="39">
        <f t="shared" si="50"/>
        <v>43454.125</v>
      </c>
      <c r="AV72" s="39">
        <f t="shared" si="50"/>
        <v>45145.099999999991</v>
      </c>
      <c r="AW72" s="39">
        <f t="shared" si="50"/>
        <v>46836.074999999997</v>
      </c>
      <c r="AX72" s="39">
        <f t="shared" si="50"/>
        <v>48527.049999999996</v>
      </c>
      <c r="AY72" s="39">
        <f t="shared" si="50"/>
        <v>50218.024999999994</v>
      </c>
      <c r="AZ72" s="39">
        <f t="shared" si="50"/>
        <v>51909</v>
      </c>
      <c r="BA72" s="39">
        <f t="shared" si="50"/>
        <v>53599.974999999991</v>
      </c>
      <c r="BB72" s="39">
        <f t="shared" si="50"/>
        <v>55290.95</v>
      </c>
      <c r="BC72" s="39">
        <f t="shared" si="50"/>
        <v>56981.924999999996</v>
      </c>
      <c r="BD72" s="39">
        <f t="shared" si="50"/>
        <v>58672.899999999994</v>
      </c>
      <c r="BE72" s="39">
        <f t="shared" si="50"/>
        <v>60363.875</v>
      </c>
      <c r="BF72" s="39">
        <f t="shared" ref="BF72:BQ72" si="51">SUM(BF68:BF71)</f>
        <v>62054.849999999991</v>
      </c>
      <c r="BG72" s="39">
        <f t="shared" si="51"/>
        <v>64099.75</v>
      </c>
      <c r="BH72" s="39">
        <f t="shared" si="51"/>
        <v>66144.649999999994</v>
      </c>
      <c r="BI72" s="39">
        <f t="shared" si="51"/>
        <v>68189.549999999988</v>
      </c>
      <c r="BJ72" s="39">
        <f t="shared" si="51"/>
        <v>70234.45</v>
      </c>
      <c r="BK72" s="39">
        <f t="shared" si="51"/>
        <v>72279.349999999991</v>
      </c>
      <c r="BL72" s="39">
        <f t="shared" si="51"/>
        <v>74324.25</v>
      </c>
      <c r="BM72" s="39">
        <f t="shared" si="51"/>
        <v>76369.149999999994</v>
      </c>
      <c r="BN72" s="39">
        <f t="shared" si="51"/>
        <v>78414.049999999988</v>
      </c>
      <c r="BO72" s="39">
        <f t="shared" si="51"/>
        <v>80458.949999999983</v>
      </c>
      <c r="BP72" s="39">
        <f t="shared" si="51"/>
        <v>82503.849999999991</v>
      </c>
      <c r="BQ72" s="39">
        <f t="shared" si="51"/>
        <v>84548.75</v>
      </c>
    </row>
    <row r="73" spans="2:6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39"/>
      <c r="AZ73" s="39"/>
      <c r="BA73" s="39"/>
      <c r="BB73" s="39"/>
      <c r="BC73" s="39"/>
      <c r="BD73" s="39"/>
      <c r="BE73" s="39"/>
      <c r="BF73" s="39"/>
      <c r="BG73" s="39"/>
      <c r="BH73" s="39"/>
      <c r="BI73" s="39"/>
      <c r="BJ73" s="39"/>
      <c r="BK73" s="39"/>
      <c r="BL73" s="39"/>
      <c r="BM73" s="39"/>
      <c r="BN73" s="39"/>
      <c r="BO73" s="39"/>
      <c r="BP73" s="39"/>
      <c r="BQ73" s="39"/>
    </row>
    <row r="74" spans="2:69">
      <c r="B74" s="4" t="s">
        <v>264</v>
      </c>
      <c r="J74" s="39">
        <v>0</v>
      </c>
      <c r="K74" s="39">
        <v>0</v>
      </c>
      <c r="L74" s="39">
        <v>0</v>
      </c>
      <c r="M74" s="39">
        <v>0</v>
      </c>
      <c r="N74" s="39">
        <v>0</v>
      </c>
      <c r="O74" s="39">
        <v>0</v>
      </c>
      <c r="P74" s="39">
        <f>Inputs!O33*Inputs!P64</f>
        <v>0</v>
      </c>
      <c r="Q74" s="39">
        <f>Inputs!P33*Inputs!Q64</f>
        <v>0</v>
      </c>
      <c r="R74" s="39">
        <f>Inputs!Q33*Inputs!R64</f>
        <v>0</v>
      </c>
      <c r="S74" s="39">
        <f>Inputs!R33*Inputs!S64</f>
        <v>0</v>
      </c>
      <c r="T74" s="39">
        <f>Inputs!S33*Inputs!T64</f>
        <v>0</v>
      </c>
      <c r="U74" s="39">
        <f>Inputs!T33*Inputs!U64</f>
        <v>15000</v>
      </c>
      <c r="V74" s="39">
        <f>Inputs!U33*Inputs!V64</f>
        <v>15000</v>
      </c>
      <c r="W74" s="39">
        <f>Inputs!V33*Inputs!W64</f>
        <v>15000</v>
      </c>
      <c r="X74" s="39">
        <f>Inputs!W33*Inputs!X64</f>
        <v>24750</v>
      </c>
      <c r="Y74" s="39">
        <f>Inputs!X33*Inputs!Y64</f>
        <v>27000</v>
      </c>
      <c r="Z74" s="39">
        <f>Inputs!Y33*Inputs!Z64</f>
        <v>29250</v>
      </c>
      <c r="AA74" s="39">
        <f>Inputs!Z33*Inputs!AA64</f>
        <v>31500</v>
      </c>
      <c r="AB74" s="39">
        <f>Inputs!AA33*Inputs!AB64</f>
        <v>33750</v>
      </c>
      <c r="AC74" s="39">
        <f>Inputs!AB33*Inputs!AC64</f>
        <v>36000</v>
      </c>
      <c r="AD74" s="39">
        <f>Inputs!AC33*Inputs!AD64</f>
        <v>38250</v>
      </c>
      <c r="AE74" s="39">
        <f>Inputs!AD33*Inputs!AE64</f>
        <v>40500</v>
      </c>
      <c r="AF74" s="39">
        <f>Inputs!AE33*Inputs!AF64</f>
        <v>42750</v>
      </c>
      <c r="AG74" s="39">
        <f>Inputs!AF33*Inputs!AG64</f>
        <v>45000</v>
      </c>
      <c r="AH74" s="39">
        <f>Inputs!AG33*Inputs!AH64</f>
        <v>51975</v>
      </c>
      <c r="AI74" s="39">
        <f>Inputs!AH33*Inputs!AI64</f>
        <v>54945</v>
      </c>
      <c r="AJ74" s="39">
        <f>Inputs!AI33*Inputs!AJ64</f>
        <v>57915</v>
      </c>
      <c r="AK74" s="39">
        <f>Inputs!AJ33*Inputs!AK64</f>
        <v>60885</v>
      </c>
      <c r="AL74" s="39">
        <f>Inputs!AK33*Inputs!AL64</f>
        <v>63855</v>
      </c>
      <c r="AM74" s="39">
        <f>Inputs!AL33*Inputs!AM64</f>
        <v>66825</v>
      </c>
      <c r="AN74" s="39">
        <f>Inputs!AM33*Inputs!AN64</f>
        <v>69795</v>
      </c>
      <c r="AO74" s="39">
        <f>Inputs!AN33*Inputs!AO64</f>
        <v>72765</v>
      </c>
      <c r="AP74" s="39">
        <f>Inputs!AO33*Inputs!AP64</f>
        <v>75735</v>
      </c>
      <c r="AQ74" s="39">
        <f>Inputs!AP33*Inputs!AQ64</f>
        <v>78705</v>
      </c>
      <c r="AR74" s="39">
        <f>Inputs!AQ33*Inputs!AR64</f>
        <v>81675</v>
      </c>
      <c r="AS74" s="39">
        <f>Inputs!AR33*Inputs!AS64</f>
        <v>84645</v>
      </c>
      <c r="AT74" s="39">
        <f>Inputs!AS33*Inputs!AT64</f>
        <v>96376.5</v>
      </c>
      <c r="AU74" s="39">
        <f>Inputs!AT33*Inputs!AU64</f>
        <v>100278.75</v>
      </c>
      <c r="AV74" s="39">
        <f>Inputs!AU33*Inputs!AV64</f>
        <v>104181</v>
      </c>
      <c r="AW74" s="39">
        <f>Inputs!AV33*Inputs!AW64</f>
        <v>108083.25</v>
      </c>
      <c r="AX74" s="39">
        <f>Inputs!AW33*Inputs!AX64</f>
        <v>111985.5</v>
      </c>
      <c r="AY74" s="39">
        <f>Inputs!AX33*Inputs!AY64</f>
        <v>115887.75</v>
      </c>
      <c r="AZ74" s="39">
        <f>Inputs!AY33*Inputs!AZ64</f>
        <v>119790</v>
      </c>
      <c r="BA74" s="39">
        <f>Inputs!AZ33*Inputs!BA64</f>
        <v>123692.25</v>
      </c>
      <c r="BB74" s="39">
        <f>Inputs!BA33*Inputs!BB64</f>
        <v>127594.5</v>
      </c>
      <c r="BC74" s="39">
        <f>Inputs!BB33*Inputs!BC64</f>
        <v>131496.75</v>
      </c>
      <c r="BD74" s="39">
        <f>Inputs!BC33*Inputs!BD64</f>
        <v>135399</v>
      </c>
      <c r="BE74" s="39">
        <f>Inputs!BD33*Inputs!BE64</f>
        <v>139301.25</v>
      </c>
      <c r="BF74" s="39">
        <f>Inputs!BE33*Inputs!BF64</f>
        <v>143203.5</v>
      </c>
      <c r="BG74" s="39">
        <f>Inputs!BF33*Inputs!BG64</f>
        <v>147922.5</v>
      </c>
      <c r="BH74" s="39">
        <f>Inputs!BG33*Inputs!BH64</f>
        <v>152641.5</v>
      </c>
      <c r="BI74" s="39">
        <f>Inputs!BH33*Inputs!BI64</f>
        <v>157360.5</v>
      </c>
      <c r="BJ74" s="39">
        <f>Inputs!BI33*Inputs!BJ64</f>
        <v>162079.5</v>
      </c>
      <c r="BK74" s="39">
        <f>Inputs!BJ33*Inputs!BK64</f>
        <v>166798.5</v>
      </c>
      <c r="BL74" s="39">
        <f>Inputs!BK33*Inputs!BL64</f>
        <v>171517.5</v>
      </c>
      <c r="BM74" s="39">
        <f>Inputs!BL33*Inputs!BM64</f>
        <v>176236.5</v>
      </c>
      <c r="BN74" s="39">
        <f>Inputs!BM33*Inputs!BN64</f>
        <v>180955.5</v>
      </c>
      <c r="BO74" s="39">
        <f>Inputs!BN33*Inputs!BO64</f>
        <v>185674.5</v>
      </c>
      <c r="BP74" s="39">
        <f>Inputs!BO33*Inputs!BP64</f>
        <v>190393.5</v>
      </c>
      <c r="BQ74" s="39">
        <f>Inputs!BP33*Inputs!BQ64</f>
        <v>195112.5</v>
      </c>
    </row>
    <row r="75" spans="2:69">
      <c r="B75" s="9"/>
      <c r="C75" s="9"/>
      <c r="D75" s="9"/>
      <c r="E75" s="9"/>
      <c r="F75" s="9"/>
      <c r="G75" s="9"/>
      <c r="H75" s="9"/>
      <c r="I75" s="9"/>
      <c r="J75" s="42"/>
      <c r="K75" s="42"/>
      <c r="L75" s="42"/>
      <c r="M75" s="42"/>
      <c r="N75" s="42"/>
      <c r="O75" s="42"/>
      <c r="P75" s="42"/>
      <c r="Q75" s="42"/>
      <c r="R75" s="42"/>
      <c r="S75" s="42"/>
      <c r="T75" s="42"/>
      <c r="U75" s="42"/>
      <c r="V75" s="42"/>
      <c r="W75" s="42"/>
      <c r="X75" s="42"/>
      <c r="Y75" s="42"/>
      <c r="Z75" s="42"/>
      <c r="AA75" s="42"/>
      <c r="AB75" s="42"/>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42"/>
      <c r="BE75" s="42"/>
      <c r="BF75" s="42"/>
      <c r="BG75" s="42"/>
      <c r="BH75" s="42"/>
      <c r="BI75" s="42"/>
      <c r="BJ75" s="42"/>
      <c r="BK75" s="42"/>
      <c r="BL75" s="42"/>
      <c r="BM75" s="42"/>
      <c r="BN75" s="42"/>
      <c r="BO75" s="42"/>
      <c r="BP75" s="42"/>
      <c r="BQ75" s="42"/>
    </row>
    <row r="76" spans="2:69">
      <c r="B76" s="4" t="s">
        <v>6</v>
      </c>
      <c r="J76" s="39">
        <f t="shared" ref="J76:BE76" si="52">SUM(J74:J75)</f>
        <v>0</v>
      </c>
      <c r="K76" s="39">
        <f t="shared" si="52"/>
        <v>0</v>
      </c>
      <c r="L76" s="39">
        <f t="shared" si="52"/>
        <v>0</v>
      </c>
      <c r="M76" s="39">
        <f t="shared" si="52"/>
        <v>0</v>
      </c>
      <c r="N76" s="39">
        <f t="shared" si="52"/>
        <v>0</v>
      </c>
      <c r="O76" s="39">
        <f t="shared" si="52"/>
        <v>0</v>
      </c>
      <c r="P76" s="39">
        <f t="shared" si="52"/>
        <v>0</v>
      </c>
      <c r="Q76" s="39">
        <f t="shared" si="52"/>
        <v>0</v>
      </c>
      <c r="R76" s="39">
        <f t="shared" si="52"/>
        <v>0</v>
      </c>
      <c r="S76" s="39">
        <f t="shared" si="52"/>
        <v>0</v>
      </c>
      <c r="T76" s="39">
        <f t="shared" si="52"/>
        <v>0</v>
      </c>
      <c r="U76" s="39">
        <f t="shared" si="52"/>
        <v>15000</v>
      </c>
      <c r="V76" s="39">
        <f t="shared" si="52"/>
        <v>15000</v>
      </c>
      <c r="W76" s="39">
        <f t="shared" si="52"/>
        <v>15000</v>
      </c>
      <c r="X76" s="39">
        <f t="shared" si="52"/>
        <v>24750</v>
      </c>
      <c r="Y76" s="39">
        <f t="shared" si="52"/>
        <v>27000</v>
      </c>
      <c r="Z76" s="39">
        <f t="shared" si="52"/>
        <v>29250</v>
      </c>
      <c r="AA76" s="39">
        <f t="shared" si="52"/>
        <v>31500</v>
      </c>
      <c r="AB76" s="39">
        <f t="shared" si="52"/>
        <v>33750</v>
      </c>
      <c r="AC76" s="39">
        <f t="shared" si="52"/>
        <v>36000</v>
      </c>
      <c r="AD76" s="39">
        <f t="shared" si="52"/>
        <v>38250</v>
      </c>
      <c r="AE76" s="39">
        <f t="shared" si="52"/>
        <v>40500</v>
      </c>
      <c r="AF76" s="39">
        <f t="shared" si="52"/>
        <v>42750</v>
      </c>
      <c r="AG76" s="39">
        <f t="shared" si="52"/>
        <v>45000</v>
      </c>
      <c r="AH76" s="39">
        <f t="shared" si="52"/>
        <v>51975</v>
      </c>
      <c r="AI76" s="39">
        <f t="shared" si="52"/>
        <v>54945</v>
      </c>
      <c r="AJ76" s="39">
        <f t="shared" si="52"/>
        <v>57915</v>
      </c>
      <c r="AK76" s="39">
        <f t="shared" si="52"/>
        <v>60885</v>
      </c>
      <c r="AL76" s="39">
        <f t="shared" si="52"/>
        <v>63855</v>
      </c>
      <c r="AM76" s="39">
        <f t="shared" si="52"/>
        <v>66825</v>
      </c>
      <c r="AN76" s="39">
        <f t="shared" si="52"/>
        <v>69795</v>
      </c>
      <c r="AO76" s="39">
        <f t="shared" si="52"/>
        <v>72765</v>
      </c>
      <c r="AP76" s="39">
        <f t="shared" si="52"/>
        <v>75735</v>
      </c>
      <c r="AQ76" s="39">
        <f t="shared" si="52"/>
        <v>78705</v>
      </c>
      <c r="AR76" s="39">
        <f t="shared" si="52"/>
        <v>81675</v>
      </c>
      <c r="AS76" s="39">
        <f t="shared" si="52"/>
        <v>84645</v>
      </c>
      <c r="AT76" s="39">
        <f t="shared" si="52"/>
        <v>96376.5</v>
      </c>
      <c r="AU76" s="39">
        <f t="shared" si="52"/>
        <v>100278.75</v>
      </c>
      <c r="AV76" s="39">
        <f t="shared" si="52"/>
        <v>104181</v>
      </c>
      <c r="AW76" s="39">
        <f t="shared" si="52"/>
        <v>108083.25</v>
      </c>
      <c r="AX76" s="39">
        <f t="shared" si="52"/>
        <v>111985.5</v>
      </c>
      <c r="AY76" s="39">
        <f t="shared" si="52"/>
        <v>115887.75</v>
      </c>
      <c r="AZ76" s="39">
        <f t="shared" si="52"/>
        <v>119790</v>
      </c>
      <c r="BA76" s="39">
        <f t="shared" si="52"/>
        <v>123692.25</v>
      </c>
      <c r="BB76" s="39">
        <f t="shared" si="52"/>
        <v>127594.5</v>
      </c>
      <c r="BC76" s="39">
        <f t="shared" si="52"/>
        <v>131496.75</v>
      </c>
      <c r="BD76" s="39">
        <f t="shared" si="52"/>
        <v>135399</v>
      </c>
      <c r="BE76" s="39">
        <f t="shared" si="52"/>
        <v>139301.25</v>
      </c>
      <c r="BF76" s="39">
        <f t="shared" ref="BF76:BQ76" si="53">SUM(BF74:BF75)</f>
        <v>143203.5</v>
      </c>
      <c r="BG76" s="39">
        <f t="shared" si="53"/>
        <v>147922.5</v>
      </c>
      <c r="BH76" s="39">
        <f t="shared" si="53"/>
        <v>152641.5</v>
      </c>
      <c r="BI76" s="39">
        <f t="shared" si="53"/>
        <v>157360.5</v>
      </c>
      <c r="BJ76" s="39">
        <f t="shared" si="53"/>
        <v>162079.5</v>
      </c>
      <c r="BK76" s="39">
        <f t="shared" si="53"/>
        <v>166798.5</v>
      </c>
      <c r="BL76" s="39">
        <f t="shared" si="53"/>
        <v>171517.5</v>
      </c>
      <c r="BM76" s="39">
        <f t="shared" si="53"/>
        <v>176236.5</v>
      </c>
      <c r="BN76" s="39">
        <f t="shared" si="53"/>
        <v>180955.5</v>
      </c>
      <c r="BO76" s="39">
        <f t="shared" si="53"/>
        <v>185674.5</v>
      </c>
      <c r="BP76" s="39">
        <f t="shared" si="53"/>
        <v>190393.5</v>
      </c>
      <c r="BQ76" s="39">
        <f t="shared" si="53"/>
        <v>195112.5</v>
      </c>
    </row>
    <row r="77" spans="2:6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row>
    <row r="78" spans="2:69">
      <c r="B78" s="4" t="s">
        <v>272</v>
      </c>
      <c r="J78" s="39">
        <f>Inputs!J37*Inputs!J71</f>
        <v>0</v>
      </c>
      <c r="K78" s="39">
        <f>Inputs!K37*Inputs!K71</f>
        <v>0</v>
      </c>
      <c r="L78" s="39">
        <f>Inputs!L37*Inputs!L71</f>
        <v>0</v>
      </c>
      <c r="M78" s="39">
        <f>Inputs!M37*Inputs!M71</f>
        <v>0</v>
      </c>
      <c r="N78" s="39">
        <f>Inputs!N37*Inputs!N71</f>
        <v>0</v>
      </c>
      <c r="O78" s="39">
        <f>Inputs!O37*Inputs!O71</f>
        <v>0</v>
      </c>
      <c r="P78" s="39">
        <f>Inputs!P37*Inputs!P71</f>
        <v>0</v>
      </c>
      <c r="Q78" s="39">
        <f>Inputs!Q37*Inputs!Q71</f>
        <v>0</v>
      </c>
      <c r="R78" s="39">
        <f>Inputs!R37*Inputs!R71</f>
        <v>0</v>
      </c>
      <c r="S78" s="39">
        <f>Inputs!S37*Inputs!S71</f>
        <v>0</v>
      </c>
      <c r="T78" s="39">
        <f>Inputs!T37*Inputs!T71</f>
        <v>2000</v>
      </c>
      <c r="U78" s="39">
        <f>Inputs!U37*Inputs!U71</f>
        <v>4000</v>
      </c>
      <c r="V78" s="39">
        <f>Inputs!V37*Inputs!V71</f>
        <v>6000</v>
      </c>
      <c r="W78" s="39">
        <f>Inputs!W37*Inputs!W71</f>
        <v>8000</v>
      </c>
      <c r="X78" s="39">
        <f>Inputs!X37*Inputs!X71</f>
        <v>10000</v>
      </c>
      <c r="Y78" s="39">
        <f>Inputs!Y37*Inputs!Y71</f>
        <v>12000</v>
      </c>
      <c r="Z78" s="39">
        <f>Inputs!Z37*Inputs!Z71</f>
        <v>14000</v>
      </c>
      <c r="AA78" s="39">
        <f>Inputs!AA37*Inputs!AA71</f>
        <v>16000</v>
      </c>
      <c r="AB78" s="39">
        <f>Inputs!AB37*Inputs!AB71</f>
        <v>18000</v>
      </c>
      <c r="AC78" s="39">
        <f>Inputs!AC37*Inputs!AC71</f>
        <v>20000</v>
      </c>
      <c r="AD78" s="39">
        <f>Inputs!AD37*Inputs!AD71</f>
        <v>22000</v>
      </c>
      <c r="AE78" s="39">
        <f>Inputs!AE37*Inputs!AE71</f>
        <v>24000</v>
      </c>
      <c r="AF78" s="39">
        <f>Inputs!AF37*Inputs!AF71</f>
        <v>26000</v>
      </c>
      <c r="AG78" s="39">
        <f>Inputs!AG37*Inputs!AG71</f>
        <v>28000</v>
      </c>
      <c r="AH78" s="39">
        <f>Inputs!AH37*Inputs!AH71</f>
        <v>33440</v>
      </c>
      <c r="AI78" s="39">
        <f>Inputs!AI37*Inputs!AI71</f>
        <v>36080</v>
      </c>
      <c r="AJ78" s="39">
        <f>Inputs!AJ37*Inputs!AJ71</f>
        <v>38720</v>
      </c>
      <c r="AK78" s="39">
        <f>Inputs!AK37*Inputs!AK71</f>
        <v>41360</v>
      </c>
      <c r="AL78" s="39">
        <f>Inputs!AL37*Inputs!AL71</f>
        <v>44000</v>
      </c>
      <c r="AM78" s="39">
        <f>Inputs!AM37*Inputs!AM71</f>
        <v>46640</v>
      </c>
      <c r="AN78" s="39">
        <f>Inputs!AN37*Inputs!AN71</f>
        <v>49280</v>
      </c>
      <c r="AO78" s="39">
        <f>Inputs!AO37*Inputs!AO71</f>
        <v>51920</v>
      </c>
      <c r="AP78" s="39">
        <f>Inputs!AP37*Inputs!AP71</f>
        <v>54560</v>
      </c>
      <c r="AQ78" s="39">
        <f>Inputs!AQ37*Inputs!AQ71</f>
        <v>57200</v>
      </c>
      <c r="AR78" s="39">
        <f>Inputs!AR37*Inputs!AR71</f>
        <v>59840</v>
      </c>
      <c r="AS78" s="39">
        <f>Inputs!AS37*Inputs!AS71</f>
        <v>62480</v>
      </c>
      <c r="AT78" s="39">
        <f>Inputs!AT37*Inputs!AT71</f>
        <v>72116</v>
      </c>
      <c r="AU78" s="39">
        <f>Inputs!AU37*Inputs!AU71</f>
        <v>75504</v>
      </c>
      <c r="AV78" s="39">
        <f>Inputs!AV37*Inputs!AV71</f>
        <v>78892</v>
      </c>
      <c r="AW78" s="39">
        <f>Inputs!AW37*Inputs!AW71</f>
        <v>82280</v>
      </c>
      <c r="AX78" s="39">
        <f>Inputs!AX37*Inputs!AX71</f>
        <v>85668</v>
      </c>
      <c r="AY78" s="39">
        <f>Inputs!AY37*Inputs!AY71</f>
        <v>89056</v>
      </c>
      <c r="AZ78" s="39">
        <f>Inputs!AZ37*Inputs!AZ71</f>
        <v>92444</v>
      </c>
      <c r="BA78" s="39">
        <f>Inputs!BA37*Inputs!BA71</f>
        <v>95832</v>
      </c>
      <c r="BB78" s="39">
        <f>Inputs!BB37*Inputs!BB71</f>
        <v>99220</v>
      </c>
      <c r="BC78" s="39">
        <f>Inputs!BC37*Inputs!BC71</f>
        <v>102608</v>
      </c>
      <c r="BD78" s="39">
        <f>Inputs!BD37*Inputs!BD71</f>
        <v>105996</v>
      </c>
      <c r="BE78" s="39">
        <f>Inputs!BE37*Inputs!BE71</f>
        <v>109384</v>
      </c>
      <c r="BF78" s="39">
        <f>Inputs!BF37*Inputs!BF71</f>
        <v>113256</v>
      </c>
      <c r="BG78" s="39">
        <f>Inputs!BG37*Inputs!BG71</f>
        <v>117128</v>
      </c>
      <c r="BH78" s="39">
        <f>Inputs!BH37*Inputs!BH71</f>
        <v>121000</v>
      </c>
      <c r="BI78" s="39">
        <f>Inputs!BI37*Inputs!BI71</f>
        <v>124872</v>
      </c>
      <c r="BJ78" s="39">
        <f>Inputs!BJ37*Inputs!BJ71</f>
        <v>128744</v>
      </c>
      <c r="BK78" s="39">
        <f>Inputs!BK37*Inputs!BK71</f>
        <v>132616</v>
      </c>
      <c r="BL78" s="39">
        <f>Inputs!BL37*Inputs!BL71</f>
        <v>136488</v>
      </c>
      <c r="BM78" s="39">
        <f>Inputs!BM37*Inputs!BM71</f>
        <v>140360</v>
      </c>
      <c r="BN78" s="39">
        <f>Inputs!BN37*Inputs!BN71</f>
        <v>144232</v>
      </c>
      <c r="BO78" s="39">
        <f>Inputs!BO37*Inputs!BO71</f>
        <v>148104</v>
      </c>
      <c r="BP78" s="39">
        <f>Inputs!BP37*Inputs!BP71</f>
        <v>151976</v>
      </c>
      <c r="BQ78" s="39">
        <f>Inputs!BQ37*Inputs!BQ71</f>
        <v>155848</v>
      </c>
    </row>
    <row r="79" spans="2:69">
      <c r="B79" s="9"/>
      <c r="C79" s="9"/>
      <c r="D79" s="9"/>
      <c r="E79" s="9"/>
      <c r="F79" s="9"/>
      <c r="G79" s="9"/>
      <c r="H79" s="9"/>
      <c r="I79" s="9"/>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42"/>
      <c r="BE79" s="42"/>
      <c r="BF79" s="42"/>
      <c r="BG79" s="42"/>
      <c r="BH79" s="42"/>
      <c r="BI79" s="42"/>
      <c r="BJ79" s="42"/>
      <c r="BK79" s="42"/>
      <c r="BL79" s="42"/>
      <c r="BM79" s="42"/>
      <c r="BN79" s="42"/>
      <c r="BO79" s="42"/>
      <c r="BP79" s="42"/>
      <c r="BQ79" s="42"/>
    </row>
    <row r="80" spans="2:69">
      <c r="B80" s="4" t="s">
        <v>6</v>
      </c>
      <c r="J80" s="39">
        <f t="shared" ref="J80:BE80" si="54">SUM(J78:J79)</f>
        <v>0</v>
      </c>
      <c r="K80" s="39">
        <f t="shared" si="54"/>
        <v>0</v>
      </c>
      <c r="L80" s="39">
        <f t="shared" si="54"/>
        <v>0</v>
      </c>
      <c r="M80" s="39">
        <f t="shared" si="54"/>
        <v>0</v>
      </c>
      <c r="N80" s="39">
        <f t="shared" si="54"/>
        <v>0</v>
      </c>
      <c r="O80" s="39">
        <f t="shared" si="54"/>
        <v>0</v>
      </c>
      <c r="P80" s="39">
        <f t="shared" si="54"/>
        <v>0</v>
      </c>
      <c r="Q80" s="39">
        <f t="shared" si="54"/>
        <v>0</v>
      </c>
      <c r="R80" s="39">
        <f t="shared" si="54"/>
        <v>0</v>
      </c>
      <c r="S80" s="39">
        <f t="shared" si="54"/>
        <v>0</v>
      </c>
      <c r="T80" s="39">
        <f t="shared" si="54"/>
        <v>2000</v>
      </c>
      <c r="U80" s="39">
        <f t="shared" si="54"/>
        <v>4000</v>
      </c>
      <c r="V80" s="39">
        <f t="shared" si="54"/>
        <v>6000</v>
      </c>
      <c r="W80" s="39">
        <f t="shared" si="54"/>
        <v>8000</v>
      </c>
      <c r="X80" s="39">
        <f t="shared" si="54"/>
        <v>10000</v>
      </c>
      <c r="Y80" s="39">
        <f t="shared" si="54"/>
        <v>12000</v>
      </c>
      <c r="Z80" s="39">
        <f t="shared" si="54"/>
        <v>14000</v>
      </c>
      <c r="AA80" s="39">
        <f t="shared" si="54"/>
        <v>16000</v>
      </c>
      <c r="AB80" s="39">
        <f t="shared" si="54"/>
        <v>18000</v>
      </c>
      <c r="AC80" s="39">
        <f t="shared" si="54"/>
        <v>20000</v>
      </c>
      <c r="AD80" s="39">
        <f t="shared" si="54"/>
        <v>22000</v>
      </c>
      <c r="AE80" s="39">
        <f t="shared" si="54"/>
        <v>24000</v>
      </c>
      <c r="AF80" s="39">
        <f t="shared" si="54"/>
        <v>26000</v>
      </c>
      <c r="AG80" s="39">
        <f t="shared" si="54"/>
        <v>28000</v>
      </c>
      <c r="AH80" s="39">
        <f t="shared" si="54"/>
        <v>33440</v>
      </c>
      <c r="AI80" s="39">
        <f t="shared" si="54"/>
        <v>36080</v>
      </c>
      <c r="AJ80" s="39">
        <f t="shared" si="54"/>
        <v>38720</v>
      </c>
      <c r="AK80" s="39">
        <f t="shared" si="54"/>
        <v>41360</v>
      </c>
      <c r="AL80" s="39">
        <f t="shared" si="54"/>
        <v>44000</v>
      </c>
      <c r="AM80" s="39">
        <f t="shared" si="54"/>
        <v>46640</v>
      </c>
      <c r="AN80" s="39">
        <f t="shared" si="54"/>
        <v>49280</v>
      </c>
      <c r="AO80" s="39">
        <f t="shared" si="54"/>
        <v>51920</v>
      </c>
      <c r="AP80" s="39">
        <f t="shared" si="54"/>
        <v>54560</v>
      </c>
      <c r="AQ80" s="39">
        <f t="shared" si="54"/>
        <v>57200</v>
      </c>
      <c r="AR80" s="39">
        <f t="shared" si="54"/>
        <v>59840</v>
      </c>
      <c r="AS80" s="39">
        <f t="shared" si="54"/>
        <v>62480</v>
      </c>
      <c r="AT80" s="39">
        <f t="shared" si="54"/>
        <v>72116</v>
      </c>
      <c r="AU80" s="39">
        <f t="shared" si="54"/>
        <v>75504</v>
      </c>
      <c r="AV80" s="39">
        <f t="shared" si="54"/>
        <v>78892</v>
      </c>
      <c r="AW80" s="39">
        <f t="shared" si="54"/>
        <v>82280</v>
      </c>
      <c r="AX80" s="39">
        <f t="shared" si="54"/>
        <v>85668</v>
      </c>
      <c r="AY80" s="39">
        <f t="shared" si="54"/>
        <v>89056</v>
      </c>
      <c r="AZ80" s="39">
        <f t="shared" si="54"/>
        <v>92444</v>
      </c>
      <c r="BA80" s="39">
        <f t="shared" si="54"/>
        <v>95832</v>
      </c>
      <c r="BB80" s="39">
        <f t="shared" si="54"/>
        <v>99220</v>
      </c>
      <c r="BC80" s="39">
        <f t="shared" si="54"/>
        <v>102608</v>
      </c>
      <c r="BD80" s="39">
        <f t="shared" si="54"/>
        <v>105996</v>
      </c>
      <c r="BE80" s="39">
        <f t="shared" si="54"/>
        <v>109384</v>
      </c>
      <c r="BF80" s="39">
        <f t="shared" ref="BF80:BQ80" si="55">SUM(BF78:BF79)</f>
        <v>113256</v>
      </c>
      <c r="BG80" s="39">
        <f t="shared" si="55"/>
        <v>117128</v>
      </c>
      <c r="BH80" s="39">
        <f t="shared" si="55"/>
        <v>121000</v>
      </c>
      <c r="BI80" s="39">
        <f t="shared" si="55"/>
        <v>124872</v>
      </c>
      <c r="BJ80" s="39">
        <f t="shared" si="55"/>
        <v>128744</v>
      </c>
      <c r="BK80" s="39">
        <f t="shared" si="55"/>
        <v>132616</v>
      </c>
      <c r="BL80" s="39">
        <f t="shared" si="55"/>
        <v>136488</v>
      </c>
      <c r="BM80" s="39">
        <f t="shared" si="55"/>
        <v>140360</v>
      </c>
      <c r="BN80" s="39">
        <f t="shared" si="55"/>
        <v>144232</v>
      </c>
      <c r="BO80" s="39">
        <f t="shared" si="55"/>
        <v>148104</v>
      </c>
      <c r="BP80" s="39">
        <f t="shared" si="55"/>
        <v>151976</v>
      </c>
      <c r="BQ80" s="39">
        <f t="shared" si="55"/>
        <v>155848</v>
      </c>
    </row>
    <row r="82" spans="2:69">
      <c r="B82" s="4" t="s">
        <v>273</v>
      </c>
      <c r="J82" s="39">
        <f>Inputs!I37*Inputs!J72</f>
        <v>0</v>
      </c>
      <c r="K82" s="39">
        <f>Inputs!J37*Inputs!K72</f>
        <v>0</v>
      </c>
      <c r="L82" s="39">
        <f>Inputs!K37*Inputs!L72</f>
        <v>0</v>
      </c>
      <c r="M82" s="39">
        <f>Inputs!L37*Inputs!M72</f>
        <v>0</v>
      </c>
      <c r="N82" s="39">
        <f>Inputs!M37*Inputs!N72</f>
        <v>0</v>
      </c>
      <c r="O82" s="39">
        <f>Inputs!N37*Inputs!O72</f>
        <v>0</v>
      </c>
      <c r="P82" s="39">
        <f>Inputs!O37*Inputs!P72</f>
        <v>0</v>
      </c>
      <c r="Q82" s="39">
        <f>Inputs!P37*Inputs!Q72</f>
        <v>0</v>
      </c>
      <c r="R82" s="39">
        <f>Inputs!Q37*Inputs!R72</f>
        <v>0</v>
      </c>
      <c r="S82" s="39">
        <f>Inputs!R37*Inputs!S72</f>
        <v>0</v>
      </c>
      <c r="T82" s="39">
        <f>Inputs!S37*Inputs!T72</f>
        <v>0</v>
      </c>
      <c r="U82" s="39">
        <f>Inputs!T37*Inputs!U72</f>
        <v>1000</v>
      </c>
      <c r="V82" s="39">
        <f>Inputs!U37*Inputs!V72</f>
        <v>2000</v>
      </c>
      <c r="W82" s="39">
        <f>Inputs!V37*Inputs!W72</f>
        <v>3000</v>
      </c>
      <c r="X82" s="39">
        <f>Inputs!W37*Inputs!X72</f>
        <v>4000</v>
      </c>
      <c r="Y82" s="39">
        <f>Inputs!X37*Inputs!Y72</f>
        <v>5000</v>
      </c>
      <c r="Z82" s="39">
        <f>Inputs!Y37*Inputs!Z72</f>
        <v>6000</v>
      </c>
      <c r="AA82" s="39">
        <f>Inputs!Z37*Inputs!AA72</f>
        <v>7000</v>
      </c>
      <c r="AB82" s="39">
        <f>Inputs!AA37*Inputs!AB72</f>
        <v>8000</v>
      </c>
      <c r="AC82" s="39">
        <f>Inputs!AB37*Inputs!AC72</f>
        <v>9000</v>
      </c>
      <c r="AD82" s="39">
        <f>Inputs!AC37*Inputs!AD72</f>
        <v>10000</v>
      </c>
      <c r="AE82" s="39">
        <f>Inputs!AD37*Inputs!AE72</f>
        <v>11000</v>
      </c>
      <c r="AF82" s="39">
        <f>Inputs!AE37*Inputs!AF72</f>
        <v>12000</v>
      </c>
      <c r="AG82" s="39">
        <f>Inputs!AF37*Inputs!AG72</f>
        <v>13000</v>
      </c>
      <c r="AH82" s="39">
        <f>Inputs!AG37*Inputs!AH72</f>
        <v>15400</v>
      </c>
      <c r="AI82" s="39">
        <f>Inputs!AH37*Inputs!AI72</f>
        <v>16720</v>
      </c>
      <c r="AJ82" s="39">
        <f>Inputs!AI37*Inputs!AJ72</f>
        <v>18040</v>
      </c>
      <c r="AK82" s="39">
        <f>Inputs!AJ37*Inputs!AK72</f>
        <v>19360</v>
      </c>
      <c r="AL82" s="39">
        <f>Inputs!AK37*Inputs!AL72</f>
        <v>20680</v>
      </c>
      <c r="AM82" s="39">
        <f>Inputs!AL37*Inputs!AM72</f>
        <v>22000</v>
      </c>
      <c r="AN82" s="39">
        <f>Inputs!AM37*Inputs!AN72</f>
        <v>23320</v>
      </c>
      <c r="AO82" s="39">
        <f>Inputs!AN37*Inputs!AO72</f>
        <v>24640</v>
      </c>
      <c r="AP82" s="39">
        <f>Inputs!AO37*Inputs!AP72</f>
        <v>25960</v>
      </c>
      <c r="AQ82" s="39">
        <f>Inputs!AP37*Inputs!AQ72</f>
        <v>27280</v>
      </c>
      <c r="AR82" s="39">
        <f>Inputs!AQ37*Inputs!AR72</f>
        <v>28600</v>
      </c>
      <c r="AS82" s="39">
        <f>Inputs!AR37*Inputs!AS72</f>
        <v>29920</v>
      </c>
      <c r="AT82" s="39">
        <f>Inputs!AS37*Inputs!AT72</f>
        <v>34364</v>
      </c>
      <c r="AU82" s="39">
        <f>Inputs!AT37*Inputs!AU72</f>
        <v>36058</v>
      </c>
      <c r="AV82" s="39">
        <f>Inputs!AU37*Inputs!AV72</f>
        <v>37752</v>
      </c>
      <c r="AW82" s="39">
        <f>Inputs!AV37*Inputs!AW72</f>
        <v>39446</v>
      </c>
      <c r="AX82" s="39">
        <f>Inputs!AW37*Inputs!AX72</f>
        <v>41140</v>
      </c>
      <c r="AY82" s="39">
        <f>Inputs!AX37*Inputs!AY72</f>
        <v>42834</v>
      </c>
      <c r="AZ82" s="39">
        <f>Inputs!AY37*Inputs!AZ72</f>
        <v>44528</v>
      </c>
      <c r="BA82" s="39">
        <f>Inputs!AZ37*Inputs!BA72</f>
        <v>46222</v>
      </c>
      <c r="BB82" s="39">
        <f>Inputs!BA37*Inputs!BB72</f>
        <v>47916</v>
      </c>
      <c r="BC82" s="39">
        <f>Inputs!BB37*Inputs!BC72</f>
        <v>49610</v>
      </c>
      <c r="BD82" s="39">
        <f>Inputs!BC37*Inputs!BD72</f>
        <v>51304</v>
      </c>
      <c r="BE82" s="39">
        <f>Inputs!BD37*Inputs!BE72</f>
        <v>52998</v>
      </c>
      <c r="BF82" s="39">
        <f>Inputs!BE37*Inputs!BF72</f>
        <v>54692</v>
      </c>
      <c r="BG82" s="39">
        <f>Inputs!BF37*Inputs!BG72</f>
        <v>56628</v>
      </c>
      <c r="BH82" s="39">
        <f>Inputs!BG37*Inputs!BH72</f>
        <v>58564</v>
      </c>
      <c r="BI82" s="39">
        <f>Inputs!BH37*Inputs!BI72</f>
        <v>60500</v>
      </c>
      <c r="BJ82" s="39">
        <f>Inputs!BI37*Inputs!BJ72</f>
        <v>62436</v>
      </c>
      <c r="BK82" s="39">
        <f>Inputs!BJ37*Inputs!BK72</f>
        <v>64372</v>
      </c>
      <c r="BL82" s="39">
        <f>Inputs!BK37*Inputs!BL72</f>
        <v>66308</v>
      </c>
      <c r="BM82" s="39">
        <f>Inputs!BL37*Inputs!BM72</f>
        <v>68244</v>
      </c>
      <c r="BN82" s="39">
        <f>Inputs!BM37*Inputs!BN72</f>
        <v>70180</v>
      </c>
      <c r="BO82" s="39">
        <f>Inputs!BN37*Inputs!BO72</f>
        <v>72116</v>
      </c>
      <c r="BP82" s="39">
        <f>Inputs!BO37*Inputs!BP72</f>
        <v>74052</v>
      </c>
      <c r="BQ82" s="39">
        <f>Inputs!BP37*Inputs!BQ72</f>
        <v>75988</v>
      </c>
    </row>
    <row r="83" spans="2:69">
      <c r="B83" s="9"/>
      <c r="C83" s="9"/>
      <c r="D83" s="9"/>
      <c r="E83" s="9"/>
      <c r="F83" s="9"/>
      <c r="G83" s="9"/>
      <c r="H83" s="9"/>
      <c r="I83" s="9"/>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row>
    <row r="84" spans="2:69">
      <c r="B84" s="4" t="s">
        <v>6</v>
      </c>
      <c r="J84" s="39">
        <f t="shared" ref="J84:BE84" si="56">SUM(J82:J83)</f>
        <v>0</v>
      </c>
      <c r="K84" s="39">
        <f t="shared" si="56"/>
        <v>0</v>
      </c>
      <c r="L84" s="39">
        <f t="shared" si="56"/>
        <v>0</v>
      </c>
      <c r="M84" s="39">
        <f t="shared" si="56"/>
        <v>0</v>
      </c>
      <c r="N84" s="39">
        <f t="shared" si="56"/>
        <v>0</v>
      </c>
      <c r="O84" s="39">
        <f t="shared" si="56"/>
        <v>0</v>
      </c>
      <c r="P84" s="39">
        <f t="shared" si="56"/>
        <v>0</v>
      </c>
      <c r="Q84" s="39">
        <f t="shared" si="56"/>
        <v>0</v>
      </c>
      <c r="R84" s="39">
        <f t="shared" si="56"/>
        <v>0</v>
      </c>
      <c r="S84" s="39">
        <f t="shared" si="56"/>
        <v>0</v>
      </c>
      <c r="T84" s="39">
        <f t="shared" si="56"/>
        <v>0</v>
      </c>
      <c r="U84" s="39">
        <f t="shared" si="56"/>
        <v>1000</v>
      </c>
      <c r="V84" s="39">
        <f t="shared" si="56"/>
        <v>2000</v>
      </c>
      <c r="W84" s="39">
        <f t="shared" si="56"/>
        <v>3000</v>
      </c>
      <c r="X84" s="39">
        <f t="shared" si="56"/>
        <v>4000</v>
      </c>
      <c r="Y84" s="39">
        <f t="shared" si="56"/>
        <v>5000</v>
      </c>
      <c r="Z84" s="39">
        <f t="shared" si="56"/>
        <v>6000</v>
      </c>
      <c r="AA84" s="39">
        <f t="shared" si="56"/>
        <v>7000</v>
      </c>
      <c r="AB84" s="39">
        <f t="shared" si="56"/>
        <v>8000</v>
      </c>
      <c r="AC84" s="39">
        <f t="shared" si="56"/>
        <v>9000</v>
      </c>
      <c r="AD84" s="39">
        <f t="shared" si="56"/>
        <v>10000</v>
      </c>
      <c r="AE84" s="39">
        <f t="shared" si="56"/>
        <v>11000</v>
      </c>
      <c r="AF84" s="39">
        <f t="shared" si="56"/>
        <v>12000</v>
      </c>
      <c r="AG84" s="39">
        <f t="shared" si="56"/>
        <v>13000</v>
      </c>
      <c r="AH84" s="39">
        <f t="shared" si="56"/>
        <v>15400</v>
      </c>
      <c r="AI84" s="39">
        <f t="shared" si="56"/>
        <v>16720</v>
      </c>
      <c r="AJ84" s="39">
        <f t="shared" si="56"/>
        <v>18040</v>
      </c>
      <c r="AK84" s="39">
        <f t="shared" si="56"/>
        <v>19360</v>
      </c>
      <c r="AL84" s="39">
        <f t="shared" si="56"/>
        <v>20680</v>
      </c>
      <c r="AM84" s="39">
        <f t="shared" si="56"/>
        <v>22000</v>
      </c>
      <c r="AN84" s="39">
        <f t="shared" si="56"/>
        <v>23320</v>
      </c>
      <c r="AO84" s="39">
        <f t="shared" si="56"/>
        <v>24640</v>
      </c>
      <c r="AP84" s="39">
        <f t="shared" si="56"/>
        <v>25960</v>
      </c>
      <c r="AQ84" s="39">
        <f t="shared" si="56"/>
        <v>27280</v>
      </c>
      <c r="AR84" s="39">
        <f t="shared" si="56"/>
        <v>28600</v>
      </c>
      <c r="AS84" s="39">
        <f t="shared" si="56"/>
        <v>29920</v>
      </c>
      <c r="AT84" s="39">
        <f t="shared" si="56"/>
        <v>34364</v>
      </c>
      <c r="AU84" s="39">
        <f t="shared" si="56"/>
        <v>36058</v>
      </c>
      <c r="AV84" s="39">
        <f t="shared" si="56"/>
        <v>37752</v>
      </c>
      <c r="AW84" s="39">
        <f t="shared" si="56"/>
        <v>39446</v>
      </c>
      <c r="AX84" s="39">
        <f t="shared" si="56"/>
        <v>41140</v>
      </c>
      <c r="AY84" s="39">
        <f t="shared" si="56"/>
        <v>42834</v>
      </c>
      <c r="AZ84" s="39">
        <f t="shared" si="56"/>
        <v>44528</v>
      </c>
      <c r="BA84" s="39">
        <f t="shared" si="56"/>
        <v>46222</v>
      </c>
      <c r="BB84" s="39">
        <f t="shared" si="56"/>
        <v>47916</v>
      </c>
      <c r="BC84" s="39">
        <f t="shared" si="56"/>
        <v>49610</v>
      </c>
      <c r="BD84" s="39">
        <f t="shared" si="56"/>
        <v>51304</v>
      </c>
      <c r="BE84" s="39">
        <f t="shared" si="56"/>
        <v>52998</v>
      </c>
      <c r="BF84" s="39">
        <f t="shared" ref="BF84:BQ84" si="57">SUM(BF82:BF83)</f>
        <v>54692</v>
      </c>
      <c r="BG84" s="39">
        <f t="shared" si="57"/>
        <v>56628</v>
      </c>
      <c r="BH84" s="39">
        <f t="shared" si="57"/>
        <v>58564</v>
      </c>
      <c r="BI84" s="39">
        <f t="shared" si="57"/>
        <v>60500</v>
      </c>
      <c r="BJ84" s="39">
        <f t="shared" si="57"/>
        <v>62436</v>
      </c>
      <c r="BK84" s="39">
        <f t="shared" si="57"/>
        <v>64372</v>
      </c>
      <c r="BL84" s="39">
        <f t="shared" si="57"/>
        <v>66308</v>
      </c>
      <c r="BM84" s="39">
        <f t="shared" si="57"/>
        <v>68244</v>
      </c>
      <c r="BN84" s="39">
        <f t="shared" si="57"/>
        <v>70180</v>
      </c>
      <c r="BO84" s="39">
        <f t="shared" si="57"/>
        <v>72116</v>
      </c>
      <c r="BP84" s="39">
        <f t="shared" si="57"/>
        <v>74052</v>
      </c>
      <c r="BQ84" s="39">
        <f t="shared" si="57"/>
        <v>75988</v>
      </c>
    </row>
    <row r="86" spans="2:69">
      <c r="B86" s="4" t="s">
        <v>277</v>
      </c>
      <c r="J86" s="39">
        <f>Inputs!J41*Inputs!J78</f>
        <v>0</v>
      </c>
      <c r="K86" s="39">
        <f>Inputs!K41*Inputs!K78</f>
        <v>0</v>
      </c>
      <c r="L86" s="39">
        <f>Inputs!L41*Inputs!L78</f>
        <v>0</v>
      </c>
      <c r="M86" s="39">
        <f>Inputs!M41*Inputs!M78</f>
        <v>0</v>
      </c>
      <c r="N86" s="39">
        <f>Inputs!N41*Inputs!N78</f>
        <v>0</v>
      </c>
      <c r="O86" s="39">
        <f>Inputs!O41*Inputs!O78</f>
        <v>0</v>
      </c>
      <c r="P86" s="39">
        <f>Inputs!P41*Inputs!P78</f>
        <v>0</v>
      </c>
      <c r="Q86" s="39">
        <f>Inputs!Q41*Inputs!Q78</f>
        <v>0</v>
      </c>
      <c r="R86" s="39">
        <f>Inputs!R41*Inputs!R78</f>
        <v>0</v>
      </c>
      <c r="S86" s="39">
        <f>Inputs!S41*Inputs!S78</f>
        <v>250</v>
      </c>
      <c r="T86" s="39">
        <f>Inputs!T41*Inputs!T78</f>
        <v>1500</v>
      </c>
      <c r="U86" s="39">
        <f>Inputs!U41*Inputs!U78</f>
        <v>2750</v>
      </c>
      <c r="V86" s="39">
        <f>Inputs!V41*Inputs!V78</f>
        <v>4000</v>
      </c>
      <c r="W86" s="39">
        <f>Inputs!W41*Inputs!W78</f>
        <v>6500</v>
      </c>
      <c r="X86" s="39">
        <f>Inputs!X41*Inputs!X78</f>
        <v>9000</v>
      </c>
      <c r="Y86" s="39">
        <f>Inputs!Y41*Inputs!Y78</f>
        <v>11500</v>
      </c>
      <c r="Z86" s="39">
        <f>Inputs!Z41*Inputs!Z78</f>
        <v>14000</v>
      </c>
      <c r="AA86" s="39">
        <f>Inputs!AA41*Inputs!AA78</f>
        <v>16500</v>
      </c>
      <c r="AB86" s="39">
        <f>Inputs!AB41*Inputs!AB78</f>
        <v>19000</v>
      </c>
      <c r="AC86" s="39">
        <f>Inputs!AC41*Inputs!AC78</f>
        <v>21500</v>
      </c>
      <c r="AD86" s="39">
        <f>Inputs!AD41*Inputs!AD78</f>
        <v>24000</v>
      </c>
      <c r="AE86" s="39">
        <f>Inputs!AE41*Inputs!AE78</f>
        <v>26500</v>
      </c>
      <c r="AF86" s="39">
        <f>Inputs!AF41*Inputs!AF78</f>
        <v>29000</v>
      </c>
      <c r="AG86" s="39">
        <f>Inputs!AG41*Inputs!AG78</f>
        <v>31500</v>
      </c>
      <c r="AH86" s="39">
        <f>Inputs!AH41*Inputs!AH78</f>
        <v>37950</v>
      </c>
      <c r="AI86" s="39">
        <f>Inputs!AI41*Inputs!AI78</f>
        <v>41250</v>
      </c>
      <c r="AJ86" s="39">
        <f>Inputs!AJ41*Inputs!AJ78</f>
        <v>44550</v>
      </c>
      <c r="AK86" s="39">
        <f>Inputs!AK41*Inputs!AK78</f>
        <v>47850</v>
      </c>
      <c r="AL86" s="39">
        <f>Inputs!AL41*Inputs!AL78</f>
        <v>51150</v>
      </c>
      <c r="AM86" s="39">
        <f>Inputs!AM41*Inputs!AM78</f>
        <v>54450</v>
      </c>
      <c r="AN86" s="39">
        <f>Inputs!AN41*Inputs!AN78</f>
        <v>57750</v>
      </c>
      <c r="AO86" s="39">
        <f>Inputs!AO41*Inputs!AO78</f>
        <v>61050</v>
      </c>
      <c r="AP86" s="39">
        <f>Inputs!AP41*Inputs!AP78</f>
        <v>64350</v>
      </c>
      <c r="AQ86" s="39">
        <f>Inputs!AQ41*Inputs!AQ78</f>
        <v>67650</v>
      </c>
      <c r="AR86" s="39">
        <f>Inputs!AR41*Inputs!AR78</f>
        <v>70950</v>
      </c>
      <c r="AS86" s="39">
        <f>Inputs!AS41*Inputs!AS78</f>
        <v>74250</v>
      </c>
      <c r="AT86" s="39">
        <f>Inputs!AT41*Inputs!AT78</f>
        <v>85910</v>
      </c>
      <c r="AU86" s="39">
        <f>Inputs!AU41*Inputs!AU78</f>
        <v>90145</v>
      </c>
      <c r="AV86" s="39">
        <f>Inputs!AV41*Inputs!AV78</f>
        <v>94380</v>
      </c>
      <c r="AW86" s="39">
        <f>Inputs!AW41*Inputs!AW78</f>
        <v>98615</v>
      </c>
      <c r="AX86" s="39">
        <f>Inputs!AX41*Inputs!AX78</f>
        <v>102850</v>
      </c>
      <c r="AY86" s="39">
        <f>Inputs!AY41*Inputs!AY78</f>
        <v>107085</v>
      </c>
      <c r="AZ86" s="39">
        <f>Inputs!AZ41*Inputs!AZ78</f>
        <v>111320</v>
      </c>
      <c r="BA86" s="39">
        <f>Inputs!BA41*Inputs!BA78</f>
        <v>115555</v>
      </c>
      <c r="BB86" s="39">
        <f>Inputs!BB41*Inputs!BB78</f>
        <v>119790</v>
      </c>
      <c r="BC86" s="39">
        <f>Inputs!BC41*Inputs!BC78</f>
        <v>124025</v>
      </c>
      <c r="BD86" s="39">
        <f>Inputs!BD41*Inputs!BD78</f>
        <v>128260</v>
      </c>
      <c r="BE86" s="39">
        <f>Inputs!BE41*Inputs!BE78</f>
        <v>132495</v>
      </c>
      <c r="BF86" s="39">
        <f>Inputs!BF41*Inputs!BF78</f>
        <v>137335</v>
      </c>
      <c r="BG86" s="39">
        <f>Inputs!BG41*Inputs!BG78</f>
        <v>142175</v>
      </c>
      <c r="BH86" s="39">
        <f>Inputs!BH41*Inputs!BH78</f>
        <v>147015</v>
      </c>
      <c r="BI86" s="39">
        <f>Inputs!BI41*Inputs!BI78</f>
        <v>151855</v>
      </c>
      <c r="BJ86" s="39">
        <f>Inputs!BJ41*Inputs!BJ78</f>
        <v>156695</v>
      </c>
      <c r="BK86" s="39">
        <f>Inputs!BK41*Inputs!BK78</f>
        <v>161535</v>
      </c>
      <c r="BL86" s="39">
        <f>Inputs!BL41*Inputs!BL78</f>
        <v>166375</v>
      </c>
      <c r="BM86" s="39">
        <f>Inputs!BM41*Inputs!BM78</f>
        <v>171215</v>
      </c>
      <c r="BN86" s="39">
        <f>Inputs!BN41*Inputs!BN78</f>
        <v>176055</v>
      </c>
      <c r="BO86" s="39">
        <f>Inputs!BO41*Inputs!BO78</f>
        <v>180895</v>
      </c>
      <c r="BP86" s="39">
        <f>Inputs!BP41*Inputs!BP78</f>
        <v>185735</v>
      </c>
      <c r="BQ86" s="39">
        <f>Inputs!BQ41*Inputs!BQ78</f>
        <v>190575</v>
      </c>
    </row>
    <row r="87" spans="2:69">
      <c r="B87" s="9"/>
      <c r="C87" s="9"/>
      <c r="D87" s="9"/>
      <c r="E87" s="9"/>
      <c r="F87" s="9"/>
      <c r="G87" s="9"/>
      <c r="H87" s="9"/>
      <c r="I87" s="9"/>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42"/>
      <c r="BE87" s="42"/>
      <c r="BF87" s="42"/>
      <c r="BG87" s="42"/>
      <c r="BH87" s="42"/>
      <c r="BI87" s="42"/>
      <c r="BJ87" s="42"/>
      <c r="BK87" s="42"/>
      <c r="BL87" s="42"/>
      <c r="BM87" s="42"/>
      <c r="BN87" s="42"/>
      <c r="BO87" s="42"/>
      <c r="BP87" s="42"/>
      <c r="BQ87" s="42"/>
    </row>
    <row r="88" spans="2:69">
      <c r="B88" s="4" t="s">
        <v>6</v>
      </c>
      <c r="J88" s="39">
        <f t="shared" ref="J88:BE88" si="58">SUM(J86:J87)</f>
        <v>0</v>
      </c>
      <c r="K88" s="39">
        <f t="shared" si="58"/>
        <v>0</v>
      </c>
      <c r="L88" s="39">
        <f t="shared" si="58"/>
        <v>0</v>
      </c>
      <c r="M88" s="39">
        <f t="shared" si="58"/>
        <v>0</v>
      </c>
      <c r="N88" s="39">
        <f t="shared" si="58"/>
        <v>0</v>
      </c>
      <c r="O88" s="39">
        <f t="shared" si="58"/>
        <v>0</v>
      </c>
      <c r="P88" s="39">
        <f t="shared" si="58"/>
        <v>0</v>
      </c>
      <c r="Q88" s="39">
        <f t="shared" si="58"/>
        <v>0</v>
      </c>
      <c r="R88" s="39">
        <f t="shared" si="58"/>
        <v>0</v>
      </c>
      <c r="S88" s="39">
        <f t="shared" si="58"/>
        <v>250</v>
      </c>
      <c r="T88" s="39">
        <f t="shared" si="58"/>
        <v>1500</v>
      </c>
      <c r="U88" s="39">
        <f t="shared" si="58"/>
        <v>2750</v>
      </c>
      <c r="V88" s="39">
        <f t="shared" si="58"/>
        <v>4000</v>
      </c>
      <c r="W88" s="39">
        <f t="shared" si="58"/>
        <v>6500</v>
      </c>
      <c r="X88" s="39">
        <f t="shared" si="58"/>
        <v>9000</v>
      </c>
      <c r="Y88" s="39">
        <f t="shared" si="58"/>
        <v>11500</v>
      </c>
      <c r="Z88" s="39">
        <f t="shared" si="58"/>
        <v>14000</v>
      </c>
      <c r="AA88" s="39">
        <f t="shared" si="58"/>
        <v>16500</v>
      </c>
      <c r="AB88" s="39">
        <f t="shared" si="58"/>
        <v>19000</v>
      </c>
      <c r="AC88" s="39">
        <f t="shared" si="58"/>
        <v>21500</v>
      </c>
      <c r="AD88" s="39">
        <f t="shared" si="58"/>
        <v>24000</v>
      </c>
      <c r="AE88" s="39">
        <f t="shared" si="58"/>
        <v>26500</v>
      </c>
      <c r="AF88" s="39">
        <f t="shared" si="58"/>
        <v>29000</v>
      </c>
      <c r="AG88" s="39">
        <f t="shared" si="58"/>
        <v>31500</v>
      </c>
      <c r="AH88" s="39">
        <f t="shared" si="58"/>
        <v>37950</v>
      </c>
      <c r="AI88" s="39">
        <f t="shared" si="58"/>
        <v>41250</v>
      </c>
      <c r="AJ88" s="39">
        <f t="shared" si="58"/>
        <v>44550</v>
      </c>
      <c r="AK88" s="39">
        <f t="shared" si="58"/>
        <v>47850</v>
      </c>
      <c r="AL88" s="39">
        <f t="shared" si="58"/>
        <v>51150</v>
      </c>
      <c r="AM88" s="39">
        <f t="shared" si="58"/>
        <v>54450</v>
      </c>
      <c r="AN88" s="39">
        <f t="shared" si="58"/>
        <v>57750</v>
      </c>
      <c r="AO88" s="39">
        <f t="shared" si="58"/>
        <v>61050</v>
      </c>
      <c r="AP88" s="39">
        <f t="shared" si="58"/>
        <v>64350</v>
      </c>
      <c r="AQ88" s="39">
        <f t="shared" si="58"/>
        <v>67650</v>
      </c>
      <c r="AR88" s="39">
        <f t="shared" si="58"/>
        <v>70950</v>
      </c>
      <c r="AS88" s="39">
        <f t="shared" si="58"/>
        <v>74250</v>
      </c>
      <c r="AT88" s="39">
        <f t="shared" si="58"/>
        <v>85910</v>
      </c>
      <c r="AU88" s="39">
        <f t="shared" si="58"/>
        <v>90145</v>
      </c>
      <c r="AV88" s="39">
        <f t="shared" si="58"/>
        <v>94380</v>
      </c>
      <c r="AW88" s="39">
        <f t="shared" si="58"/>
        <v>98615</v>
      </c>
      <c r="AX88" s="39">
        <f t="shared" si="58"/>
        <v>102850</v>
      </c>
      <c r="AY88" s="39">
        <f t="shared" si="58"/>
        <v>107085</v>
      </c>
      <c r="AZ88" s="39">
        <f t="shared" si="58"/>
        <v>111320</v>
      </c>
      <c r="BA88" s="39">
        <f t="shared" si="58"/>
        <v>115555</v>
      </c>
      <c r="BB88" s="39">
        <f t="shared" si="58"/>
        <v>119790</v>
      </c>
      <c r="BC88" s="39">
        <f t="shared" si="58"/>
        <v>124025</v>
      </c>
      <c r="BD88" s="39">
        <f t="shared" si="58"/>
        <v>128260</v>
      </c>
      <c r="BE88" s="39">
        <f t="shared" si="58"/>
        <v>132495</v>
      </c>
      <c r="BF88" s="39">
        <f t="shared" ref="BF88:BQ88" si="59">SUM(BF86:BF87)</f>
        <v>137335</v>
      </c>
      <c r="BG88" s="39">
        <f t="shared" si="59"/>
        <v>142175</v>
      </c>
      <c r="BH88" s="39">
        <f t="shared" si="59"/>
        <v>147015</v>
      </c>
      <c r="BI88" s="39">
        <f t="shared" si="59"/>
        <v>151855</v>
      </c>
      <c r="BJ88" s="39">
        <f t="shared" si="59"/>
        <v>156695</v>
      </c>
      <c r="BK88" s="39">
        <f t="shared" si="59"/>
        <v>161535</v>
      </c>
      <c r="BL88" s="39">
        <f t="shared" si="59"/>
        <v>166375</v>
      </c>
      <c r="BM88" s="39">
        <f t="shared" si="59"/>
        <v>171215</v>
      </c>
      <c r="BN88" s="39">
        <f t="shared" si="59"/>
        <v>176055</v>
      </c>
      <c r="BO88" s="39">
        <f t="shared" si="59"/>
        <v>180895</v>
      </c>
      <c r="BP88" s="39">
        <f t="shared" si="59"/>
        <v>185735</v>
      </c>
      <c r="BQ88" s="39">
        <f t="shared" si="59"/>
        <v>190575</v>
      </c>
    </row>
    <row r="90" spans="2:69">
      <c r="B90" s="4" t="s">
        <v>278</v>
      </c>
      <c r="J90" s="39">
        <f>Inputs!I41*Inputs!J79</f>
        <v>0</v>
      </c>
      <c r="K90" s="39">
        <f>Inputs!J41*Inputs!K79</f>
        <v>0</v>
      </c>
      <c r="L90" s="39">
        <f>Inputs!K41*Inputs!L79</f>
        <v>0</v>
      </c>
      <c r="M90" s="39">
        <f>Inputs!L41*Inputs!M79</f>
        <v>0</v>
      </c>
      <c r="N90" s="39">
        <f>Inputs!M41*Inputs!N79</f>
        <v>0</v>
      </c>
      <c r="O90" s="39">
        <f>Inputs!N41*Inputs!O79</f>
        <v>0</v>
      </c>
      <c r="P90" s="39">
        <f>Inputs!O41*Inputs!P79</f>
        <v>0</v>
      </c>
      <c r="Q90" s="39">
        <f>Inputs!P41*Inputs!Q79</f>
        <v>0</v>
      </c>
      <c r="R90" s="39">
        <f>Inputs!Q41*Inputs!R79</f>
        <v>0</v>
      </c>
      <c r="S90" s="39">
        <f>Inputs!R41*Inputs!S79</f>
        <v>0</v>
      </c>
      <c r="T90" s="39">
        <f>Inputs!S41*Inputs!T79</f>
        <v>100</v>
      </c>
      <c r="U90" s="39">
        <f>Inputs!T41*Inputs!U79</f>
        <v>600</v>
      </c>
      <c r="V90" s="39">
        <f>Inputs!U41*Inputs!V79</f>
        <v>1100</v>
      </c>
      <c r="W90" s="39">
        <f>Inputs!V41*Inputs!W79</f>
        <v>1600</v>
      </c>
      <c r="X90" s="39">
        <f>Inputs!W41*Inputs!X79</f>
        <v>3900</v>
      </c>
      <c r="Y90" s="39">
        <f>Inputs!X41*Inputs!Y79</f>
        <v>5400</v>
      </c>
      <c r="Z90" s="39">
        <f>Inputs!Y41*Inputs!Z79</f>
        <v>6900</v>
      </c>
      <c r="AA90" s="39">
        <f>Inputs!Z41*Inputs!AA79</f>
        <v>8400</v>
      </c>
      <c r="AB90" s="39">
        <f>Inputs!AA41*Inputs!AB79</f>
        <v>9900</v>
      </c>
      <c r="AC90" s="39">
        <f>Inputs!AB41*Inputs!AC79</f>
        <v>11400</v>
      </c>
      <c r="AD90" s="39">
        <f>Inputs!AC41*Inputs!AD79</f>
        <v>12900</v>
      </c>
      <c r="AE90" s="39">
        <f>Inputs!AD41*Inputs!AE79</f>
        <v>14400</v>
      </c>
      <c r="AF90" s="39">
        <f>Inputs!AE41*Inputs!AF79</f>
        <v>15900</v>
      </c>
      <c r="AG90" s="39">
        <f>Inputs!AF41*Inputs!AG79</f>
        <v>17400</v>
      </c>
      <c r="AH90" s="39">
        <f>Inputs!AG41*Inputs!AH79</f>
        <v>20790</v>
      </c>
      <c r="AI90" s="39">
        <f>Inputs!AH41*Inputs!AI79</f>
        <v>22770</v>
      </c>
      <c r="AJ90" s="39">
        <f>Inputs!AI41*Inputs!AJ79</f>
        <v>24750</v>
      </c>
      <c r="AK90" s="39">
        <f>Inputs!AJ41*Inputs!AK79</f>
        <v>26730</v>
      </c>
      <c r="AL90" s="39">
        <f>Inputs!AK41*Inputs!AL79</f>
        <v>28710</v>
      </c>
      <c r="AM90" s="39">
        <f>Inputs!AL41*Inputs!AM79</f>
        <v>30690</v>
      </c>
      <c r="AN90" s="39">
        <f>Inputs!AM41*Inputs!AN79</f>
        <v>32670</v>
      </c>
      <c r="AO90" s="39">
        <f>Inputs!AN41*Inputs!AO79</f>
        <v>34650</v>
      </c>
      <c r="AP90" s="39">
        <f>Inputs!AO41*Inputs!AP79</f>
        <v>36630</v>
      </c>
      <c r="AQ90" s="39">
        <f>Inputs!AP41*Inputs!AQ79</f>
        <v>38610</v>
      </c>
      <c r="AR90" s="39">
        <f>Inputs!AQ41*Inputs!AR79</f>
        <v>40590</v>
      </c>
      <c r="AS90" s="39">
        <f>Inputs!AR41*Inputs!AS79</f>
        <v>42570</v>
      </c>
      <c r="AT90" s="39">
        <f>Inputs!AS41*Inputs!AT79</f>
        <v>49005</v>
      </c>
      <c r="AU90" s="39">
        <f>Inputs!AT41*Inputs!AU79</f>
        <v>51546</v>
      </c>
      <c r="AV90" s="39">
        <f>Inputs!AU41*Inputs!AV79</f>
        <v>54087</v>
      </c>
      <c r="AW90" s="39">
        <f>Inputs!AV41*Inputs!AW79</f>
        <v>56628</v>
      </c>
      <c r="AX90" s="39">
        <f>Inputs!AW41*Inputs!AX79</f>
        <v>59169</v>
      </c>
      <c r="AY90" s="39">
        <f>Inputs!AX41*Inputs!AY79</f>
        <v>61710</v>
      </c>
      <c r="AZ90" s="39">
        <f>Inputs!AY41*Inputs!AZ79</f>
        <v>64251</v>
      </c>
      <c r="BA90" s="39">
        <f>Inputs!AZ41*Inputs!BA79</f>
        <v>66792</v>
      </c>
      <c r="BB90" s="39">
        <f>Inputs!BA41*Inputs!BB79</f>
        <v>69333</v>
      </c>
      <c r="BC90" s="39">
        <f>Inputs!BB41*Inputs!BC79</f>
        <v>71874</v>
      </c>
      <c r="BD90" s="39">
        <f>Inputs!BC41*Inputs!BD79</f>
        <v>74415</v>
      </c>
      <c r="BE90" s="39">
        <f>Inputs!BD41*Inputs!BE79</f>
        <v>76956</v>
      </c>
      <c r="BF90" s="39">
        <f>Inputs!BE41*Inputs!BF79</f>
        <v>79497</v>
      </c>
      <c r="BG90" s="39">
        <f>Inputs!BF41*Inputs!BG79</f>
        <v>82401</v>
      </c>
      <c r="BH90" s="39">
        <f>Inputs!BG41*Inputs!BH79</f>
        <v>85305</v>
      </c>
      <c r="BI90" s="39">
        <f>Inputs!BH41*Inputs!BI79</f>
        <v>88209</v>
      </c>
      <c r="BJ90" s="39">
        <f>Inputs!BI41*Inputs!BJ79</f>
        <v>91113</v>
      </c>
      <c r="BK90" s="39">
        <f>Inputs!BJ41*Inputs!BK79</f>
        <v>94017</v>
      </c>
      <c r="BL90" s="39">
        <f>Inputs!BK41*Inputs!BL79</f>
        <v>96921</v>
      </c>
      <c r="BM90" s="39">
        <f>Inputs!BL41*Inputs!BM79</f>
        <v>99825</v>
      </c>
      <c r="BN90" s="39">
        <f>Inputs!BM41*Inputs!BN79</f>
        <v>102729</v>
      </c>
      <c r="BO90" s="39">
        <f>Inputs!BN41*Inputs!BO79</f>
        <v>105633</v>
      </c>
      <c r="BP90" s="39">
        <f>Inputs!BO41*Inputs!BP79</f>
        <v>108537</v>
      </c>
      <c r="BQ90" s="39">
        <f>Inputs!BP41*Inputs!BQ79</f>
        <v>111441</v>
      </c>
    </row>
    <row r="91" spans="2:69">
      <c r="B91" s="9"/>
      <c r="C91" s="9"/>
      <c r="D91" s="9"/>
      <c r="E91" s="9"/>
      <c r="F91" s="9"/>
      <c r="G91" s="9"/>
      <c r="H91" s="9"/>
      <c r="I91" s="9"/>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42"/>
      <c r="BE91" s="42"/>
      <c r="BF91" s="42"/>
      <c r="BG91" s="42"/>
      <c r="BH91" s="42"/>
      <c r="BI91" s="42"/>
      <c r="BJ91" s="42"/>
      <c r="BK91" s="42"/>
      <c r="BL91" s="42"/>
      <c r="BM91" s="42"/>
      <c r="BN91" s="42"/>
      <c r="BO91" s="42"/>
      <c r="BP91" s="42"/>
      <c r="BQ91" s="42"/>
    </row>
    <row r="92" spans="2:69">
      <c r="B92" s="4" t="s">
        <v>6</v>
      </c>
      <c r="J92" s="39">
        <f t="shared" ref="J92:BE92" si="60">SUM(J90:J91)</f>
        <v>0</v>
      </c>
      <c r="K92" s="39">
        <f t="shared" si="60"/>
        <v>0</v>
      </c>
      <c r="L92" s="39">
        <f t="shared" si="60"/>
        <v>0</v>
      </c>
      <c r="M92" s="39">
        <f t="shared" si="60"/>
        <v>0</v>
      </c>
      <c r="N92" s="39">
        <f t="shared" si="60"/>
        <v>0</v>
      </c>
      <c r="O92" s="39">
        <f t="shared" si="60"/>
        <v>0</v>
      </c>
      <c r="P92" s="39">
        <f t="shared" si="60"/>
        <v>0</v>
      </c>
      <c r="Q92" s="39">
        <f t="shared" si="60"/>
        <v>0</v>
      </c>
      <c r="R92" s="39">
        <f t="shared" si="60"/>
        <v>0</v>
      </c>
      <c r="S92" s="39">
        <f t="shared" si="60"/>
        <v>0</v>
      </c>
      <c r="T92" s="39">
        <f t="shared" si="60"/>
        <v>100</v>
      </c>
      <c r="U92" s="39">
        <f t="shared" si="60"/>
        <v>600</v>
      </c>
      <c r="V92" s="39">
        <f t="shared" si="60"/>
        <v>1100</v>
      </c>
      <c r="W92" s="39">
        <f t="shared" si="60"/>
        <v>1600</v>
      </c>
      <c r="X92" s="39">
        <f t="shared" si="60"/>
        <v>3900</v>
      </c>
      <c r="Y92" s="39">
        <f t="shared" si="60"/>
        <v>5400</v>
      </c>
      <c r="Z92" s="39">
        <f t="shared" si="60"/>
        <v>6900</v>
      </c>
      <c r="AA92" s="39">
        <f t="shared" si="60"/>
        <v>8400</v>
      </c>
      <c r="AB92" s="39">
        <f t="shared" si="60"/>
        <v>9900</v>
      </c>
      <c r="AC92" s="39">
        <f t="shared" si="60"/>
        <v>11400</v>
      </c>
      <c r="AD92" s="39">
        <f t="shared" si="60"/>
        <v>12900</v>
      </c>
      <c r="AE92" s="39">
        <f t="shared" si="60"/>
        <v>14400</v>
      </c>
      <c r="AF92" s="39">
        <f t="shared" si="60"/>
        <v>15900</v>
      </c>
      <c r="AG92" s="39">
        <f t="shared" si="60"/>
        <v>17400</v>
      </c>
      <c r="AH92" s="39">
        <f t="shared" si="60"/>
        <v>20790</v>
      </c>
      <c r="AI92" s="39">
        <f t="shared" si="60"/>
        <v>22770</v>
      </c>
      <c r="AJ92" s="39">
        <f t="shared" si="60"/>
        <v>24750</v>
      </c>
      <c r="AK92" s="39">
        <f t="shared" si="60"/>
        <v>26730</v>
      </c>
      <c r="AL92" s="39">
        <f t="shared" si="60"/>
        <v>28710</v>
      </c>
      <c r="AM92" s="39">
        <f t="shared" si="60"/>
        <v>30690</v>
      </c>
      <c r="AN92" s="39">
        <f t="shared" si="60"/>
        <v>32670</v>
      </c>
      <c r="AO92" s="39">
        <f t="shared" si="60"/>
        <v>34650</v>
      </c>
      <c r="AP92" s="39">
        <f t="shared" si="60"/>
        <v>36630</v>
      </c>
      <c r="AQ92" s="39">
        <f t="shared" si="60"/>
        <v>38610</v>
      </c>
      <c r="AR92" s="39">
        <f t="shared" si="60"/>
        <v>40590</v>
      </c>
      <c r="AS92" s="39">
        <f t="shared" si="60"/>
        <v>42570</v>
      </c>
      <c r="AT92" s="39">
        <f t="shared" si="60"/>
        <v>49005</v>
      </c>
      <c r="AU92" s="39">
        <f t="shared" si="60"/>
        <v>51546</v>
      </c>
      <c r="AV92" s="39">
        <f t="shared" si="60"/>
        <v>54087</v>
      </c>
      <c r="AW92" s="39">
        <f t="shared" si="60"/>
        <v>56628</v>
      </c>
      <c r="AX92" s="39">
        <f t="shared" si="60"/>
        <v>59169</v>
      </c>
      <c r="AY92" s="39">
        <f t="shared" si="60"/>
        <v>61710</v>
      </c>
      <c r="AZ92" s="39">
        <f t="shared" si="60"/>
        <v>64251</v>
      </c>
      <c r="BA92" s="39">
        <f t="shared" si="60"/>
        <v>66792</v>
      </c>
      <c r="BB92" s="39">
        <f t="shared" si="60"/>
        <v>69333</v>
      </c>
      <c r="BC92" s="39">
        <f t="shared" si="60"/>
        <v>71874</v>
      </c>
      <c r="BD92" s="39">
        <f t="shared" si="60"/>
        <v>74415</v>
      </c>
      <c r="BE92" s="39">
        <f t="shared" si="60"/>
        <v>76956</v>
      </c>
      <c r="BF92" s="39">
        <f t="shared" ref="BF92:BQ92" si="61">SUM(BF90:BF91)</f>
        <v>79497</v>
      </c>
      <c r="BG92" s="39">
        <f t="shared" si="61"/>
        <v>82401</v>
      </c>
      <c r="BH92" s="39">
        <f t="shared" si="61"/>
        <v>85305</v>
      </c>
      <c r="BI92" s="39">
        <f t="shared" si="61"/>
        <v>88209</v>
      </c>
      <c r="BJ92" s="39">
        <f t="shared" si="61"/>
        <v>91113</v>
      </c>
      <c r="BK92" s="39">
        <f t="shared" si="61"/>
        <v>94017</v>
      </c>
      <c r="BL92" s="39">
        <f t="shared" si="61"/>
        <v>96921</v>
      </c>
      <c r="BM92" s="39">
        <f t="shared" si="61"/>
        <v>99825</v>
      </c>
      <c r="BN92" s="39">
        <f t="shared" si="61"/>
        <v>102729</v>
      </c>
      <c r="BO92" s="39">
        <f t="shared" si="61"/>
        <v>105633</v>
      </c>
      <c r="BP92" s="39">
        <f t="shared" si="61"/>
        <v>108537</v>
      </c>
      <c r="BQ92" s="39">
        <f t="shared" si="61"/>
        <v>111441</v>
      </c>
    </row>
    <row r="94" spans="2:69">
      <c r="B94" s="4" t="s">
        <v>372</v>
      </c>
      <c r="J94" s="39">
        <f>Inputs!I45*Inputs!J83</f>
        <v>0</v>
      </c>
      <c r="K94" s="39">
        <f>Inputs!J45*Inputs!K83</f>
        <v>0</v>
      </c>
      <c r="L94" s="39">
        <f>Inputs!K45*Inputs!L83</f>
        <v>0</v>
      </c>
      <c r="M94" s="39">
        <f>Inputs!L45*Inputs!M83</f>
        <v>0</v>
      </c>
      <c r="N94" s="39">
        <f>Inputs!M45*Inputs!N83</f>
        <v>0</v>
      </c>
      <c r="O94" s="39">
        <f>Inputs!N45*Inputs!O83</f>
        <v>0</v>
      </c>
      <c r="P94" s="39">
        <f>Inputs!O45*Inputs!P83</f>
        <v>0</v>
      </c>
      <c r="Q94" s="39">
        <f>Inputs!P45*Inputs!Q83</f>
        <v>0</v>
      </c>
      <c r="R94" s="39">
        <f>Inputs!Q45*Inputs!R83</f>
        <v>0</v>
      </c>
      <c r="S94" s="39">
        <f>Inputs!R45*Inputs!S83</f>
        <v>0</v>
      </c>
      <c r="T94" s="39">
        <f>Inputs!S45*Inputs!T83</f>
        <v>0</v>
      </c>
      <c r="U94" s="39">
        <f>Inputs!T45*Inputs!U83</f>
        <v>0</v>
      </c>
      <c r="V94" s="39">
        <f>Inputs!U45*Inputs!V83</f>
        <v>0</v>
      </c>
      <c r="W94" s="39">
        <f>Inputs!V45*Inputs!W83</f>
        <v>0</v>
      </c>
      <c r="X94" s="39">
        <f>Inputs!W45*Inputs!X83</f>
        <v>0</v>
      </c>
      <c r="Y94" s="39">
        <f>Inputs!X45*Inputs!Y83</f>
        <v>0</v>
      </c>
      <c r="Z94" s="39">
        <f>Inputs!Y45*Inputs!Z83</f>
        <v>0</v>
      </c>
      <c r="AA94" s="39">
        <f>Inputs!Z45*Inputs!AA83</f>
        <v>0</v>
      </c>
      <c r="AB94" s="39">
        <f>Inputs!AA45*Inputs!AB83</f>
        <v>0</v>
      </c>
      <c r="AC94" s="39">
        <f>Inputs!AB45*Inputs!AC83</f>
        <v>0</v>
      </c>
      <c r="AD94" s="39">
        <f>Inputs!AC45*Inputs!AD83</f>
        <v>0</v>
      </c>
      <c r="AE94" s="39">
        <f>Inputs!AD45*Inputs!AE83</f>
        <v>0</v>
      </c>
      <c r="AF94" s="39">
        <f>Inputs!AE45*Inputs!AF83</f>
        <v>0</v>
      </c>
      <c r="AG94" s="39">
        <f>Inputs!AF45*Inputs!AG83</f>
        <v>0</v>
      </c>
      <c r="AH94" s="39">
        <f>Inputs!AG45*Inputs!AH83</f>
        <v>0</v>
      </c>
      <c r="AI94" s="39">
        <f>Inputs!AH45*Inputs!AI83</f>
        <v>0</v>
      </c>
      <c r="AJ94" s="39">
        <f>Inputs!AI45*Inputs!AJ83</f>
        <v>0</v>
      </c>
      <c r="AK94" s="39">
        <f>Inputs!AJ45*Inputs!AK83</f>
        <v>0</v>
      </c>
      <c r="AL94" s="39">
        <f>Inputs!AK45*Inputs!AL83</f>
        <v>0</v>
      </c>
      <c r="AM94" s="39">
        <f>Inputs!AL45*Inputs!AM83</f>
        <v>0</v>
      </c>
      <c r="AN94" s="39">
        <f>Inputs!AM45*Inputs!AN83</f>
        <v>0</v>
      </c>
      <c r="AO94" s="39">
        <f>Inputs!AN45*Inputs!AO83</f>
        <v>0</v>
      </c>
      <c r="AP94" s="39">
        <f>Inputs!AO45*Inputs!AP83</f>
        <v>0</v>
      </c>
      <c r="AQ94" s="39">
        <f>Inputs!AP45*Inputs!AQ83</f>
        <v>0</v>
      </c>
      <c r="AR94" s="39">
        <f>Inputs!AQ45*Inputs!AR83</f>
        <v>0</v>
      </c>
      <c r="AS94" s="39">
        <f>Inputs!AR45*Inputs!AS83</f>
        <v>0</v>
      </c>
      <c r="AT94" s="39">
        <f>Inputs!AS45*Inputs!AT83</f>
        <v>0</v>
      </c>
      <c r="AU94" s="39">
        <f>Inputs!AT45*Inputs!AU83</f>
        <v>0</v>
      </c>
      <c r="AV94" s="39">
        <f>Inputs!AU45*Inputs!AV83</f>
        <v>0</v>
      </c>
      <c r="AW94" s="39">
        <f>Inputs!AV45*Inputs!AW83</f>
        <v>0</v>
      </c>
      <c r="AX94" s="39">
        <f>Inputs!AW45*Inputs!AX83</f>
        <v>0</v>
      </c>
      <c r="AY94" s="39">
        <f>Inputs!AX45*Inputs!AY83</f>
        <v>0</v>
      </c>
      <c r="AZ94" s="39">
        <f>Inputs!AY45*Inputs!AZ83</f>
        <v>0</v>
      </c>
      <c r="BA94" s="39">
        <f>Inputs!AZ45*Inputs!BA83</f>
        <v>0</v>
      </c>
      <c r="BB94" s="39">
        <f>Inputs!BA45*Inputs!BB83</f>
        <v>0</v>
      </c>
      <c r="BC94" s="39">
        <f>Inputs!BB45*Inputs!BC83</f>
        <v>0</v>
      </c>
      <c r="BD94" s="39">
        <f>Inputs!BC45*Inputs!BD83</f>
        <v>0</v>
      </c>
      <c r="BE94" s="39">
        <f>Inputs!BD45*Inputs!BE83</f>
        <v>0</v>
      </c>
      <c r="BF94" s="39">
        <f>Inputs!BE45*Inputs!BF83</f>
        <v>0</v>
      </c>
      <c r="BG94" s="39">
        <f>Inputs!BF45*Inputs!BG83</f>
        <v>0</v>
      </c>
      <c r="BH94" s="39">
        <f>Inputs!BG45*Inputs!BH83</f>
        <v>0</v>
      </c>
      <c r="BI94" s="39">
        <f>Inputs!BH45*Inputs!BI83</f>
        <v>0</v>
      </c>
      <c r="BJ94" s="39">
        <f>Inputs!BI45*Inputs!BJ83</f>
        <v>0</v>
      </c>
      <c r="BK94" s="39">
        <f>Inputs!BJ45*Inputs!BK83</f>
        <v>0</v>
      </c>
      <c r="BL94" s="39">
        <f>Inputs!BK45*Inputs!BL83</f>
        <v>0</v>
      </c>
      <c r="BM94" s="39">
        <f>Inputs!BL45*Inputs!BM83</f>
        <v>0</v>
      </c>
      <c r="BN94" s="39">
        <f>Inputs!BM45*Inputs!BN83</f>
        <v>0</v>
      </c>
      <c r="BO94" s="39">
        <f>Inputs!BN45*Inputs!BO83</f>
        <v>0</v>
      </c>
      <c r="BP94" s="39">
        <f>Inputs!BO45*Inputs!BP83</f>
        <v>0</v>
      </c>
      <c r="BQ94" s="39">
        <f>Inputs!BP45*Inputs!BQ83</f>
        <v>0</v>
      </c>
    </row>
    <row r="95" spans="2:69">
      <c r="B95" s="9"/>
      <c r="C95" s="9"/>
      <c r="D95" s="9"/>
      <c r="E95" s="9"/>
      <c r="F95" s="9"/>
      <c r="G95" s="9"/>
      <c r="H95" s="9"/>
      <c r="I95" s="9"/>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row>
    <row r="96" spans="2:69">
      <c r="B96" s="4" t="s">
        <v>6</v>
      </c>
      <c r="J96" s="39">
        <f t="shared" ref="J96:BE96" si="62">SUM(J94:J95)</f>
        <v>0</v>
      </c>
      <c r="K96" s="39">
        <f t="shared" si="62"/>
        <v>0</v>
      </c>
      <c r="L96" s="39">
        <f t="shared" si="62"/>
        <v>0</v>
      </c>
      <c r="M96" s="39">
        <f t="shared" si="62"/>
        <v>0</v>
      </c>
      <c r="N96" s="39">
        <f t="shared" si="62"/>
        <v>0</v>
      </c>
      <c r="O96" s="39">
        <f t="shared" si="62"/>
        <v>0</v>
      </c>
      <c r="P96" s="39">
        <f t="shared" si="62"/>
        <v>0</v>
      </c>
      <c r="Q96" s="39">
        <f t="shared" si="62"/>
        <v>0</v>
      </c>
      <c r="R96" s="39">
        <f t="shared" si="62"/>
        <v>0</v>
      </c>
      <c r="S96" s="39">
        <f t="shared" si="62"/>
        <v>0</v>
      </c>
      <c r="T96" s="39">
        <f t="shared" si="62"/>
        <v>0</v>
      </c>
      <c r="U96" s="39">
        <f t="shared" si="62"/>
        <v>0</v>
      </c>
      <c r="V96" s="39">
        <f t="shared" si="62"/>
        <v>0</v>
      </c>
      <c r="W96" s="39">
        <f t="shared" si="62"/>
        <v>0</v>
      </c>
      <c r="X96" s="39">
        <f t="shared" si="62"/>
        <v>0</v>
      </c>
      <c r="Y96" s="39">
        <f t="shared" si="62"/>
        <v>0</v>
      </c>
      <c r="Z96" s="39">
        <f t="shared" si="62"/>
        <v>0</v>
      </c>
      <c r="AA96" s="39">
        <f t="shared" si="62"/>
        <v>0</v>
      </c>
      <c r="AB96" s="39">
        <f t="shared" si="62"/>
        <v>0</v>
      </c>
      <c r="AC96" s="39">
        <f t="shared" si="62"/>
        <v>0</v>
      </c>
      <c r="AD96" s="39">
        <f t="shared" si="62"/>
        <v>0</v>
      </c>
      <c r="AE96" s="39">
        <f t="shared" si="62"/>
        <v>0</v>
      </c>
      <c r="AF96" s="39">
        <f t="shared" si="62"/>
        <v>0</v>
      </c>
      <c r="AG96" s="39">
        <f t="shared" si="62"/>
        <v>0</v>
      </c>
      <c r="AH96" s="39">
        <f t="shared" si="62"/>
        <v>0</v>
      </c>
      <c r="AI96" s="39">
        <f t="shared" si="62"/>
        <v>0</v>
      </c>
      <c r="AJ96" s="39">
        <f t="shared" si="62"/>
        <v>0</v>
      </c>
      <c r="AK96" s="39">
        <f t="shared" si="62"/>
        <v>0</v>
      </c>
      <c r="AL96" s="39">
        <f t="shared" si="62"/>
        <v>0</v>
      </c>
      <c r="AM96" s="39">
        <f t="shared" si="62"/>
        <v>0</v>
      </c>
      <c r="AN96" s="39">
        <f t="shared" si="62"/>
        <v>0</v>
      </c>
      <c r="AO96" s="39">
        <f t="shared" si="62"/>
        <v>0</v>
      </c>
      <c r="AP96" s="39">
        <f t="shared" si="62"/>
        <v>0</v>
      </c>
      <c r="AQ96" s="39">
        <f t="shared" si="62"/>
        <v>0</v>
      </c>
      <c r="AR96" s="39">
        <f t="shared" si="62"/>
        <v>0</v>
      </c>
      <c r="AS96" s="39">
        <f t="shared" si="62"/>
        <v>0</v>
      </c>
      <c r="AT96" s="39">
        <f t="shared" si="62"/>
        <v>0</v>
      </c>
      <c r="AU96" s="39">
        <f t="shared" si="62"/>
        <v>0</v>
      </c>
      <c r="AV96" s="39">
        <f t="shared" si="62"/>
        <v>0</v>
      </c>
      <c r="AW96" s="39">
        <f t="shared" si="62"/>
        <v>0</v>
      </c>
      <c r="AX96" s="39">
        <f t="shared" si="62"/>
        <v>0</v>
      </c>
      <c r="AY96" s="39">
        <f t="shared" si="62"/>
        <v>0</v>
      </c>
      <c r="AZ96" s="39">
        <f t="shared" si="62"/>
        <v>0</v>
      </c>
      <c r="BA96" s="39">
        <f t="shared" si="62"/>
        <v>0</v>
      </c>
      <c r="BB96" s="39">
        <f t="shared" si="62"/>
        <v>0</v>
      </c>
      <c r="BC96" s="39">
        <f t="shared" si="62"/>
        <v>0</v>
      </c>
      <c r="BD96" s="39">
        <f t="shared" si="62"/>
        <v>0</v>
      </c>
      <c r="BE96" s="39">
        <f t="shared" si="62"/>
        <v>0</v>
      </c>
      <c r="BF96" s="39">
        <f t="shared" ref="BF96:BQ96" si="63">SUM(BF94:BF95)</f>
        <v>0</v>
      </c>
      <c r="BG96" s="39">
        <f t="shared" si="63"/>
        <v>0</v>
      </c>
      <c r="BH96" s="39">
        <f t="shared" si="63"/>
        <v>0</v>
      </c>
      <c r="BI96" s="39">
        <f t="shared" si="63"/>
        <v>0</v>
      </c>
      <c r="BJ96" s="39">
        <f t="shared" si="63"/>
        <v>0</v>
      </c>
      <c r="BK96" s="39">
        <f t="shared" si="63"/>
        <v>0</v>
      </c>
      <c r="BL96" s="39">
        <f t="shared" si="63"/>
        <v>0</v>
      </c>
      <c r="BM96" s="39">
        <f t="shared" si="63"/>
        <v>0</v>
      </c>
      <c r="BN96" s="39">
        <f t="shared" si="63"/>
        <v>0</v>
      </c>
      <c r="BO96" s="39">
        <f t="shared" si="63"/>
        <v>0</v>
      </c>
      <c r="BP96" s="39">
        <f t="shared" si="63"/>
        <v>0</v>
      </c>
      <c r="BQ96" s="39">
        <f t="shared" si="63"/>
        <v>0</v>
      </c>
    </row>
    <row r="98" spans="1:69">
      <c r="A98" s="66"/>
      <c r="B98" s="4" t="s">
        <v>373</v>
      </c>
      <c r="Y98" s="39">
        <f>Inputs!Y65*Inputs!S33</f>
        <v>30000</v>
      </c>
      <c r="Z98" s="39">
        <f>Inputs!Z65*Inputs!T33</f>
        <v>30000</v>
      </c>
      <c r="AA98" s="39">
        <f>Inputs!AA65*Inputs!U33</f>
        <v>30000</v>
      </c>
      <c r="AB98" s="39">
        <f>Inputs!AB65*Inputs!V33</f>
        <v>30000</v>
      </c>
      <c r="AC98" s="39">
        <f>Inputs!AC65*Inputs!W33</f>
        <v>33000</v>
      </c>
      <c r="AD98" s="39">
        <f>Inputs!AD65*Inputs!X33</f>
        <v>36000</v>
      </c>
      <c r="AE98" s="39">
        <f>Inputs!AE65*Inputs!Y33</f>
        <v>39000</v>
      </c>
      <c r="AF98" s="39">
        <f>Inputs!AF65*Inputs!Z33</f>
        <v>42000</v>
      </c>
      <c r="AG98" s="39">
        <f>Inputs!AG65*Inputs!AA33</f>
        <v>45000</v>
      </c>
      <c r="AH98" s="39">
        <f>Inputs!AH65*Inputs!AB33</f>
        <v>52800</v>
      </c>
      <c r="AI98" s="39">
        <f>Inputs!AI65*Inputs!AC33</f>
        <v>56100</v>
      </c>
      <c r="AJ98" s="39">
        <f>Inputs!AJ65*Inputs!AD33</f>
        <v>59400</v>
      </c>
      <c r="AK98" s="39">
        <f>Inputs!AK65*Inputs!AE33</f>
        <v>62700</v>
      </c>
      <c r="AL98" s="39">
        <f>Inputs!AL65*Inputs!AF33</f>
        <v>66000</v>
      </c>
      <c r="AM98" s="39">
        <f>Inputs!AM65*Inputs!AG33</f>
        <v>69300</v>
      </c>
      <c r="AN98" s="39">
        <f>Inputs!AN65*Inputs!AH33</f>
        <v>73260</v>
      </c>
      <c r="AO98" s="39">
        <f>Inputs!AO65*Inputs!AI33</f>
        <v>77220</v>
      </c>
      <c r="AP98" s="39">
        <f>Inputs!AP65*Inputs!AJ33</f>
        <v>81180</v>
      </c>
      <c r="AQ98" s="39">
        <f>Inputs!AQ65*Inputs!AK33</f>
        <v>85140</v>
      </c>
      <c r="AR98" s="39">
        <f>Inputs!AR65*Inputs!AL33</f>
        <v>89100</v>
      </c>
      <c r="AS98" s="39">
        <f>Inputs!AS65*Inputs!AM33</f>
        <v>93060</v>
      </c>
      <c r="AT98" s="39">
        <f>Inputs!AT65*Inputs!AN33</f>
        <v>106722</v>
      </c>
      <c r="AU98" s="39">
        <f>Inputs!AU65*Inputs!AO33</f>
        <v>111078</v>
      </c>
      <c r="AV98" s="39">
        <f>Inputs!AV65*Inputs!AP33</f>
        <v>115434</v>
      </c>
      <c r="AW98" s="39">
        <f>Inputs!AW65*Inputs!AQ33</f>
        <v>119790</v>
      </c>
      <c r="AX98" s="39">
        <f>Inputs!AX65*Inputs!AR33</f>
        <v>124146</v>
      </c>
      <c r="AY98" s="39">
        <f>Inputs!AY65*Inputs!AS33</f>
        <v>128502</v>
      </c>
      <c r="AZ98" s="39">
        <f>Inputs!AZ65*Inputs!AT33</f>
        <v>133705</v>
      </c>
      <c r="BA98" s="39">
        <f>Inputs!BA65*Inputs!AU33</f>
        <v>138908</v>
      </c>
      <c r="BB98" s="39">
        <f>Inputs!BB65*Inputs!AV33</f>
        <v>144111</v>
      </c>
      <c r="BC98" s="39">
        <f>Inputs!BC65*Inputs!AW33</f>
        <v>149314</v>
      </c>
      <c r="BD98" s="39">
        <f>Inputs!BD65*Inputs!AX33</f>
        <v>154517</v>
      </c>
      <c r="BE98" s="39">
        <f>Inputs!BE65*Inputs!AY33</f>
        <v>159720</v>
      </c>
      <c r="BF98" s="39">
        <f>Inputs!BF65*Inputs!AZ33</f>
        <v>164923</v>
      </c>
      <c r="BG98" s="39">
        <f>Inputs!BG65*Inputs!BA33</f>
        <v>170126</v>
      </c>
      <c r="BH98" s="39">
        <f>Inputs!BH65*Inputs!BB33</f>
        <v>175329</v>
      </c>
      <c r="BI98" s="39">
        <f>Inputs!BI65*Inputs!BC33</f>
        <v>180532</v>
      </c>
      <c r="BJ98" s="39">
        <f>Inputs!BJ65*Inputs!BD33</f>
        <v>185735</v>
      </c>
      <c r="BK98" s="39">
        <f>Inputs!BK65*Inputs!BE33</f>
        <v>190938</v>
      </c>
      <c r="BL98" s="39">
        <f>Inputs!BL65*Inputs!BF33</f>
        <v>197230</v>
      </c>
      <c r="BM98" s="39">
        <f>Inputs!BM65*Inputs!BG33</f>
        <v>203522</v>
      </c>
      <c r="BN98" s="39">
        <f>Inputs!BN65*Inputs!BH33</f>
        <v>209814</v>
      </c>
      <c r="BO98" s="39">
        <f>Inputs!BO65*Inputs!BI33</f>
        <v>216106</v>
      </c>
      <c r="BP98" s="39">
        <f>Inputs!BP65*Inputs!BJ33</f>
        <v>222398</v>
      </c>
      <c r="BQ98" s="39">
        <f>Inputs!BQ65*Inputs!BK33</f>
        <v>228690</v>
      </c>
    </row>
    <row r="99" spans="1:69">
      <c r="B99" s="9"/>
      <c r="C99" s="9"/>
      <c r="D99" s="9"/>
      <c r="E99" s="9"/>
      <c r="F99" s="9"/>
      <c r="G99" s="9"/>
      <c r="H99" s="9"/>
      <c r="I99" s="9"/>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row>
    <row r="100" spans="1:69">
      <c r="B100" s="4" t="s">
        <v>6</v>
      </c>
      <c r="J100" s="39">
        <f t="shared" ref="J100:BE100" si="64">SUM(J98:J99)</f>
        <v>0</v>
      </c>
      <c r="K100" s="39">
        <f t="shared" si="64"/>
        <v>0</v>
      </c>
      <c r="L100" s="39">
        <f t="shared" si="64"/>
        <v>0</v>
      </c>
      <c r="M100" s="39">
        <f t="shared" si="64"/>
        <v>0</v>
      </c>
      <c r="N100" s="39">
        <f t="shared" si="64"/>
        <v>0</v>
      </c>
      <c r="O100" s="39">
        <f t="shared" si="64"/>
        <v>0</v>
      </c>
      <c r="P100" s="39">
        <f t="shared" si="64"/>
        <v>0</v>
      </c>
      <c r="Q100" s="39">
        <f t="shared" si="64"/>
        <v>0</v>
      </c>
      <c r="R100" s="39">
        <f>SUM(R98:R99)</f>
        <v>0</v>
      </c>
      <c r="S100" s="39">
        <f t="shared" si="64"/>
        <v>0</v>
      </c>
      <c r="T100" s="39">
        <f t="shared" si="64"/>
        <v>0</v>
      </c>
      <c r="U100" s="39">
        <f t="shared" si="64"/>
        <v>0</v>
      </c>
      <c r="V100" s="39">
        <f t="shared" si="64"/>
        <v>0</v>
      </c>
      <c r="W100" s="39">
        <f t="shared" si="64"/>
        <v>0</v>
      </c>
      <c r="X100" s="39">
        <f t="shared" si="64"/>
        <v>0</v>
      </c>
      <c r="Y100" s="39">
        <f t="shared" si="64"/>
        <v>30000</v>
      </c>
      <c r="Z100" s="39">
        <f t="shared" si="64"/>
        <v>30000</v>
      </c>
      <c r="AA100" s="39">
        <f t="shared" si="64"/>
        <v>30000</v>
      </c>
      <c r="AB100" s="39">
        <f t="shared" si="64"/>
        <v>30000</v>
      </c>
      <c r="AC100" s="39">
        <f t="shared" si="64"/>
        <v>33000</v>
      </c>
      <c r="AD100" s="39">
        <f t="shared" si="64"/>
        <v>36000</v>
      </c>
      <c r="AE100" s="39">
        <f t="shared" si="64"/>
        <v>39000</v>
      </c>
      <c r="AF100" s="39">
        <f t="shared" si="64"/>
        <v>42000</v>
      </c>
      <c r="AG100" s="39">
        <f t="shared" si="64"/>
        <v>45000</v>
      </c>
      <c r="AH100" s="39">
        <f t="shared" si="64"/>
        <v>52800</v>
      </c>
      <c r="AI100" s="39">
        <f t="shared" si="64"/>
        <v>56100</v>
      </c>
      <c r="AJ100" s="39">
        <f t="shared" si="64"/>
        <v>59400</v>
      </c>
      <c r="AK100" s="39">
        <f t="shared" si="64"/>
        <v>62700</v>
      </c>
      <c r="AL100" s="39">
        <f t="shared" si="64"/>
        <v>66000</v>
      </c>
      <c r="AM100" s="39">
        <f t="shared" si="64"/>
        <v>69300</v>
      </c>
      <c r="AN100" s="39">
        <f t="shared" si="64"/>
        <v>73260</v>
      </c>
      <c r="AO100" s="39">
        <f t="shared" si="64"/>
        <v>77220</v>
      </c>
      <c r="AP100" s="39">
        <f t="shared" si="64"/>
        <v>81180</v>
      </c>
      <c r="AQ100" s="39">
        <f t="shared" si="64"/>
        <v>85140</v>
      </c>
      <c r="AR100" s="39">
        <f t="shared" si="64"/>
        <v>89100</v>
      </c>
      <c r="AS100" s="39">
        <f t="shared" si="64"/>
        <v>93060</v>
      </c>
      <c r="AT100" s="39">
        <f t="shared" si="64"/>
        <v>106722</v>
      </c>
      <c r="AU100" s="39">
        <f t="shared" si="64"/>
        <v>111078</v>
      </c>
      <c r="AV100" s="39">
        <f t="shared" si="64"/>
        <v>115434</v>
      </c>
      <c r="AW100" s="39">
        <f t="shared" si="64"/>
        <v>119790</v>
      </c>
      <c r="AX100" s="39">
        <f t="shared" si="64"/>
        <v>124146</v>
      </c>
      <c r="AY100" s="39">
        <f t="shared" si="64"/>
        <v>128502</v>
      </c>
      <c r="AZ100" s="39">
        <f t="shared" si="64"/>
        <v>133705</v>
      </c>
      <c r="BA100" s="39">
        <f t="shared" si="64"/>
        <v>138908</v>
      </c>
      <c r="BB100" s="39">
        <f t="shared" si="64"/>
        <v>144111</v>
      </c>
      <c r="BC100" s="39">
        <f t="shared" si="64"/>
        <v>149314</v>
      </c>
      <c r="BD100" s="39">
        <f t="shared" si="64"/>
        <v>154517</v>
      </c>
      <c r="BE100" s="39">
        <f t="shared" si="64"/>
        <v>159720</v>
      </c>
      <c r="BF100" s="39">
        <f t="shared" ref="BF100:BQ100" si="65">SUM(BF98:BF99)</f>
        <v>164923</v>
      </c>
      <c r="BG100" s="39">
        <f t="shared" si="65"/>
        <v>170126</v>
      </c>
      <c r="BH100" s="39">
        <f t="shared" si="65"/>
        <v>175329</v>
      </c>
      <c r="BI100" s="39">
        <f t="shared" si="65"/>
        <v>180532</v>
      </c>
      <c r="BJ100" s="39">
        <f t="shared" si="65"/>
        <v>185735</v>
      </c>
      <c r="BK100" s="39">
        <f t="shared" si="65"/>
        <v>190938</v>
      </c>
      <c r="BL100" s="39">
        <f t="shared" si="65"/>
        <v>197230</v>
      </c>
      <c r="BM100" s="39">
        <f t="shared" si="65"/>
        <v>203522</v>
      </c>
      <c r="BN100" s="39">
        <f t="shared" si="65"/>
        <v>209814</v>
      </c>
      <c r="BO100" s="39">
        <f t="shared" si="65"/>
        <v>216106</v>
      </c>
      <c r="BP100" s="39">
        <f t="shared" si="65"/>
        <v>222398</v>
      </c>
      <c r="BQ100" s="39">
        <f t="shared" si="65"/>
        <v>228690</v>
      </c>
    </row>
    <row r="102" spans="1:69">
      <c r="A102" s="66"/>
      <c r="B102" s="4" t="s">
        <v>374</v>
      </c>
      <c r="Y102" s="39">
        <f>Inputs!Y80*Inputs!S41</f>
        <v>200</v>
      </c>
      <c r="Z102" s="39">
        <f>Inputs!Z80*Inputs!T41</f>
        <v>1200</v>
      </c>
      <c r="AA102" s="39">
        <f>Inputs!AA80*Inputs!U41</f>
        <v>2200</v>
      </c>
      <c r="AB102" s="39">
        <f>Inputs!AB80*Inputs!V41</f>
        <v>3200</v>
      </c>
      <c r="AC102" s="39">
        <f>Inputs!AC80*Inputs!W41</f>
        <v>5200</v>
      </c>
      <c r="AD102" s="39">
        <f>Inputs!AD80*Inputs!X41</f>
        <v>7200</v>
      </c>
      <c r="AE102" s="39">
        <f>Inputs!AE80*Inputs!Y41</f>
        <v>9200</v>
      </c>
      <c r="AF102" s="39">
        <f>Inputs!AF80*Inputs!Z41</f>
        <v>11200</v>
      </c>
      <c r="AG102" s="39">
        <f>Inputs!AG80*Inputs!AA41</f>
        <v>13200</v>
      </c>
      <c r="AH102" s="39">
        <f>Inputs!AH80*Inputs!AB41</f>
        <v>16720</v>
      </c>
      <c r="AI102" s="39">
        <f>Inputs!AI80*Inputs!AC41</f>
        <v>18920</v>
      </c>
      <c r="AJ102" s="39">
        <f>Inputs!AJ80*Inputs!AD41</f>
        <v>21120</v>
      </c>
      <c r="AK102" s="39">
        <f>Inputs!AK80*Inputs!AE41</f>
        <v>23320</v>
      </c>
      <c r="AL102" s="39">
        <f>Inputs!AL80*Inputs!AF41</f>
        <v>25520</v>
      </c>
      <c r="AM102" s="39">
        <f>Inputs!AM80*Inputs!AG41</f>
        <v>27720</v>
      </c>
      <c r="AN102" s="39">
        <f>Inputs!AN80*Inputs!AH41</f>
        <v>30360</v>
      </c>
      <c r="AO102" s="39">
        <f>Inputs!AO80*Inputs!AI41</f>
        <v>33000</v>
      </c>
      <c r="AP102" s="39">
        <f>Inputs!AP80*Inputs!AJ41</f>
        <v>35640</v>
      </c>
      <c r="AQ102" s="39">
        <f>Inputs!AQ80*Inputs!AK41</f>
        <v>38280</v>
      </c>
      <c r="AR102" s="39">
        <f>Inputs!AR80*Inputs!AL41</f>
        <v>40920</v>
      </c>
      <c r="AS102" s="39">
        <f>Inputs!AS80*Inputs!AM41</f>
        <v>43560</v>
      </c>
      <c r="AT102" s="39">
        <f>Inputs!AT80*Inputs!AN41</f>
        <v>50820</v>
      </c>
      <c r="AU102" s="39">
        <f>Inputs!AU80*Inputs!AO41</f>
        <v>53724</v>
      </c>
      <c r="AV102" s="39">
        <f>Inputs!AV80*Inputs!AP41</f>
        <v>56628</v>
      </c>
      <c r="AW102" s="39">
        <f>Inputs!AW80*Inputs!AQ41</f>
        <v>59532</v>
      </c>
      <c r="AX102" s="39">
        <f>Inputs!AX80*Inputs!AR41</f>
        <v>62436</v>
      </c>
      <c r="AY102" s="39">
        <f>Inputs!AY80*Inputs!AS41</f>
        <v>65340</v>
      </c>
      <c r="AZ102" s="39">
        <f>Inputs!AZ80*Inputs!AT41</f>
        <v>68728</v>
      </c>
      <c r="BA102" s="39">
        <f>Inputs!BA80*Inputs!AU41</f>
        <v>72116</v>
      </c>
      <c r="BB102" s="39">
        <f>Inputs!BB80*Inputs!AV41</f>
        <v>75504</v>
      </c>
      <c r="BC102" s="39">
        <f>Inputs!BC80*Inputs!AW41</f>
        <v>78892</v>
      </c>
      <c r="BD102" s="39">
        <f>Inputs!BD80*Inputs!AX41</f>
        <v>82280</v>
      </c>
      <c r="BE102" s="39">
        <f>Inputs!BE80*Inputs!AY41</f>
        <v>85668</v>
      </c>
      <c r="BF102" s="39">
        <f>Inputs!BF80*Inputs!AZ41</f>
        <v>89056</v>
      </c>
      <c r="BG102" s="39">
        <f>Inputs!BG80*Inputs!BA41</f>
        <v>92444</v>
      </c>
      <c r="BH102" s="39">
        <f>Inputs!BH80*Inputs!BB41</f>
        <v>95832</v>
      </c>
      <c r="BI102" s="39">
        <f>Inputs!BI80*Inputs!BC41</f>
        <v>99220</v>
      </c>
      <c r="BJ102" s="39">
        <f>Inputs!BJ80*Inputs!BD41</f>
        <v>102608</v>
      </c>
      <c r="BK102" s="39">
        <f>Inputs!BK80*Inputs!BE41</f>
        <v>105996</v>
      </c>
      <c r="BL102" s="39">
        <f>Inputs!BL80*Inputs!BF41</f>
        <v>109868</v>
      </c>
      <c r="BM102" s="39">
        <f>Inputs!BM80*Inputs!BG41</f>
        <v>113740</v>
      </c>
      <c r="BN102" s="39">
        <f>Inputs!BN80*Inputs!BH41</f>
        <v>117612</v>
      </c>
      <c r="BO102" s="39">
        <f>Inputs!BO80*Inputs!BI41</f>
        <v>121484</v>
      </c>
      <c r="BP102" s="39">
        <f>Inputs!BP80*Inputs!BJ41</f>
        <v>125356</v>
      </c>
      <c r="BQ102" s="39">
        <f>Inputs!BQ80*Inputs!BK41</f>
        <v>129228</v>
      </c>
    </row>
    <row r="103" spans="1:69">
      <c r="B103" s="9"/>
      <c r="C103" s="9"/>
      <c r="D103" s="9"/>
      <c r="E103" s="9"/>
      <c r="F103" s="9"/>
      <c r="G103" s="9"/>
      <c r="H103" s="9"/>
      <c r="I103" s="9"/>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row>
    <row r="104" spans="1:69">
      <c r="B104" s="4" t="s">
        <v>6</v>
      </c>
      <c r="J104" s="39">
        <f t="shared" ref="J104:Q104" si="66">SUM(J102:J103)</f>
        <v>0</v>
      </c>
      <c r="K104" s="39">
        <f t="shared" si="66"/>
        <v>0</v>
      </c>
      <c r="L104" s="39">
        <f t="shared" si="66"/>
        <v>0</v>
      </c>
      <c r="M104" s="39">
        <f t="shared" si="66"/>
        <v>0</v>
      </c>
      <c r="N104" s="39">
        <f t="shared" si="66"/>
        <v>0</v>
      </c>
      <c r="O104" s="39">
        <f t="shared" si="66"/>
        <v>0</v>
      </c>
      <c r="P104" s="39">
        <f t="shared" si="66"/>
        <v>0</v>
      </c>
      <c r="Q104" s="39">
        <f t="shared" si="66"/>
        <v>0</v>
      </c>
      <c r="R104" s="39">
        <f>SUM(R102:R103)</f>
        <v>0</v>
      </c>
      <c r="S104" s="39">
        <f t="shared" ref="S104:BE104" si="67">SUM(S102:S103)</f>
        <v>0</v>
      </c>
      <c r="T104" s="39">
        <f t="shared" si="67"/>
        <v>0</v>
      </c>
      <c r="U104" s="39">
        <f t="shared" si="67"/>
        <v>0</v>
      </c>
      <c r="V104" s="39">
        <f t="shared" si="67"/>
        <v>0</v>
      </c>
      <c r="W104" s="39">
        <f t="shared" si="67"/>
        <v>0</v>
      </c>
      <c r="X104" s="39">
        <f t="shared" si="67"/>
        <v>0</v>
      </c>
      <c r="Y104" s="39">
        <f t="shared" si="67"/>
        <v>200</v>
      </c>
      <c r="Z104" s="39">
        <f t="shared" si="67"/>
        <v>1200</v>
      </c>
      <c r="AA104" s="39">
        <f t="shared" si="67"/>
        <v>2200</v>
      </c>
      <c r="AB104" s="39">
        <f t="shared" si="67"/>
        <v>3200</v>
      </c>
      <c r="AC104" s="39">
        <f t="shared" si="67"/>
        <v>5200</v>
      </c>
      <c r="AD104" s="39">
        <f t="shared" si="67"/>
        <v>7200</v>
      </c>
      <c r="AE104" s="39">
        <f t="shared" si="67"/>
        <v>9200</v>
      </c>
      <c r="AF104" s="39">
        <f t="shared" si="67"/>
        <v>11200</v>
      </c>
      <c r="AG104" s="39">
        <f t="shared" si="67"/>
        <v>13200</v>
      </c>
      <c r="AH104" s="39">
        <f t="shared" si="67"/>
        <v>16720</v>
      </c>
      <c r="AI104" s="39">
        <f t="shared" si="67"/>
        <v>18920</v>
      </c>
      <c r="AJ104" s="39">
        <f t="shared" si="67"/>
        <v>21120</v>
      </c>
      <c r="AK104" s="39">
        <f t="shared" si="67"/>
        <v>23320</v>
      </c>
      <c r="AL104" s="39">
        <f t="shared" si="67"/>
        <v>25520</v>
      </c>
      <c r="AM104" s="39">
        <f t="shared" si="67"/>
        <v>27720</v>
      </c>
      <c r="AN104" s="39">
        <f t="shared" si="67"/>
        <v>30360</v>
      </c>
      <c r="AO104" s="39">
        <f t="shared" si="67"/>
        <v>33000</v>
      </c>
      <c r="AP104" s="39">
        <f t="shared" si="67"/>
        <v>35640</v>
      </c>
      <c r="AQ104" s="39">
        <f t="shared" si="67"/>
        <v>38280</v>
      </c>
      <c r="AR104" s="39">
        <f t="shared" si="67"/>
        <v>40920</v>
      </c>
      <c r="AS104" s="39">
        <f t="shared" si="67"/>
        <v>43560</v>
      </c>
      <c r="AT104" s="39">
        <f t="shared" si="67"/>
        <v>50820</v>
      </c>
      <c r="AU104" s="39">
        <f t="shared" si="67"/>
        <v>53724</v>
      </c>
      <c r="AV104" s="39">
        <f t="shared" si="67"/>
        <v>56628</v>
      </c>
      <c r="AW104" s="39">
        <f t="shared" si="67"/>
        <v>59532</v>
      </c>
      <c r="AX104" s="39">
        <f t="shared" si="67"/>
        <v>62436</v>
      </c>
      <c r="AY104" s="39">
        <f t="shared" si="67"/>
        <v>65340</v>
      </c>
      <c r="AZ104" s="39">
        <f t="shared" si="67"/>
        <v>68728</v>
      </c>
      <c r="BA104" s="39">
        <f t="shared" si="67"/>
        <v>72116</v>
      </c>
      <c r="BB104" s="39">
        <f t="shared" si="67"/>
        <v>75504</v>
      </c>
      <c r="BC104" s="39">
        <f t="shared" si="67"/>
        <v>78892</v>
      </c>
      <c r="BD104" s="39">
        <f t="shared" si="67"/>
        <v>82280</v>
      </c>
      <c r="BE104" s="39">
        <f t="shared" si="67"/>
        <v>85668</v>
      </c>
      <c r="BF104" s="39">
        <f t="shared" ref="BF104:BQ104" si="68">SUM(BF102:BF103)</f>
        <v>89056</v>
      </c>
      <c r="BG104" s="39">
        <f t="shared" si="68"/>
        <v>92444</v>
      </c>
      <c r="BH104" s="39">
        <f t="shared" si="68"/>
        <v>95832</v>
      </c>
      <c r="BI104" s="39">
        <f t="shared" si="68"/>
        <v>99220</v>
      </c>
      <c r="BJ104" s="39">
        <f t="shared" si="68"/>
        <v>102608</v>
      </c>
      <c r="BK104" s="39">
        <f t="shared" si="68"/>
        <v>105996</v>
      </c>
      <c r="BL104" s="39">
        <f t="shared" si="68"/>
        <v>109868</v>
      </c>
      <c r="BM104" s="39">
        <f t="shared" si="68"/>
        <v>113740</v>
      </c>
      <c r="BN104" s="39">
        <f t="shared" si="68"/>
        <v>117612</v>
      </c>
      <c r="BO104" s="39">
        <f t="shared" si="68"/>
        <v>121484</v>
      </c>
      <c r="BP104" s="39">
        <f t="shared" si="68"/>
        <v>125356</v>
      </c>
      <c r="BQ104" s="39">
        <f t="shared" si="68"/>
        <v>129228</v>
      </c>
    </row>
  </sheetData>
  <pageMargins left="0.7" right="0.7" top="0.75" bottom="0.75" header="0.3" footer="0.3"/>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Q258"/>
  <sheetViews>
    <sheetView zoomScale="150" workbookViewId="0">
      <pane xSplit="4" ySplit="4" topLeftCell="S115" activePane="bottomRight" state="frozen"/>
      <selection pane="topRight" activeCell="E1" sqref="E1"/>
      <selection pane="bottomLeft" activeCell="A5" sqref="A5"/>
      <selection pane="bottomRight" activeCell="J117" sqref="J117:BQ117"/>
    </sheetView>
  </sheetViews>
  <sheetFormatPr defaultColWidth="8.77734375" defaultRowHeight="13.8"/>
  <cols>
    <col min="1" max="1" width="8.77734375" style="4"/>
    <col min="2" max="2" width="29.77734375" style="4" customWidth="1"/>
    <col min="3" max="3" width="6.6640625" style="4" customWidth="1"/>
    <col min="4" max="8" width="0" style="4" hidden="1" customWidth="1"/>
    <col min="9" max="9" width="5" style="4" hidden="1" customWidth="1"/>
    <col min="10" max="10" width="9.109375" style="4" bestFit="1" customWidth="1"/>
    <col min="11" max="11" width="8.77734375" style="4"/>
    <col min="12" max="12" width="9.33203125" style="4" bestFit="1" customWidth="1"/>
    <col min="13" max="23" width="8.77734375" style="4"/>
    <col min="24" max="24" width="9.33203125" style="4" bestFit="1" customWidth="1"/>
    <col min="25" max="35" width="8.77734375" style="4"/>
    <col min="36" max="36" width="9.33203125" style="4" bestFit="1" customWidth="1"/>
    <col min="37" max="47" width="8.77734375" style="4"/>
    <col min="48" max="48" width="9.33203125" style="4" bestFit="1" customWidth="1"/>
    <col min="49" max="16384" width="8.77734375" style="4"/>
  </cols>
  <sheetData>
    <row r="1" spans="1:69">
      <c r="A1" s="3" t="s">
        <v>80</v>
      </c>
    </row>
    <row r="2" spans="1:69">
      <c r="A2" s="3" t="s">
        <v>2</v>
      </c>
      <c r="J2" s="6">
        <f>Timing!J2</f>
        <v>44986</v>
      </c>
      <c r="K2" s="6">
        <f>Timing!K2</f>
        <v>45017</v>
      </c>
      <c r="L2" s="6">
        <f>Timing!L2</f>
        <v>45047</v>
      </c>
      <c r="M2" s="6">
        <f>Timing!M2</f>
        <v>45078</v>
      </c>
      <c r="N2" s="6">
        <f>Timing!N2</f>
        <v>45108</v>
      </c>
      <c r="O2" s="6">
        <f>Timing!O2</f>
        <v>45139</v>
      </c>
      <c r="P2" s="6">
        <f>Timing!P2</f>
        <v>45170</v>
      </c>
      <c r="Q2" s="6">
        <f>Timing!Q2</f>
        <v>45200</v>
      </c>
      <c r="R2" s="6">
        <f>Timing!R2</f>
        <v>45231</v>
      </c>
      <c r="S2" s="6">
        <f>Timing!S2</f>
        <v>45261</v>
      </c>
      <c r="T2" s="6">
        <f>Timing!T2</f>
        <v>45292</v>
      </c>
      <c r="U2" s="6">
        <f>Timing!U2</f>
        <v>45323</v>
      </c>
      <c r="V2" s="6">
        <f>Timing!V2</f>
        <v>45352</v>
      </c>
      <c r="W2" s="6">
        <f>Timing!W2</f>
        <v>45383</v>
      </c>
      <c r="X2" s="6">
        <f>Timing!X2</f>
        <v>45413</v>
      </c>
      <c r="Y2" s="6">
        <f>Timing!Y2</f>
        <v>45444</v>
      </c>
      <c r="Z2" s="6">
        <f>Timing!Z2</f>
        <v>45474</v>
      </c>
      <c r="AA2" s="6">
        <f>Timing!AA2</f>
        <v>45505</v>
      </c>
      <c r="AB2" s="6">
        <f>Timing!AB2</f>
        <v>45536</v>
      </c>
      <c r="AC2" s="6">
        <f>Timing!AC2</f>
        <v>45566</v>
      </c>
      <c r="AD2" s="6">
        <f>Timing!AD2</f>
        <v>45597</v>
      </c>
      <c r="AE2" s="6">
        <f>Timing!AE2</f>
        <v>45627</v>
      </c>
      <c r="AF2" s="6">
        <f>Timing!AF2</f>
        <v>45658</v>
      </c>
      <c r="AG2" s="6">
        <f>Timing!AG2</f>
        <v>45689</v>
      </c>
      <c r="AH2" s="6">
        <f>Timing!AH2</f>
        <v>45717</v>
      </c>
      <c r="AI2" s="6">
        <f>Timing!AI2</f>
        <v>45748</v>
      </c>
      <c r="AJ2" s="6">
        <f>Timing!AJ2</f>
        <v>45778</v>
      </c>
      <c r="AK2" s="6">
        <f>Timing!AK2</f>
        <v>45809</v>
      </c>
      <c r="AL2" s="6">
        <f>Timing!AL2</f>
        <v>45839</v>
      </c>
      <c r="AM2" s="6">
        <f>Timing!AM2</f>
        <v>45870</v>
      </c>
      <c r="AN2" s="6">
        <f>Timing!AN2</f>
        <v>45901</v>
      </c>
      <c r="AO2" s="6">
        <f>Timing!AO2</f>
        <v>45931</v>
      </c>
      <c r="AP2" s="6">
        <f>Timing!AP2</f>
        <v>45962</v>
      </c>
      <c r="AQ2" s="6">
        <f>Timing!AQ2</f>
        <v>45992</v>
      </c>
      <c r="AR2" s="6">
        <f>Timing!AR2</f>
        <v>46023</v>
      </c>
      <c r="AS2" s="6">
        <f>Timing!AS2</f>
        <v>46054</v>
      </c>
      <c r="AT2" s="6">
        <f>Timing!AT2</f>
        <v>46082</v>
      </c>
      <c r="AU2" s="6">
        <f>Timing!AU2</f>
        <v>46113</v>
      </c>
      <c r="AV2" s="6">
        <f>Timing!AV2</f>
        <v>46143</v>
      </c>
      <c r="AW2" s="6">
        <f>Timing!AW2</f>
        <v>46174</v>
      </c>
      <c r="AX2" s="6">
        <f>Timing!AX2</f>
        <v>46204</v>
      </c>
      <c r="AY2" s="6">
        <f>Timing!AY2</f>
        <v>46235</v>
      </c>
      <c r="AZ2" s="6">
        <f>Timing!AZ2</f>
        <v>46266</v>
      </c>
      <c r="BA2" s="6">
        <f>Timing!BA2</f>
        <v>46296</v>
      </c>
      <c r="BB2" s="6">
        <f>Timing!BB2</f>
        <v>46327</v>
      </c>
      <c r="BC2" s="6">
        <f>Timing!BC2</f>
        <v>46357</v>
      </c>
      <c r="BD2" s="6">
        <f>Timing!BD2</f>
        <v>46388</v>
      </c>
      <c r="BE2" s="6">
        <f>Timing!BE2</f>
        <v>46419</v>
      </c>
      <c r="BF2" s="6">
        <f>Timing!BF2</f>
        <v>46447</v>
      </c>
      <c r="BG2" s="6">
        <f>Timing!BG2</f>
        <v>46478</v>
      </c>
      <c r="BH2" s="6">
        <f>Timing!BH2</f>
        <v>46508</v>
      </c>
      <c r="BI2" s="6">
        <f>Timing!BI2</f>
        <v>46539</v>
      </c>
      <c r="BJ2" s="6">
        <f>Timing!BJ2</f>
        <v>46569</v>
      </c>
      <c r="BK2" s="6">
        <f>Timing!BK2</f>
        <v>46600</v>
      </c>
      <c r="BL2" s="6">
        <f>Timing!BL2</f>
        <v>46631</v>
      </c>
      <c r="BM2" s="6">
        <f>Timing!BM2</f>
        <v>46661</v>
      </c>
      <c r="BN2" s="6">
        <f>Timing!BN2</f>
        <v>46692</v>
      </c>
      <c r="BO2" s="6">
        <f>Timing!BO2</f>
        <v>46722</v>
      </c>
      <c r="BP2" s="6">
        <f>Timing!BP2</f>
        <v>46753</v>
      </c>
      <c r="BQ2" s="6">
        <f>Timing!BQ2</f>
        <v>46784</v>
      </c>
    </row>
    <row r="3" spans="1:69">
      <c r="J3" s="6">
        <f>Timing!J3</f>
        <v>45016</v>
      </c>
      <c r="K3" s="6">
        <f>Timing!K3</f>
        <v>45046</v>
      </c>
      <c r="L3" s="6">
        <f>Timing!L3</f>
        <v>45077</v>
      </c>
      <c r="M3" s="6">
        <f>Timing!M3</f>
        <v>45107</v>
      </c>
      <c r="N3" s="6">
        <f>Timing!N3</f>
        <v>45138</v>
      </c>
      <c r="O3" s="6">
        <f>Timing!O3</f>
        <v>45169</v>
      </c>
      <c r="P3" s="6">
        <f>Timing!P3</f>
        <v>45199</v>
      </c>
      <c r="Q3" s="6">
        <f>Timing!Q3</f>
        <v>45230</v>
      </c>
      <c r="R3" s="6">
        <f>Timing!R3</f>
        <v>45260</v>
      </c>
      <c r="S3" s="6">
        <f>Timing!S3</f>
        <v>45291</v>
      </c>
      <c r="T3" s="6">
        <f>Timing!T3</f>
        <v>45322</v>
      </c>
      <c r="U3" s="6">
        <f>Timing!U3</f>
        <v>45351</v>
      </c>
      <c r="V3" s="6">
        <f>Timing!V3</f>
        <v>45382</v>
      </c>
      <c r="W3" s="6">
        <f>Timing!W3</f>
        <v>45412</v>
      </c>
      <c r="X3" s="6">
        <f>Timing!X3</f>
        <v>45443</v>
      </c>
      <c r="Y3" s="6">
        <f>Timing!Y3</f>
        <v>45473</v>
      </c>
      <c r="Z3" s="6">
        <f>Timing!Z3</f>
        <v>45504</v>
      </c>
      <c r="AA3" s="6">
        <f>Timing!AA3</f>
        <v>45535</v>
      </c>
      <c r="AB3" s="6">
        <f>Timing!AB3</f>
        <v>45565</v>
      </c>
      <c r="AC3" s="6">
        <f>Timing!AC3</f>
        <v>45596</v>
      </c>
      <c r="AD3" s="6">
        <f>Timing!AD3</f>
        <v>45626</v>
      </c>
      <c r="AE3" s="6">
        <f>Timing!AE3</f>
        <v>45657</v>
      </c>
      <c r="AF3" s="6">
        <f>Timing!AF3</f>
        <v>45688</v>
      </c>
      <c r="AG3" s="6">
        <f>Timing!AG3</f>
        <v>45716</v>
      </c>
      <c r="AH3" s="6">
        <f>Timing!AH3</f>
        <v>45747</v>
      </c>
      <c r="AI3" s="6">
        <f>Timing!AI3</f>
        <v>45777</v>
      </c>
      <c r="AJ3" s="6">
        <f>Timing!AJ3</f>
        <v>45808</v>
      </c>
      <c r="AK3" s="6">
        <f>Timing!AK3</f>
        <v>45838</v>
      </c>
      <c r="AL3" s="6">
        <f>Timing!AL3</f>
        <v>45869</v>
      </c>
      <c r="AM3" s="6">
        <f>Timing!AM3</f>
        <v>45900</v>
      </c>
      <c r="AN3" s="6">
        <f>Timing!AN3</f>
        <v>45930</v>
      </c>
      <c r="AO3" s="6">
        <f>Timing!AO3</f>
        <v>45961</v>
      </c>
      <c r="AP3" s="6">
        <f>Timing!AP3</f>
        <v>45991</v>
      </c>
      <c r="AQ3" s="6">
        <f>Timing!AQ3</f>
        <v>46022</v>
      </c>
      <c r="AR3" s="6">
        <f>Timing!AR3</f>
        <v>46053</v>
      </c>
      <c r="AS3" s="6">
        <f>Timing!AS3</f>
        <v>46081</v>
      </c>
      <c r="AT3" s="6">
        <f>Timing!AT3</f>
        <v>46112</v>
      </c>
      <c r="AU3" s="6">
        <f>Timing!AU3</f>
        <v>46142</v>
      </c>
      <c r="AV3" s="6">
        <f>Timing!AV3</f>
        <v>46173</v>
      </c>
      <c r="AW3" s="6">
        <f>Timing!AW3</f>
        <v>46203</v>
      </c>
      <c r="AX3" s="6">
        <f>Timing!AX3</f>
        <v>46234</v>
      </c>
      <c r="AY3" s="6">
        <f>Timing!AY3</f>
        <v>46265</v>
      </c>
      <c r="AZ3" s="6">
        <f>Timing!AZ3</f>
        <v>46295</v>
      </c>
      <c r="BA3" s="6">
        <f>Timing!BA3</f>
        <v>46326</v>
      </c>
      <c r="BB3" s="6">
        <f>Timing!BB3</f>
        <v>46356</v>
      </c>
      <c r="BC3" s="6">
        <f>Timing!BC3</f>
        <v>46387</v>
      </c>
      <c r="BD3" s="6">
        <f>Timing!BD3</f>
        <v>46418</v>
      </c>
      <c r="BE3" s="6">
        <f>Timing!BE3</f>
        <v>46446</v>
      </c>
      <c r="BF3" s="6">
        <f>Timing!BF3</f>
        <v>46477</v>
      </c>
      <c r="BG3" s="6">
        <f>Timing!BG3</f>
        <v>46507</v>
      </c>
      <c r="BH3" s="6">
        <f>Timing!BH3</f>
        <v>46538</v>
      </c>
      <c r="BI3" s="6">
        <f>Timing!BI3</f>
        <v>46568</v>
      </c>
      <c r="BJ3" s="6">
        <f>Timing!BJ3</f>
        <v>46599</v>
      </c>
      <c r="BK3" s="6">
        <f>Timing!BK3</f>
        <v>46630</v>
      </c>
      <c r="BL3" s="6">
        <f>Timing!BL3</f>
        <v>46660</v>
      </c>
      <c r="BM3" s="6">
        <f>Timing!BM3</f>
        <v>46691</v>
      </c>
      <c r="BN3" s="6">
        <f>Timing!BN3</f>
        <v>46721</v>
      </c>
      <c r="BO3" s="6">
        <f>Timing!BO3</f>
        <v>46752</v>
      </c>
      <c r="BP3" s="6">
        <f>Timing!BP3</f>
        <v>46783</v>
      </c>
      <c r="BQ3" s="6">
        <f>Timing!BQ3</f>
        <v>46812</v>
      </c>
    </row>
    <row r="5" spans="1:69" ht="22.05" customHeight="1">
      <c r="B5" s="3" t="s">
        <v>86</v>
      </c>
    </row>
    <row r="6" spans="1:69">
      <c r="B6" s="4" t="str">
        <f>B52</f>
        <v>ISP capex - Cost of screens</v>
      </c>
      <c r="J6" s="39">
        <f>J54</f>
        <v>18000</v>
      </c>
      <c r="K6" s="39">
        <f t="shared" ref="K6:BE6" si="0">K54</f>
        <v>0</v>
      </c>
      <c r="L6" s="39">
        <f t="shared" si="0"/>
        <v>18000</v>
      </c>
      <c r="M6" s="39">
        <f t="shared" si="0"/>
        <v>18000</v>
      </c>
      <c r="N6" s="39">
        <f t="shared" si="0"/>
        <v>18000</v>
      </c>
      <c r="O6" s="39">
        <f t="shared" si="0"/>
        <v>18000</v>
      </c>
      <c r="P6" s="39">
        <f>P54</f>
        <v>40692</v>
      </c>
      <c r="Q6" s="39">
        <f t="shared" si="0"/>
        <v>0</v>
      </c>
      <c r="R6" s="39">
        <f t="shared" si="0"/>
        <v>0</v>
      </c>
      <c r="S6" s="39">
        <f t="shared" si="0"/>
        <v>0</v>
      </c>
      <c r="T6" s="39">
        <f t="shared" si="0"/>
        <v>0</v>
      </c>
      <c r="U6" s="39">
        <f t="shared" si="0"/>
        <v>0</v>
      </c>
      <c r="V6" s="39">
        <f t="shared" si="0"/>
        <v>0</v>
      </c>
      <c r="W6" s="39">
        <f t="shared" si="0"/>
        <v>18690</v>
      </c>
      <c r="X6" s="39">
        <f t="shared" si="0"/>
        <v>18690</v>
      </c>
      <c r="Y6" s="39">
        <f t="shared" si="0"/>
        <v>18690</v>
      </c>
      <c r="Z6" s="39">
        <f t="shared" si="0"/>
        <v>18690</v>
      </c>
      <c r="AA6" s="39">
        <f t="shared" si="0"/>
        <v>18690</v>
      </c>
      <c r="AB6" s="39">
        <f t="shared" si="0"/>
        <v>18690</v>
      </c>
      <c r="AC6" s="39">
        <f t="shared" si="0"/>
        <v>18690</v>
      </c>
      <c r="AD6" s="39">
        <f t="shared" si="0"/>
        <v>18690</v>
      </c>
      <c r="AE6" s="39">
        <f t="shared" si="0"/>
        <v>18690</v>
      </c>
      <c r="AF6" s="39">
        <f t="shared" si="0"/>
        <v>18690</v>
      </c>
      <c r="AG6" s="39">
        <f t="shared" si="0"/>
        <v>18690</v>
      </c>
      <c r="AH6" s="39">
        <f t="shared" si="0"/>
        <v>22428</v>
      </c>
      <c r="AI6" s="39">
        <f t="shared" si="0"/>
        <v>22428</v>
      </c>
      <c r="AJ6" s="39">
        <f t="shared" si="0"/>
        <v>22428</v>
      </c>
      <c r="AK6" s="39">
        <f t="shared" si="0"/>
        <v>22428</v>
      </c>
      <c r="AL6" s="39">
        <f t="shared" si="0"/>
        <v>22428</v>
      </c>
      <c r="AM6" s="39">
        <f t="shared" si="0"/>
        <v>22428</v>
      </c>
      <c r="AN6" s="39">
        <f t="shared" si="0"/>
        <v>22428</v>
      </c>
      <c r="AO6" s="39">
        <f t="shared" si="0"/>
        <v>22428</v>
      </c>
      <c r="AP6" s="39">
        <f t="shared" si="0"/>
        <v>22428</v>
      </c>
      <c r="AQ6" s="39">
        <f t="shared" si="0"/>
        <v>22428</v>
      </c>
      <c r="AR6" s="39">
        <f t="shared" si="0"/>
        <v>22428</v>
      </c>
      <c r="AS6" s="39">
        <f t="shared" si="0"/>
        <v>22428</v>
      </c>
      <c r="AT6" s="39">
        <f t="shared" si="0"/>
        <v>26789</v>
      </c>
      <c r="AU6" s="39">
        <f t="shared" si="0"/>
        <v>26789</v>
      </c>
      <c r="AV6" s="39">
        <f t="shared" si="0"/>
        <v>26789</v>
      </c>
      <c r="AW6" s="39">
        <f t="shared" si="0"/>
        <v>26789</v>
      </c>
      <c r="AX6" s="39">
        <f t="shared" si="0"/>
        <v>26789</v>
      </c>
      <c r="AY6" s="39">
        <f t="shared" si="0"/>
        <v>26789</v>
      </c>
      <c r="AZ6" s="39">
        <f t="shared" si="0"/>
        <v>26789</v>
      </c>
      <c r="BA6" s="39">
        <f t="shared" si="0"/>
        <v>26789</v>
      </c>
      <c r="BB6" s="39">
        <f t="shared" si="0"/>
        <v>26789</v>
      </c>
      <c r="BC6" s="39">
        <f t="shared" si="0"/>
        <v>26789</v>
      </c>
      <c r="BD6" s="39">
        <f t="shared" si="0"/>
        <v>26789</v>
      </c>
      <c r="BE6" s="39">
        <f t="shared" si="0"/>
        <v>26789</v>
      </c>
      <c r="BF6" s="39">
        <f t="shared" ref="BF6:BQ6" si="1">BF54</f>
        <v>32396</v>
      </c>
      <c r="BG6" s="39">
        <f t="shared" si="1"/>
        <v>32396</v>
      </c>
      <c r="BH6" s="39">
        <f t="shared" si="1"/>
        <v>32396</v>
      </c>
      <c r="BI6" s="39">
        <f t="shared" si="1"/>
        <v>32396</v>
      </c>
      <c r="BJ6" s="39">
        <f t="shared" si="1"/>
        <v>32396</v>
      </c>
      <c r="BK6" s="39">
        <f t="shared" si="1"/>
        <v>32396</v>
      </c>
      <c r="BL6" s="39">
        <f t="shared" si="1"/>
        <v>32396</v>
      </c>
      <c r="BM6" s="39">
        <f t="shared" si="1"/>
        <v>32396</v>
      </c>
      <c r="BN6" s="39">
        <f t="shared" si="1"/>
        <v>32396</v>
      </c>
      <c r="BO6" s="39">
        <f t="shared" si="1"/>
        <v>32396</v>
      </c>
      <c r="BP6" s="39">
        <f t="shared" si="1"/>
        <v>32396</v>
      </c>
      <c r="BQ6" s="39">
        <f t="shared" si="1"/>
        <v>32396</v>
      </c>
    </row>
    <row r="7" spans="1:69">
      <c r="B7" s="4" t="str">
        <f>B57</f>
        <v>ISP capex - Screen Set up and Installation</v>
      </c>
      <c r="J7" s="39">
        <f>J59</f>
        <v>0</v>
      </c>
      <c r="K7" s="39">
        <f t="shared" ref="K7:BE7" si="2">K59</f>
        <v>7364</v>
      </c>
      <c r="L7" s="39">
        <f t="shared" si="2"/>
        <v>8896</v>
      </c>
      <c r="M7" s="39">
        <f t="shared" si="2"/>
        <v>5055</v>
      </c>
      <c r="N7" s="39">
        <f t="shared" si="2"/>
        <v>10047</v>
      </c>
      <c r="O7" s="39">
        <f t="shared" si="2"/>
        <v>60033</v>
      </c>
      <c r="P7" s="39">
        <f t="shared" si="2"/>
        <v>17604</v>
      </c>
      <c r="Q7" s="39">
        <f t="shared" si="2"/>
        <v>3285</v>
      </c>
      <c r="R7" s="39">
        <f t="shared" si="2"/>
        <v>0</v>
      </c>
      <c r="S7" s="39">
        <f t="shared" si="2"/>
        <v>0</v>
      </c>
      <c r="T7" s="39">
        <f t="shared" si="2"/>
        <v>0</v>
      </c>
      <c r="U7" s="39">
        <f t="shared" si="2"/>
        <v>0</v>
      </c>
      <c r="V7" s="39">
        <f t="shared" si="2"/>
        <v>0</v>
      </c>
      <c r="W7" s="39">
        <f t="shared" si="2"/>
        <v>18000</v>
      </c>
      <c r="X7" s="39">
        <f t="shared" si="2"/>
        <v>18000</v>
      </c>
      <c r="Y7" s="39">
        <f t="shared" si="2"/>
        <v>18000</v>
      </c>
      <c r="Z7" s="39">
        <f t="shared" si="2"/>
        <v>18000</v>
      </c>
      <c r="AA7" s="39">
        <f t="shared" si="2"/>
        <v>18000</v>
      </c>
      <c r="AB7" s="39">
        <f t="shared" si="2"/>
        <v>18000</v>
      </c>
      <c r="AC7" s="39">
        <f t="shared" si="2"/>
        <v>18000</v>
      </c>
      <c r="AD7" s="39">
        <f t="shared" si="2"/>
        <v>18000</v>
      </c>
      <c r="AE7" s="39">
        <f t="shared" si="2"/>
        <v>18000</v>
      </c>
      <c r="AF7" s="39">
        <f t="shared" si="2"/>
        <v>18000</v>
      </c>
      <c r="AG7" s="39">
        <f t="shared" si="2"/>
        <v>18000</v>
      </c>
      <c r="AH7" s="39">
        <f t="shared" si="2"/>
        <v>21600</v>
      </c>
      <c r="AI7" s="39">
        <f t="shared" si="2"/>
        <v>21600</v>
      </c>
      <c r="AJ7" s="39">
        <f t="shared" si="2"/>
        <v>21600</v>
      </c>
      <c r="AK7" s="39">
        <f t="shared" si="2"/>
        <v>21600</v>
      </c>
      <c r="AL7" s="39">
        <f t="shared" si="2"/>
        <v>21600</v>
      </c>
      <c r="AM7" s="39">
        <f t="shared" si="2"/>
        <v>21600</v>
      </c>
      <c r="AN7" s="39">
        <f t="shared" si="2"/>
        <v>21600</v>
      </c>
      <c r="AO7" s="39">
        <f t="shared" si="2"/>
        <v>21600</v>
      </c>
      <c r="AP7" s="39">
        <f t="shared" si="2"/>
        <v>21600</v>
      </c>
      <c r="AQ7" s="39">
        <f t="shared" si="2"/>
        <v>21600</v>
      </c>
      <c r="AR7" s="39">
        <f t="shared" si="2"/>
        <v>21600</v>
      </c>
      <c r="AS7" s="39">
        <f t="shared" si="2"/>
        <v>21600</v>
      </c>
      <c r="AT7" s="39">
        <f t="shared" si="2"/>
        <v>25800</v>
      </c>
      <c r="AU7" s="39">
        <f t="shared" si="2"/>
        <v>25800</v>
      </c>
      <c r="AV7" s="39">
        <f t="shared" si="2"/>
        <v>25800</v>
      </c>
      <c r="AW7" s="39">
        <f t="shared" si="2"/>
        <v>25800</v>
      </c>
      <c r="AX7" s="39">
        <f t="shared" si="2"/>
        <v>25800</v>
      </c>
      <c r="AY7" s="39">
        <f t="shared" si="2"/>
        <v>25800</v>
      </c>
      <c r="AZ7" s="39">
        <f t="shared" si="2"/>
        <v>25800</v>
      </c>
      <c r="BA7" s="39">
        <f t="shared" si="2"/>
        <v>25800</v>
      </c>
      <c r="BB7" s="39">
        <f t="shared" si="2"/>
        <v>25800</v>
      </c>
      <c r="BC7" s="39">
        <f t="shared" si="2"/>
        <v>25800</v>
      </c>
      <c r="BD7" s="39">
        <f t="shared" si="2"/>
        <v>25800</v>
      </c>
      <c r="BE7" s="39">
        <f t="shared" si="2"/>
        <v>25800</v>
      </c>
      <c r="BF7" s="39">
        <f t="shared" ref="BF7:BQ7" si="3">BF59</f>
        <v>31200</v>
      </c>
      <c r="BG7" s="39">
        <f t="shared" si="3"/>
        <v>31200</v>
      </c>
      <c r="BH7" s="39">
        <f t="shared" si="3"/>
        <v>31200</v>
      </c>
      <c r="BI7" s="39">
        <f t="shared" si="3"/>
        <v>31200</v>
      </c>
      <c r="BJ7" s="39">
        <f t="shared" si="3"/>
        <v>31200</v>
      </c>
      <c r="BK7" s="39">
        <f t="shared" si="3"/>
        <v>31200</v>
      </c>
      <c r="BL7" s="39">
        <f t="shared" si="3"/>
        <v>31200</v>
      </c>
      <c r="BM7" s="39">
        <f t="shared" si="3"/>
        <v>31200</v>
      </c>
      <c r="BN7" s="39">
        <f t="shared" si="3"/>
        <v>31200</v>
      </c>
      <c r="BO7" s="39">
        <f t="shared" si="3"/>
        <v>31200</v>
      </c>
      <c r="BP7" s="39">
        <f t="shared" si="3"/>
        <v>31200</v>
      </c>
      <c r="BQ7" s="39">
        <f t="shared" si="3"/>
        <v>31200</v>
      </c>
    </row>
    <row r="8" spans="1:69">
      <c r="B8" s="4" t="str">
        <f>B62</f>
        <v>ISP capex - Screen Wall mount</v>
      </c>
      <c r="J8" s="39">
        <f>J64</f>
        <v>1425</v>
      </c>
      <c r="K8" s="39">
        <f t="shared" ref="K8:BE8" si="4">K64</f>
        <v>0</v>
      </c>
      <c r="L8" s="39">
        <f t="shared" si="4"/>
        <v>1425</v>
      </c>
      <c r="M8" s="39">
        <f t="shared" si="4"/>
        <v>1500</v>
      </c>
      <c r="N8" s="39">
        <f t="shared" si="4"/>
        <v>1500</v>
      </c>
      <c r="O8" s="39">
        <f t="shared" si="4"/>
        <v>1425</v>
      </c>
      <c r="P8" s="39">
        <f t="shared" si="4"/>
        <v>3207</v>
      </c>
      <c r="Q8" s="39">
        <f t="shared" si="4"/>
        <v>0</v>
      </c>
      <c r="R8" s="39">
        <f t="shared" si="4"/>
        <v>0</v>
      </c>
      <c r="S8" s="39">
        <f t="shared" si="4"/>
        <v>0</v>
      </c>
      <c r="T8" s="39">
        <f t="shared" si="4"/>
        <v>0</v>
      </c>
      <c r="U8" s="39">
        <f t="shared" si="4"/>
        <v>0</v>
      </c>
      <c r="V8" s="39">
        <f t="shared" si="4"/>
        <v>0</v>
      </c>
      <c r="W8" s="39">
        <f t="shared" si="4"/>
        <v>1440</v>
      </c>
      <c r="X8" s="39">
        <f t="shared" si="4"/>
        <v>1440</v>
      </c>
      <c r="Y8" s="39">
        <f t="shared" si="4"/>
        <v>1440</v>
      </c>
      <c r="Z8" s="39">
        <f t="shared" si="4"/>
        <v>1440</v>
      </c>
      <c r="AA8" s="39">
        <f t="shared" si="4"/>
        <v>1440</v>
      </c>
      <c r="AB8" s="39">
        <f t="shared" si="4"/>
        <v>1440</v>
      </c>
      <c r="AC8" s="39">
        <f t="shared" si="4"/>
        <v>1440</v>
      </c>
      <c r="AD8" s="39">
        <f t="shared" si="4"/>
        <v>1440</v>
      </c>
      <c r="AE8" s="39">
        <f t="shared" si="4"/>
        <v>1440</v>
      </c>
      <c r="AF8" s="39">
        <f t="shared" si="4"/>
        <v>1440</v>
      </c>
      <c r="AG8" s="39">
        <f t="shared" si="4"/>
        <v>1440</v>
      </c>
      <c r="AH8" s="39">
        <f t="shared" si="4"/>
        <v>1728</v>
      </c>
      <c r="AI8" s="39">
        <f t="shared" si="4"/>
        <v>1728</v>
      </c>
      <c r="AJ8" s="39">
        <f t="shared" si="4"/>
        <v>1728</v>
      </c>
      <c r="AK8" s="39">
        <f t="shared" si="4"/>
        <v>1728</v>
      </c>
      <c r="AL8" s="39">
        <f t="shared" si="4"/>
        <v>1728</v>
      </c>
      <c r="AM8" s="39">
        <f t="shared" si="4"/>
        <v>1728</v>
      </c>
      <c r="AN8" s="39">
        <f t="shared" si="4"/>
        <v>1728</v>
      </c>
      <c r="AO8" s="39">
        <f t="shared" si="4"/>
        <v>1728</v>
      </c>
      <c r="AP8" s="39">
        <f t="shared" si="4"/>
        <v>1728</v>
      </c>
      <c r="AQ8" s="39">
        <f t="shared" si="4"/>
        <v>1728</v>
      </c>
      <c r="AR8" s="39">
        <f t="shared" si="4"/>
        <v>1728</v>
      </c>
      <c r="AS8" s="39">
        <f t="shared" si="4"/>
        <v>1728</v>
      </c>
      <c r="AT8" s="39">
        <f t="shared" si="4"/>
        <v>2064</v>
      </c>
      <c r="AU8" s="39">
        <f t="shared" si="4"/>
        <v>2064</v>
      </c>
      <c r="AV8" s="39">
        <f t="shared" si="4"/>
        <v>2064</v>
      </c>
      <c r="AW8" s="39">
        <f t="shared" si="4"/>
        <v>2064</v>
      </c>
      <c r="AX8" s="39">
        <f t="shared" si="4"/>
        <v>2064</v>
      </c>
      <c r="AY8" s="39">
        <f t="shared" si="4"/>
        <v>2064</v>
      </c>
      <c r="AZ8" s="39">
        <f t="shared" si="4"/>
        <v>2064</v>
      </c>
      <c r="BA8" s="39">
        <f t="shared" si="4"/>
        <v>2064</v>
      </c>
      <c r="BB8" s="39">
        <f t="shared" si="4"/>
        <v>2064</v>
      </c>
      <c r="BC8" s="39">
        <f t="shared" si="4"/>
        <v>2064</v>
      </c>
      <c r="BD8" s="39">
        <f t="shared" si="4"/>
        <v>2064</v>
      </c>
      <c r="BE8" s="39">
        <f t="shared" si="4"/>
        <v>2064</v>
      </c>
      <c r="BF8" s="39">
        <f t="shared" ref="BF8:BQ8" si="5">BF64</f>
        <v>2496</v>
      </c>
      <c r="BG8" s="39">
        <f t="shared" si="5"/>
        <v>2496</v>
      </c>
      <c r="BH8" s="39">
        <f t="shared" si="5"/>
        <v>2496</v>
      </c>
      <c r="BI8" s="39">
        <f t="shared" si="5"/>
        <v>2496</v>
      </c>
      <c r="BJ8" s="39">
        <f t="shared" si="5"/>
        <v>2496</v>
      </c>
      <c r="BK8" s="39">
        <f t="shared" si="5"/>
        <v>2496</v>
      </c>
      <c r="BL8" s="39">
        <f t="shared" si="5"/>
        <v>2496</v>
      </c>
      <c r="BM8" s="39">
        <f t="shared" si="5"/>
        <v>2496</v>
      </c>
      <c r="BN8" s="39">
        <f t="shared" si="5"/>
        <v>2496</v>
      </c>
      <c r="BO8" s="39">
        <f t="shared" si="5"/>
        <v>2496</v>
      </c>
      <c r="BP8" s="39">
        <f t="shared" si="5"/>
        <v>2496</v>
      </c>
      <c r="BQ8" s="39">
        <f t="shared" si="5"/>
        <v>2496</v>
      </c>
    </row>
    <row r="9" spans="1:69">
      <c r="B9" s="4" t="str">
        <f>B67</f>
        <v>ISP capex - Screen Survey cost</v>
      </c>
      <c r="J9" s="39">
        <f>J69</f>
        <v>0</v>
      </c>
      <c r="K9" s="39">
        <f t="shared" ref="K9:BE9" si="6">K69</f>
        <v>0</v>
      </c>
      <c r="L9" s="39">
        <f t="shared" si="6"/>
        <v>0</v>
      </c>
      <c r="M9" s="39">
        <f t="shared" si="6"/>
        <v>0</v>
      </c>
      <c r="N9" s="39">
        <f t="shared" si="6"/>
        <v>0</v>
      </c>
      <c r="O9" s="39">
        <f t="shared" si="6"/>
        <v>21800</v>
      </c>
      <c r="P9" s="39">
        <f t="shared" si="6"/>
        <v>476</v>
      </c>
      <c r="Q9" s="39">
        <f t="shared" si="6"/>
        <v>4000</v>
      </c>
      <c r="R9" s="39">
        <f t="shared" si="6"/>
        <v>0</v>
      </c>
      <c r="S9" s="39">
        <f t="shared" si="6"/>
        <v>0</v>
      </c>
      <c r="T9" s="39">
        <f t="shared" si="6"/>
        <v>0</v>
      </c>
      <c r="U9" s="39">
        <f t="shared" si="6"/>
        <v>0</v>
      </c>
      <c r="V9" s="39">
        <f t="shared" si="6"/>
        <v>0</v>
      </c>
      <c r="W9" s="39">
        <f t="shared" si="6"/>
        <v>6000</v>
      </c>
      <c r="X9" s="39">
        <f t="shared" si="6"/>
        <v>6000</v>
      </c>
      <c r="Y9" s="39">
        <f t="shared" si="6"/>
        <v>6000</v>
      </c>
      <c r="Z9" s="39">
        <f t="shared" si="6"/>
        <v>6000</v>
      </c>
      <c r="AA9" s="39">
        <f t="shared" si="6"/>
        <v>6000</v>
      </c>
      <c r="AB9" s="39">
        <f t="shared" si="6"/>
        <v>6000</v>
      </c>
      <c r="AC9" s="39">
        <f t="shared" si="6"/>
        <v>6000</v>
      </c>
      <c r="AD9" s="39">
        <f t="shared" si="6"/>
        <v>6000</v>
      </c>
      <c r="AE9" s="39">
        <f t="shared" si="6"/>
        <v>6000</v>
      </c>
      <c r="AF9" s="39">
        <f t="shared" si="6"/>
        <v>6000</v>
      </c>
      <c r="AG9" s="39">
        <f t="shared" si="6"/>
        <v>6000</v>
      </c>
      <c r="AH9" s="39">
        <f t="shared" si="6"/>
        <v>7200</v>
      </c>
      <c r="AI9" s="39">
        <f t="shared" si="6"/>
        <v>7200</v>
      </c>
      <c r="AJ9" s="39">
        <f t="shared" si="6"/>
        <v>7200</v>
      </c>
      <c r="AK9" s="39">
        <f t="shared" si="6"/>
        <v>7200</v>
      </c>
      <c r="AL9" s="39">
        <f t="shared" si="6"/>
        <v>7200</v>
      </c>
      <c r="AM9" s="39">
        <f t="shared" si="6"/>
        <v>7200</v>
      </c>
      <c r="AN9" s="39">
        <f t="shared" si="6"/>
        <v>7200</v>
      </c>
      <c r="AO9" s="39">
        <f t="shared" si="6"/>
        <v>7200</v>
      </c>
      <c r="AP9" s="39">
        <f t="shared" si="6"/>
        <v>7200</v>
      </c>
      <c r="AQ9" s="39">
        <f t="shared" si="6"/>
        <v>7200</v>
      </c>
      <c r="AR9" s="39">
        <f t="shared" si="6"/>
        <v>7200</v>
      </c>
      <c r="AS9" s="39">
        <f t="shared" si="6"/>
        <v>7200</v>
      </c>
      <c r="AT9" s="39">
        <f t="shared" si="6"/>
        <v>8600</v>
      </c>
      <c r="AU9" s="39">
        <f t="shared" si="6"/>
        <v>8600</v>
      </c>
      <c r="AV9" s="39">
        <f t="shared" si="6"/>
        <v>8600</v>
      </c>
      <c r="AW9" s="39">
        <f t="shared" si="6"/>
        <v>8600</v>
      </c>
      <c r="AX9" s="39">
        <f t="shared" si="6"/>
        <v>8600</v>
      </c>
      <c r="AY9" s="39">
        <f t="shared" si="6"/>
        <v>8600</v>
      </c>
      <c r="AZ9" s="39">
        <f t="shared" si="6"/>
        <v>8600</v>
      </c>
      <c r="BA9" s="39">
        <f t="shared" si="6"/>
        <v>8600</v>
      </c>
      <c r="BB9" s="39">
        <f t="shared" si="6"/>
        <v>8600</v>
      </c>
      <c r="BC9" s="39">
        <f t="shared" si="6"/>
        <v>8600</v>
      </c>
      <c r="BD9" s="39">
        <f t="shared" si="6"/>
        <v>8600</v>
      </c>
      <c r="BE9" s="39">
        <f t="shared" si="6"/>
        <v>8600</v>
      </c>
      <c r="BF9" s="39">
        <f t="shared" ref="BF9:BQ9" si="7">BF69</f>
        <v>10400</v>
      </c>
      <c r="BG9" s="39">
        <f t="shared" si="7"/>
        <v>10400</v>
      </c>
      <c r="BH9" s="39">
        <f t="shared" si="7"/>
        <v>10400</v>
      </c>
      <c r="BI9" s="39">
        <f t="shared" si="7"/>
        <v>10400</v>
      </c>
      <c r="BJ9" s="39">
        <f t="shared" si="7"/>
        <v>10400</v>
      </c>
      <c r="BK9" s="39">
        <f t="shared" si="7"/>
        <v>10400</v>
      </c>
      <c r="BL9" s="39">
        <f t="shared" si="7"/>
        <v>10400</v>
      </c>
      <c r="BM9" s="39">
        <f t="shared" si="7"/>
        <v>10400</v>
      </c>
      <c r="BN9" s="39">
        <f t="shared" si="7"/>
        <v>10400</v>
      </c>
      <c r="BO9" s="39">
        <f t="shared" si="7"/>
        <v>10400</v>
      </c>
      <c r="BP9" s="39">
        <f t="shared" si="7"/>
        <v>10400</v>
      </c>
      <c r="BQ9" s="39">
        <f t="shared" si="7"/>
        <v>10400</v>
      </c>
    </row>
    <row r="10" spans="1:69">
      <c r="B10" s="4" t="str">
        <f>B72</f>
        <v>ISP capex - Software charge</v>
      </c>
      <c r="J10" s="39">
        <f>J74</f>
        <v>0</v>
      </c>
      <c r="K10" s="39">
        <f t="shared" ref="K10:BE10" si="8">K74</f>
        <v>0</v>
      </c>
      <c r="L10" s="39">
        <f t="shared" si="8"/>
        <v>484</v>
      </c>
      <c r="M10" s="39">
        <f t="shared" si="8"/>
        <v>484</v>
      </c>
      <c r="N10" s="39">
        <f t="shared" si="8"/>
        <v>1760</v>
      </c>
      <c r="O10" s="39">
        <f t="shared" si="8"/>
        <v>1804</v>
      </c>
      <c r="P10" s="39">
        <f t="shared" si="8"/>
        <v>2266</v>
      </c>
      <c r="Q10" s="39">
        <f t="shared" si="8"/>
        <v>3344</v>
      </c>
      <c r="R10" s="39">
        <f t="shared" si="8"/>
        <v>6750</v>
      </c>
      <c r="S10" s="39">
        <f t="shared" si="8"/>
        <v>6750</v>
      </c>
      <c r="T10" s="39">
        <f t="shared" si="8"/>
        <v>6750</v>
      </c>
      <c r="U10" s="39">
        <f t="shared" si="8"/>
        <v>6750</v>
      </c>
      <c r="V10" s="39">
        <f t="shared" si="8"/>
        <v>6750</v>
      </c>
      <c r="W10" s="39">
        <f t="shared" si="8"/>
        <v>7425</v>
      </c>
      <c r="X10" s="39">
        <f t="shared" si="8"/>
        <v>8100</v>
      </c>
      <c r="Y10" s="39">
        <f t="shared" si="8"/>
        <v>8775</v>
      </c>
      <c r="Z10" s="39">
        <f t="shared" si="8"/>
        <v>9450</v>
      </c>
      <c r="AA10" s="39">
        <f t="shared" si="8"/>
        <v>10125</v>
      </c>
      <c r="AB10" s="39">
        <f t="shared" si="8"/>
        <v>10800</v>
      </c>
      <c r="AC10" s="39">
        <f t="shared" si="8"/>
        <v>11475</v>
      </c>
      <c r="AD10" s="39">
        <f t="shared" si="8"/>
        <v>12150</v>
      </c>
      <c r="AE10" s="39">
        <f t="shared" si="8"/>
        <v>12825</v>
      </c>
      <c r="AF10" s="39">
        <f t="shared" si="8"/>
        <v>13500</v>
      </c>
      <c r="AG10" s="39">
        <f t="shared" si="8"/>
        <v>14175</v>
      </c>
      <c r="AH10" s="39">
        <f t="shared" si="8"/>
        <v>14985</v>
      </c>
      <c r="AI10" s="39">
        <f t="shared" si="8"/>
        <v>15795</v>
      </c>
      <c r="AJ10" s="39">
        <f t="shared" si="8"/>
        <v>16605</v>
      </c>
      <c r="AK10" s="39">
        <f t="shared" si="8"/>
        <v>17415</v>
      </c>
      <c r="AL10" s="39">
        <f t="shared" si="8"/>
        <v>18225</v>
      </c>
      <c r="AM10" s="39">
        <f t="shared" si="8"/>
        <v>19035</v>
      </c>
      <c r="AN10" s="39">
        <f t="shared" si="8"/>
        <v>19845</v>
      </c>
      <c r="AO10" s="39">
        <f t="shared" si="8"/>
        <v>20655</v>
      </c>
      <c r="AP10" s="39">
        <f t="shared" si="8"/>
        <v>21465</v>
      </c>
      <c r="AQ10" s="39">
        <f t="shared" si="8"/>
        <v>22275</v>
      </c>
      <c r="AR10" s="39">
        <f t="shared" si="8"/>
        <v>23085</v>
      </c>
      <c r="AS10" s="39">
        <f t="shared" si="8"/>
        <v>23895</v>
      </c>
      <c r="AT10" s="39">
        <f t="shared" si="8"/>
        <v>24862.5</v>
      </c>
      <c r="AU10" s="39">
        <f t="shared" si="8"/>
        <v>25830</v>
      </c>
      <c r="AV10" s="39">
        <f t="shared" si="8"/>
        <v>26797.5</v>
      </c>
      <c r="AW10" s="39">
        <f t="shared" si="8"/>
        <v>27765</v>
      </c>
      <c r="AX10" s="39">
        <f t="shared" si="8"/>
        <v>28732.5</v>
      </c>
      <c r="AY10" s="39">
        <f t="shared" si="8"/>
        <v>29700</v>
      </c>
      <c r="AZ10" s="39">
        <f t="shared" si="8"/>
        <v>30667.5</v>
      </c>
      <c r="BA10" s="39">
        <f t="shared" si="8"/>
        <v>31635</v>
      </c>
      <c r="BB10" s="39">
        <f t="shared" si="8"/>
        <v>32602.5</v>
      </c>
      <c r="BC10" s="39">
        <f t="shared" si="8"/>
        <v>33570</v>
      </c>
      <c r="BD10" s="39">
        <f t="shared" si="8"/>
        <v>34537.5</v>
      </c>
      <c r="BE10" s="39">
        <f t="shared" si="8"/>
        <v>35505</v>
      </c>
      <c r="BF10" s="39">
        <f t="shared" ref="BF10:BQ10" si="9">BF74</f>
        <v>36675</v>
      </c>
      <c r="BG10" s="39">
        <f t="shared" si="9"/>
        <v>37845</v>
      </c>
      <c r="BH10" s="39">
        <f t="shared" si="9"/>
        <v>39015</v>
      </c>
      <c r="BI10" s="39">
        <f t="shared" si="9"/>
        <v>40185</v>
      </c>
      <c r="BJ10" s="39">
        <f t="shared" si="9"/>
        <v>41355</v>
      </c>
      <c r="BK10" s="39">
        <f t="shared" si="9"/>
        <v>42525</v>
      </c>
      <c r="BL10" s="39">
        <f t="shared" si="9"/>
        <v>43695</v>
      </c>
      <c r="BM10" s="39">
        <f t="shared" si="9"/>
        <v>44865</v>
      </c>
      <c r="BN10" s="39">
        <f t="shared" si="9"/>
        <v>46035</v>
      </c>
      <c r="BO10" s="39">
        <f t="shared" si="9"/>
        <v>47205</v>
      </c>
      <c r="BP10" s="39">
        <f t="shared" si="9"/>
        <v>48375</v>
      </c>
      <c r="BQ10" s="39">
        <f t="shared" si="9"/>
        <v>49545</v>
      </c>
    </row>
    <row r="11" spans="1:69">
      <c r="B11" s="4" t="str">
        <f>B77</f>
        <v>ISP capex - Other costs</v>
      </c>
      <c r="J11" s="39">
        <f>J79</f>
        <v>0</v>
      </c>
      <c r="K11" s="39">
        <f t="shared" ref="K11:BE11" si="10">K79</f>
        <v>0</v>
      </c>
      <c r="L11" s="39">
        <f t="shared" si="10"/>
        <v>0</v>
      </c>
      <c r="M11" s="39">
        <f t="shared" si="10"/>
        <v>0</v>
      </c>
      <c r="N11" s="39">
        <f t="shared" si="10"/>
        <v>0</v>
      </c>
      <c r="O11" s="39">
        <f t="shared" si="10"/>
        <v>345</v>
      </c>
      <c r="P11" s="39">
        <f t="shared" si="10"/>
        <v>45</v>
      </c>
      <c r="Q11" s="39">
        <f t="shared" si="10"/>
        <v>0</v>
      </c>
      <c r="R11" s="39">
        <f t="shared" si="10"/>
        <v>0</v>
      </c>
      <c r="S11" s="39">
        <f t="shared" si="10"/>
        <v>0</v>
      </c>
      <c r="T11" s="39">
        <f t="shared" si="10"/>
        <v>0</v>
      </c>
      <c r="U11" s="39">
        <f t="shared" si="10"/>
        <v>0</v>
      </c>
      <c r="V11" s="39">
        <f t="shared" si="10"/>
        <v>0</v>
      </c>
      <c r="W11" s="39">
        <f t="shared" si="10"/>
        <v>0</v>
      </c>
      <c r="X11" s="39">
        <f t="shared" si="10"/>
        <v>0</v>
      </c>
      <c r="Y11" s="39">
        <f t="shared" si="10"/>
        <v>0</v>
      </c>
      <c r="Z11" s="39">
        <f t="shared" si="10"/>
        <v>0</v>
      </c>
      <c r="AA11" s="39">
        <f t="shared" si="10"/>
        <v>0</v>
      </c>
      <c r="AB11" s="39">
        <f t="shared" si="10"/>
        <v>0</v>
      </c>
      <c r="AC11" s="39">
        <f t="shared" si="10"/>
        <v>0</v>
      </c>
      <c r="AD11" s="39">
        <f t="shared" si="10"/>
        <v>0</v>
      </c>
      <c r="AE11" s="39">
        <f t="shared" si="10"/>
        <v>0</v>
      </c>
      <c r="AF11" s="39">
        <f t="shared" si="10"/>
        <v>0</v>
      </c>
      <c r="AG11" s="39">
        <f t="shared" si="10"/>
        <v>0</v>
      </c>
      <c r="AH11" s="39">
        <f t="shared" si="10"/>
        <v>0</v>
      </c>
      <c r="AI11" s="39">
        <f t="shared" si="10"/>
        <v>0</v>
      </c>
      <c r="AJ11" s="39">
        <f t="shared" si="10"/>
        <v>0</v>
      </c>
      <c r="AK11" s="39">
        <f t="shared" si="10"/>
        <v>0</v>
      </c>
      <c r="AL11" s="39">
        <f t="shared" si="10"/>
        <v>0</v>
      </c>
      <c r="AM11" s="39">
        <f t="shared" si="10"/>
        <v>0</v>
      </c>
      <c r="AN11" s="39">
        <f t="shared" si="10"/>
        <v>0</v>
      </c>
      <c r="AO11" s="39">
        <f t="shared" si="10"/>
        <v>0</v>
      </c>
      <c r="AP11" s="39">
        <f t="shared" si="10"/>
        <v>0</v>
      </c>
      <c r="AQ11" s="39">
        <f t="shared" si="10"/>
        <v>0</v>
      </c>
      <c r="AR11" s="39">
        <f t="shared" si="10"/>
        <v>0</v>
      </c>
      <c r="AS11" s="39">
        <f t="shared" si="10"/>
        <v>0</v>
      </c>
      <c r="AT11" s="39">
        <f t="shared" si="10"/>
        <v>0</v>
      </c>
      <c r="AU11" s="39">
        <f t="shared" si="10"/>
        <v>0</v>
      </c>
      <c r="AV11" s="39">
        <f t="shared" si="10"/>
        <v>0</v>
      </c>
      <c r="AW11" s="39">
        <f t="shared" si="10"/>
        <v>0</v>
      </c>
      <c r="AX11" s="39">
        <f t="shared" si="10"/>
        <v>0</v>
      </c>
      <c r="AY11" s="39">
        <f t="shared" si="10"/>
        <v>0</v>
      </c>
      <c r="AZ11" s="39">
        <f t="shared" si="10"/>
        <v>0</v>
      </c>
      <c r="BA11" s="39">
        <f t="shared" si="10"/>
        <v>0</v>
      </c>
      <c r="BB11" s="39">
        <f t="shared" si="10"/>
        <v>0</v>
      </c>
      <c r="BC11" s="39">
        <f t="shared" si="10"/>
        <v>0</v>
      </c>
      <c r="BD11" s="39">
        <f t="shared" si="10"/>
        <v>0</v>
      </c>
      <c r="BE11" s="39">
        <f t="shared" si="10"/>
        <v>0</v>
      </c>
      <c r="BF11" s="39">
        <f t="shared" ref="BF11:BQ11" si="11">BF79</f>
        <v>0</v>
      </c>
      <c r="BG11" s="39">
        <f t="shared" si="11"/>
        <v>0</v>
      </c>
      <c r="BH11" s="39">
        <f t="shared" si="11"/>
        <v>0</v>
      </c>
      <c r="BI11" s="39">
        <f t="shared" si="11"/>
        <v>0</v>
      </c>
      <c r="BJ11" s="39">
        <f t="shared" si="11"/>
        <v>0</v>
      </c>
      <c r="BK11" s="39">
        <f t="shared" si="11"/>
        <v>0</v>
      </c>
      <c r="BL11" s="39">
        <f t="shared" si="11"/>
        <v>0</v>
      </c>
      <c r="BM11" s="39">
        <f t="shared" si="11"/>
        <v>0</v>
      </c>
      <c r="BN11" s="39">
        <f t="shared" si="11"/>
        <v>0</v>
      </c>
      <c r="BO11" s="39">
        <f t="shared" si="11"/>
        <v>0</v>
      </c>
      <c r="BP11" s="39">
        <f t="shared" si="11"/>
        <v>0</v>
      </c>
      <c r="BQ11" s="39">
        <f t="shared" si="11"/>
        <v>0</v>
      </c>
    </row>
    <row r="12" spans="1:69">
      <c r="B12" s="4" t="str">
        <f>B82</f>
        <v>ISP capex - Media and Advertising</v>
      </c>
      <c r="J12" s="39">
        <f>J84</f>
        <v>0</v>
      </c>
      <c r="K12" s="39">
        <f t="shared" ref="K12:BE12" si="12">K84</f>
        <v>0</v>
      </c>
      <c r="L12" s="39">
        <f t="shared" si="12"/>
        <v>0</v>
      </c>
      <c r="M12" s="39">
        <f t="shared" si="12"/>
        <v>0</v>
      </c>
      <c r="N12" s="39">
        <f t="shared" si="12"/>
        <v>0</v>
      </c>
      <c r="O12" s="39">
        <f t="shared" si="12"/>
        <v>0</v>
      </c>
      <c r="P12" s="39">
        <f t="shared" si="12"/>
        <v>0</v>
      </c>
      <c r="Q12" s="39">
        <f t="shared" si="12"/>
        <v>0</v>
      </c>
      <c r="R12" s="39">
        <f t="shared" si="12"/>
        <v>0</v>
      </c>
      <c r="S12" s="39">
        <f t="shared" si="12"/>
        <v>10000</v>
      </c>
      <c r="T12" s="39">
        <f t="shared" si="12"/>
        <v>10000</v>
      </c>
      <c r="U12" s="39">
        <f t="shared" si="12"/>
        <v>10000</v>
      </c>
      <c r="V12" s="39">
        <f t="shared" si="12"/>
        <v>18000</v>
      </c>
      <c r="W12" s="39">
        <f t="shared" si="12"/>
        <v>18000</v>
      </c>
      <c r="X12" s="39">
        <f t="shared" si="12"/>
        <v>19800</v>
      </c>
      <c r="Y12" s="39">
        <f t="shared" si="12"/>
        <v>21600</v>
      </c>
      <c r="Z12" s="39">
        <f t="shared" si="12"/>
        <v>23400</v>
      </c>
      <c r="AA12" s="39">
        <f t="shared" si="12"/>
        <v>25200</v>
      </c>
      <c r="AB12" s="39">
        <f t="shared" si="12"/>
        <v>27000</v>
      </c>
      <c r="AC12" s="39">
        <f t="shared" si="12"/>
        <v>28800</v>
      </c>
      <c r="AD12" s="39">
        <f t="shared" si="12"/>
        <v>30600</v>
      </c>
      <c r="AE12" s="39">
        <f t="shared" si="12"/>
        <v>32400</v>
      </c>
      <c r="AF12" s="39">
        <f t="shared" si="12"/>
        <v>34200</v>
      </c>
      <c r="AG12" s="39">
        <f t="shared" si="12"/>
        <v>36000</v>
      </c>
      <c r="AH12" s="39">
        <f t="shared" si="12"/>
        <v>37800</v>
      </c>
      <c r="AI12" s="39">
        <f t="shared" si="12"/>
        <v>39960</v>
      </c>
      <c r="AJ12" s="39">
        <f t="shared" si="12"/>
        <v>42120</v>
      </c>
      <c r="AK12" s="39">
        <f t="shared" si="12"/>
        <v>44280</v>
      </c>
      <c r="AL12" s="39">
        <f t="shared" si="12"/>
        <v>46440</v>
      </c>
      <c r="AM12" s="39">
        <f t="shared" si="12"/>
        <v>48600</v>
      </c>
      <c r="AN12" s="39">
        <f t="shared" si="12"/>
        <v>50760</v>
      </c>
      <c r="AO12" s="39">
        <f t="shared" si="12"/>
        <v>52920</v>
      </c>
      <c r="AP12" s="39">
        <f t="shared" si="12"/>
        <v>55080</v>
      </c>
      <c r="AQ12" s="39">
        <f t="shared" si="12"/>
        <v>57240</v>
      </c>
      <c r="AR12" s="39">
        <f t="shared" si="12"/>
        <v>59400</v>
      </c>
      <c r="AS12" s="39">
        <f t="shared" si="12"/>
        <v>61560</v>
      </c>
      <c r="AT12" s="39">
        <f t="shared" si="12"/>
        <v>63720</v>
      </c>
      <c r="AU12" s="39">
        <f t="shared" si="12"/>
        <v>66300</v>
      </c>
      <c r="AV12" s="39">
        <f t="shared" si="12"/>
        <v>68880</v>
      </c>
      <c r="AW12" s="39">
        <f t="shared" si="12"/>
        <v>71460</v>
      </c>
      <c r="AX12" s="39">
        <f t="shared" si="12"/>
        <v>74040</v>
      </c>
      <c r="AY12" s="39">
        <f t="shared" si="12"/>
        <v>76620</v>
      </c>
      <c r="AZ12" s="39">
        <f t="shared" si="12"/>
        <v>79200</v>
      </c>
      <c r="BA12" s="39">
        <f t="shared" si="12"/>
        <v>81780</v>
      </c>
      <c r="BB12" s="39">
        <f t="shared" si="12"/>
        <v>84360</v>
      </c>
      <c r="BC12" s="39">
        <f t="shared" si="12"/>
        <v>86940</v>
      </c>
      <c r="BD12" s="39">
        <f t="shared" si="12"/>
        <v>89520</v>
      </c>
      <c r="BE12" s="39">
        <f t="shared" si="12"/>
        <v>92100</v>
      </c>
      <c r="BF12" s="39">
        <f t="shared" ref="BF12:BQ12" si="13">BF84</f>
        <v>94680</v>
      </c>
      <c r="BG12" s="39">
        <f t="shared" si="13"/>
        <v>97800</v>
      </c>
      <c r="BH12" s="39">
        <f t="shared" si="13"/>
        <v>100920</v>
      </c>
      <c r="BI12" s="39">
        <f t="shared" si="13"/>
        <v>104040</v>
      </c>
      <c r="BJ12" s="39">
        <f t="shared" si="13"/>
        <v>107160</v>
      </c>
      <c r="BK12" s="39">
        <f t="shared" si="13"/>
        <v>110280</v>
      </c>
      <c r="BL12" s="39">
        <f t="shared" si="13"/>
        <v>113400</v>
      </c>
      <c r="BM12" s="39">
        <f t="shared" si="13"/>
        <v>116520</v>
      </c>
      <c r="BN12" s="39">
        <f t="shared" si="13"/>
        <v>119640</v>
      </c>
      <c r="BO12" s="39">
        <f t="shared" si="13"/>
        <v>122760</v>
      </c>
      <c r="BP12" s="39">
        <f t="shared" si="13"/>
        <v>125880</v>
      </c>
      <c r="BQ12" s="39">
        <f t="shared" si="13"/>
        <v>129000</v>
      </c>
    </row>
    <row r="13" spans="1:69">
      <c r="B13" s="4" t="str">
        <f>B87</f>
        <v>SCCI - Software charge</v>
      </c>
      <c r="J13" s="39">
        <f>J89</f>
        <v>0</v>
      </c>
      <c r="K13" s="39">
        <f t="shared" ref="K13:BE13" si="14">K89</f>
        <v>0</v>
      </c>
      <c r="L13" s="39">
        <f t="shared" si="14"/>
        <v>0</v>
      </c>
      <c r="M13" s="39">
        <f t="shared" si="14"/>
        <v>0</v>
      </c>
      <c r="N13" s="39">
        <f t="shared" si="14"/>
        <v>0</v>
      </c>
      <c r="O13" s="39">
        <f t="shared" si="14"/>
        <v>0</v>
      </c>
      <c r="P13" s="39">
        <f t="shared" si="14"/>
        <v>0</v>
      </c>
      <c r="Q13" s="39">
        <f t="shared" si="14"/>
        <v>0</v>
      </c>
      <c r="R13" s="39">
        <f t="shared" si="14"/>
        <v>0</v>
      </c>
      <c r="S13" s="39">
        <f t="shared" si="14"/>
        <v>0</v>
      </c>
      <c r="T13" s="39">
        <f t="shared" si="14"/>
        <v>450</v>
      </c>
      <c r="U13" s="39">
        <f t="shared" si="14"/>
        <v>900</v>
      </c>
      <c r="V13" s="39">
        <f t="shared" si="14"/>
        <v>1350</v>
      </c>
      <c r="W13" s="39">
        <f t="shared" si="14"/>
        <v>1800</v>
      </c>
      <c r="X13" s="39">
        <f t="shared" si="14"/>
        <v>2250</v>
      </c>
      <c r="Y13" s="39">
        <f t="shared" si="14"/>
        <v>2700</v>
      </c>
      <c r="Z13" s="39">
        <f t="shared" si="14"/>
        <v>3150</v>
      </c>
      <c r="AA13" s="39">
        <f t="shared" si="14"/>
        <v>3600</v>
      </c>
      <c r="AB13" s="39">
        <f t="shared" si="14"/>
        <v>4050</v>
      </c>
      <c r="AC13" s="39">
        <f t="shared" si="14"/>
        <v>4500</v>
      </c>
      <c r="AD13" s="39">
        <f t="shared" si="14"/>
        <v>4950</v>
      </c>
      <c r="AE13" s="39">
        <f t="shared" si="14"/>
        <v>5400</v>
      </c>
      <c r="AF13" s="39">
        <f t="shared" si="14"/>
        <v>5850</v>
      </c>
      <c r="AG13" s="39">
        <f t="shared" si="14"/>
        <v>6300</v>
      </c>
      <c r="AH13" s="39">
        <f t="shared" si="14"/>
        <v>6840</v>
      </c>
      <c r="AI13" s="39">
        <f t="shared" si="14"/>
        <v>7380</v>
      </c>
      <c r="AJ13" s="39">
        <f t="shared" si="14"/>
        <v>7920</v>
      </c>
      <c r="AK13" s="39">
        <f t="shared" si="14"/>
        <v>8460</v>
      </c>
      <c r="AL13" s="39">
        <f t="shared" si="14"/>
        <v>9000</v>
      </c>
      <c r="AM13" s="39">
        <f t="shared" si="14"/>
        <v>9540</v>
      </c>
      <c r="AN13" s="39">
        <f t="shared" si="14"/>
        <v>10080</v>
      </c>
      <c r="AO13" s="39">
        <f t="shared" si="14"/>
        <v>10620</v>
      </c>
      <c r="AP13" s="39">
        <f t="shared" si="14"/>
        <v>11160</v>
      </c>
      <c r="AQ13" s="39">
        <f t="shared" si="14"/>
        <v>11700</v>
      </c>
      <c r="AR13" s="39">
        <f t="shared" si="14"/>
        <v>12240</v>
      </c>
      <c r="AS13" s="39">
        <f t="shared" si="14"/>
        <v>12780</v>
      </c>
      <c r="AT13" s="39">
        <f t="shared" si="14"/>
        <v>13410</v>
      </c>
      <c r="AU13" s="39">
        <f t="shared" si="14"/>
        <v>14040</v>
      </c>
      <c r="AV13" s="39">
        <f t="shared" si="14"/>
        <v>14670</v>
      </c>
      <c r="AW13" s="39">
        <f t="shared" si="14"/>
        <v>15300</v>
      </c>
      <c r="AX13" s="39">
        <f t="shared" si="14"/>
        <v>15930</v>
      </c>
      <c r="AY13" s="39">
        <f t="shared" si="14"/>
        <v>16560</v>
      </c>
      <c r="AZ13" s="39">
        <f t="shared" si="14"/>
        <v>17190</v>
      </c>
      <c r="BA13" s="39">
        <f t="shared" si="14"/>
        <v>17820</v>
      </c>
      <c r="BB13" s="39">
        <f t="shared" si="14"/>
        <v>18450</v>
      </c>
      <c r="BC13" s="39">
        <f t="shared" si="14"/>
        <v>19080</v>
      </c>
      <c r="BD13" s="39">
        <f t="shared" si="14"/>
        <v>19710</v>
      </c>
      <c r="BE13" s="39">
        <f t="shared" si="14"/>
        <v>20340</v>
      </c>
      <c r="BF13" s="39">
        <f t="shared" ref="BF13:BQ13" si="15">BF89</f>
        <v>21060</v>
      </c>
      <c r="BG13" s="39">
        <f t="shared" si="15"/>
        <v>21780</v>
      </c>
      <c r="BH13" s="39">
        <f t="shared" si="15"/>
        <v>22500</v>
      </c>
      <c r="BI13" s="39">
        <f t="shared" si="15"/>
        <v>23220</v>
      </c>
      <c r="BJ13" s="39">
        <f t="shared" si="15"/>
        <v>23940</v>
      </c>
      <c r="BK13" s="39">
        <f t="shared" si="15"/>
        <v>24660</v>
      </c>
      <c r="BL13" s="39">
        <f t="shared" si="15"/>
        <v>25380</v>
      </c>
      <c r="BM13" s="39">
        <f t="shared" si="15"/>
        <v>26100</v>
      </c>
      <c r="BN13" s="39">
        <f t="shared" si="15"/>
        <v>26820</v>
      </c>
      <c r="BO13" s="39">
        <f t="shared" si="15"/>
        <v>27540</v>
      </c>
      <c r="BP13" s="39">
        <f t="shared" si="15"/>
        <v>28260</v>
      </c>
      <c r="BQ13" s="39">
        <f t="shared" si="15"/>
        <v>28980</v>
      </c>
    </row>
    <row r="14" spans="1:69">
      <c r="B14" s="4" t="str">
        <f>B92</f>
        <v>SCCI - 5g ongoing cost</v>
      </c>
      <c r="J14" s="39">
        <f>J94</f>
        <v>0</v>
      </c>
      <c r="K14" s="39">
        <f t="shared" ref="K14:BE14" si="16">K94</f>
        <v>0</v>
      </c>
      <c r="L14" s="39">
        <f t="shared" si="16"/>
        <v>0</v>
      </c>
      <c r="M14" s="39">
        <f t="shared" si="16"/>
        <v>0</v>
      </c>
      <c r="N14" s="39">
        <f t="shared" si="16"/>
        <v>0</v>
      </c>
      <c r="O14" s="39">
        <f t="shared" si="16"/>
        <v>0</v>
      </c>
      <c r="P14" s="39">
        <f t="shared" si="16"/>
        <v>0</v>
      </c>
      <c r="Q14" s="39">
        <f t="shared" si="16"/>
        <v>0</v>
      </c>
      <c r="R14" s="39">
        <f t="shared" si="16"/>
        <v>0</v>
      </c>
      <c r="S14" s="39">
        <f t="shared" si="16"/>
        <v>0</v>
      </c>
      <c r="T14" s="39">
        <f t="shared" si="16"/>
        <v>60</v>
      </c>
      <c r="U14" s="39">
        <f t="shared" si="16"/>
        <v>120</v>
      </c>
      <c r="V14" s="39">
        <f t="shared" si="16"/>
        <v>180</v>
      </c>
      <c r="W14" s="39">
        <f t="shared" si="16"/>
        <v>240</v>
      </c>
      <c r="X14" s="39">
        <f t="shared" si="16"/>
        <v>300</v>
      </c>
      <c r="Y14" s="39">
        <f t="shared" si="16"/>
        <v>360</v>
      </c>
      <c r="Z14" s="39">
        <f t="shared" si="16"/>
        <v>420</v>
      </c>
      <c r="AA14" s="39">
        <f t="shared" si="16"/>
        <v>480</v>
      </c>
      <c r="AB14" s="39">
        <f t="shared" si="16"/>
        <v>540</v>
      </c>
      <c r="AC14" s="39">
        <f t="shared" si="16"/>
        <v>600</v>
      </c>
      <c r="AD14" s="39">
        <f t="shared" si="16"/>
        <v>660</v>
      </c>
      <c r="AE14" s="39">
        <f t="shared" si="16"/>
        <v>720</v>
      </c>
      <c r="AF14" s="39">
        <f t="shared" si="16"/>
        <v>780</v>
      </c>
      <c r="AG14" s="39">
        <f t="shared" si="16"/>
        <v>840</v>
      </c>
      <c r="AH14" s="39">
        <f t="shared" si="16"/>
        <v>912</v>
      </c>
      <c r="AI14" s="39">
        <f t="shared" si="16"/>
        <v>984</v>
      </c>
      <c r="AJ14" s="39">
        <f t="shared" si="16"/>
        <v>1056</v>
      </c>
      <c r="AK14" s="39">
        <f t="shared" si="16"/>
        <v>1128</v>
      </c>
      <c r="AL14" s="39">
        <f t="shared" si="16"/>
        <v>1200</v>
      </c>
      <c r="AM14" s="39">
        <f t="shared" si="16"/>
        <v>1272</v>
      </c>
      <c r="AN14" s="39">
        <f t="shared" si="16"/>
        <v>1344</v>
      </c>
      <c r="AO14" s="39">
        <f t="shared" si="16"/>
        <v>1416</v>
      </c>
      <c r="AP14" s="39">
        <f t="shared" si="16"/>
        <v>1488</v>
      </c>
      <c r="AQ14" s="39">
        <f t="shared" si="16"/>
        <v>1560</v>
      </c>
      <c r="AR14" s="39">
        <f t="shared" si="16"/>
        <v>1632</v>
      </c>
      <c r="AS14" s="39">
        <f t="shared" si="16"/>
        <v>1704</v>
      </c>
      <c r="AT14" s="39">
        <f t="shared" si="16"/>
        <v>1788</v>
      </c>
      <c r="AU14" s="39">
        <f t="shared" si="16"/>
        <v>1872</v>
      </c>
      <c r="AV14" s="39">
        <f t="shared" si="16"/>
        <v>1956</v>
      </c>
      <c r="AW14" s="39">
        <f t="shared" si="16"/>
        <v>2040</v>
      </c>
      <c r="AX14" s="39">
        <f t="shared" si="16"/>
        <v>2124</v>
      </c>
      <c r="AY14" s="39">
        <f t="shared" si="16"/>
        <v>2208</v>
      </c>
      <c r="AZ14" s="39">
        <f t="shared" si="16"/>
        <v>2292</v>
      </c>
      <c r="BA14" s="39">
        <f t="shared" si="16"/>
        <v>2376</v>
      </c>
      <c r="BB14" s="39">
        <f t="shared" si="16"/>
        <v>2460</v>
      </c>
      <c r="BC14" s="39">
        <f t="shared" si="16"/>
        <v>2544</v>
      </c>
      <c r="BD14" s="39">
        <f t="shared" si="16"/>
        <v>2628</v>
      </c>
      <c r="BE14" s="39">
        <f t="shared" si="16"/>
        <v>2712</v>
      </c>
      <c r="BF14" s="39">
        <f t="shared" ref="BF14:BQ14" si="17">BF94</f>
        <v>2808</v>
      </c>
      <c r="BG14" s="39">
        <f t="shared" si="17"/>
        <v>2904</v>
      </c>
      <c r="BH14" s="39">
        <f t="shared" si="17"/>
        <v>3000</v>
      </c>
      <c r="BI14" s="39">
        <f t="shared" si="17"/>
        <v>3096</v>
      </c>
      <c r="BJ14" s="39">
        <f t="shared" si="17"/>
        <v>3192</v>
      </c>
      <c r="BK14" s="39">
        <f t="shared" si="17"/>
        <v>3288</v>
      </c>
      <c r="BL14" s="39">
        <f t="shared" si="17"/>
        <v>3384</v>
      </c>
      <c r="BM14" s="39">
        <f t="shared" si="17"/>
        <v>3480</v>
      </c>
      <c r="BN14" s="39">
        <f t="shared" si="17"/>
        <v>3576</v>
      </c>
      <c r="BO14" s="39">
        <f t="shared" si="17"/>
        <v>3672</v>
      </c>
      <c r="BP14" s="39">
        <f t="shared" si="17"/>
        <v>3768</v>
      </c>
      <c r="BQ14" s="39">
        <f t="shared" si="17"/>
        <v>3864</v>
      </c>
    </row>
    <row r="15" spans="1:69">
      <c r="B15" s="4" t="str">
        <f>B97</f>
        <v>ISP Funds £0 Capex - Software charge</v>
      </c>
      <c r="J15" s="39">
        <f>J99</f>
        <v>0</v>
      </c>
      <c r="K15" s="39">
        <f t="shared" ref="K15:BE15" si="18">K99</f>
        <v>0</v>
      </c>
      <c r="L15" s="39">
        <f t="shared" si="18"/>
        <v>0</v>
      </c>
      <c r="M15" s="39">
        <f t="shared" si="18"/>
        <v>0</v>
      </c>
      <c r="N15" s="39">
        <f t="shared" si="18"/>
        <v>0</v>
      </c>
      <c r="O15" s="39">
        <f t="shared" si="18"/>
        <v>0</v>
      </c>
      <c r="P15" s="39">
        <f t="shared" si="18"/>
        <v>0</v>
      </c>
      <c r="Q15" s="39">
        <f t="shared" si="18"/>
        <v>0</v>
      </c>
      <c r="R15" s="39">
        <f t="shared" si="18"/>
        <v>0</v>
      </c>
      <c r="S15" s="39">
        <f t="shared" si="18"/>
        <v>45</v>
      </c>
      <c r="T15" s="39">
        <f t="shared" si="18"/>
        <v>270</v>
      </c>
      <c r="U15" s="39">
        <f t="shared" si="18"/>
        <v>495</v>
      </c>
      <c r="V15" s="39">
        <f t="shared" si="18"/>
        <v>720</v>
      </c>
      <c r="W15" s="39">
        <f t="shared" si="18"/>
        <v>1170</v>
      </c>
      <c r="X15" s="39">
        <f t="shared" si="18"/>
        <v>1620</v>
      </c>
      <c r="Y15" s="39">
        <f t="shared" si="18"/>
        <v>2070</v>
      </c>
      <c r="Z15" s="39">
        <f t="shared" si="18"/>
        <v>2520</v>
      </c>
      <c r="AA15" s="39">
        <f t="shared" si="18"/>
        <v>2970</v>
      </c>
      <c r="AB15" s="39">
        <f t="shared" si="18"/>
        <v>3420</v>
      </c>
      <c r="AC15" s="39">
        <f t="shared" si="18"/>
        <v>3870</v>
      </c>
      <c r="AD15" s="39">
        <f t="shared" si="18"/>
        <v>4320</v>
      </c>
      <c r="AE15" s="39">
        <f t="shared" si="18"/>
        <v>4770</v>
      </c>
      <c r="AF15" s="39">
        <f t="shared" si="18"/>
        <v>5220</v>
      </c>
      <c r="AG15" s="39">
        <f t="shared" si="18"/>
        <v>5670</v>
      </c>
      <c r="AH15" s="39">
        <f t="shared" si="18"/>
        <v>6210</v>
      </c>
      <c r="AI15" s="39">
        <f t="shared" si="18"/>
        <v>6750</v>
      </c>
      <c r="AJ15" s="39">
        <f t="shared" si="18"/>
        <v>7290</v>
      </c>
      <c r="AK15" s="39">
        <f t="shared" si="18"/>
        <v>7830</v>
      </c>
      <c r="AL15" s="39">
        <f t="shared" si="18"/>
        <v>8370</v>
      </c>
      <c r="AM15" s="39">
        <f t="shared" si="18"/>
        <v>8910</v>
      </c>
      <c r="AN15" s="39">
        <f t="shared" si="18"/>
        <v>9450</v>
      </c>
      <c r="AO15" s="39">
        <f t="shared" si="18"/>
        <v>9990</v>
      </c>
      <c r="AP15" s="39">
        <f t="shared" si="18"/>
        <v>10530</v>
      </c>
      <c r="AQ15" s="39">
        <f t="shared" si="18"/>
        <v>11070</v>
      </c>
      <c r="AR15" s="39">
        <f t="shared" si="18"/>
        <v>11610</v>
      </c>
      <c r="AS15" s="39">
        <f t="shared" si="18"/>
        <v>12150</v>
      </c>
      <c r="AT15" s="39">
        <f t="shared" si="18"/>
        <v>12780</v>
      </c>
      <c r="AU15" s="39">
        <f t="shared" si="18"/>
        <v>13410</v>
      </c>
      <c r="AV15" s="39">
        <f t="shared" si="18"/>
        <v>14040</v>
      </c>
      <c r="AW15" s="39">
        <f t="shared" si="18"/>
        <v>14670</v>
      </c>
      <c r="AX15" s="39">
        <f t="shared" si="18"/>
        <v>15300</v>
      </c>
      <c r="AY15" s="39">
        <f t="shared" si="18"/>
        <v>15930</v>
      </c>
      <c r="AZ15" s="39">
        <f t="shared" si="18"/>
        <v>16560</v>
      </c>
      <c r="BA15" s="39">
        <f t="shared" si="18"/>
        <v>17190</v>
      </c>
      <c r="BB15" s="39">
        <f t="shared" si="18"/>
        <v>17820</v>
      </c>
      <c r="BC15" s="39">
        <f t="shared" si="18"/>
        <v>18450</v>
      </c>
      <c r="BD15" s="39">
        <f t="shared" si="18"/>
        <v>19080</v>
      </c>
      <c r="BE15" s="39">
        <f t="shared" si="18"/>
        <v>19710</v>
      </c>
      <c r="BF15" s="39">
        <f t="shared" ref="BF15:BQ15" si="19">BF99</f>
        <v>20430</v>
      </c>
      <c r="BG15" s="39">
        <f t="shared" si="19"/>
        <v>21150</v>
      </c>
      <c r="BH15" s="39">
        <f t="shared" si="19"/>
        <v>21870</v>
      </c>
      <c r="BI15" s="39">
        <f t="shared" si="19"/>
        <v>22590</v>
      </c>
      <c r="BJ15" s="39">
        <f t="shared" si="19"/>
        <v>23310</v>
      </c>
      <c r="BK15" s="39">
        <f t="shared" si="19"/>
        <v>24030</v>
      </c>
      <c r="BL15" s="39">
        <f t="shared" si="19"/>
        <v>24750</v>
      </c>
      <c r="BM15" s="39">
        <f t="shared" si="19"/>
        <v>25470</v>
      </c>
      <c r="BN15" s="39">
        <f t="shared" si="19"/>
        <v>26190</v>
      </c>
      <c r="BO15" s="39">
        <f t="shared" si="19"/>
        <v>26910</v>
      </c>
      <c r="BP15" s="39">
        <f t="shared" si="19"/>
        <v>27630</v>
      </c>
      <c r="BQ15" s="39">
        <f t="shared" si="19"/>
        <v>28350</v>
      </c>
    </row>
    <row r="16" spans="1:69">
      <c r="B16" s="4" t="str">
        <f>B102</f>
        <v>ISP Funds £0 Capex - 5g ongoing cost</v>
      </c>
      <c r="J16" s="39">
        <f>J104</f>
        <v>0</v>
      </c>
      <c r="K16" s="39">
        <f t="shared" ref="K16:BE16" si="20">K104</f>
        <v>0</v>
      </c>
      <c r="L16" s="39">
        <f t="shared" si="20"/>
        <v>0</v>
      </c>
      <c r="M16" s="39">
        <f t="shared" si="20"/>
        <v>0</v>
      </c>
      <c r="N16" s="39">
        <f t="shared" si="20"/>
        <v>0</v>
      </c>
      <c r="O16" s="39">
        <f t="shared" si="20"/>
        <v>0</v>
      </c>
      <c r="P16" s="39">
        <f t="shared" si="20"/>
        <v>0</v>
      </c>
      <c r="Q16" s="39">
        <f t="shared" si="20"/>
        <v>0</v>
      </c>
      <c r="R16" s="39">
        <f t="shared" si="20"/>
        <v>0</v>
      </c>
      <c r="S16" s="39">
        <f t="shared" si="20"/>
        <v>6</v>
      </c>
      <c r="T16" s="39">
        <f t="shared" si="20"/>
        <v>36</v>
      </c>
      <c r="U16" s="39">
        <f t="shared" si="20"/>
        <v>66</v>
      </c>
      <c r="V16" s="39">
        <f t="shared" si="20"/>
        <v>96</v>
      </c>
      <c r="W16" s="39">
        <f t="shared" si="20"/>
        <v>156</v>
      </c>
      <c r="X16" s="39">
        <f t="shared" si="20"/>
        <v>216</v>
      </c>
      <c r="Y16" s="39">
        <f t="shared" si="20"/>
        <v>276</v>
      </c>
      <c r="Z16" s="39">
        <f t="shared" si="20"/>
        <v>336</v>
      </c>
      <c r="AA16" s="39">
        <f t="shared" si="20"/>
        <v>396</v>
      </c>
      <c r="AB16" s="39">
        <f t="shared" si="20"/>
        <v>456</v>
      </c>
      <c r="AC16" s="39">
        <f t="shared" si="20"/>
        <v>516</v>
      </c>
      <c r="AD16" s="39">
        <f t="shared" si="20"/>
        <v>576</v>
      </c>
      <c r="AE16" s="39">
        <f t="shared" si="20"/>
        <v>636</v>
      </c>
      <c r="AF16" s="39">
        <f t="shared" si="20"/>
        <v>696</v>
      </c>
      <c r="AG16" s="39">
        <f t="shared" si="20"/>
        <v>756</v>
      </c>
      <c r="AH16" s="39">
        <f t="shared" si="20"/>
        <v>828</v>
      </c>
      <c r="AI16" s="39">
        <f t="shared" si="20"/>
        <v>900</v>
      </c>
      <c r="AJ16" s="39">
        <f t="shared" si="20"/>
        <v>972</v>
      </c>
      <c r="AK16" s="39">
        <f t="shared" si="20"/>
        <v>1044</v>
      </c>
      <c r="AL16" s="39">
        <f t="shared" si="20"/>
        <v>1116</v>
      </c>
      <c r="AM16" s="39">
        <f t="shared" si="20"/>
        <v>1188</v>
      </c>
      <c r="AN16" s="39">
        <f t="shared" si="20"/>
        <v>1260</v>
      </c>
      <c r="AO16" s="39">
        <f t="shared" si="20"/>
        <v>1332</v>
      </c>
      <c r="AP16" s="39">
        <f t="shared" si="20"/>
        <v>1404</v>
      </c>
      <c r="AQ16" s="39">
        <f t="shared" si="20"/>
        <v>1476</v>
      </c>
      <c r="AR16" s="39">
        <f t="shared" si="20"/>
        <v>1548</v>
      </c>
      <c r="AS16" s="39">
        <f t="shared" si="20"/>
        <v>1620</v>
      </c>
      <c r="AT16" s="39">
        <f t="shared" si="20"/>
        <v>1704</v>
      </c>
      <c r="AU16" s="39">
        <f t="shared" si="20"/>
        <v>1788</v>
      </c>
      <c r="AV16" s="39">
        <f t="shared" si="20"/>
        <v>1872</v>
      </c>
      <c r="AW16" s="39">
        <f t="shared" si="20"/>
        <v>1956</v>
      </c>
      <c r="AX16" s="39">
        <f t="shared" si="20"/>
        <v>2040</v>
      </c>
      <c r="AY16" s="39">
        <f t="shared" si="20"/>
        <v>2124</v>
      </c>
      <c r="AZ16" s="39">
        <f t="shared" si="20"/>
        <v>2208</v>
      </c>
      <c r="BA16" s="39">
        <f t="shared" si="20"/>
        <v>2292</v>
      </c>
      <c r="BB16" s="39">
        <f t="shared" si="20"/>
        <v>2376</v>
      </c>
      <c r="BC16" s="39">
        <f t="shared" si="20"/>
        <v>2460</v>
      </c>
      <c r="BD16" s="39">
        <f t="shared" si="20"/>
        <v>2544</v>
      </c>
      <c r="BE16" s="39">
        <f t="shared" si="20"/>
        <v>2628</v>
      </c>
      <c r="BF16" s="39">
        <f t="shared" ref="BF16:BQ16" si="21">BF104</f>
        <v>2724</v>
      </c>
      <c r="BG16" s="39">
        <f t="shared" si="21"/>
        <v>2820</v>
      </c>
      <c r="BH16" s="39">
        <f t="shared" si="21"/>
        <v>2916</v>
      </c>
      <c r="BI16" s="39">
        <f t="shared" si="21"/>
        <v>3012</v>
      </c>
      <c r="BJ16" s="39">
        <f t="shared" si="21"/>
        <v>3108</v>
      </c>
      <c r="BK16" s="39">
        <f t="shared" si="21"/>
        <v>3204</v>
      </c>
      <c r="BL16" s="39">
        <f t="shared" si="21"/>
        <v>3300</v>
      </c>
      <c r="BM16" s="39">
        <f t="shared" si="21"/>
        <v>3396</v>
      </c>
      <c r="BN16" s="39">
        <f t="shared" si="21"/>
        <v>3492</v>
      </c>
      <c r="BO16" s="39">
        <f t="shared" si="21"/>
        <v>3588</v>
      </c>
      <c r="BP16" s="39">
        <f t="shared" si="21"/>
        <v>3684</v>
      </c>
      <c r="BQ16" s="39">
        <f t="shared" si="21"/>
        <v>3780</v>
      </c>
    </row>
    <row r="17" spans="2:69">
      <c r="B17" s="4" t="str">
        <f>B107</f>
        <v>Other - Software charge</v>
      </c>
      <c r="J17" s="39">
        <f>J109</f>
        <v>0</v>
      </c>
      <c r="K17" s="39">
        <f t="shared" ref="K17:BE17" si="22">K109</f>
        <v>0</v>
      </c>
      <c r="L17" s="39">
        <f t="shared" si="22"/>
        <v>0</v>
      </c>
      <c r="M17" s="39">
        <f t="shared" si="22"/>
        <v>0</v>
      </c>
      <c r="N17" s="39">
        <f t="shared" si="22"/>
        <v>0</v>
      </c>
      <c r="O17" s="39">
        <f t="shared" si="22"/>
        <v>0</v>
      </c>
      <c r="P17" s="39">
        <f t="shared" si="22"/>
        <v>0</v>
      </c>
      <c r="Q17" s="39">
        <f t="shared" si="22"/>
        <v>0</v>
      </c>
      <c r="R17" s="39">
        <f t="shared" si="22"/>
        <v>0</v>
      </c>
      <c r="S17" s="39">
        <f t="shared" si="22"/>
        <v>0</v>
      </c>
      <c r="T17" s="39">
        <f t="shared" si="22"/>
        <v>0</v>
      </c>
      <c r="U17" s="39">
        <f t="shared" si="22"/>
        <v>0</v>
      </c>
      <c r="V17" s="39">
        <f t="shared" si="22"/>
        <v>0</v>
      </c>
      <c r="W17" s="39">
        <f t="shared" si="22"/>
        <v>0</v>
      </c>
      <c r="X17" s="39">
        <f t="shared" si="22"/>
        <v>0</v>
      </c>
      <c r="Y17" s="39">
        <f t="shared" si="22"/>
        <v>0</v>
      </c>
      <c r="Z17" s="39">
        <f t="shared" si="22"/>
        <v>0</v>
      </c>
      <c r="AA17" s="39">
        <f t="shared" si="22"/>
        <v>0</v>
      </c>
      <c r="AB17" s="39">
        <f t="shared" si="22"/>
        <v>0</v>
      </c>
      <c r="AC17" s="39">
        <f t="shared" si="22"/>
        <v>0</v>
      </c>
      <c r="AD17" s="39">
        <f t="shared" si="22"/>
        <v>0</v>
      </c>
      <c r="AE17" s="39">
        <f t="shared" si="22"/>
        <v>0</v>
      </c>
      <c r="AF17" s="39">
        <f t="shared" si="22"/>
        <v>0</v>
      </c>
      <c r="AG17" s="39">
        <f t="shared" si="22"/>
        <v>0</v>
      </c>
      <c r="AH17" s="39">
        <f t="shared" si="22"/>
        <v>0</v>
      </c>
      <c r="AI17" s="39">
        <f t="shared" si="22"/>
        <v>0</v>
      </c>
      <c r="AJ17" s="39">
        <f t="shared" si="22"/>
        <v>0</v>
      </c>
      <c r="AK17" s="39">
        <f t="shared" si="22"/>
        <v>0</v>
      </c>
      <c r="AL17" s="39">
        <f t="shared" si="22"/>
        <v>0</v>
      </c>
      <c r="AM17" s="39">
        <f t="shared" si="22"/>
        <v>0</v>
      </c>
      <c r="AN17" s="39">
        <f t="shared" si="22"/>
        <v>0</v>
      </c>
      <c r="AO17" s="39">
        <f t="shared" si="22"/>
        <v>0</v>
      </c>
      <c r="AP17" s="39">
        <f t="shared" si="22"/>
        <v>0</v>
      </c>
      <c r="AQ17" s="39">
        <f t="shared" si="22"/>
        <v>0</v>
      </c>
      <c r="AR17" s="39">
        <f t="shared" si="22"/>
        <v>0</v>
      </c>
      <c r="AS17" s="39">
        <f t="shared" si="22"/>
        <v>0</v>
      </c>
      <c r="AT17" s="39">
        <f t="shared" si="22"/>
        <v>0</v>
      </c>
      <c r="AU17" s="39">
        <f t="shared" si="22"/>
        <v>0</v>
      </c>
      <c r="AV17" s="39">
        <f t="shared" si="22"/>
        <v>0</v>
      </c>
      <c r="AW17" s="39">
        <f t="shared" si="22"/>
        <v>0</v>
      </c>
      <c r="AX17" s="39">
        <f t="shared" si="22"/>
        <v>0</v>
      </c>
      <c r="AY17" s="39">
        <f t="shared" si="22"/>
        <v>0</v>
      </c>
      <c r="AZ17" s="39">
        <f t="shared" si="22"/>
        <v>0</v>
      </c>
      <c r="BA17" s="39">
        <f t="shared" si="22"/>
        <v>0</v>
      </c>
      <c r="BB17" s="39">
        <f t="shared" si="22"/>
        <v>0</v>
      </c>
      <c r="BC17" s="39">
        <f t="shared" si="22"/>
        <v>0</v>
      </c>
      <c r="BD17" s="39">
        <f t="shared" si="22"/>
        <v>0</v>
      </c>
      <c r="BE17" s="39">
        <f t="shared" si="22"/>
        <v>0</v>
      </c>
      <c r="BF17" s="39">
        <f t="shared" ref="BF17:BQ17" si="23">BF109</f>
        <v>0</v>
      </c>
      <c r="BG17" s="39">
        <f t="shared" si="23"/>
        <v>0</v>
      </c>
      <c r="BH17" s="39">
        <f t="shared" si="23"/>
        <v>0</v>
      </c>
      <c r="BI17" s="39">
        <f t="shared" si="23"/>
        <v>0</v>
      </c>
      <c r="BJ17" s="39">
        <f t="shared" si="23"/>
        <v>0</v>
      </c>
      <c r="BK17" s="39">
        <f t="shared" si="23"/>
        <v>0</v>
      </c>
      <c r="BL17" s="39">
        <f t="shared" si="23"/>
        <v>0</v>
      </c>
      <c r="BM17" s="39">
        <f t="shared" si="23"/>
        <v>0</v>
      </c>
      <c r="BN17" s="39">
        <f t="shared" si="23"/>
        <v>0</v>
      </c>
      <c r="BO17" s="39">
        <f t="shared" si="23"/>
        <v>0</v>
      </c>
      <c r="BP17" s="39">
        <f t="shared" si="23"/>
        <v>0</v>
      </c>
      <c r="BQ17" s="39">
        <f t="shared" si="23"/>
        <v>0</v>
      </c>
    </row>
    <row r="18" spans="2:69">
      <c r="B18" s="4" t="str">
        <f>B112</f>
        <v>Other - 5g ongoing cost</v>
      </c>
      <c r="J18" s="39">
        <f>J114</f>
        <v>0</v>
      </c>
      <c r="K18" s="39">
        <f t="shared" ref="K18:BE18" si="24">K114</f>
        <v>0</v>
      </c>
      <c r="L18" s="39">
        <f t="shared" si="24"/>
        <v>0</v>
      </c>
      <c r="M18" s="39">
        <f t="shared" si="24"/>
        <v>0</v>
      </c>
      <c r="N18" s="39">
        <f t="shared" si="24"/>
        <v>0</v>
      </c>
      <c r="O18" s="39">
        <f t="shared" si="24"/>
        <v>0</v>
      </c>
      <c r="P18" s="39">
        <f t="shared" si="24"/>
        <v>0</v>
      </c>
      <c r="Q18" s="39">
        <f t="shared" si="24"/>
        <v>0</v>
      </c>
      <c r="R18" s="39">
        <f t="shared" si="24"/>
        <v>0</v>
      </c>
      <c r="S18" s="39">
        <f t="shared" si="24"/>
        <v>0</v>
      </c>
      <c r="T18" s="39">
        <f t="shared" si="24"/>
        <v>0</v>
      </c>
      <c r="U18" s="39">
        <f t="shared" si="24"/>
        <v>0</v>
      </c>
      <c r="V18" s="39">
        <f t="shared" si="24"/>
        <v>0</v>
      </c>
      <c r="W18" s="39">
        <f t="shared" si="24"/>
        <v>0</v>
      </c>
      <c r="X18" s="39">
        <f t="shared" si="24"/>
        <v>0</v>
      </c>
      <c r="Y18" s="39">
        <f t="shared" si="24"/>
        <v>0</v>
      </c>
      <c r="Z18" s="39">
        <f t="shared" si="24"/>
        <v>0</v>
      </c>
      <c r="AA18" s="39">
        <f t="shared" si="24"/>
        <v>0</v>
      </c>
      <c r="AB18" s="39">
        <f t="shared" si="24"/>
        <v>0</v>
      </c>
      <c r="AC18" s="39">
        <f t="shared" si="24"/>
        <v>0</v>
      </c>
      <c r="AD18" s="39">
        <f t="shared" si="24"/>
        <v>0</v>
      </c>
      <c r="AE18" s="39">
        <f t="shared" si="24"/>
        <v>0</v>
      </c>
      <c r="AF18" s="39">
        <f t="shared" si="24"/>
        <v>0</v>
      </c>
      <c r="AG18" s="39">
        <f t="shared" si="24"/>
        <v>0</v>
      </c>
      <c r="AH18" s="39">
        <f t="shared" si="24"/>
        <v>0</v>
      </c>
      <c r="AI18" s="39">
        <f t="shared" si="24"/>
        <v>0</v>
      </c>
      <c r="AJ18" s="39">
        <f t="shared" si="24"/>
        <v>0</v>
      </c>
      <c r="AK18" s="39">
        <f t="shared" si="24"/>
        <v>0</v>
      </c>
      <c r="AL18" s="39">
        <f t="shared" si="24"/>
        <v>0</v>
      </c>
      <c r="AM18" s="39">
        <f t="shared" si="24"/>
        <v>0</v>
      </c>
      <c r="AN18" s="39">
        <f t="shared" si="24"/>
        <v>0</v>
      </c>
      <c r="AO18" s="39">
        <f t="shared" si="24"/>
        <v>0</v>
      </c>
      <c r="AP18" s="39">
        <f t="shared" si="24"/>
        <v>0</v>
      </c>
      <c r="AQ18" s="39">
        <f t="shared" si="24"/>
        <v>0</v>
      </c>
      <c r="AR18" s="39">
        <f t="shared" si="24"/>
        <v>0</v>
      </c>
      <c r="AS18" s="39">
        <f t="shared" si="24"/>
        <v>0</v>
      </c>
      <c r="AT18" s="39">
        <f t="shared" si="24"/>
        <v>0</v>
      </c>
      <c r="AU18" s="39">
        <f t="shared" si="24"/>
        <v>0</v>
      </c>
      <c r="AV18" s="39">
        <f t="shared" si="24"/>
        <v>0</v>
      </c>
      <c r="AW18" s="39">
        <f t="shared" si="24"/>
        <v>0</v>
      </c>
      <c r="AX18" s="39">
        <f t="shared" si="24"/>
        <v>0</v>
      </c>
      <c r="AY18" s="39">
        <f t="shared" si="24"/>
        <v>0</v>
      </c>
      <c r="AZ18" s="39">
        <f t="shared" si="24"/>
        <v>0</v>
      </c>
      <c r="BA18" s="39">
        <f t="shared" si="24"/>
        <v>0</v>
      </c>
      <c r="BB18" s="39">
        <f t="shared" si="24"/>
        <v>0</v>
      </c>
      <c r="BC18" s="39">
        <f t="shared" si="24"/>
        <v>0</v>
      </c>
      <c r="BD18" s="39">
        <f t="shared" si="24"/>
        <v>0</v>
      </c>
      <c r="BE18" s="39">
        <f t="shared" si="24"/>
        <v>0</v>
      </c>
      <c r="BF18" s="39">
        <f t="shared" ref="BF18:BQ18" si="25">BF114</f>
        <v>0</v>
      </c>
      <c r="BG18" s="39">
        <f t="shared" si="25"/>
        <v>0</v>
      </c>
      <c r="BH18" s="39">
        <f t="shared" si="25"/>
        <v>0</v>
      </c>
      <c r="BI18" s="39">
        <f t="shared" si="25"/>
        <v>0</v>
      </c>
      <c r="BJ18" s="39">
        <f t="shared" si="25"/>
        <v>0</v>
      </c>
      <c r="BK18" s="39">
        <f t="shared" si="25"/>
        <v>0</v>
      </c>
      <c r="BL18" s="39">
        <f t="shared" si="25"/>
        <v>0</v>
      </c>
      <c r="BM18" s="39">
        <f t="shared" si="25"/>
        <v>0</v>
      </c>
      <c r="BN18" s="39">
        <f t="shared" si="25"/>
        <v>0</v>
      </c>
      <c r="BO18" s="39">
        <f t="shared" si="25"/>
        <v>0</v>
      </c>
      <c r="BP18" s="39">
        <f t="shared" si="25"/>
        <v>0</v>
      </c>
      <c r="BQ18" s="39">
        <f t="shared" si="25"/>
        <v>0</v>
      </c>
    </row>
    <row r="19" spans="2:69">
      <c r="B19" s="4" t="str">
        <f>B117</f>
        <v>Other - Freeholder cost</v>
      </c>
      <c r="J19" s="39">
        <f>J119</f>
        <v>0</v>
      </c>
      <c r="K19" s="39">
        <f t="shared" ref="K19:BE19" si="26">K119</f>
        <v>0</v>
      </c>
      <c r="L19" s="39">
        <f t="shared" si="26"/>
        <v>0</v>
      </c>
      <c r="M19" s="39">
        <f t="shared" si="26"/>
        <v>0</v>
      </c>
      <c r="N19" s="39">
        <f t="shared" si="26"/>
        <v>0</v>
      </c>
      <c r="O19" s="39">
        <f t="shared" si="26"/>
        <v>0</v>
      </c>
      <c r="P19" s="39">
        <f t="shared" si="26"/>
        <v>0</v>
      </c>
      <c r="Q19" s="39">
        <f t="shared" si="26"/>
        <v>0</v>
      </c>
      <c r="R19" s="39">
        <f t="shared" si="26"/>
        <v>0</v>
      </c>
      <c r="S19" s="39">
        <f t="shared" si="26"/>
        <v>0</v>
      </c>
      <c r="T19" s="39">
        <f t="shared" si="26"/>
        <v>15600</v>
      </c>
      <c r="U19" s="39">
        <f t="shared" si="26"/>
        <v>16100</v>
      </c>
      <c r="V19" s="39">
        <f t="shared" si="26"/>
        <v>16600</v>
      </c>
      <c r="W19" s="39">
        <f t="shared" si="26"/>
        <v>19100</v>
      </c>
      <c r="X19" s="39">
        <f t="shared" si="26"/>
        <v>21600</v>
      </c>
      <c r="Y19" s="39">
        <f t="shared" si="26"/>
        <v>24100</v>
      </c>
      <c r="Z19" s="39">
        <f t="shared" si="26"/>
        <v>26600</v>
      </c>
      <c r="AA19" s="39">
        <f t="shared" si="26"/>
        <v>29100</v>
      </c>
      <c r="AB19" s="39">
        <f t="shared" si="26"/>
        <v>31600</v>
      </c>
      <c r="AC19" s="39">
        <f t="shared" si="26"/>
        <v>34100</v>
      </c>
      <c r="AD19" s="39">
        <f t="shared" si="26"/>
        <v>36600</v>
      </c>
      <c r="AE19" s="39">
        <f t="shared" si="26"/>
        <v>39100</v>
      </c>
      <c r="AF19" s="39">
        <f t="shared" si="26"/>
        <v>41600</v>
      </c>
      <c r="AG19" s="39">
        <f t="shared" si="26"/>
        <v>44100</v>
      </c>
      <c r="AH19" s="39">
        <f t="shared" si="26"/>
        <v>47100</v>
      </c>
      <c r="AI19" s="39">
        <f t="shared" si="26"/>
        <v>50100</v>
      </c>
      <c r="AJ19" s="39">
        <f t="shared" si="26"/>
        <v>53100</v>
      </c>
      <c r="AK19" s="39">
        <f t="shared" si="26"/>
        <v>56100</v>
      </c>
      <c r="AL19" s="39">
        <f t="shared" si="26"/>
        <v>59100</v>
      </c>
      <c r="AM19" s="39">
        <f t="shared" si="26"/>
        <v>62100</v>
      </c>
      <c r="AN19" s="39">
        <f t="shared" si="26"/>
        <v>65100</v>
      </c>
      <c r="AO19" s="39">
        <f t="shared" si="26"/>
        <v>68100</v>
      </c>
      <c r="AP19" s="39">
        <f t="shared" si="26"/>
        <v>71100</v>
      </c>
      <c r="AQ19" s="39">
        <f t="shared" si="26"/>
        <v>74100</v>
      </c>
      <c r="AR19" s="39">
        <f t="shared" si="26"/>
        <v>77100</v>
      </c>
      <c r="AS19" s="39">
        <f t="shared" si="26"/>
        <v>80100</v>
      </c>
      <c r="AT19" s="39">
        <f t="shared" si="26"/>
        <v>83650</v>
      </c>
      <c r="AU19" s="39">
        <f t="shared" si="26"/>
        <v>87200</v>
      </c>
      <c r="AV19" s="39">
        <f t="shared" si="26"/>
        <v>90750</v>
      </c>
      <c r="AW19" s="39">
        <f t="shared" si="26"/>
        <v>94300</v>
      </c>
      <c r="AX19" s="39">
        <f t="shared" si="26"/>
        <v>97850</v>
      </c>
      <c r="AY19" s="39">
        <f t="shared" si="26"/>
        <v>101400</v>
      </c>
      <c r="AZ19" s="39">
        <f t="shared" si="26"/>
        <v>104950</v>
      </c>
      <c r="BA19" s="39">
        <f t="shared" si="26"/>
        <v>108500</v>
      </c>
      <c r="BB19" s="39">
        <f t="shared" si="26"/>
        <v>112050</v>
      </c>
      <c r="BC19" s="39">
        <f t="shared" si="26"/>
        <v>115600</v>
      </c>
      <c r="BD19" s="39">
        <f t="shared" si="26"/>
        <v>119150</v>
      </c>
      <c r="BE19" s="39">
        <f t="shared" si="26"/>
        <v>122700</v>
      </c>
      <c r="BF19" s="39">
        <f t="shared" ref="BF19:BQ19" si="27">BF119</f>
        <v>126900</v>
      </c>
      <c r="BG19" s="39">
        <f t="shared" si="27"/>
        <v>131100</v>
      </c>
      <c r="BH19" s="39">
        <f t="shared" si="27"/>
        <v>135300</v>
      </c>
      <c r="BI19" s="39">
        <f t="shared" si="27"/>
        <v>139500</v>
      </c>
      <c r="BJ19" s="39">
        <f t="shared" si="27"/>
        <v>143700</v>
      </c>
      <c r="BK19" s="39">
        <f t="shared" si="27"/>
        <v>147900</v>
      </c>
      <c r="BL19" s="39">
        <f t="shared" si="27"/>
        <v>152100</v>
      </c>
      <c r="BM19" s="39">
        <f t="shared" si="27"/>
        <v>156300</v>
      </c>
      <c r="BN19" s="39">
        <f t="shared" si="27"/>
        <v>160500</v>
      </c>
      <c r="BO19" s="39">
        <f t="shared" si="27"/>
        <v>164700</v>
      </c>
      <c r="BP19" s="39">
        <f t="shared" si="27"/>
        <v>168900</v>
      </c>
      <c r="BQ19" s="39">
        <f t="shared" si="27"/>
        <v>173100</v>
      </c>
    </row>
    <row r="20" spans="2:6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row>
    <row r="21" spans="2:6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39"/>
      <c r="AZ21" s="39"/>
      <c r="BA21" s="39"/>
      <c r="BB21" s="39"/>
      <c r="BC21" s="39"/>
      <c r="BD21" s="39"/>
      <c r="BE21" s="39"/>
      <c r="BF21" s="39"/>
      <c r="BG21" s="39"/>
      <c r="BH21" s="39"/>
      <c r="BI21" s="39"/>
      <c r="BJ21" s="39"/>
      <c r="BK21" s="39"/>
      <c r="BL21" s="39"/>
      <c r="BM21" s="39"/>
      <c r="BN21" s="39"/>
      <c r="BO21" s="39"/>
      <c r="BP21" s="39"/>
      <c r="BQ21" s="39"/>
    </row>
    <row r="22" spans="2:6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row>
    <row r="23" spans="2:6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c r="BL23" s="39"/>
      <c r="BM23" s="39"/>
      <c r="BN23" s="39"/>
      <c r="BO23" s="39"/>
      <c r="BP23" s="39"/>
      <c r="BQ23" s="39"/>
    </row>
    <row r="24" spans="2:69">
      <c r="C24" s="85"/>
      <c r="D24" s="85"/>
      <c r="E24" s="85"/>
      <c r="F24" s="85"/>
      <c r="G24" s="85"/>
      <c r="H24" s="85"/>
      <c r="I24" s="85"/>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row>
    <row r="25" spans="2:69" s="90" customFormat="1">
      <c r="B25" s="86" t="s">
        <v>87</v>
      </c>
      <c r="J25" s="108">
        <f>SUM(J6:J24)</f>
        <v>19425</v>
      </c>
      <c r="K25" s="108">
        <f t="shared" ref="K25:BE25" si="28">SUM(K6:K24)</f>
        <v>7364</v>
      </c>
      <c r="L25" s="108">
        <f t="shared" si="28"/>
        <v>28805</v>
      </c>
      <c r="M25" s="108">
        <f t="shared" si="28"/>
        <v>25039</v>
      </c>
      <c r="N25" s="108">
        <f t="shared" si="28"/>
        <v>31307</v>
      </c>
      <c r="O25" s="108">
        <f t="shared" si="28"/>
        <v>103407</v>
      </c>
      <c r="P25" s="108">
        <f t="shared" si="28"/>
        <v>64290</v>
      </c>
      <c r="Q25" s="108">
        <f t="shared" si="28"/>
        <v>10629</v>
      </c>
      <c r="R25" s="108">
        <f t="shared" si="28"/>
        <v>6750</v>
      </c>
      <c r="S25" s="108">
        <f t="shared" si="28"/>
        <v>16801</v>
      </c>
      <c r="T25" s="108">
        <f t="shared" si="28"/>
        <v>33166</v>
      </c>
      <c r="U25" s="108">
        <f t="shared" si="28"/>
        <v>34431</v>
      </c>
      <c r="V25" s="108">
        <f t="shared" si="28"/>
        <v>43696</v>
      </c>
      <c r="W25" s="108">
        <f t="shared" si="28"/>
        <v>92021</v>
      </c>
      <c r="X25" s="108">
        <f t="shared" si="28"/>
        <v>98016</v>
      </c>
      <c r="Y25" s="108">
        <f t="shared" si="28"/>
        <v>104011</v>
      </c>
      <c r="Z25" s="108">
        <f t="shared" si="28"/>
        <v>110006</v>
      </c>
      <c r="AA25" s="108">
        <f t="shared" si="28"/>
        <v>116001</v>
      </c>
      <c r="AB25" s="108">
        <f t="shared" si="28"/>
        <v>121996</v>
      </c>
      <c r="AC25" s="108">
        <f t="shared" si="28"/>
        <v>127991</v>
      </c>
      <c r="AD25" s="108">
        <f t="shared" si="28"/>
        <v>133986</v>
      </c>
      <c r="AE25" s="108">
        <f t="shared" si="28"/>
        <v>139981</v>
      </c>
      <c r="AF25" s="108">
        <f t="shared" si="28"/>
        <v>145976</v>
      </c>
      <c r="AG25" s="108">
        <f t="shared" si="28"/>
        <v>151971</v>
      </c>
      <c r="AH25" s="108">
        <f t="shared" si="28"/>
        <v>167631</v>
      </c>
      <c r="AI25" s="108">
        <f t="shared" si="28"/>
        <v>174825</v>
      </c>
      <c r="AJ25" s="108">
        <f t="shared" si="28"/>
        <v>182019</v>
      </c>
      <c r="AK25" s="108">
        <f t="shared" si="28"/>
        <v>189213</v>
      </c>
      <c r="AL25" s="108">
        <f t="shared" si="28"/>
        <v>196407</v>
      </c>
      <c r="AM25" s="108">
        <f t="shared" si="28"/>
        <v>203601</v>
      </c>
      <c r="AN25" s="108">
        <f t="shared" si="28"/>
        <v>210795</v>
      </c>
      <c r="AO25" s="108">
        <f t="shared" si="28"/>
        <v>217989</v>
      </c>
      <c r="AP25" s="108">
        <f t="shared" si="28"/>
        <v>225183</v>
      </c>
      <c r="AQ25" s="108">
        <f t="shared" si="28"/>
        <v>232377</v>
      </c>
      <c r="AR25" s="108">
        <f t="shared" si="28"/>
        <v>239571</v>
      </c>
      <c r="AS25" s="108">
        <f t="shared" si="28"/>
        <v>246765</v>
      </c>
      <c r="AT25" s="108">
        <f t="shared" si="28"/>
        <v>265167.5</v>
      </c>
      <c r="AU25" s="108">
        <f t="shared" si="28"/>
        <v>273693</v>
      </c>
      <c r="AV25" s="108">
        <f t="shared" si="28"/>
        <v>282218.5</v>
      </c>
      <c r="AW25" s="108">
        <f t="shared" si="28"/>
        <v>290744</v>
      </c>
      <c r="AX25" s="108">
        <f t="shared" si="28"/>
        <v>299269.5</v>
      </c>
      <c r="AY25" s="108">
        <f t="shared" si="28"/>
        <v>307795</v>
      </c>
      <c r="AZ25" s="108">
        <f t="shared" si="28"/>
        <v>316320.5</v>
      </c>
      <c r="BA25" s="108">
        <f t="shared" si="28"/>
        <v>324846</v>
      </c>
      <c r="BB25" s="108">
        <f t="shared" si="28"/>
        <v>333371.5</v>
      </c>
      <c r="BC25" s="108">
        <f t="shared" si="28"/>
        <v>341897</v>
      </c>
      <c r="BD25" s="108">
        <f t="shared" si="28"/>
        <v>350422.5</v>
      </c>
      <c r="BE25" s="108">
        <f t="shared" si="28"/>
        <v>358948</v>
      </c>
      <c r="BF25" s="108">
        <f t="shared" ref="BF25:BQ25" si="29">SUM(BF6:BF24)</f>
        <v>381769</v>
      </c>
      <c r="BG25" s="108">
        <f t="shared" si="29"/>
        <v>391891</v>
      </c>
      <c r="BH25" s="108">
        <f t="shared" si="29"/>
        <v>402013</v>
      </c>
      <c r="BI25" s="108">
        <f t="shared" si="29"/>
        <v>412135</v>
      </c>
      <c r="BJ25" s="108">
        <f t="shared" si="29"/>
        <v>422257</v>
      </c>
      <c r="BK25" s="108">
        <f t="shared" si="29"/>
        <v>432379</v>
      </c>
      <c r="BL25" s="108">
        <f t="shared" si="29"/>
        <v>442501</v>
      </c>
      <c r="BM25" s="108">
        <f t="shared" si="29"/>
        <v>452623</v>
      </c>
      <c r="BN25" s="108">
        <f t="shared" si="29"/>
        <v>462745</v>
      </c>
      <c r="BO25" s="108">
        <f t="shared" si="29"/>
        <v>472867</v>
      </c>
      <c r="BP25" s="108">
        <f t="shared" si="29"/>
        <v>482989</v>
      </c>
      <c r="BQ25" s="108">
        <f t="shared" si="29"/>
        <v>493111</v>
      </c>
    </row>
    <row r="26" spans="2:6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row>
    <row r="27" spans="2:6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row>
    <row r="28" spans="2:69">
      <c r="B28" s="3" t="s">
        <v>89</v>
      </c>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row>
    <row r="29" spans="2:69">
      <c r="B29" s="29" t="s">
        <v>90</v>
      </c>
      <c r="J29" s="39">
        <f>J137</f>
        <v>0</v>
      </c>
      <c r="K29" s="39">
        <f t="shared" ref="K29:BE29" si="30">K137</f>
        <v>0</v>
      </c>
      <c r="L29" s="39">
        <f t="shared" si="30"/>
        <v>0</v>
      </c>
      <c r="M29" s="39">
        <f t="shared" si="30"/>
        <v>0</v>
      </c>
      <c r="N29" s="39">
        <f t="shared" si="30"/>
        <v>0</v>
      </c>
      <c r="O29" s="39">
        <f t="shared" si="30"/>
        <v>0</v>
      </c>
      <c r="P29" s="39">
        <f t="shared" si="30"/>
        <v>0</v>
      </c>
      <c r="Q29" s="39">
        <f t="shared" si="30"/>
        <v>0</v>
      </c>
      <c r="R29" s="39">
        <f t="shared" si="30"/>
        <v>0</v>
      </c>
      <c r="S29" s="39">
        <f t="shared" si="30"/>
        <v>0</v>
      </c>
      <c r="T29" s="39">
        <f t="shared" si="30"/>
        <v>1750</v>
      </c>
      <c r="U29" s="39">
        <f t="shared" si="30"/>
        <v>1750</v>
      </c>
      <c r="V29" s="39">
        <f t="shared" si="30"/>
        <v>1750</v>
      </c>
      <c r="W29" s="39">
        <f t="shared" si="30"/>
        <v>1750</v>
      </c>
      <c r="X29" s="39">
        <f t="shared" si="30"/>
        <v>1750</v>
      </c>
      <c r="Y29" s="39">
        <f t="shared" si="30"/>
        <v>1750</v>
      </c>
      <c r="Z29" s="39">
        <f t="shared" si="30"/>
        <v>1750</v>
      </c>
      <c r="AA29" s="39">
        <f t="shared" si="30"/>
        <v>1750</v>
      </c>
      <c r="AB29" s="39">
        <f t="shared" si="30"/>
        <v>1750</v>
      </c>
      <c r="AC29" s="39">
        <f t="shared" si="30"/>
        <v>1750</v>
      </c>
      <c r="AD29" s="39">
        <f t="shared" si="30"/>
        <v>1750</v>
      </c>
      <c r="AE29" s="39">
        <f t="shared" si="30"/>
        <v>1750</v>
      </c>
      <c r="AF29" s="39">
        <f t="shared" si="30"/>
        <v>1750</v>
      </c>
      <c r="AG29" s="39">
        <f t="shared" si="30"/>
        <v>1750</v>
      </c>
      <c r="AH29" s="39">
        <f t="shared" si="30"/>
        <v>1750</v>
      </c>
      <c r="AI29" s="39">
        <f t="shared" si="30"/>
        <v>1750</v>
      </c>
      <c r="AJ29" s="39">
        <f t="shared" si="30"/>
        <v>1750</v>
      </c>
      <c r="AK29" s="39">
        <f t="shared" si="30"/>
        <v>1750</v>
      </c>
      <c r="AL29" s="39">
        <f t="shared" si="30"/>
        <v>1750</v>
      </c>
      <c r="AM29" s="39">
        <f t="shared" si="30"/>
        <v>1750</v>
      </c>
      <c r="AN29" s="39">
        <f t="shared" si="30"/>
        <v>1750</v>
      </c>
      <c r="AO29" s="39">
        <f t="shared" si="30"/>
        <v>1750</v>
      </c>
      <c r="AP29" s="39">
        <f t="shared" si="30"/>
        <v>1750</v>
      </c>
      <c r="AQ29" s="39">
        <f t="shared" si="30"/>
        <v>1750</v>
      </c>
      <c r="AR29" s="39">
        <f t="shared" si="30"/>
        <v>1750</v>
      </c>
      <c r="AS29" s="39">
        <f t="shared" si="30"/>
        <v>1750</v>
      </c>
      <c r="AT29" s="39">
        <f t="shared" si="30"/>
        <v>1750</v>
      </c>
      <c r="AU29" s="39">
        <f t="shared" si="30"/>
        <v>1750</v>
      </c>
      <c r="AV29" s="39">
        <f t="shared" si="30"/>
        <v>1750</v>
      </c>
      <c r="AW29" s="39">
        <f t="shared" si="30"/>
        <v>1750</v>
      </c>
      <c r="AX29" s="39">
        <f t="shared" si="30"/>
        <v>1750</v>
      </c>
      <c r="AY29" s="39">
        <f t="shared" si="30"/>
        <v>1750</v>
      </c>
      <c r="AZ29" s="39">
        <f t="shared" si="30"/>
        <v>1750</v>
      </c>
      <c r="BA29" s="39">
        <f t="shared" si="30"/>
        <v>1750</v>
      </c>
      <c r="BB29" s="39">
        <f t="shared" si="30"/>
        <v>1750</v>
      </c>
      <c r="BC29" s="39">
        <f t="shared" si="30"/>
        <v>1750</v>
      </c>
      <c r="BD29" s="39">
        <f t="shared" si="30"/>
        <v>1750</v>
      </c>
      <c r="BE29" s="39">
        <f t="shared" si="30"/>
        <v>1750</v>
      </c>
      <c r="BF29" s="39">
        <f t="shared" ref="BF29:BQ29" si="31">BF137</f>
        <v>2500</v>
      </c>
      <c r="BG29" s="39">
        <f t="shared" si="31"/>
        <v>2500</v>
      </c>
      <c r="BH29" s="39">
        <f t="shared" si="31"/>
        <v>2500</v>
      </c>
      <c r="BI29" s="39">
        <f t="shared" si="31"/>
        <v>2500</v>
      </c>
      <c r="BJ29" s="39">
        <f t="shared" si="31"/>
        <v>2500</v>
      </c>
      <c r="BK29" s="39">
        <f t="shared" si="31"/>
        <v>2500</v>
      </c>
      <c r="BL29" s="39">
        <f t="shared" si="31"/>
        <v>2500</v>
      </c>
      <c r="BM29" s="39">
        <f t="shared" si="31"/>
        <v>2500</v>
      </c>
      <c r="BN29" s="39">
        <f t="shared" si="31"/>
        <v>2500</v>
      </c>
      <c r="BO29" s="39">
        <f t="shared" si="31"/>
        <v>2500</v>
      </c>
      <c r="BP29" s="39">
        <f t="shared" si="31"/>
        <v>2500</v>
      </c>
      <c r="BQ29" s="39">
        <f t="shared" si="31"/>
        <v>2500</v>
      </c>
    </row>
    <row r="30" spans="2:69">
      <c r="B30" s="29" t="s">
        <v>91</v>
      </c>
      <c r="J30" s="39">
        <f>J143</f>
        <v>0</v>
      </c>
      <c r="K30" s="39">
        <f t="shared" ref="K30:BE30" si="32">K143</f>
        <v>0</v>
      </c>
      <c r="L30" s="39">
        <f t="shared" si="32"/>
        <v>0</v>
      </c>
      <c r="M30" s="39">
        <f t="shared" si="32"/>
        <v>0</v>
      </c>
      <c r="N30" s="39">
        <f t="shared" si="32"/>
        <v>0</v>
      </c>
      <c r="O30" s="39">
        <f t="shared" si="32"/>
        <v>0</v>
      </c>
      <c r="P30" s="39">
        <f t="shared" si="32"/>
        <v>0</v>
      </c>
      <c r="Q30" s="39">
        <f t="shared" si="32"/>
        <v>0</v>
      </c>
      <c r="R30" s="39">
        <f t="shared" si="32"/>
        <v>0</v>
      </c>
      <c r="S30" s="39">
        <f t="shared" si="32"/>
        <v>0</v>
      </c>
      <c r="T30" s="39">
        <f t="shared" si="32"/>
        <v>0</v>
      </c>
      <c r="U30" s="39">
        <f t="shared" si="32"/>
        <v>0</v>
      </c>
      <c r="V30" s="39">
        <f t="shared" si="32"/>
        <v>0</v>
      </c>
      <c r="W30" s="39">
        <f t="shared" si="32"/>
        <v>0</v>
      </c>
      <c r="X30" s="39">
        <f t="shared" si="32"/>
        <v>0</v>
      </c>
      <c r="Y30" s="39">
        <f t="shared" si="32"/>
        <v>0</v>
      </c>
      <c r="Z30" s="39">
        <f t="shared" si="32"/>
        <v>0</v>
      </c>
      <c r="AA30" s="39">
        <f t="shared" si="32"/>
        <v>0</v>
      </c>
      <c r="AB30" s="39">
        <f t="shared" si="32"/>
        <v>0</v>
      </c>
      <c r="AC30" s="39">
        <f t="shared" si="32"/>
        <v>0</v>
      </c>
      <c r="AD30" s="39">
        <f t="shared" si="32"/>
        <v>0</v>
      </c>
      <c r="AE30" s="39">
        <f t="shared" si="32"/>
        <v>0</v>
      </c>
      <c r="AF30" s="39">
        <f t="shared" si="32"/>
        <v>0</v>
      </c>
      <c r="AG30" s="39">
        <f t="shared" si="32"/>
        <v>0</v>
      </c>
      <c r="AH30" s="39">
        <f t="shared" si="32"/>
        <v>0</v>
      </c>
      <c r="AI30" s="39">
        <f t="shared" si="32"/>
        <v>0</v>
      </c>
      <c r="AJ30" s="39">
        <f t="shared" si="32"/>
        <v>0</v>
      </c>
      <c r="AK30" s="39">
        <f t="shared" si="32"/>
        <v>0</v>
      </c>
      <c r="AL30" s="39">
        <f t="shared" si="32"/>
        <v>0</v>
      </c>
      <c r="AM30" s="39">
        <f t="shared" si="32"/>
        <v>0</v>
      </c>
      <c r="AN30" s="39">
        <f t="shared" si="32"/>
        <v>0</v>
      </c>
      <c r="AO30" s="39">
        <f t="shared" si="32"/>
        <v>0</v>
      </c>
      <c r="AP30" s="39">
        <f t="shared" si="32"/>
        <v>0</v>
      </c>
      <c r="AQ30" s="39">
        <f t="shared" si="32"/>
        <v>0</v>
      </c>
      <c r="AR30" s="39">
        <f t="shared" si="32"/>
        <v>0</v>
      </c>
      <c r="AS30" s="39">
        <f t="shared" si="32"/>
        <v>0</v>
      </c>
      <c r="AT30" s="39">
        <f t="shared" si="32"/>
        <v>0</v>
      </c>
      <c r="AU30" s="39">
        <f t="shared" si="32"/>
        <v>0</v>
      </c>
      <c r="AV30" s="39">
        <f t="shared" si="32"/>
        <v>0</v>
      </c>
      <c r="AW30" s="39">
        <f t="shared" si="32"/>
        <v>0</v>
      </c>
      <c r="AX30" s="39">
        <f t="shared" si="32"/>
        <v>0</v>
      </c>
      <c r="AY30" s="39">
        <f t="shared" si="32"/>
        <v>0</v>
      </c>
      <c r="AZ30" s="39">
        <f t="shared" si="32"/>
        <v>0</v>
      </c>
      <c r="BA30" s="39">
        <f t="shared" si="32"/>
        <v>0</v>
      </c>
      <c r="BB30" s="39">
        <f t="shared" si="32"/>
        <v>0</v>
      </c>
      <c r="BC30" s="39">
        <f t="shared" si="32"/>
        <v>0</v>
      </c>
      <c r="BD30" s="39">
        <f t="shared" si="32"/>
        <v>0</v>
      </c>
      <c r="BE30" s="39">
        <f t="shared" si="32"/>
        <v>0</v>
      </c>
      <c r="BF30" s="39">
        <f t="shared" ref="BF30:BQ30" si="33">BF143</f>
        <v>0</v>
      </c>
      <c r="BG30" s="39">
        <f t="shared" si="33"/>
        <v>0</v>
      </c>
      <c r="BH30" s="39">
        <f t="shared" si="33"/>
        <v>0</v>
      </c>
      <c r="BI30" s="39">
        <f t="shared" si="33"/>
        <v>0</v>
      </c>
      <c r="BJ30" s="39">
        <f t="shared" si="33"/>
        <v>0</v>
      </c>
      <c r="BK30" s="39">
        <f t="shared" si="33"/>
        <v>0</v>
      </c>
      <c r="BL30" s="39">
        <f t="shared" si="33"/>
        <v>0</v>
      </c>
      <c r="BM30" s="39">
        <f t="shared" si="33"/>
        <v>0</v>
      </c>
      <c r="BN30" s="39">
        <f t="shared" si="33"/>
        <v>0</v>
      </c>
      <c r="BO30" s="39">
        <f t="shared" si="33"/>
        <v>0</v>
      </c>
      <c r="BP30" s="39">
        <f t="shared" si="33"/>
        <v>0</v>
      </c>
      <c r="BQ30" s="39">
        <f t="shared" si="33"/>
        <v>0</v>
      </c>
    </row>
    <row r="31" spans="2:69">
      <c r="B31" s="29" t="s">
        <v>92</v>
      </c>
      <c r="J31" s="39">
        <f>J149</f>
        <v>0</v>
      </c>
      <c r="K31" s="39">
        <f t="shared" ref="K31:BE31" si="34">K149</f>
        <v>0</v>
      </c>
      <c r="L31" s="39">
        <f t="shared" si="34"/>
        <v>0</v>
      </c>
      <c r="M31" s="39">
        <f t="shared" si="34"/>
        <v>0</v>
      </c>
      <c r="N31" s="39">
        <f t="shared" si="34"/>
        <v>0</v>
      </c>
      <c r="O31" s="39">
        <f t="shared" si="34"/>
        <v>0</v>
      </c>
      <c r="P31" s="39">
        <f t="shared" si="34"/>
        <v>0</v>
      </c>
      <c r="Q31" s="39">
        <f t="shared" si="34"/>
        <v>0</v>
      </c>
      <c r="R31" s="39">
        <f t="shared" si="34"/>
        <v>0</v>
      </c>
      <c r="S31" s="39">
        <f t="shared" si="34"/>
        <v>0</v>
      </c>
      <c r="T31" s="39">
        <f t="shared" si="34"/>
        <v>0</v>
      </c>
      <c r="U31" s="39">
        <f t="shared" si="34"/>
        <v>0</v>
      </c>
      <c r="V31" s="39">
        <f t="shared" si="34"/>
        <v>0</v>
      </c>
      <c r="W31" s="39">
        <f t="shared" si="34"/>
        <v>6000</v>
      </c>
      <c r="X31" s="39">
        <f t="shared" si="34"/>
        <v>0</v>
      </c>
      <c r="Y31" s="39">
        <f t="shared" si="34"/>
        <v>0</v>
      </c>
      <c r="Z31" s="39">
        <f t="shared" si="34"/>
        <v>0</v>
      </c>
      <c r="AA31" s="39">
        <f t="shared" si="34"/>
        <v>0</v>
      </c>
      <c r="AB31" s="39">
        <f t="shared" si="34"/>
        <v>0</v>
      </c>
      <c r="AC31" s="39">
        <f t="shared" si="34"/>
        <v>0</v>
      </c>
      <c r="AD31" s="39">
        <f t="shared" si="34"/>
        <v>0</v>
      </c>
      <c r="AE31" s="39">
        <f t="shared" si="34"/>
        <v>0</v>
      </c>
      <c r="AF31" s="39">
        <f t="shared" si="34"/>
        <v>0</v>
      </c>
      <c r="AG31" s="39">
        <f t="shared" si="34"/>
        <v>0</v>
      </c>
      <c r="AH31" s="39">
        <f t="shared" si="34"/>
        <v>0</v>
      </c>
      <c r="AI31" s="39">
        <f t="shared" si="34"/>
        <v>0</v>
      </c>
      <c r="AJ31" s="39">
        <f t="shared" si="34"/>
        <v>0</v>
      </c>
      <c r="AK31" s="39">
        <f t="shared" si="34"/>
        <v>0</v>
      </c>
      <c r="AL31" s="39">
        <f t="shared" si="34"/>
        <v>0</v>
      </c>
      <c r="AM31" s="39">
        <f t="shared" si="34"/>
        <v>0</v>
      </c>
      <c r="AN31" s="39">
        <f t="shared" si="34"/>
        <v>0</v>
      </c>
      <c r="AO31" s="39">
        <f t="shared" si="34"/>
        <v>0</v>
      </c>
      <c r="AP31" s="39">
        <f t="shared" si="34"/>
        <v>0</v>
      </c>
      <c r="AQ31" s="39">
        <f t="shared" si="34"/>
        <v>0</v>
      </c>
      <c r="AR31" s="39">
        <f t="shared" si="34"/>
        <v>0</v>
      </c>
      <c r="AS31" s="39">
        <f t="shared" si="34"/>
        <v>0</v>
      </c>
      <c r="AT31" s="39">
        <f t="shared" si="34"/>
        <v>0</v>
      </c>
      <c r="AU31" s="39">
        <f t="shared" si="34"/>
        <v>0</v>
      </c>
      <c r="AV31" s="39">
        <f t="shared" si="34"/>
        <v>0</v>
      </c>
      <c r="AW31" s="39">
        <f t="shared" si="34"/>
        <v>0</v>
      </c>
      <c r="AX31" s="39">
        <f t="shared" si="34"/>
        <v>0</v>
      </c>
      <c r="AY31" s="39">
        <f t="shared" si="34"/>
        <v>0</v>
      </c>
      <c r="AZ31" s="39">
        <f t="shared" si="34"/>
        <v>0</v>
      </c>
      <c r="BA31" s="39">
        <f t="shared" si="34"/>
        <v>0</v>
      </c>
      <c r="BB31" s="39">
        <f t="shared" si="34"/>
        <v>0</v>
      </c>
      <c r="BC31" s="39">
        <f t="shared" si="34"/>
        <v>0</v>
      </c>
      <c r="BD31" s="39">
        <f t="shared" si="34"/>
        <v>0</v>
      </c>
      <c r="BE31" s="39">
        <f t="shared" si="34"/>
        <v>0</v>
      </c>
      <c r="BF31" s="39">
        <f t="shared" ref="BF31:BQ31" si="35">BF149</f>
        <v>0</v>
      </c>
      <c r="BG31" s="39">
        <f t="shared" si="35"/>
        <v>0</v>
      </c>
      <c r="BH31" s="39">
        <f t="shared" si="35"/>
        <v>0</v>
      </c>
      <c r="BI31" s="39">
        <f t="shared" si="35"/>
        <v>0</v>
      </c>
      <c r="BJ31" s="39">
        <f t="shared" si="35"/>
        <v>0</v>
      </c>
      <c r="BK31" s="39">
        <f t="shared" si="35"/>
        <v>0</v>
      </c>
      <c r="BL31" s="39">
        <f t="shared" si="35"/>
        <v>0</v>
      </c>
      <c r="BM31" s="39">
        <f t="shared" si="35"/>
        <v>0</v>
      </c>
      <c r="BN31" s="39">
        <f t="shared" si="35"/>
        <v>0</v>
      </c>
      <c r="BO31" s="39">
        <f t="shared" si="35"/>
        <v>0</v>
      </c>
      <c r="BP31" s="39">
        <f t="shared" si="35"/>
        <v>0</v>
      </c>
      <c r="BQ31" s="39">
        <f t="shared" si="35"/>
        <v>0</v>
      </c>
    </row>
    <row r="32" spans="2:69">
      <c r="B32" s="29" t="s">
        <v>93</v>
      </c>
      <c r="J32" s="39">
        <f>J155</f>
        <v>0</v>
      </c>
      <c r="K32" s="39">
        <f t="shared" ref="K32:BE32" si="36">K155</f>
        <v>0</v>
      </c>
      <c r="L32" s="39">
        <f t="shared" si="36"/>
        <v>0</v>
      </c>
      <c r="M32" s="39">
        <f t="shared" si="36"/>
        <v>0</v>
      </c>
      <c r="N32" s="39">
        <f t="shared" si="36"/>
        <v>0</v>
      </c>
      <c r="O32" s="39">
        <f t="shared" si="36"/>
        <v>0</v>
      </c>
      <c r="P32" s="39">
        <f t="shared" si="36"/>
        <v>0</v>
      </c>
      <c r="Q32" s="39">
        <f t="shared" si="36"/>
        <v>0</v>
      </c>
      <c r="R32" s="39">
        <f t="shared" si="36"/>
        <v>0</v>
      </c>
      <c r="S32" s="39">
        <f t="shared" si="36"/>
        <v>0</v>
      </c>
      <c r="T32" s="39">
        <f t="shared" si="36"/>
        <v>0</v>
      </c>
      <c r="U32" s="39">
        <f t="shared" si="36"/>
        <v>86.25</v>
      </c>
      <c r="V32" s="39">
        <f t="shared" si="36"/>
        <v>86.25</v>
      </c>
      <c r="W32" s="39">
        <f t="shared" si="36"/>
        <v>86.25</v>
      </c>
      <c r="X32" s="39">
        <f t="shared" si="36"/>
        <v>172.5</v>
      </c>
      <c r="Y32" s="39">
        <f t="shared" si="36"/>
        <v>172.5</v>
      </c>
      <c r="Z32" s="39">
        <f t="shared" si="36"/>
        <v>258.75</v>
      </c>
      <c r="AA32" s="39">
        <f t="shared" si="36"/>
        <v>258.75</v>
      </c>
      <c r="AB32" s="39">
        <f t="shared" si="36"/>
        <v>258.75</v>
      </c>
      <c r="AC32" s="39">
        <f t="shared" si="36"/>
        <v>345</v>
      </c>
      <c r="AD32" s="39">
        <f t="shared" si="36"/>
        <v>345</v>
      </c>
      <c r="AE32" s="39">
        <f t="shared" si="36"/>
        <v>431.25</v>
      </c>
      <c r="AF32" s="39">
        <f t="shared" si="36"/>
        <v>431.25</v>
      </c>
      <c r="AG32" s="39">
        <f t="shared" si="36"/>
        <v>431.25</v>
      </c>
      <c r="AH32" s="39">
        <f t="shared" si="36"/>
        <v>517.5</v>
      </c>
      <c r="AI32" s="39">
        <f t="shared" si="36"/>
        <v>517.5</v>
      </c>
      <c r="AJ32" s="39">
        <f t="shared" si="36"/>
        <v>603.75</v>
      </c>
      <c r="AK32" s="39">
        <f t="shared" si="36"/>
        <v>603.75</v>
      </c>
      <c r="AL32" s="39">
        <f t="shared" si="36"/>
        <v>690</v>
      </c>
      <c r="AM32" s="39">
        <f t="shared" si="36"/>
        <v>690</v>
      </c>
      <c r="AN32" s="39">
        <f t="shared" si="36"/>
        <v>776.25</v>
      </c>
      <c r="AO32" s="39">
        <f t="shared" si="36"/>
        <v>776.25</v>
      </c>
      <c r="AP32" s="39">
        <f t="shared" si="36"/>
        <v>862.5</v>
      </c>
      <c r="AQ32" s="39">
        <f t="shared" si="36"/>
        <v>862.5</v>
      </c>
      <c r="AR32" s="39">
        <f t="shared" si="36"/>
        <v>948.75</v>
      </c>
      <c r="AS32" s="39">
        <f t="shared" si="36"/>
        <v>948.75</v>
      </c>
      <c r="AT32" s="39">
        <f t="shared" si="36"/>
        <v>1035</v>
      </c>
      <c r="AU32" s="39">
        <f t="shared" si="36"/>
        <v>1035</v>
      </c>
      <c r="AV32" s="39">
        <f t="shared" si="36"/>
        <v>1121.25</v>
      </c>
      <c r="AW32" s="39">
        <f t="shared" si="36"/>
        <v>1121.25</v>
      </c>
      <c r="AX32" s="39">
        <f t="shared" si="36"/>
        <v>1207.5</v>
      </c>
      <c r="AY32" s="39">
        <f t="shared" si="36"/>
        <v>1207.5</v>
      </c>
      <c r="AZ32" s="39">
        <f t="shared" si="36"/>
        <v>1293.75</v>
      </c>
      <c r="BA32" s="39">
        <f t="shared" si="36"/>
        <v>1380</v>
      </c>
      <c r="BB32" s="39">
        <f t="shared" si="36"/>
        <v>1380</v>
      </c>
      <c r="BC32" s="39">
        <f t="shared" si="36"/>
        <v>1466.25</v>
      </c>
      <c r="BD32" s="39">
        <f t="shared" si="36"/>
        <v>1466.25</v>
      </c>
      <c r="BE32" s="39">
        <f t="shared" si="36"/>
        <v>1552.5</v>
      </c>
      <c r="BF32" s="39">
        <f t="shared" ref="BF32:BQ32" si="37">BF155</f>
        <v>1552.5</v>
      </c>
      <c r="BG32" s="39">
        <f t="shared" si="37"/>
        <v>1638.75</v>
      </c>
      <c r="BH32" s="39">
        <f t="shared" si="37"/>
        <v>1725</v>
      </c>
      <c r="BI32" s="39">
        <f t="shared" si="37"/>
        <v>1725</v>
      </c>
      <c r="BJ32" s="39">
        <f t="shared" si="37"/>
        <v>1811.25</v>
      </c>
      <c r="BK32" s="39">
        <f t="shared" si="37"/>
        <v>1897.5</v>
      </c>
      <c r="BL32" s="39">
        <f t="shared" si="37"/>
        <v>1897.5</v>
      </c>
      <c r="BM32" s="39">
        <f t="shared" si="37"/>
        <v>1983.75</v>
      </c>
      <c r="BN32" s="39">
        <f t="shared" si="37"/>
        <v>2070</v>
      </c>
      <c r="BO32" s="39">
        <f t="shared" si="37"/>
        <v>2070</v>
      </c>
      <c r="BP32" s="39">
        <f t="shared" si="37"/>
        <v>2156.25</v>
      </c>
      <c r="BQ32" s="39">
        <f t="shared" si="37"/>
        <v>2156.25</v>
      </c>
    </row>
    <row r="33" spans="2:69">
      <c r="B33" s="29" t="s">
        <v>94</v>
      </c>
      <c r="J33" s="39">
        <f>J164</f>
        <v>0</v>
      </c>
      <c r="K33" s="39">
        <f t="shared" ref="K33:BE33" si="38">K164</f>
        <v>0</v>
      </c>
      <c r="L33" s="39">
        <f t="shared" si="38"/>
        <v>0</v>
      </c>
      <c r="M33" s="39">
        <f t="shared" si="38"/>
        <v>0</v>
      </c>
      <c r="N33" s="39">
        <f t="shared" si="38"/>
        <v>0</v>
      </c>
      <c r="O33" s="39">
        <f t="shared" si="38"/>
        <v>0</v>
      </c>
      <c r="P33" s="39">
        <f t="shared" si="38"/>
        <v>0</v>
      </c>
      <c r="Q33" s="39">
        <f t="shared" si="38"/>
        <v>0</v>
      </c>
      <c r="R33" s="39">
        <f t="shared" si="38"/>
        <v>0</v>
      </c>
      <c r="S33" s="39">
        <f t="shared" si="38"/>
        <v>0</v>
      </c>
      <c r="T33" s="39">
        <f t="shared" si="38"/>
        <v>525</v>
      </c>
      <c r="U33" s="39">
        <f t="shared" si="38"/>
        <v>525</v>
      </c>
      <c r="V33" s="39">
        <f t="shared" si="38"/>
        <v>525</v>
      </c>
      <c r="W33" s="39">
        <f t="shared" si="38"/>
        <v>525</v>
      </c>
      <c r="X33" s="39">
        <f t="shared" si="38"/>
        <v>525</v>
      </c>
      <c r="Y33" s="39">
        <f t="shared" si="38"/>
        <v>525</v>
      </c>
      <c r="Z33" s="39">
        <f t="shared" si="38"/>
        <v>525</v>
      </c>
      <c r="AA33" s="39">
        <f t="shared" si="38"/>
        <v>525</v>
      </c>
      <c r="AB33" s="39">
        <f t="shared" si="38"/>
        <v>525</v>
      </c>
      <c r="AC33" s="39">
        <f t="shared" si="38"/>
        <v>525</v>
      </c>
      <c r="AD33" s="39">
        <f t="shared" si="38"/>
        <v>525</v>
      </c>
      <c r="AE33" s="39">
        <f t="shared" si="38"/>
        <v>1025</v>
      </c>
      <c r="AF33" s="39">
        <f t="shared" si="38"/>
        <v>1025</v>
      </c>
      <c r="AG33" s="39">
        <f t="shared" si="38"/>
        <v>1025</v>
      </c>
      <c r="AH33" s="39">
        <f t="shared" si="38"/>
        <v>1025</v>
      </c>
      <c r="AI33" s="39">
        <f t="shared" si="38"/>
        <v>1025</v>
      </c>
      <c r="AJ33" s="39">
        <f t="shared" si="38"/>
        <v>1025</v>
      </c>
      <c r="AK33" s="39">
        <f t="shared" si="38"/>
        <v>1025</v>
      </c>
      <c r="AL33" s="39">
        <f t="shared" si="38"/>
        <v>1025</v>
      </c>
      <c r="AM33" s="39">
        <f t="shared" si="38"/>
        <v>1025</v>
      </c>
      <c r="AN33" s="39">
        <f t="shared" si="38"/>
        <v>1025</v>
      </c>
      <c r="AO33" s="39">
        <f t="shared" si="38"/>
        <v>1025</v>
      </c>
      <c r="AP33" s="39">
        <f t="shared" si="38"/>
        <v>1025</v>
      </c>
      <c r="AQ33" s="39">
        <f t="shared" si="38"/>
        <v>1025</v>
      </c>
      <c r="AR33" s="39">
        <f t="shared" si="38"/>
        <v>1025</v>
      </c>
      <c r="AS33" s="39">
        <f t="shared" si="38"/>
        <v>1025</v>
      </c>
      <c r="AT33" s="39">
        <f t="shared" si="38"/>
        <v>1025</v>
      </c>
      <c r="AU33" s="39">
        <f t="shared" si="38"/>
        <v>1025</v>
      </c>
      <c r="AV33" s="39">
        <f t="shared" si="38"/>
        <v>1025</v>
      </c>
      <c r="AW33" s="39">
        <f t="shared" si="38"/>
        <v>3050</v>
      </c>
      <c r="AX33" s="39">
        <f t="shared" si="38"/>
        <v>3050</v>
      </c>
      <c r="AY33" s="39">
        <f t="shared" si="38"/>
        <v>3050</v>
      </c>
      <c r="AZ33" s="39">
        <f t="shared" si="38"/>
        <v>3050</v>
      </c>
      <c r="BA33" s="39">
        <f t="shared" si="38"/>
        <v>3050</v>
      </c>
      <c r="BB33" s="39">
        <f t="shared" si="38"/>
        <v>3050</v>
      </c>
      <c r="BC33" s="39">
        <f t="shared" si="38"/>
        <v>3050</v>
      </c>
      <c r="BD33" s="39">
        <f t="shared" si="38"/>
        <v>3050</v>
      </c>
      <c r="BE33" s="39">
        <f t="shared" si="38"/>
        <v>3050</v>
      </c>
      <c r="BF33" s="39">
        <f t="shared" ref="BF33:BQ33" si="39">BF164</f>
        <v>3050</v>
      </c>
      <c r="BG33" s="39">
        <f t="shared" si="39"/>
        <v>3050</v>
      </c>
      <c r="BH33" s="39">
        <f t="shared" si="39"/>
        <v>3050</v>
      </c>
      <c r="BI33" s="39">
        <f t="shared" si="39"/>
        <v>3050</v>
      </c>
      <c r="BJ33" s="39">
        <f t="shared" si="39"/>
        <v>3050</v>
      </c>
      <c r="BK33" s="39">
        <f t="shared" si="39"/>
        <v>3050</v>
      </c>
      <c r="BL33" s="39">
        <f t="shared" si="39"/>
        <v>3050</v>
      </c>
      <c r="BM33" s="39">
        <f t="shared" si="39"/>
        <v>3050</v>
      </c>
      <c r="BN33" s="39">
        <f t="shared" si="39"/>
        <v>3050</v>
      </c>
      <c r="BO33" s="39">
        <f t="shared" si="39"/>
        <v>3050</v>
      </c>
      <c r="BP33" s="39">
        <f t="shared" si="39"/>
        <v>3050</v>
      </c>
      <c r="BQ33" s="39">
        <f t="shared" si="39"/>
        <v>3050</v>
      </c>
    </row>
    <row r="34" spans="2:69">
      <c r="B34" s="29" t="s">
        <v>95</v>
      </c>
      <c r="J34" s="39">
        <f>J172</f>
        <v>2575</v>
      </c>
      <c r="K34" s="39">
        <f t="shared" ref="K34:BE34" si="40">K172</f>
        <v>1500</v>
      </c>
      <c r="L34" s="39">
        <f t="shared" si="40"/>
        <v>170</v>
      </c>
      <c r="M34" s="39">
        <f t="shared" si="40"/>
        <v>2079</v>
      </c>
      <c r="N34" s="39">
        <f t="shared" si="40"/>
        <v>0</v>
      </c>
      <c r="O34" s="39">
        <f t="shared" si="40"/>
        <v>170</v>
      </c>
      <c r="P34" s="39">
        <f t="shared" si="40"/>
        <v>0</v>
      </c>
      <c r="Q34" s="39">
        <f t="shared" si="40"/>
        <v>18850</v>
      </c>
      <c r="R34" s="39">
        <f t="shared" si="40"/>
        <v>170</v>
      </c>
      <c r="S34" s="39">
        <f t="shared" si="40"/>
        <v>170</v>
      </c>
      <c r="T34" s="39">
        <f t="shared" si="40"/>
        <v>870</v>
      </c>
      <c r="U34" s="39">
        <f t="shared" si="40"/>
        <v>870</v>
      </c>
      <c r="V34" s="39">
        <f t="shared" si="40"/>
        <v>870</v>
      </c>
      <c r="W34" s="39">
        <f t="shared" si="40"/>
        <v>870</v>
      </c>
      <c r="X34" s="39">
        <f t="shared" si="40"/>
        <v>870</v>
      </c>
      <c r="Y34" s="39">
        <f t="shared" si="40"/>
        <v>870</v>
      </c>
      <c r="Z34" s="39">
        <f t="shared" si="40"/>
        <v>870</v>
      </c>
      <c r="AA34" s="39">
        <f t="shared" si="40"/>
        <v>870</v>
      </c>
      <c r="AB34" s="39">
        <f t="shared" si="40"/>
        <v>870</v>
      </c>
      <c r="AC34" s="39">
        <f t="shared" si="40"/>
        <v>1270</v>
      </c>
      <c r="AD34" s="39">
        <f t="shared" si="40"/>
        <v>1270</v>
      </c>
      <c r="AE34" s="39">
        <f t="shared" si="40"/>
        <v>1270</v>
      </c>
      <c r="AF34" s="39">
        <f t="shared" si="40"/>
        <v>1270</v>
      </c>
      <c r="AG34" s="39">
        <f t="shared" si="40"/>
        <v>1270</v>
      </c>
      <c r="AH34" s="39">
        <f t="shared" si="40"/>
        <v>1270</v>
      </c>
      <c r="AI34" s="39">
        <f t="shared" si="40"/>
        <v>1270</v>
      </c>
      <c r="AJ34" s="39">
        <f t="shared" si="40"/>
        <v>1270</v>
      </c>
      <c r="AK34" s="39">
        <f t="shared" si="40"/>
        <v>1270</v>
      </c>
      <c r="AL34" s="39">
        <f t="shared" si="40"/>
        <v>1270</v>
      </c>
      <c r="AM34" s="39">
        <f t="shared" si="40"/>
        <v>1270</v>
      </c>
      <c r="AN34" s="39">
        <f t="shared" si="40"/>
        <v>1270</v>
      </c>
      <c r="AO34" s="39">
        <f t="shared" si="40"/>
        <v>1270</v>
      </c>
      <c r="AP34" s="39">
        <f t="shared" si="40"/>
        <v>1270</v>
      </c>
      <c r="AQ34" s="39">
        <f t="shared" si="40"/>
        <v>1270</v>
      </c>
      <c r="AR34" s="39">
        <f t="shared" si="40"/>
        <v>1270</v>
      </c>
      <c r="AS34" s="39">
        <f t="shared" si="40"/>
        <v>1270</v>
      </c>
      <c r="AT34" s="39">
        <f t="shared" si="40"/>
        <v>1270</v>
      </c>
      <c r="AU34" s="39">
        <f t="shared" si="40"/>
        <v>1270</v>
      </c>
      <c r="AV34" s="39">
        <f t="shared" si="40"/>
        <v>1270</v>
      </c>
      <c r="AW34" s="39">
        <f t="shared" si="40"/>
        <v>1270</v>
      </c>
      <c r="AX34" s="39">
        <f t="shared" si="40"/>
        <v>1270</v>
      </c>
      <c r="AY34" s="39">
        <f t="shared" si="40"/>
        <v>1270</v>
      </c>
      <c r="AZ34" s="39">
        <f t="shared" si="40"/>
        <v>1270</v>
      </c>
      <c r="BA34" s="39">
        <f t="shared" si="40"/>
        <v>1270</v>
      </c>
      <c r="BB34" s="39">
        <f t="shared" si="40"/>
        <v>1270</v>
      </c>
      <c r="BC34" s="39">
        <f t="shared" si="40"/>
        <v>1270</v>
      </c>
      <c r="BD34" s="39">
        <f t="shared" si="40"/>
        <v>1270</v>
      </c>
      <c r="BE34" s="39">
        <f t="shared" si="40"/>
        <v>1270</v>
      </c>
      <c r="BF34" s="39">
        <f t="shared" ref="BF34:BQ34" si="41">BF172</f>
        <v>1270</v>
      </c>
      <c r="BG34" s="39">
        <f t="shared" si="41"/>
        <v>1270</v>
      </c>
      <c r="BH34" s="39">
        <f t="shared" si="41"/>
        <v>1270</v>
      </c>
      <c r="BI34" s="39">
        <f t="shared" si="41"/>
        <v>1270</v>
      </c>
      <c r="BJ34" s="39">
        <f t="shared" si="41"/>
        <v>1270</v>
      </c>
      <c r="BK34" s="39">
        <f t="shared" si="41"/>
        <v>1270</v>
      </c>
      <c r="BL34" s="39">
        <f t="shared" si="41"/>
        <v>1270</v>
      </c>
      <c r="BM34" s="39">
        <f t="shared" si="41"/>
        <v>1270</v>
      </c>
      <c r="BN34" s="39">
        <f t="shared" si="41"/>
        <v>1270</v>
      </c>
      <c r="BO34" s="39">
        <f t="shared" si="41"/>
        <v>1270</v>
      </c>
      <c r="BP34" s="39">
        <f t="shared" si="41"/>
        <v>1270</v>
      </c>
      <c r="BQ34" s="39">
        <f t="shared" si="41"/>
        <v>1270</v>
      </c>
    </row>
    <row r="35" spans="2:69">
      <c r="B35" s="29" t="s">
        <v>96</v>
      </c>
      <c r="J35" s="39">
        <f>J178</f>
        <v>0</v>
      </c>
      <c r="K35" s="39">
        <f t="shared" ref="K35:BE35" si="42">K178</f>
        <v>399</v>
      </c>
      <c r="L35" s="39">
        <f t="shared" si="42"/>
        <v>230</v>
      </c>
      <c r="M35" s="39">
        <f t="shared" si="42"/>
        <v>156</v>
      </c>
      <c r="N35" s="39">
        <f t="shared" si="42"/>
        <v>2199</v>
      </c>
      <c r="O35" s="39">
        <f t="shared" si="42"/>
        <v>0</v>
      </c>
      <c r="P35" s="39">
        <f t="shared" si="42"/>
        <v>0</v>
      </c>
      <c r="Q35" s="39">
        <f t="shared" si="42"/>
        <v>0</v>
      </c>
      <c r="R35" s="39">
        <f t="shared" si="42"/>
        <v>2000</v>
      </c>
      <c r="S35" s="39">
        <f t="shared" si="42"/>
        <v>2000</v>
      </c>
      <c r="T35" s="39">
        <f t="shared" si="42"/>
        <v>2000</v>
      </c>
      <c r="U35" s="39">
        <f t="shared" si="42"/>
        <v>2000</v>
      </c>
      <c r="V35" s="39">
        <f t="shared" si="42"/>
        <v>2000</v>
      </c>
      <c r="W35" s="39">
        <f t="shared" si="42"/>
        <v>2000</v>
      </c>
      <c r="X35" s="39">
        <f t="shared" si="42"/>
        <v>2000</v>
      </c>
      <c r="Y35" s="39">
        <f t="shared" si="42"/>
        <v>2000</v>
      </c>
      <c r="Z35" s="39">
        <f t="shared" si="42"/>
        <v>2000</v>
      </c>
      <c r="AA35" s="39">
        <f t="shared" si="42"/>
        <v>2000</v>
      </c>
      <c r="AB35" s="39">
        <f t="shared" si="42"/>
        <v>2000</v>
      </c>
      <c r="AC35" s="39">
        <f t="shared" si="42"/>
        <v>2000</v>
      </c>
      <c r="AD35" s="39">
        <f t="shared" si="42"/>
        <v>2000</v>
      </c>
      <c r="AE35" s="39">
        <f t="shared" si="42"/>
        <v>2000</v>
      </c>
      <c r="AF35" s="39">
        <f t="shared" si="42"/>
        <v>4000</v>
      </c>
      <c r="AG35" s="39">
        <f t="shared" si="42"/>
        <v>4000</v>
      </c>
      <c r="AH35" s="39">
        <f t="shared" si="42"/>
        <v>4000</v>
      </c>
      <c r="AI35" s="39">
        <f t="shared" si="42"/>
        <v>4000</v>
      </c>
      <c r="AJ35" s="39">
        <f t="shared" si="42"/>
        <v>4000</v>
      </c>
      <c r="AK35" s="39">
        <f t="shared" si="42"/>
        <v>4000</v>
      </c>
      <c r="AL35" s="39">
        <f t="shared" si="42"/>
        <v>4000</v>
      </c>
      <c r="AM35" s="39">
        <f t="shared" si="42"/>
        <v>4000</v>
      </c>
      <c r="AN35" s="39">
        <f t="shared" si="42"/>
        <v>4000</v>
      </c>
      <c r="AO35" s="39">
        <f t="shared" si="42"/>
        <v>4000</v>
      </c>
      <c r="AP35" s="39">
        <f t="shared" si="42"/>
        <v>4000</v>
      </c>
      <c r="AQ35" s="39">
        <f t="shared" si="42"/>
        <v>4000</v>
      </c>
      <c r="AR35" s="39">
        <f t="shared" si="42"/>
        <v>4000</v>
      </c>
      <c r="AS35" s="39">
        <f t="shared" si="42"/>
        <v>4000</v>
      </c>
      <c r="AT35" s="39">
        <f t="shared" si="42"/>
        <v>5000</v>
      </c>
      <c r="AU35" s="39">
        <f t="shared" si="42"/>
        <v>5000</v>
      </c>
      <c r="AV35" s="39">
        <f t="shared" si="42"/>
        <v>5000</v>
      </c>
      <c r="AW35" s="39">
        <f t="shared" si="42"/>
        <v>5000</v>
      </c>
      <c r="AX35" s="39">
        <f t="shared" si="42"/>
        <v>5000</v>
      </c>
      <c r="AY35" s="39">
        <f t="shared" si="42"/>
        <v>5000</v>
      </c>
      <c r="AZ35" s="39">
        <f t="shared" si="42"/>
        <v>5000</v>
      </c>
      <c r="BA35" s="39">
        <f t="shared" si="42"/>
        <v>5000</v>
      </c>
      <c r="BB35" s="39">
        <f t="shared" si="42"/>
        <v>5000</v>
      </c>
      <c r="BC35" s="39">
        <f t="shared" si="42"/>
        <v>5000</v>
      </c>
      <c r="BD35" s="39">
        <f t="shared" si="42"/>
        <v>5000</v>
      </c>
      <c r="BE35" s="39">
        <f t="shared" si="42"/>
        <v>5000</v>
      </c>
      <c r="BF35" s="39">
        <f t="shared" ref="BF35:BQ35" si="43">BF178</f>
        <v>7000</v>
      </c>
      <c r="BG35" s="39">
        <f t="shared" si="43"/>
        <v>7000</v>
      </c>
      <c r="BH35" s="39">
        <f t="shared" si="43"/>
        <v>7000</v>
      </c>
      <c r="BI35" s="39">
        <f t="shared" si="43"/>
        <v>7000</v>
      </c>
      <c r="BJ35" s="39">
        <f t="shared" si="43"/>
        <v>7000</v>
      </c>
      <c r="BK35" s="39">
        <f t="shared" si="43"/>
        <v>7000</v>
      </c>
      <c r="BL35" s="39">
        <f t="shared" si="43"/>
        <v>7000</v>
      </c>
      <c r="BM35" s="39">
        <f t="shared" si="43"/>
        <v>7000</v>
      </c>
      <c r="BN35" s="39">
        <f t="shared" si="43"/>
        <v>7000</v>
      </c>
      <c r="BO35" s="39">
        <f t="shared" si="43"/>
        <v>7000</v>
      </c>
      <c r="BP35" s="39">
        <f t="shared" si="43"/>
        <v>7000</v>
      </c>
      <c r="BQ35" s="39">
        <f t="shared" si="43"/>
        <v>7000</v>
      </c>
    </row>
    <row r="36" spans="2:69">
      <c r="B36" s="29" t="s">
        <v>97</v>
      </c>
      <c r="J36" s="39">
        <f>J184</f>
        <v>0</v>
      </c>
      <c r="K36" s="39">
        <f t="shared" ref="K36:BE36" si="44">K184</f>
        <v>0</v>
      </c>
      <c r="L36" s="39">
        <f t="shared" si="44"/>
        <v>0</v>
      </c>
      <c r="M36" s="39">
        <f t="shared" si="44"/>
        <v>0</v>
      </c>
      <c r="N36" s="39">
        <f t="shared" si="44"/>
        <v>0</v>
      </c>
      <c r="O36" s="39">
        <f t="shared" si="44"/>
        <v>0</v>
      </c>
      <c r="P36" s="39">
        <f t="shared" si="44"/>
        <v>0</v>
      </c>
      <c r="Q36" s="39">
        <f t="shared" si="44"/>
        <v>0</v>
      </c>
      <c r="R36" s="39">
        <f t="shared" si="44"/>
        <v>0</v>
      </c>
      <c r="S36" s="39">
        <f t="shared" si="44"/>
        <v>500</v>
      </c>
      <c r="T36" s="39">
        <f t="shared" si="44"/>
        <v>500</v>
      </c>
      <c r="U36" s="39">
        <f t="shared" si="44"/>
        <v>500</v>
      </c>
      <c r="V36" s="39">
        <f t="shared" si="44"/>
        <v>500</v>
      </c>
      <c r="W36" s="39">
        <f t="shared" si="44"/>
        <v>500</v>
      </c>
      <c r="X36" s="39">
        <f t="shared" si="44"/>
        <v>500</v>
      </c>
      <c r="Y36" s="39">
        <f t="shared" si="44"/>
        <v>500</v>
      </c>
      <c r="Z36" s="39">
        <f t="shared" si="44"/>
        <v>500</v>
      </c>
      <c r="AA36" s="39">
        <f t="shared" si="44"/>
        <v>500</v>
      </c>
      <c r="AB36" s="39">
        <f t="shared" si="44"/>
        <v>500</v>
      </c>
      <c r="AC36" s="39">
        <f t="shared" si="44"/>
        <v>1000</v>
      </c>
      <c r="AD36" s="39">
        <f t="shared" si="44"/>
        <v>1000</v>
      </c>
      <c r="AE36" s="39">
        <f t="shared" si="44"/>
        <v>1000</v>
      </c>
      <c r="AF36" s="39">
        <f t="shared" si="44"/>
        <v>1000</v>
      </c>
      <c r="AG36" s="39">
        <f t="shared" si="44"/>
        <v>1000</v>
      </c>
      <c r="AH36" s="39">
        <f t="shared" si="44"/>
        <v>1000</v>
      </c>
      <c r="AI36" s="39">
        <f t="shared" si="44"/>
        <v>1000</v>
      </c>
      <c r="AJ36" s="39">
        <f t="shared" si="44"/>
        <v>1000</v>
      </c>
      <c r="AK36" s="39">
        <f t="shared" si="44"/>
        <v>1000</v>
      </c>
      <c r="AL36" s="39">
        <f t="shared" si="44"/>
        <v>1000</v>
      </c>
      <c r="AM36" s="39">
        <f t="shared" si="44"/>
        <v>1000</v>
      </c>
      <c r="AN36" s="39">
        <f t="shared" si="44"/>
        <v>1000</v>
      </c>
      <c r="AO36" s="39">
        <f t="shared" si="44"/>
        <v>1000</v>
      </c>
      <c r="AP36" s="39">
        <f t="shared" si="44"/>
        <v>1000</v>
      </c>
      <c r="AQ36" s="39">
        <f t="shared" si="44"/>
        <v>1000</v>
      </c>
      <c r="AR36" s="39">
        <f t="shared" si="44"/>
        <v>1000</v>
      </c>
      <c r="AS36" s="39">
        <f t="shared" si="44"/>
        <v>1000</v>
      </c>
      <c r="AT36" s="39">
        <f t="shared" si="44"/>
        <v>1500</v>
      </c>
      <c r="AU36" s="39">
        <f t="shared" si="44"/>
        <v>1500</v>
      </c>
      <c r="AV36" s="39">
        <f t="shared" si="44"/>
        <v>1500</v>
      </c>
      <c r="AW36" s="39">
        <f t="shared" si="44"/>
        <v>1500</v>
      </c>
      <c r="AX36" s="39">
        <f t="shared" si="44"/>
        <v>1500</v>
      </c>
      <c r="AY36" s="39">
        <f t="shared" si="44"/>
        <v>1500</v>
      </c>
      <c r="AZ36" s="39">
        <f t="shared" si="44"/>
        <v>1500</v>
      </c>
      <c r="BA36" s="39">
        <f t="shared" si="44"/>
        <v>1500</v>
      </c>
      <c r="BB36" s="39">
        <f t="shared" si="44"/>
        <v>1500</v>
      </c>
      <c r="BC36" s="39">
        <f t="shared" si="44"/>
        <v>1500</v>
      </c>
      <c r="BD36" s="39">
        <f t="shared" si="44"/>
        <v>1500</v>
      </c>
      <c r="BE36" s="39">
        <f t="shared" si="44"/>
        <v>1500</v>
      </c>
      <c r="BF36" s="39">
        <f t="shared" ref="BF36:BQ36" si="45">BF184</f>
        <v>2000</v>
      </c>
      <c r="BG36" s="39">
        <f t="shared" si="45"/>
        <v>2000</v>
      </c>
      <c r="BH36" s="39">
        <f t="shared" si="45"/>
        <v>2000</v>
      </c>
      <c r="BI36" s="39">
        <f t="shared" si="45"/>
        <v>2000</v>
      </c>
      <c r="BJ36" s="39">
        <f t="shared" si="45"/>
        <v>2000</v>
      </c>
      <c r="BK36" s="39">
        <f t="shared" si="45"/>
        <v>2000</v>
      </c>
      <c r="BL36" s="39">
        <f t="shared" si="45"/>
        <v>2000</v>
      </c>
      <c r="BM36" s="39">
        <f t="shared" si="45"/>
        <v>2000</v>
      </c>
      <c r="BN36" s="39">
        <f t="shared" si="45"/>
        <v>2000</v>
      </c>
      <c r="BO36" s="39">
        <f t="shared" si="45"/>
        <v>2000</v>
      </c>
      <c r="BP36" s="39">
        <f t="shared" si="45"/>
        <v>2000</v>
      </c>
      <c r="BQ36" s="39">
        <f t="shared" si="45"/>
        <v>2000</v>
      </c>
    </row>
    <row r="37" spans="2:69">
      <c r="B37" s="29" t="s">
        <v>341</v>
      </c>
      <c r="J37" s="39">
        <f>J190</f>
        <v>0</v>
      </c>
      <c r="K37" s="39">
        <f t="shared" ref="K37:BE37" si="46">K190</f>
        <v>0</v>
      </c>
      <c r="L37" s="39">
        <f t="shared" si="46"/>
        <v>15000</v>
      </c>
      <c r="M37" s="39">
        <f t="shared" si="46"/>
        <v>32550</v>
      </c>
      <c r="N37" s="39">
        <f t="shared" si="46"/>
        <v>30000</v>
      </c>
      <c r="O37" s="39">
        <f t="shared" si="46"/>
        <v>30000</v>
      </c>
      <c r="P37" s="39">
        <f t="shared" si="46"/>
        <v>30000</v>
      </c>
      <c r="Q37" s="39">
        <f t="shared" si="46"/>
        <v>40368</v>
      </c>
      <c r="R37" s="39">
        <f t="shared" si="46"/>
        <v>25000</v>
      </c>
      <c r="S37" s="39">
        <f t="shared" si="46"/>
        <v>30000</v>
      </c>
      <c r="T37" s="39">
        <f t="shared" si="46"/>
        <v>30000</v>
      </c>
      <c r="U37" s="39">
        <f t="shared" si="46"/>
        <v>30000</v>
      </c>
      <c r="V37" s="39">
        <f t="shared" si="46"/>
        <v>30000</v>
      </c>
      <c r="W37" s="39">
        <f t="shared" si="46"/>
        <v>30000</v>
      </c>
      <c r="X37" s="39">
        <f t="shared" si="46"/>
        <v>0</v>
      </c>
      <c r="Y37" s="39">
        <f t="shared" si="46"/>
        <v>0</v>
      </c>
      <c r="Z37" s="39">
        <f t="shared" si="46"/>
        <v>0</v>
      </c>
      <c r="AA37" s="39">
        <f t="shared" si="46"/>
        <v>0</v>
      </c>
      <c r="AB37" s="39">
        <f t="shared" si="46"/>
        <v>0</v>
      </c>
      <c r="AC37" s="39">
        <f t="shared" si="46"/>
        <v>0</v>
      </c>
      <c r="AD37" s="39">
        <f t="shared" si="46"/>
        <v>0</v>
      </c>
      <c r="AE37" s="39">
        <f t="shared" si="46"/>
        <v>0</v>
      </c>
      <c r="AF37" s="39">
        <f t="shared" si="46"/>
        <v>0</v>
      </c>
      <c r="AG37" s="39">
        <f t="shared" si="46"/>
        <v>0</v>
      </c>
      <c r="AH37" s="39">
        <f t="shared" si="46"/>
        <v>0</v>
      </c>
      <c r="AI37" s="39">
        <f t="shared" si="46"/>
        <v>0</v>
      </c>
      <c r="AJ37" s="39">
        <f t="shared" si="46"/>
        <v>0</v>
      </c>
      <c r="AK37" s="39">
        <f t="shared" si="46"/>
        <v>0</v>
      </c>
      <c r="AL37" s="39">
        <f t="shared" si="46"/>
        <v>0</v>
      </c>
      <c r="AM37" s="39">
        <f t="shared" si="46"/>
        <v>0</v>
      </c>
      <c r="AN37" s="39">
        <f t="shared" si="46"/>
        <v>0</v>
      </c>
      <c r="AO37" s="39">
        <f t="shared" si="46"/>
        <v>0</v>
      </c>
      <c r="AP37" s="39">
        <f t="shared" si="46"/>
        <v>0</v>
      </c>
      <c r="AQ37" s="39">
        <f t="shared" si="46"/>
        <v>0</v>
      </c>
      <c r="AR37" s="39">
        <f t="shared" si="46"/>
        <v>0</v>
      </c>
      <c r="AS37" s="39">
        <f t="shared" si="46"/>
        <v>0</v>
      </c>
      <c r="AT37" s="39">
        <f t="shared" si="46"/>
        <v>0</v>
      </c>
      <c r="AU37" s="39">
        <f t="shared" si="46"/>
        <v>0</v>
      </c>
      <c r="AV37" s="39">
        <f t="shared" si="46"/>
        <v>0</v>
      </c>
      <c r="AW37" s="39">
        <f t="shared" si="46"/>
        <v>0</v>
      </c>
      <c r="AX37" s="39">
        <f t="shared" si="46"/>
        <v>0</v>
      </c>
      <c r="AY37" s="39">
        <f t="shared" si="46"/>
        <v>0</v>
      </c>
      <c r="AZ37" s="39">
        <f t="shared" si="46"/>
        <v>0</v>
      </c>
      <c r="BA37" s="39">
        <f t="shared" si="46"/>
        <v>0</v>
      </c>
      <c r="BB37" s="39">
        <f t="shared" si="46"/>
        <v>0</v>
      </c>
      <c r="BC37" s="39">
        <f t="shared" si="46"/>
        <v>0</v>
      </c>
      <c r="BD37" s="39">
        <f t="shared" si="46"/>
        <v>0</v>
      </c>
      <c r="BE37" s="39">
        <f t="shared" si="46"/>
        <v>0</v>
      </c>
      <c r="BF37" s="39">
        <f t="shared" ref="BF37:BQ37" si="47">BF190</f>
        <v>0</v>
      </c>
      <c r="BG37" s="39">
        <f t="shared" si="47"/>
        <v>0</v>
      </c>
      <c r="BH37" s="39">
        <f t="shared" si="47"/>
        <v>0</v>
      </c>
      <c r="BI37" s="39">
        <f t="shared" si="47"/>
        <v>0</v>
      </c>
      <c r="BJ37" s="39">
        <f t="shared" si="47"/>
        <v>0</v>
      </c>
      <c r="BK37" s="39">
        <f t="shared" si="47"/>
        <v>0</v>
      </c>
      <c r="BL37" s="39">
        <f t="shared" si="47"/>
        <v>0</v>
      </c>
      <c r="BM37" s="39">
        <f t="shared" si="47"/>
        <v>0</v>
      </c>
      <c r="BN37" s="39">
        <f t="shared" si="47"/>
        <v>0</v>
      </c>
      <c r="BO37" s="39">
        <f t="shared" si="47"/>
        <v>0</v>
      </c>
      <c r="BP37" s="39">
        <f t="shared" si="47"/>
        <v>0</v>
      </c>
      <c r="BQ37" s="39">
        <f t="shared" si="47"/>
        <v>0</v>
      </c>
    </row>
    <row r="38" spans="2:69">
      <c r="B38" s="29" t="s">
        <v>314</v>
      </c>
      <c r="J38" s="39">
        <f>J196</f>
        <v>600</v>
      </c>
      <c r="K38" s="39">
        <f t="shared" ref="K38:BE38" si="48">K196</f>
        <v>0</v>
      </c>
      <c r="L38" s="39">
        <f t="shared" si="48"/>
        <v>600</v>
      </c>
      <c r="M38" s="39">
        <f t="shared" si="48"/>
        <v>600</v>
      </c>
      <c r="N38" s="39">
        <f t="shared" si="48"/>
        <v>1000</v>
      </c>
      <c r="O38" s="39">
        <f t="shared" si="48"/>
        <v>1000</v>
      </c>
      <c r="P38" s="39">
        <f t="shared" si="48"/>
        <v>1000</v>
      </c>
      <c r="Q38" s="39">
        <f t="shared" si="48"/>
        <v>1000</v>
      </c>
      <c r="R38" s="39">
        <f t="shared" si="48"/>
        <v>1000</v>
      </c>
      <c r="S38" s="39">
        <f t="shared" si="48"/>
        <v>1000</v>
      </c>
      <c r="T38" s="39">
        <f t="shared" si="48"/>
        <v>1000</v>
      </c>
      <c r="U38" s="39">
        <f t="shared" si="48"/>
        <v>1000</v>
      </c>
      <c r="V38" s="39">
        <f t="shared" si="48"/>
        <v>1000</v>
      </c>
      <c r="W38" s="39">
        <f t="shared" si="48"/>
        <v>1300</v>
      </c>
      <c r="X38" s="39">
        <f t="shared" si="48"/>
        <v>1300</v>
      </c>
      <c r="Y38" s="39">
        <f t="shared" si="48"/>
        <v>1300</v>
      </c>
      <c r="Z38" s="39">
        <f t="shared" si="48"/>
        <v>1300</v>
      </c>
      <c r="AA38" s="39">
        <f t="shared" si="48"/>
        <v>1300</v>
      </c>
      <c r="AB38" s="39">
        <f t="shared" si="48"/>
        <v>1300</v>
      </c>
      <c r="AC38" s="39">
        <f t="shared" si="48"/>
        <v>1300</v>
      </c>
      <c r="AD38" s="39">
        <f t="shared" si="48"/>
        <v>1300</v>
      </c>
      <c r="AE38" s="39">
        <f t="shared" si="48"/>
        <v>1300</v>
      </c>
      <c r="AF38" s="39">
        <f t="shared" si="48"/>
        <v>1300</v>
      </c>
      <c r="AG38" s="39">
        <f t="shared" si="48"/>
        <v>1300</v>
      </c>
      <c r="AH38" s="39">
        <f t="shared" si="48"/>
        <v>1300</v>
      </c>
      <c r="AI38" s="39">
        <f t="shared" si="48"/>
        <v>1300</v>
      </c>
      <c r="AJ38" s="39">
        <f t="shared" si="48"/>
        <v>1300</v>
      </c>
      <c r="AK38" s="39">
        <f t="shared" si="48"/>
        <v>1300</v>
      </c>
      <c r="AL38" s="39">
        <f t="shared" si="48"/>
        <v>1300</v>
      </c>
      <c r="AM38" s="39">
        <f t="shared" si="48"/>
        <v>1300</v>
      </c>
      <c r="AN38" s="39">
        <f t="shared" si="48"/>
        <v>1300</v>
      </c>
      <c r="AO38" s="39">
        <f t="shared" si="48"/>
        <v>1300</v>
      </c>
      <c r="AP38" s="39">
        <f t="shared" si="48"/>
        <v>1300</v>
      </c>
      <c r="AQ38" s="39">
        <f t="shared" si="48"/>
        <v>1300</v>
      </c>
      <c r="AR38" s="39">
        <f t="shared" si="48"/>
        <v>1300</v>
      </c>
      <c r="AS38" s="39">
        <f t="shared" si="48"/>
        <v>1300</v>
      </c>
      <c r="AT38" s="39">
        <f t="shared" si="48"/>
        <v>1800</v>
      </c>
      <c r="AU38" s="39">
        <f t="shared" si="48"/>
        <v>1800</v>
      </c>
      <c r="AV38" s="39">
        <f t="shared" si="48"/>
        <v>1800</v>
      </c>
      <c r="AW38" s="39">
        <f t="shared" si="48"/>
        <v>1800</v>
      </c>
      <c r="AX38" s="39">
        <f t="shared" si="48"/>
        <v>1800</v>
      </c>
      <c r="AY38" s="39">
        <f t="shared" si="48"/>
        <v>1800</v>
      </c>
      <c r="AZ38" s="39">
        <f t="shared" si="48"/>
        <v>1800</v>
      </c>
      <c r="BA38" s="39">
        <f t="shared" si="48"/>
        <v>1800</v>
      </c>
      <c r="BB38" s="39">
        <f t="shared" si="48"/>
        <v>1800</v>
      </c>
      <c r="BC38" s="39">
        <f t="shared" si="48"/>
        <v>1800</v>
      </c>
      <c r="BD38" s="39">
        <f t="shared" si="48"/>
        <v>1800</v>
      </c>
      <c r="BE38" s="39">
        <f t="shared" si="48"/>
        <v>1800</v>
      </c>
      <c r="BF38" s="39">
        <f t="shared" ref="BF38:BQ38" si="49">BF196</f>
        <v>1800</v>
      </c>
      <c r="BG38" s="39">
        <f t="shared" si="49"/>
        <v>1800</v>
      </c>
      <c r="BH38" s="39">
        <f t="shared" si="49"/>
        <v>1800</v>
      </c>
      <c r="BI38" s="39">
        <f t="shared" si="49"/>
        <v>1800</v>
      </c>
      <c r="BJ38" s="39">
        <f t="shared" si="49"/>
        <v>1800</v>
      </c>
      <c r="BK38" s="39">
        <f t="shared" si="49"/>
        <v>1800</v>
      </c>
      <c r="BL38" s="39">
        <f t="shared" si="49"/>
        <v>1800</v>
      </c>
      <c r="BM38" s="39">
        <f t="shared" si="49"/>
        <v>1800</v>
      </c>
      <c r="BN38" s="39">
        <f t="shared" si="49"/>
        <v>1800</v>
      </c>
      <c r="BO38" s="39">
        <f t="shared" si="49"/>
        <v>1800</v>
      </c>
      <c r="BP38" s="39">
        <f t="shared" si="49"/>
        <v>1800</v>
      </c>
      <c r="BQ38" s="39">
        <f t="shared" si="49"/>
        <v>1800</v>
      </c>
    </row>
    <row r="39" spans="2:69">
      <c r="B39" s="29" t="s">
        <v>315</v>
      </c>
      <c r="J39" s="39">
        <f>J202</f>
        <v>72</v>
      </c>
      <c r="K39" s="39">
        <f t="shared" ref="K39:BE39" si="50">K202</f>
        <v>0</v>
      </c>
      <c r="L39" s="39">
        <f t="shared" si="50"/>
        <v>0</v>
      </c>
      <c r="M39" s="39">
        <f t="shared" si="50"/>
        <v>0</v>
      </c>
      <c r="N39" s="39">
        <f t="shared" si="50"/>
        <v>195</v>
      </c>
      <c r="O39" s="39">
        <f t="shared" si="50"/>
        <v>195</v>
      </c>
      <c r="P39" s="39">
        <f t="shared" si="50"/>
        <v>0</v>
      </c>
      <c r="Q39" s="39">
        <f t="shared" si="50"/>
        <v>0</v>
      </c>
      <c r="R39" s="39">
        <f t="shared" si="50"/>
        <v>195</v>
      </c>
      <c r="S39" s="39">
        <f t="shared" si="50"/>
        <v>195</v>
      </c>
      <c r="T39" s="39">
        <f t="shared" si="50"/>
        <v>1000</v>
      </c>
      <c r="U39" s="39">
        <f t="shared" si="50"/>
        <v>1000</v>
      </c>
      <c r="V39" s="39">
        <f t="shared" si="50"/>
        <v>1000</v>
      </c>
      <c r="W39" s="39">
        <f t="shared" si="50"/>
        <v>1000</v>
      </c>
      <c r="X39" s="39">
        <f t="shared" si="50"/>
        <v>1000</v>
      </c>
      <c r="Y39" s="39">
        <f t="shared" si="50"/>
        <v>1000</v>
      </c>
      <c r="Z39" s="39">
        <f t="shared" si="50"/>
        <v>1000</v>
      </c>
      <c r="AA39" s="39">
        <f t="shared" si="50"/>
        <v>1000</v>
      </c>
      <c r="AB39" s="39">
        <f t="shared" si="50"/>
        <v>1000</v>
      </c>
      <c r="AC39" s="39">
        <f t="shared" si="50"/>
        <v>1000</v>
      </c>
      <c r="AD39" s="39">
        <f t="shared" si="50"/>
        <v>1000</v>
      </c>
      <c r="AE39" s="39">
        <f t="shared" si="50"/>
        <v>1000</v>
      </c>
      <c r="AF39" s="39">
        <f t="shared" si="50"/>
        <v>1000</v>
      </c>
      <c r="AG39" s="39">
        <f t="shared" si="50"/>
        <v>1000</v>
      </c>
      <c r="AH39" s="39">
        <f t="shared" si="50"/>
        <v>1000</v>
      </c>
      <c r="AI39" s="39">
        <f t="shared" si="50"/>
        <v>1000</v>
      </c>
      <c r="AJ39" s="39">
        <f t="shared" si="50"/>
        <v>1000</v>
      </c>
      <c r="AK39" s="39">
        <f t="shared" si="50"/>
        <v>1000</v>
      </c>
      <c r="AL39" s="39">
        <f t="shared" si="50"/>
        <v>1000</v>
      </c>
      <c r="AM39" s="39">
        <f t="shared" si="50"/>
        <v>1000</v>
      </c>
      <c r="AN39" s="39">
        <f t="shared" si="50"/>
        <v>1000</v>
      </c>
      <c r="AO39" s="39">
        <f t="shared" si="50"/>
        <v>1000</v>
      </c>
      <c r="AP39" s="39">
        <f t="shared" si="50"/>
        <v>1000</v>
      </c>
      <c r="AQ39" s="39">
        <f t="shared" si="50"/>
        <v>1000</v>
      </c>
      <c r="AR39" s="39">
        <f t="shared" si="50"/>
        <v>1000</v>
      </c>
      <c r="AS39" s="39">
        <f t="shared" si="50"/>
        <v>1000</v>
      </c>
      <c r="AT39" s="39">
        <f t="shared" si="50"/>
        <v>1500</v>
      </c>
      <c r="AU39" s="39">
        <f t="shared" si="50"/>
        <v>1500</v>
      </c>
      <c r="AV39" s="39">
        <f t="shared" si="50"/>
        <v>1500</v>
      </c>
      <c r="AW39" s="39">
        <f t="shared" si="50"/>
        <v>1500</v>
      </c>
      <c r="AX39" s="39">
        <f t="shared" si="50"/>
        <v>1500</v>
      </c>
      <c r="AY39" s="39">
        <f t="shared" si="50"/>
        <v>1500</v>
      </c>
      <c r="AZ39" s="39">
        <f t="shared" si="50"/>
        <v>1500</v>
      </c>
      <c r="BA39" s="39">
        <f t="shared" si="50"/>
        <v>1500</v>
      </c>
      <c r="BB39" s="39">
        <f t="shared" si="50"/>
        <v>1500</v>
      </c>
      <c r="BC39" s="39">
        <f t="shared" si="50"/>
        <v>1500</v>
      </c>
      <c r="BD39" s="39">
        <f t="shared" si="50"/>
        <v>1500</v>
      </c>
      <c r="BE39" s="39">
        <f t="shared" si="50"/>
        <v>1500</v>
      </c>
      <c r="BF39" s="39">
        <f t="shared" ref="BF39:BQ39" si="51">BF202</f>
        <v>2000</v>
      </c>
      <c r="BG39" s="39">
        <f t="shared" si="51"/>
        <v>2000</v>
      </c>
      <c r="BH39" s="39">
        <f t="shared" si="51"/>
        <v>2000</v>
      </c>
      <c r="BI39" s="39">
        <f t="shared" si="51"/>
        <v>2000</v>
      </c>
      <c r="BJ39" s="39">
        <f t="shared" si="51"/>
        <v>2000</v>
      </c>
      <c r="BK39" s="39">
        <f t="shared" si="51"/>
        <v>2000</v>
      </c>
      <c r="BL39" s="39">
        <f t="shared" si="51"/>
        <v>2000</v>
      </c>
      <c r="BM39" s="39">
        <f t="shared" si="51"/>
        <v>2000</v>
      </c>
      <c r="BN39" s="39">
        <f t="shared" si="51"/>
        <v>2000</v>
      </c>
      <c r="BO39" s="39">
        <f t="shared" si="51"/>
        <v>2000</v>
      </c>
      <c r="BP39" s="39">
        <f t="shared" si="51"/>
        <v>2000</v>
      </c>
      <c r="BQ39" s="39">
        <f t="shared" si="51"/>
        <v>2000</v>
      </c>
    </row>
    <row r="40" spans="2:69">
      <c r="B40" s="29" t="s">
        <v>98</v>
      </c>
      <c r="J40" s="39">
        <f>J208</f>
        <v>0</v>
      </c>
      <c r="K40" s="39">
        <f t="shared" ref="K40:BE40" si="52">K208</f>
        <v>0</v>
      </c>
      <c r="L40" s="39">
        <f t="shared" si="52"/>
        <v>0</v>
      </c>
      <c r="M40" s="39">
        <f t="shared" si="52"/>
        <v>0</v>
      </c>
      <c r="N40" s="39">
        <f t="shared" si="52"/>
        <v>0</v>
      </c>
      <c r="O40" s="39">
        <f t="shared" si="52"/>
        <v>0</v>
      </c>
      <c r="P40" s="39">
        <f t="shared" si="52"/>
        <v>0</v>
      </c>
      <c r="Q40" s="39">
        <f t="shared" si="52"/>
        <v>0</v>
      </c>
      <c r="R40" s="39">
        <f t="shared" si="52"/>
        <v>0</v>
      </c>
      <c r="S40" s="39">
        <f t="shared" si="52"/>
        <v>300</v>
      </c>
      <c r="T40" s="39">
        <f t="shared" si="52"/>
        <v>0</v>
      </c>
      <c r="U40" s="39">
        <f t="shared" si="52"/>
        <v>0</v>
      </c>
      <c r="V40" s="39">
        <f t="shared" si="52"/>
        <v>300</v>
      </c>
      <c r="W40" s="39">
        <f t="shared" si="52"/>
        <v>0</v>
      </c>
      <c r="X40" s="39">
        <f t="shared" si="52"/>
        <v>0</v>
      </c>
      <c r="Y40" s="39">
        <f t="shared" si="52"/>
        <v>300</v>
      </c>
      <c r="Z40" s="39">
        <f t="shared" si="52"/>
        <v>0</v>
      </c>
      <c r="AA40" s="39">
        <f t="shared" si="52"/>
        <v>0</v>
      </c>
      <c r="AB40" s="39">
        <f t="shared" si="52"/>
        <v>300</v>
      </c>
      <c r="AC40" s="39">
        <f t="shared" si="52"/>
        <v>0</v>
      </c>
      <c r="AD40" s="39">
        <f t="shared" si="52"/>
        <v>0</v>
      </c>
      <c r="AE40" s="39">
        <f t="shared" si="52"/>
        <v>300</v>
      </c>
      <c r="AF40" s="39">
        <f t="shared" si="52"/>
        <v>0</v>
      </c>
      <c r="AG40" s="39">
        <f t="shared" si="52"/>
        <v>0</v>
      </c>
      <c r="AH40" s="39">
        <f t="shared" si="52"/>
        <v>500</v>
      </c>
      <c r="AI40" s="39">
        <f t="shared" si="52"/>
        <v>0</v>
      </c>
      <c r="AJ40" s="39">
        <f t="shared" si="52"/>
        <v>0</v>
      </c>
      <c r="AK40" s="39">
        <f t="shared" si="52"/>
        <v>500</v>
      </c>
      <c r="AL40" s="39">
        <f t="shared" si="52"/>
        <v>0</v>
      </c>
      <c r="AM40" s="39">
        <f t="shared" si="52"/>
        <v>0</v>
      </c>
      <c r="AN40" s="39">
        <f t="shared" si="52"/>
        <v>500</v>
      </c>
      <c r="AO40" s="39">
        <f t="shared" si="52"/>
        <v>0</v>
      </c>
      <c r="AP40" s="39">
        <f t="shared" si="52"/>
        <v>0</v>
      </c>
      <c r="AQ40" s="39">
        <f t="shared" si="52"/>
        <v>500</v>
      </c>
      <c r="AR40" s="39">
        <f t="shared" si="52"/>
        <v>0</v>
      </c>
      <c r="AS40" s="39">
        <f t="shared" si="52"/>
        <v>0</v>
      </c>
      <c r="AT40" s="39">
        <f t="shared" si="52"/>
        <v>500</v>
      </c>
      <c r="AU40" s="39">
        <f t="shared" si="52"/>
        <v>0</v>
      </c>
      <c r="AV40" s="39">
        <f t="shared" si="52"/>
        <v>0</v>
      </c>
      <c r="AW40" s="39">
        <f t="shared" si="52"/>
        <v>500</v>
      </c>
      <c r="AX40" s="39">
        <f t="shared" si="52"/>
        <v>0</v>
      </c>
      <c r="AY40" s="39">
        <f t="shared" si="52"/>
        <v>0</v>
      </c>
      <c r="AZ40" s="39">
        <f t="shared" si="52"/>
        <v>500</v>
      </c>
      <c r="BA40" s="39">
        <f t="shared" si="52"/>
        <v>0</v>
      </c>
      <c r="BB40" s="39">
        <f t="shared" si="52"/>
        <v>0</v>
      </c>
      <c r="BC40" s="39">
        <f t="shared" si="52"/>
        <v>500</v>
      </c>
      <c r="BD40" s="39">
        <f t="shared" si="52"/>
        <v>0</v>
      </c>
      <c r="BE40" s="39">
        <f t="shared" si="52"/>
        <v>0</v>
      </c>
      <c r="BF40" s="39">
        <f t="shared" ref="BF40:BQ40" si="53">BF208</f>
        <v>0</v>
      </c>
      <c r="BG40" s="39">
        <f t="shared" si="53"/>
        <v>0</v>
      </c>
      <c r="BH40" s="39">
        <f t="shared" si="53"/>
        <v>0</v>
      </c>
      <c r="BI40" s="39">
        <f t="shared" si="53"/>
        <v>0</v>
      </c>
      <c r="BJ40" s="39">
        <f t="shared" si="53"/>
        <v>0</v>
      </c>
      <c r="BK40" s="39">
        <f t="shared" si="53"/>
        <v>0</v>
      </c>
      <c r="BL40" s="39">
        <f t="shared" si="53"/>
        <v>0</v>
      </c>
      <c r="BM40" s="39">
        <f t="shared" si="53"/>
        <v>0</v>
      </c>
      <c r="BN40" s="39">
        <f t="shared" si="53"/>
        <v>0</v>
      </c>
      <c r="BO40" s="39">
        <f t="shared" si="53"/>
        <v>0</v>
      </c>
      <c r="BP40" s="39">
        <f t="shared" si="53"/>
        <v>0</v>
      </c>
      <c r="BQ40" s="39">
        <f t="shared" si="53"/>
        <v>0</v>
      </c>
    </row>
    <row r="41" spans="2:69">
      <c r="B41" s="29" t="s">
        <v>99</v>
      </c>
      <c r="J41" s="39">
        <f>J214</f>
        <v>0</v>
      </c>
      <c r="K41" s="39">
        <f t="shared" ref="K41:BE41" si="54">K214</f>
        <v>305</v>
      </c>
      <c r="L41" s="39">
        <f t="shared" si="54"/>
        <v>0</v>
      </c>
      <c r="M41" s="39">
        <f t="shared" si="54"/>
        <v>0</v>
      </c>
      <c r="N41" s="39">
        <f t="shared" si="54"/>
        <v>0</v>
      </c>
      <c r="O41" s="39">
        <f t="shared" si="54"/>
        <v>0</v>
      </c>
      <c r="P41" s="39">
        <f t="shared" si="54"/>
        <v>0</v>
      </c>
      <c r="Q41" s="39">
        <f t="shared" si="54"/>
        <v>0</v>
      </c>
      <c r="R41" s="39">
        <f t="shared" si="54"/>
        <v>0</v>
      </c>
      <c r="S41" s="39">
        <f t="shared" si="54"/>
        <v>0</v>
      </c>
      <c r="T41" s="39">
        <f t="shared" si="54"/>
        <v>200</v>
      </c>
      <c r="U41" s="39">
        <f t="shared" si="54"/>
        <v>200</v>
      </c>
      <c r="V41" s="39">
        <f t="shared" si="54"/>
        <v>200</v>
      </c>
      <c r="W41" s="39">
        <f t="shared" si="54"/>
        <v>200</v>
      </c>
      <c r="X41" s="39">
        <f t="shared" si="54"/>
        <v>200</v>
      </c>
      <c r="Y41" s="39">
        <f t="shared" si="54"/>
        <v>200</v>
      </c>
      <c r="Z41" s="39">
        <f t="shared" si="54"/>
        <v>200</v>
      </c>
      <c r="AA41" s="39">
        <f t="shared" si="54"/>
        <v>200</v>
      </c>
      <c r="AB41" s="39">
        <f t="shared" si="54"/>
        <v>200</v>
      </c>
      <c r="AC41" s="39">
        <f t="shared" si="54"/>
        <v>200</v>
      </c>
      <c r="AD41" s="39">
        <f t="shared" si="54"/>
        <v>200</v>
      </c>
      <c r="AE41" s="39">
        <f t="shared" si="54"/>
        <v>200</v>
      </c>
      <c r="AF41" s="39">
        <f t="shared" si="54"/>
        <v>200</v>
      </c>
      <c r="AG41" s="39">
        <f t="shared" si="54"/>
        <v>200</v>
      </c>
      <c r="AH41" s="39">
        <f t="shared" si="54"/>
        <v>200</v>
      </c>
      <c r="AI41" s="39">
        <f t="shared" si="54"/>
        <v>200</v>
      </c>
      <c r="AJ41" s="39">
        <f t="shared" si="54"/>
        <v>200</v>
      </c>
      <c r="AK41" s="39">
        <f t="shared" si="54"/>
        <v>200</v>
      </c>
      <c r="AL41" s="39">
        <f t="shared" si="54"/>
        <v>200</v>
      </c>
      <c r="AM41" s="39">
        <f t="shared" si="54"/>
        <v>200</v>
      </c>
      <c r="AN41" s="39">
        <f t="shared" si="54"/>
        <v>200</v>
      </c>
      <c r="AO41" s="39">
        <f t="shared" si="54"/>
        <v>200</v>
      </c>
      <c r="AP41" s="39">
        <f t="shared" si="54"/>
        <v>200</v>
      </c>
      <c r="AQ41" s="39">
        <f t="shared" si="54"/>
        <v>200</v>
      </c>
      <c r="AR41" s="39">
        <f t="shared" si="54"/>
        <v>200</v>
      </c>
      <c r="AS41" s="39">
        <f t="shared" si="54"/>
        <v>200</v>
      </c>
      <c r="AT41" s="39">
        <f t="shared" si="54"/>
        <v>500</v>
      </c>
      <c r="AU41" s="39">
        <f t="shared" si="54"/>
        <v>500</v>
      </c>
      <c r="AV41" s="39">
        <f t="shared" si="54"/>
        <v>500</v>
      </c>
      <c r="AW41" s="39">
        <f t="shared" si="54"/>
        <v>500</v>
      </c>
      <c r="AX41" s="39">
        <f t="shared" si="54"/>
        <v>500</v>
      </c>
      <c r="AY41" s="39">
        <f t="shared" si="54"/>
        <v>500</v>
      </c>
      <c r="AZ41" s="39">
        <f t="shared" si="54"/>
        <v>500</v>
      </c>
      <c r="BA41" s="39">
        <f t="shared" si="54"/>
        <v>500</v>
      </c>
      <c r="BB41" s="39">
        <f t="shared" si="54"/>
        <v>500</v>
      </c>
      <c r="BC41" s="39">
        <f t="shared" si="54"/>
        <v>500</v>
      </c>
      <c r="BD41" s="39">
        <f t="shared" si="54"/>
        <v>500</v>
      </c>
      <c r="BE41" s="39">
        <f t="shared" si="54"/>
        <v>500</v>
      </c>
      <c r="BF41" s="39">
        <f t="shared" ref="BF41:BQ41" si="55">BF214</f>
        <v>1000</v>
      </c>
      <c r="BG41" s="39">
        <f t="shared" si="55"/>
        <v>1000</v>
      </c>
      <c r="BH41" s="39">
        <f t="shared" si="55"/>
        <v>1000</v>
      </c>
      <c r="BI41" s="39">
        <f t="shared" si="55"/>
        <v>1000</v>
      </c>
      <c r="BJ41" s="39">
        <f t="shared" si="55"/>
        <v>1000</v>
      </c>
      <c r="BK41" s="39">
        <f t="shared" si="55"/>
        <v>1000</v>
      </c>
      <c r="BL41" s="39">
        <f t="shared" si="55"/>
        <v>1000</v>
      </c>
      <c r="BM41" s="39">
        <f t="shared" si="55"/>
        <v>1000</v>
      </c>
      <c r="BN41" s="39">
        <f t="shared" si="55"/>
        <v>1000</v>
      </c>
      <c r="BO41" s="39">
        <f t="shared" si="55"/>
        <v>1000</v>
      </c>
      <c r="BP41" s="39">
        <f t="shared" si="55"/>
        <v>1000</v>
      </c>
      <c r="BQ41" s="39">
        <f t="shared" si="55"/>
        <v>1000</v>
      </c>
    </row>
    <row r="42" spans="2:69">
      <c r="B42" s="30" t="s">
        <v>100</v>
      </c>
      <c r="J42" s="39">
        <f>J220</f>
        <v>0</v>
      </c>
      <c r="K42" s="39">
        <f t="shared" ref="K42:BE42" si="56">K220</f>
        <v>0</v>
      </c>
      <c r="L42" s="39">
        <f t="shared" si="56"/>
        <v>0</v>
      </c>
      <c r="M42" s="39">
        <f t="shared" si="56"/>
        <v>0</v>
      </c>
      <c r="N42" s="39">
        <f t="shared" si="56"/>
        <v>0</v>
      </c>
      <c r="O42" s="39">
        <f t="shared" si="56"/>
        <v>0</v>
      </c>
      <c r="P42" s="39">
        <f t="shared" si="56"/>
        <v>0</v>
      </c>
      <c r="Q42" s="39">
        <f t="shared" si="56"/>
        <v>0</v>
      </c>
      <c r="R42" s="39">
        <f t="shared" si="56"/>
        <v>10700</v>
      </c>
      <c r="S42" s="39">
        <f t="shared" si="56"/>
        <v>26400</v>
      </c>
      <c r="T42" s="39">
        <f t="shared" si="56"/>
        <v>5833</v>
      </c>
      <c r="U42" s="39">
        <f t="shared" si="56"/>
        <v>5833</v>
      </c>
      <c r="V42" s="39">
        <f t="shared" si="56"/>
        <v>5833</v>
      </c>
      <c r="W42" s="39">
        <f t="shared" si="56"/>
        <v>5833</v>
      </c>
      <c r="X42" s="39">
        <f t="shared" si="56"/>
        <v>5833</v>
      </c>
      <c r="Y42" s="39">
        <f t="shared" si="56"/>
        <v>5833</v>
      </c>
      <c r="Z42" s="39">
        <f t="shared" si="56"/>
        <v>5833</v>
      </c>
      <c r="AA42" s="39">
        <f t="shared" si="56"/>
        <v>5833</v>
      </c>
      <c r="AB42" s="39">
        <f t="shared" si="56"/>
        <v>5833</v>
      </c>
      <c r="AC42" s="39">
        <f t="shared" si="56"/>
        <v>5833</v>
      </c>
      <c r="AD42" s="39">
        <f t="shared" si="56"/>
        <v>5833</v>
      </c>
      <c r="AE42" s="39">
        <f t="shared" si="56"/>
        <v>5833</v>
      </c>
      <c r="AF42" s="39">
        <f t="shared" si="56"/>
        <v>5833</v>
      </c>
      <c r="AG42" s="39">
        <f t="shared" si="56"/>
        <v>5833</v>
      </c>
      <c r="AH42" s="39">
        <f t="shared" si="56"/>
        <v>5833</v>
      </c>
      <c r="AI42" s="39">
        <f t="shared" si="56"/>
        <v>5833</v>
      </c>
      <c r="AJ42" s="39">
        <f t="shared" si="56"/>
        <v>5833</v>
      </c>
      <c r="AK42" s="39">
        <f t="shared" si="56"/>
        <v>5833</v>
      </c>
      <c r="AL42" s="39">
        <f t="shared" si="56"/>
        <v>5833</v>
      </c>
      <c r="AM42" s="39">
        <f t="shared" si="56"/>
        <v>5833</v>
      </c>
      <c r="AN42" s="39">
        <f t="shared" si="56"/>
        <v>5833</v>
      </c>
      <c r="AO42" s="39">
        <f t="shared" si="56"/>
        <v>5833</v>
      </c>
      <c r="AP42" s="39">
        <f t="shared" si="56"/>
        <v>5833</v>
      </c>
      <c r="AQ42" s="39">
        <f t="shared" si="56"/>
        <v>5833</v>
      </c>
      <c r="AR42" s="39">
        <f t="shared" si="56"/>
        <v>5833</v>
      </c>
      <c r="AS42" s="39">
        <f t="shared" si="56"/>
        <v>5833</v>
      </c>
      <c r="AT42" s="39">
        <f t="shared" si="56"/>
        <v>5833</v>
      </c>
      <c r="AU42" s="39">
        <f t="shared" si="56"/>
        <v>5833</v>
      </c>
      <c r="AV42" s="39">
        <f t="shared" si="56"/>
        <v>5833</v>
      </c>
      <c r="AW42" s="39">
        <f t="shared" si="56"/>
        <v>5833</v>
      </c>
      <c r="AX42" s="39">
        <f t="shared" si="56"/>
        <v>5833</v>
      </c>
      <c r="AY42" s="39">
        <f t="shared" si="56"/>
        <v>5833</v>
      </c>
      <c r="AZ42" s="39">
        <f t="shared" si="56"/>
        <v>5833</v>
      </c>
      <c r="BA42" s="39">
        <f t="shared" si="56"/>
        <v>5833</v>
      </c>
      <c r="BB42" s="39">
        <f t="shared" si="56"/>
        <v>5833</v>
      </c>
      <c r="BC42" s="39">
        <f t="shared" si="56"/>
        <v>5833</v>
      </c>
      <c r="BD42" s="39">
        <f t="shared" si="56"/>
        <v>5833</v>
      </c>
      <c r="BE42" s="39">
        <f t="shared" si="56"/>
        <v>5833</v>
      </c>
      <c r="BF42" s="39">
        <f t="shared" ref="BF42:BQ42" si="57">BF220</f>
        <v>7000</v>
      </c>
      <c r="BG42" s="39">
        <f t="shared" si="57"/>
        <v>7000</v>
      </c>
      <c r="BH42" s="39">
        <f t="shared" si="57"/>
        <v>7000</v>
      </c>
      <c r="BI42" s="39">
        <f t="shared" si="57"/>
        <v>7000</v>
      </c>
      <c r="BJ42" s="39">
        <f t="shared" si="57"/>
        <v>7000</v>
      </c>
      <c r="BK42" s="39">
        <f t="shared" si="57"/>
        <v>7000</v>
      </c>
      <c r="BL42" s="39">
        <f t="shared" si="57"/>
        <v>7000</v>
      </c>
      <c r="BM42" s="39">
        <f t="shared" si="57"/>
        <v>7000</v>
      </c>
      <c r="BN42" s="39">
        <f t="shared" si="57"/>
        <v>7000</v>
      </c>
      <c r="BO42" s="39">
        <f t="shared" si="57"/>
        <v>7000</v>
      </c>
      <c r="BP42" s="39">
        <f t="shared" si="57"/>
        <v>7000</v>
      </c>
      <c r="BQ42" s="39">
        <f t="shared" si="57"/>
        <v>7000</v>
      </c>
    </row>
    <row r="43" spans="2:69">
      <c r="B43" s="29" t="s">
        <v>101</v>
      </c>
      <c r="J43" s="39">
        <f>J226</f>
        <v>0</v>
      </c>
      <c r="K43" s="39">
        <f t="shared" ref="K43:BE43" si="58">K226</f>
        <v>0</v>
      </c>
      <c r="L43" s="39">
        <f t="shared" si="58"/>
        <v>0</v>
      </c>
      <c r="M43" s="39">
        <f t="shared" si="58"/>
        <v>0</v>
      </c>
      <c r="N43" s="39">
        <f t="shared" si="58"/>
        <v>0</v>
      </c>
      <c r="O43" s="39">
        <f t="shared" si="58"/>
        <v>0</v>
      </c>
      <c r="P43" s="39">
        <f t="shared" si="58"/>
        <v>0</v>
      </c>
      <c r="Q43" s="39">
        <f t="shared" si="58"/>
        <v>0</v>
      </c>
      <c r="R43" s="39">
        <f t="shared" si="58"/>
        <v>0</v>
      </c>
      <c r="S43" s="39">
        <f t="shared" si="58"/>
        <v>0</v>
      </c>
      <c r="T43" s="39">
        <f t="shared" si="58"/>
        <v>250</v>
      </c>
      <c r="U43" s="39">
        <f t="shared" si="58"/>
        <v>250</v>
      </c>
      <c r="V43" s="39">
        <f t="shared" si="58"/>
        <v>250</v>
      </c>
      <c r="W43" s="39">
        <f t="shared" si="58"/>
        <v>250</v>
      </c>
      <c r="X43" s="39">
        <f t="shared" si="58"/>
        <v>250</v>
      </c>
      <c r="Y43" s="39">
        <f t="shared" si="58"/>
        <v>250</v>
      </c>
      <c r="Z43" s="39">
        <f t="shared" si="58"/>
        <v>250</v>
      </c>
      <c r="AA43" s="39">
        <f t="shared" si="58"/>
        <v>250</v>
      </c>
      <c r="AB43" s="39">
        <f t="shared" si="58"/>
        <v>250</v>
      </c>
      <c r="AC43" s="39">
        <f t="shared" si="58"/>
        <v>250</v>
      </c>
      <c r="AD43" s="39">
        <f t="shared" si="58"/>
        <v>250</v>
      </c>
      <c r="AE43" s="39">
        <f t="shared" si="58"/>
        <v>250</v>
      </c>
      <c r="AF43" s="39">
        <f t="shared" si="58"/>
        <v>250</v>
      </c>
      <c r="AG43" s="39">
        <f t="shared" si="58"/>
        <v>250</v>
      </c>
      <c r="AH43" s="39">
        <f t="shared" si="58"/>
        <v>500</v>
      </c>
      <c r="AI43" s="39">
        <f t="shared" si="58"/>
        <v>500</v>
      </c>
      <c r="AJ43" s="39">
        <f t="shared" si="58"/>
        <v>500</v>
      </c>
      <c r="AK43" s="39">
        <f t="shared" si="58"/>
        <v>500</v>
      </c>
      <c r="AL43" s="39">
        <f t="shared" si="58"/>
        <v>500</v>
      </c>
      <c r="AM43" s="39">
        <f t="shared" si="58"/>
        <v>500</v>
      </c>
      <c r="AN43" s="39">
        <f t="shared" si="58"/>
        <v>500</v>
      </c>
      <c r="AO43" s="39">
        <f t="shared" si="58"/>
        <v>500</v>
      </c>
      <c r="AP43" s="39">
        <f t="shared" si="58"/>
        <v>500</v>
      </c>
      <c r="AQ43" s="39">
        <f t="shared" si="58"/>
        <v>500</v>
      </c>
      <c r="AR43" s="39">
        <f t="shared" si="58"/>
        <v>500</v>
      </c>
      <c r="AS43" s="39">
        <f t="shared" si="58"/>
        <v>500</v>
      </c>
      <c r="AT43" s="39">
        <f t="shared" si="58"/>
        <v>1000</v>
      </c>
      <c r="AU43" s="39">
        <f t="shared" si="58"/>
        <v>1000</v>
      </c>
      <c r="AV43" s="39">
        <f t="shared" si="58"/>
        <v>1000</v>
      </c>
      <c r="AW43" s="39">
        <f t="shared" si="58"/>
        <v>1000</v>
      </c>
      <c r="AX43" s="39">
        <f t="shared" si="58"/>
        <v>1000</v>
      </c>
      <c r="AY43" s="39">
        <f t="shared" si="58"/>
        <v>1000</v>
      </c>
      <c r="AZ43" s="39">
        <f t="shared" si="58"/>
        <v>1000</v>
      </c>
      <c r="BA43" s="39">
        <f t="shared" si="58"/>
        <v>1000</v>
      </c>
      <c r="BB43" s="39">
        <f t="shared" si="58"/>
        <v>1000</v>
      </c>
      <c r="BC43" s="39">
        <f t="shared" si="58"/>
        <v>1000</v>
      </c>
      <c r="BD43" s="39">
        <f t="shared" si="58"/>
        <v>1000</v>
      </c>
      <c r="BE43" s="39">
        <f t="shared" si="58"/>
        <v>1000</v>
      </c>
      <c r="BF43" s="39">
        <f t="shared" ref="BF43:BQ43" si="59">BF226</f>
        <v>1500</v>
      </c>
      <c r="BG43" s="39">
        <f t="shared" si="59"/>
        <v>1500</v>
      </c>
      <c r="BH43" s="39">
        <f t="shared" si="59"/>
        <v>1500</v>
      </c>
      <c r="BI43" s="39">
        <f t="shared" si="59"/>
        <v>1500</v>
      </c>
      <c r="BJ43" s="39">
        <f t="shared" si="59"/>
        <v>1500</v>
      </c>
      <c r="BK43" s="39">
        <f t="shared" si="59"/>
        <v>1500</v>
      </c>
      <c r="BL43" s="39">
        <f t="shared" si="59"/>
        <v>1500</v>
      </c>
      <c r="BM43" s="39">
        <f t="shared" si="59"/>
        <v>1500</v>
      </c>
      <c r="BN43" s="39">
        <f t="shared" si="59"/>
        <v>1500</v>
      </c>
      <c r="BO43" s="39">
        <f t="shared" si="59"/>
        <v>1500</v>
      </c>
      <c r="BP43" s="39">
        <f t="shared" si="59"/>
        <v>1500</v>
      </c>
      <c r="BQ43" s="39">
        <f t="shared" si="59"/>
        <v>1500</v>
      </c>
    </row>
    <row r="44" spans="2:69">
      <c r="B44" s="29" t="s">
        <v>102</v>
      </c>
      <c r="J44" s="39">
        <f>J232</f>
        <v>0</v>
      </c>
      <c r="K44" s="39">
        <f t="shared" ref="K44:BE44" si="60">K232</f>
        <v>0</v>
      </c>
      <c r="L44" s="39">
        <f t="shared" si="60"/>
        <v>0</v>
      </c>
      <c r="M44" s="39">
        <f t="shared" si="60"/>
        <v>0</v>
      </c>
      <c r="N44" s="39">
        <f t="shared" si="60"/>
        <v>0</v>
      </c>
      <c r="O44" s="39">
        <f t="shared" si="60"/>
        <v>0</v>
      </c>
      <c r="P44" s="39">
        <f t="shared" si="60"/>
        <v>0</v>
      </c>
      <c r="Q44" s="39">
        <f t="shared" si="60"/>
        <v>6171</v>
      </c>
      <c r="R44" s="39">
        <f t="shared" si="60"/>
        <v>0</v>
      </c>
      <c r="S44" s="39">
        <f t="shared" si="60"/>
        <v>0</v>
      </c>
      <c r="T44" s="39">
        <f t="shared" si="60"/>
        <v>2500</v>
      </c>
      <c r="U44" s="39">
        <f t="shared" si="60"/>
        <v>2500</v>
      </c>
      <c r="V44" s="39">
        <f t="shared" si="60"/>
        <v>2500</v>
      </c>
      <c r="W44" s="39">
        <f t="shared" si="60"/>
        <v>2500</v>
      </c>
      <c r="X44" s="39">
        <f t="shared" si="60"/>
        <v>2500</v>
      </c>
      <c r="Y44" s="39">
        <f t="shared" si="60"/>
        <v>2500</v>
      </c>
      <c r="Z44" s="39">
        <f t="shared" si="60"/>
        <v>2500</v>
      </c>
      <c r="AA44" s="39">
        <f t="shared" si="60"/>
        <v>2500</v>
      </c>
      <c r="AB44" s="39">
        <f t="shared" si="60"/>
        <v>2500</v>
      </c>
      <c r="AC44" s="39">
        <f t="shared" si="60"/>
        <v>2500</v>
      </c>
      <c r="AD44" s="39">
        <f t="shared" si="60"/>
        <v>2500</v>
      </c>
      <c r="AE44" s="39">
        <f t="shared" si="60"/>
        <v>2500</v>
      </c>
      <c r="AF44" s="39">
        <f t="shared" si="60"/>
        <v>2500</v>
      </c>
      <c r="AG44" s="39">
        <f t="shared" si="60"/>
        <v>2500</v>
      </c>
      <c r="AH44" s="39">
        <f t="shared" si="60"/>
        <v>2500</v>
      </c>
      <c r="AI44" s="39">
        <f t="shared" si="60"/>
        <v>2500</v>
      </c>
      <c r="AJ44" s="39">
        <f t="shared" si="60"/>
        <v>2500</v>
      </c>
      <c r="AK44" s="39">
        <f t="shared" si="60"/>
        <v>5000</v>
      </c>
      <c r="AL44" s="39">
        <f t="shared" si="60"/>
        <v>5000</v>
      </c>
      <c r="AM44" s="39">
        <f t="shared" si="60"/>
        <v>5000</v>
      </c>
      <c r="AN44" s="39">
        <f t="shared" si="60"/>
        <v>5000</v>
      </c>
      <c r="AO44" s="39">
        <f t="shared" si="60"/>
        <v>5000</v>
      </c>
      <c r="AP44" s="39">
        <f t="shared" si="60"/>
        <v>5000</v>
      </c>
      <c r="AQ44" s="39">
        <f t="shared" si="60"/>
        <v>5000</v>
      </c>
      <c r="AR44" s="39">
        <f t="shared" si="60"/>
        <v>5000</v>
      </c>
      <c r="AS44" s="39">
        <f t="shared" si="60"/>
        <v>5000</v>
      </c>
      <c r="AT44" s="39">
        <f t="shared" si="60"/>
        <v>5000</v>
      </c>
      <c r="AU44" s="39">
        <f t="shared" si="60"/>
        <v>5000</v>
      </c>
      <c r="AV44" s="39">
        <f t="shared" si="60"/>
        <v>5000</v>
      </c>
      <c r="AW44" s="39">
        <f t="shared" si="60"/>
        <v>5000</v>
      </c>
      <c r="AX44" s="39">
        <f t="shared" si="60"/>
        <v>5000</v>
      </c>
      <c r="AY44" s="39">
        <f t="shared" si="60"/>
        <v>5000</v>
      </c>
      <c r="AZ44" s="39">
        <f t="shared" si="60"/>
        <v>5000</v>
      </c>
      <c r="BA44" s="39">
        <f t="shared" si="60"/>
        <v>5000</v>
      </c>
      <c r="BB44" s="39">
        <f t="shared" si="60"/>
        <v>5000</v>
      </c>
      <c r="BC44" s="39">
        <f t="shared" si="60"/>
        <v>5000</v>
      </c>
      <c r="BD44" s="39">
        <f t="shared" si="60"/>
        <v>5000</v>
      </c>
      <c r="BE44" s="39">
        <f t="shared" si="60"/>
        <v>5000</v>
      </c>
      <c r="BF44" s="39">
        <f t="shared" ref="BF44:BQ44" si="61">BF232</f>
        <v>6000</v>
      </c>
      <c r="BG44" s="39">
        <f t="shared" si="61"/>
        <v>6000</v>
      </c>
      <c r="BH44" s="39">
        <f t="shared" si="61"/>
        <v>6000</v>
      </c>
      <c r="BI44" s="39">
        <f t="shared" si="61"/>
        <v>6000</v>
      </c>
      <c r="BJ44" s="39">
        <f t="shared" si="61"/>
        <v>6000</v>
      </c>
      <c r="BK44" s="39">
        <f t="shared" si="61"/>
        <v>6000</v>
      </c>
      <c r="BL44" s="39">
        <f t="shared" si="61"/>
        <v>6000</v>
      </c>
      <c r="BM44" s="39">
        <f t="shared" si="61"/>
        <v>6000</v>
      </c>
      <c r="BN44" s="39">
        <f t="shared" si="61"/>
        <v>6000</v>
      </c>
      <c r="BO44" s="39">
        <f t="shared" si="61"/>
        <v>6000</v>
      </c>
      <c r="BP44" s="39">
        <f t="shared" si="61"/>
        <v>6000</v>
      </c>
      <c r="BQ44" s="39">
        <f t="shared" si="61"/>
        <v>6000</v>
      </c>
    </row>
    <row r="45" spans="2:69">
      <c r="B45" s="29" t="s">
        <v>103</v>
      </c>
      <c r="J45" s="101">
        <f>J238</f>
        <v>5</v>
      </c>
      <c r="K45" s="101">
        <f t="shared" ref="K45:BE45" si="62">K238</f>
        <v>194</v>
      </c>
      <c r="L45" s="101">
        <f t="shared" si="62"/>
        <v>19</v>
      </c>
      <c r="M45" s="101">
        <f t="shared" si="62"/>
        <v>19</v>
      </c>
      <c r="N45" s="101">
        <f t="shared" si="62"/>
        <v>33</v>
      </c>
      <c r="O45" s="101">
        <f t="shared" si="62"/>
        <v>33</v>
      </c>
      <c r="P45" s="101">
        <f t="shared" si="62"/>
        <v>33</v>
      </c>
      <c r="Q45" s="101">
        <f t="shared" si="62"/>
        <v>35</v>
      </c>
      <c r="R45" s="101">
        <f t="shared" si="62"/>
        <v>83</v>
      </c>
      <c r="S45" s="101">
        <f t="shared" si="62"/>
        <v>83</v>
      </c>
      <c r="T45" s="101">
        <f t="shared" si="62"/>
        <v>1033</v>
      </c>
      <c r="U45" s="101">
        <f t="shared" si="62"/>
        <v>1033</v>
      </c>
      <c r="V45" s="101">
        <f t="shared" si="62"/>
        <v>1033</v>
      </c>
      <c r="W45" s="101">
        <f t="shared" si="62"/>
        <v>1033</v>
      </c>
      <c r="X45" s="101">
        <f t="shared" si="62"/>
        <v>1033</v>
      </c>
      <c r="Y45" s="101">
        <f t="shared" si="62"/>
        <v>1033</v>
      </c>
      <c r="Z45" s="101">
        <f t="shared" si="62"/>
        <v>1033</v>
      </c>
      <c r="AA45" s="101">
        <f t="shared" si="62"/>
        <v>1033</v>
      </c>
      <c r="AB45" s="101">
        <f t="shared" si="62"/>
        <v>1033</v>
      </c>
      <c r="AC45" s="101">
        <f t="shared" si="62"/>
        <v>1033</v>
      </c>
      <c r="AD45" s="101">
        <f t="shared" si="62"/>
        <v>1033</v>
      </c>
      <c r="AE45" s="101">
        <f t="shared" si="62"/>
        <v>1033</v>
      </c>
      <c r="AF45" s="101">
        <f t="shared" si="62"/>
        <v>1033</v>
      </c>
      <c r="AG45" s="101">
        <f t="shared" si="62"/>
        <v>1033</v>
      </c>
      <c r="AH45" s="101">
        <f t="shared" si="62"/>
        <v>1033</v>
      </c>
      <c r="AI45" s="101">
        <f t="shared" si="62"/>
        <v>1033</v>
      </c>
      <c r="AJ45" s="101">
        <f t="shared" si="62"/>
        <v>1033</v>
      </c>
      <c r="AK45" s="101">
        <f t="shared" si="62"/>
        <v>1033</v>
      </c>
      <c r="AL45" s="101">
        <f t="shared" si="62"/>
        <v>1033</v>
      </c>
      <c r="AM45" s="101">
        <f t="shared" si="62"/>
        <v>1033</v>
      </c>
      <c r="AN45" s="101">
        <f t="shared" si="62"/>
        <v>1033</v>
      </c>
      <c r="AO45" s="101">
        <f t="shared" si="62"/>
        <v>1033</v>
      </c>
      <c r="AP45" s="101">
        <f t="shared" si="62"/>
        <v>1033</v>
      </c>
      <c r="AQ45" s="101">
        <f t="shared" si="62"/>
        <v>1033</v>
      </c>
      <c r="AR45" s="101">
        <f t="shared" si="62"/>
        <v>1033</v>
      </c>
      <c r="AS45" s="101">
        <f t="shared" si="62"/>
        <v>1033</v>
      </c>
      <c r="AT45" s="101">
        <f t="shared" si="62"/>
        <v>1033</v>
      </c>
      <c r="AU45" s="101">
        <f t="shared" si="62"/>
        <v>1033</v>
      </c>
      <c r="AV45" s="101">
        <f t="shared" si="62"/>
        <v>1033</v>
      </c>
      <c r="AW45" s="101">
        <f t="shared" si="62"/>
        <v>1033</v>
      </c>
      <c r="AX45" s="101">
        <f t="shared" si="62"/>
        <v>1033</v>
      </c>
      <c r="AY45" s="101">
        <f t="shared" si="62"/>
        <v>1033</v>
      </c>
      <c r="AZ45" s="101">
        <f t="shared" si="62"/>
        <v>1033</v>
      </c>
      <c r="BA45" s="101">
        <f t="shared" si="62"/>
        <v>1033</v>
      </c>
      <c r="BB45" s="101">
        <f t="shared" si="62"/>
        <v>1033</v>
      </c>
      <c r="BC45" s="101">
        <f t="shared" si="62"/>
        <v>1033</v>
      </c>
      <c r="BD45" s="101">
        <f t="shared" si="62"/>
        <v>1033</v>
      </c>
      <c r="BE45" s="101">
        <f t="shared" si="62"/>
        <v>1033</v>
      </c>
      <c r="BF45" s="101">
        <f t="shared" ref="BF45:BQ45" si="63">BF238</f>
        <v>1033</v>
      </c>
      <c r="BG45" s="101">
        <f t="shared" si="63"/>
        <v>1033</v>
      </c>
      <c r="BH45" s="101">
        <f t="shared" si="63"/>
        <v>1033</v>
      </c>
      <c r="BI45" s="101">
        <f t="shared" si="63"/>
        <v>1033</v>
      </c>
      <c r="BJ45" s="101">
        <f t="shared" si="63"/>
        <v>1033</v>
      </c>
      <c r="BK45" s="101">
        <f t="shared" si="63"/>
        <v>1033</v>
      </c>
      <c r="BL45" s="101">
        <f t="shared" si="63"/>
        <v>1033</v>
      </c>
      <c r="BM45" s="101">
        <f t="shared" si="63"/>
        <v>1033</v>
      </c>
      <c r="BN45" s="101">
        <f t="shared" si="63"/>
        <v>1033</v>
      </c>
      <c r="BO45" s="101">
        <f t="shared" si="63"/>
        <v>1033</v>
      </c>
      <c r="BP45" s="101">
        <f t="shared" si="63"/>
        <v>1033</v>
      </c>
      <c r="BQ45" s="101">
        <f t="shared" si="63"/>
        <v>1033</v>
      </c>
    </row>
    <row r="46" spans="2:69" s="90" customFormat="1">
      <c r="B46" s="86" t="s">
        <v>88</v>
      </c>
      <c r="J46" s="108">
        <f t="shared" ref="J46:BE46" si="64">SUM(J29:J45)</f>
        <v>3252</v>
      </c>
      <c r="K46" s="108">
        <f t="shared" si="64"/>
        <v>2398</v>
      </c>
      <c r="L46" s="108">
        <f t="shared" si="64"/>
        <v>16019</v>
      </c>
      <c r="M46" s="108">
        <f t="shared" si="64"/>
        <v>35404</v>
      </c>
      <c r="N46" s="108">
        <f t="shared" si="64"/>
        <v>33427</v>
      </c>
      <c r="O46" s="108">
        <f t="shared" si="64"/>
        <v>31398</v>
      </c>
      <c r="P46" s="108">
        <f t="shared" si="64"/>
        <v>31033</v>
      </c>
      <c r="Q46" s="108">
        <f t="shared" si="64"/>
        <v>66424</v>
      </c>
      <c r="R46" s="108">
        <f t="shared" si="64"/>
        <v>39148</v>
      </c>
      <c r="S46" s="108">
        <f t="shared" si="64"/>
        <v>60648</v>
      </c>
      <c r="T46" s="108">
        <f t="shared" si="64"/>
        <v>47461</v>
      </c>
      <c r="U46" s="108">
        <f t="shared" si="64"/>
        <v>47547.25</v>
      </c>
      <c r="V46" s="108">
        <f t="shared" si="64"/>
        <v>47847.25</v>
      </c>
      <c r="W46" s="108">
        <f t="shared" si="64"/>
        <v>53847.25</v>
      </c>
      <c r="X46" s="108">
        <f t="shared" si="64"/>
        <v>17933.5</v>
      </c>
      <c r="Y46" s="108">
        <f t="shared" si="64"/>
        <v>18233.5</v>
      </c>
      <c r="Z46" s="108">
        <f t="shared" si="64"/>
        <v>18019.75</v>
      </c>
      <c r="AA46" s="108">
        <f t="shared" si="64"/>
        <v>18019.75</v>
      </c>
      <c r="AB46" s="108">
        <f t="shared" si="64"/>
        <v>18319.75</v>
      </c>
      <c r="AC46" s="108">
        <f t="shared" si="64"/>
        <v>19006</v>
      </c>
      <c r="AD46" s="108">
        <f t="shared" si="64"/>
        <v>19006</v>
      </c>
      <c r="AE46" s="108">
        <f t="shared" si="64"/>
        <v>19892.25</v>
      </c>
      <c r="AF46" s="108">
        <f t="shared" si="64"/>
        <v>21592.25</v>
      </c>
      <c r="AG46" s="108">
        <f t="shared" si="64"/>
        <v>21592.25</v>
      </c>
      <c r="AH46" s="108">
        <f t="shared" si="64"/>
        <v>22428.5</v>
      </c>
      <c r="AI46" s="108">
        <f t="shared" si="64"/>
        <v>21928.5</v>
      </c>
      <c r="AJ46" s="108">
        <f t="shared" si="64"/>
        <v>22014.75</v>
      </c>
      <c r="AK46" s="108">
        <f t="shared" si="64"/>
        <v>25014.75</v>
      </c>
      <c r="AL46" s="108">
        <f t="shared" si="64"/>
        <v>24601</v>
      </c>
      <c r="AM46" s="108">
        <f t="shared" si="64"/>
        <v>24601</v>
      </c>
      <c r="AN46" s="108">
        <f t="shared" si="64"/>
        <v>25187.25</v>
      </c>
      <c r="AO46" s="108">
        <f t="shared" si="64"/>
        <v>24687.25</v>
      </c>
      <c r="AP46" s="108">
        <f t="shared" si="64"/>
        <v>24773.5</v>
      </c>
      <c r="AQ46" s="108">
        <f t="shared" si="64"/>
        <v>25273.5</v>
      </c>
      <c r="AR46" s="108">
        <f t="shared" si="64"/>
        <v>24859.75</v>
      </c>
      <c r="AS46" s="108">
        <f t="shared" si="64"/>
        <v>24859.75</v>
      </c>
      <c r="AT46" s="108">
        <f t="shared" si="64"/>
        <v>28746</v>
      </c>
      <c r="AU46" s="108">
        <f t="shared" si="64"/>
        <v>28246</v>
      </c>
      <c r="AV46" s="108">
        <f t="shared" si="64"/>
        <v>28332.25</v>
      </c>
      <c r="AW46" s="108">
        <f t="shared" si="64"/>
        <v>30857.25</v>
      </c>
      <c r="AX46" s="108">
        <f t="shared" si="64"/>
        <v>30443.5</v>
      </c>
      <c r="AY46" s="108">
        <f t="shared" si="64"/>
        <v>30443.5</v>
      </c>
      <c r="AZ46" s="108">
        <f t="shared" si="64"/>
        <v>31029.75</v>
      </c>
      <c r="BA46" s="108">
        <f t="shared" si="64"/>
        <v>30616</v>
      </c>
      <c r="BB46" s="108">
        <f t="shared" si="64"/>
        <v>30616</v>
      </c>
      <c r="BC46" s="108">
        <f t="shared" si="64"/>
        <v>31202.25</v>
      </c>
      <c r="BD46" s="108">
        <f t="shared" si="64"/>
        <v>30702.25</v>
      </c>
      <c r="BE46" s="108">
        <f t="shared" si="64"/>
        <v>30788.5</v>
      </c>
      <c r="BF46" s="108">
        <f t="shared" ref="BF46:BQ46" si="65">SUM(BF29:BF45)</f>
        <v>37705.5</v>
      </c>
      <c r="BG46" s="108">
        <f t="shared" si="65"/>
        <v>37791.75</v>
      </c>
      <c r="BH46" s="108">
        <f t="shared" si="65"/>
        <v>37878</v>
      </c>
      <c r="BI46" s="108">
        <f t="shared" si="65"/>
        <v>37878</v>
      </c>
      <c r="BJ46" s="108">
        <f t="shared" si="65"/>
        <v>37964.25</v>
      </c>
      <c r="BK46" s="108">
        <f t="shared" si="65"/>
        <v>38050.5</v>
      </c>
      <c r="BL46" s="108">
        <f t="shared" si="65"/>
        <v>38050.5</v>
      </c>
      <c r="BM46" s="108">
        <f t="shared" si="65"/>
        <v>38136.75</v>
      </c>
      <c r="BN46" s="108">
        <f t="shared" si="65"/>
        <v>38223</v>
      </c>
      <c r="BO46" s="108">
        <f t="shared" si="65"/>
        <v>38223</v>
      </c>
      <c r="BP46" s="108">
        <f t="shared" si="65"/>
        <v>38309.25</v>
      </c>
      <c r="BQ46" s="108">
        <f t="shared" si="65"/>
        <v>38309.25</v>
      </c>
    </row>
    <row r="47" spans="2:6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c r="BM47" s="39"/>
      <c r="BN47" s="39"/>
      <c r="BO47" s="39"/>
      <c r="BP47" s="39"/>
      <c r="BQ47" s="39"/>
    </row>
    <row r="48" spans="2:69">
      <c r="J48" s="39"/>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39"/>
      <c r="AY48" s="39"/>
      <c r="AZ48" s="39"/>
      <c r="BA48" s="39"/>
      <c r="BB48" s="39"/>
      <c r="BC48" s="39"/>
      <c r="BD48" s="39"/>
      <c r="BE48" s="39"/>
      <c r="BF48" s="39"/>
      <c r="BG48" s="39"/>
      <c r="BH48" s="39"/>
      <c r="BI48" s="39"/>
      <c r="BJ48" s="39"/>
      <c r="BK48" s="39"/>
      <c r="BL48" s="39"/>
      <c r="BM48" s="39"/>
      <c r="BN48" s="39"/>
      <c r="BO48" s="39"/>
      <c r="BP48" s="39"/>
      <c r="BQ48" s="39"/>
    </row>
    <row r="49" spans="2:6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39"/>
      <c r="AY49" s="39"/>
      <c r="AZ49" s="39"/>
      <c r="BA49" s="39"/>
      <c r="BB49" s="39"/>
      <c r="BC49" s="39"/>
      <c r="BD49" s="39"/>
      <c r="BE49" s="39"/>
      <c r="BF49" s="39"/>
      <c r="BG49" s="39"/>
      <c r="BH49" s="39"/>
      <c r="BI49" s="39"/>
      <c r="BJ49" s="39"/>
      <c r="BK49" s="39"/>
      <c r="BL49" s="39"/>
      <c r="BM49" s="39"/>
      <c r="BN49" s="39"/>
      <c r="BO49" s="39"/>
      <c r="BP49" s="39"/>
      <c r="BQ49" s="39"/>
    </row>
    <row r="50" spans="2:69">
      <c r="B50" s="3" t="s">
        <v>104</v>
      </c>
      <c r="J50" s="39"/>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39"/>
      <c r="AY50" s="39"/>
      <c r="AZ50" s="39"/>
      <c r="BA50" s="39"/>
      <c r="BB50" s="39"/>
      <c r="BC50" s="39"/>
      <c r="BD50" s="39"/>
      <c r="BE50" s="39"/>
      <c r="BF50" s="39"/>
      <c r="BG50" s="39"/>
      <c r="BH50" s="39"/>
      <c r="BI50" s="39"/>
      <c r="BJ50" s="39"/>
      <c r="BK50" s="39"/>
      <c r="BL50" s="39"/>
      <c r="BM50" s="39"/>
      <c r="BN50" s="39"/>
      <c r="BO50" s="39"/>
      <c r="BP50" s="39"/>
      <c r="BQ50" s="39"/>
    </row>
    <row r="51" spans="2:6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row>
    <row r="52" spans="2:69">
      <c r="B52" s="4" t="s">
        <v>290</v>
      </c>
      <c r="J52" s="39">
        <v>18000</v>
      </c>
      <c r="K52" s="39">
        <v>0</v>
      </c>
      <c r="L52" s="39">
        <v>18000</v>
      </c>
      <c r="M52" s="39">
        <v>18000</v>
      </c>
      <c r="N52" s="39">
        <v>18000</v>
      </c>
      <c r="O52" s="39">
        <v>18000</v>
      </c>
      <c r="P52" s="39">
        <f>36000+ 4692</f>
        <v>40692</v>
      </c>
      <c r="Q52" s="39">
        <v>0</v>
      </c>
      <c r="R52" s="39">
        <f>Inputs!R32*Inputs!R89</f>
        <v>0</v>
      </c>
      <c r="S52" s="39">
        <f>Inputs!S32*Inputs!S89</f>
        <v>0</v>
      </c>
      <c r="T52" s="39">
        <f>Inputs!T32*Inputs!T89</f>
        <v>0</v>
      </c>
      <c r="U52" s="39">
        <f>Inputs!U32*Inputs!U89</f>
        <v>0</v>
      </c>
      <c r="V52" s="39">
        <f>Inputs!V32*Inputs!V89</f>
        <v>0</v>
      </c>
      <c r="W52" s="39">
        <f>Inputs!W32*Inputs!W89</f>
        <v>18690</v>
      </c>
      <c r="X52" s="39">
        <f>Inputs!X32*Inputs!X89</f>
        <v>18690</v>
      </c>
      <c r="Y52" s="39">
        <f>Inputs!Y32*Inputs!Y89</f>
        <v>18690</v>
      </c>
      <c r="Z52" s="39">
        <f>Inputs!Z32*Inputs!Z89</f>
        <v>18690</v>
      </c>
      <c r="AA52" s="39">
        <f>Inputs!AA32*Inputs!AA89</f>
        <v>18690</v>
      </c>
      <c r="AB52" s="39">
        <f>Inputs!AB32*Inputs!AB89</f>
        <v>18690</v>
      </c>
      <c r="AC52" s="39">
        <f>Inputs!AC32*Inputs!AC89</f>
        <v>18690</v>
      </c>
      <c r="AD52" s="39">
        <f>Inputs!AD32*Inputs!AD89</f>
        <v>18690</v>
      </c>
      <c r="AE52" s="39">
        <f>Inputs!AE32*Inputs!AE89</f>
        <v>18690</v>
      </c>
      <c r="AF52" s="39">
        <f>Inputs!AF32*Inputs!AF89</f>
        <v>18690</v>
      </c>
      <c r="AG52" s="39">
        <f>Inputs!AG32*Inputs!AG89</f>
        <v>18690</v>
      </c>
      <c r="AH52" s="39">
        <f>Inputs!AH32*Inputs!AH89</f>
        <v>22428</v>
      </c>
      <c r="AI52" s="39">
        <f>Inputs!AI32*Inputs!AI89</f>
        <v>22428</v>
      </c>
      <c r="AJ52" s="39">
        <f>Inputs!AJ32*Inputs!AJ89</f>
        <v>22428</v>
      </c>
      <c r="AK52" s="39">
        <f>Inputs!AK32*Inputs!AK89</f>
        <v>22428</v>
      </c>
      <c r="AL52" s="39">
        <f>Inputs!AL32*Inputs!AL89</f>
        <v>22428</v>
      </c>
      <c r="AM52" s="39">
        <f>Inputs!AM32*Inputs!AM89</f>
        <v>22428</v>
      </c>
      <c r="AN52" s="39">
        <f>Inputs!AN32*Inputs!AN89</f>
        <v>22428</v>
      </c>
      <c r="AO52" s="39">
        <f>Inputs!AO32*Inputs!AO89</f>
        <v>22428</v>
      </c>
      <c r="AP52" s="39">
        <f>Inputs!AP32*Inputs!AP89</f>
        <v>22428</v>
      </c>
      <c r="AQ52" s="39">
        <f>Inputs!AQ32*Inputs!AQ89</f>
        <v>22428</v>
      </c>
      <c r="AR52" s="39">
        <f>Inputs!AR32*Inputs!AR89</f>
        <v>22428</v>
      </c>
      <c r="AS52" s="39">
        <f>Inputs!AS32*Inputs!AS89</f>
        <v>22428</v>
      </c>
      <c r="AT52" s="39">
        <f>Inputs!AT32*Inputs!AT89</f>
        <v>26789</v>
      </c>
      <c r="AU52" s="39">
        <f>Inputs!AU32*Inputs!AU89</f>
        <v>26789</v>
      </c>
      <c r="AV52" s="39">
        <f>Inputs!AV32*Inputs!AV89</f>
        <v>26789</v>
      </c>
      <c r="AW52" s="39">
        <f>Inputs!AW32*Inputs!AW89</f>
        <v>26789</v>
      </c>
      <c r="AX52" s="39">
        <f>Inputs!AX32*Inputs!AX89</f>
        <v>26789</v>
      </c>
      <c r="AY52" s="39">
        <f>Inputs!AY32*Inputs!AY89</f>
        <v>26789</v>
      </c>
      <c r="AZ52" s="39">
        <f>Inputs!AZ32*Inputs!AZ89</f>
        <v>26789</v>
      </c>
      <c r="BA52" s="39">
        <f>Inputs!BA32*Inputs!BA89</f>
        <v>26789</v>
      </c>
      <c r="BB52" s="39">
        <f>Inputs!BB32*Inputs!BB89</f>
        <v>26789</v>
      </c>
      <c r="BC52" s="39">
        <f>Inputs!BC32*Inputs!BC89</f>
        <v>26789</v>
      </c>
      <c r="BD52" s="39">
        <f>Inputs!BD32*Inputs!BD89</f>
        <v>26789</v>
      </c>
      <c r="BE52" s="39">
        <f>Inputs!BE32*Inputs!BE89</f>
        <v>26789</v>
      </c>
      <c r="BF52" s="39">
        <f>Inputs!BF32*Inputs!BF89</f>
        <v>32396</v>
      </c>
      <c r="BG52" s="39">
        <f>Inputs!BG32*Inputs!BG89</f>
        <v>32396</v>
      </c>
      <c r="BH52" s="39">
        <f>Inputs!BH32*Inputs!BH89</f>
        <v>32396</v>
      </c>
      <c r="BI52" s="39">
        <f>Inputs!BI32*Inputs!BI89</f>
        <v>32396</v>
      </c>
      <c r="BJ52" s="39">
        <f>Inputs!BJ32*Inputs!BJ89</f>
        <v>32396</v>
      </c>
      <c r="BK52" s="39">
        <f>Inputs!BK32*Inputs!BK89</f>
        <v>32396</v>
      </c>
      <c r="BL52" s="39">
        <f>Inputs!BL32*Inputs!BL89</f>
        <v>32396</v>
      </c>
      <c r="BM52" s="39">
        <f>Inputs!BM32*Inputs!BM89</f>
        <v>32396</v>
      </c>
      <c r="BN52" s="39">
        <f>Inputs!BN32*Inputs!BN89</f>
        <v>32396</v>
      </c>
      <c r="BO52" s="39">
        <f>Inputs!BO32*Inputs!BO89</f>
        <v>32396</v>
      </c>
      <c r="BP52" s="39">
        <f>Inputs!BP32*Inputs!BP89</f>
        <v>32396</v>
      </c>
      <c r="BQ52" s="39">
        <f>Inputs!BQ32*Inputs!BQ89</f>
        <v>32396</v>
      </c>
    </row>
    <row r="53" spans="2:69">
      <c r="B53" s="9"/>
      <c r="C53" s="9"/>
      <c r="D53" s="9"/>
      <c r="E53" s="9"/>
      <c r="F53" s="9"/>
      <c r="G53" s="9"/>
      <c r="H53" s="9"/>
      <c r="I53" s="9"/>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42"/>
      <c r="BE53" s="42"/>
      <c r="BF53" s="42"/>
      <c r="BG53" s="42"/>
      <c r="BH53" s="42"/>
      <c r="BI53" s="42"/>
      <c r="BJ53" s="42"/>
      <c r="BK53" s="42"/>
      <c r="BL53" s="42"/>
      <c r="BM53" s="42"/>
      <c r="BN53" s="42"/>
      <c r="BO53" s="42"/>
      <c r="BP53" s="42"/>
      <c r="BQ53" s="42"/>
    </row>
    <row r="54" spans="2:69">
      <c r="B54" s="4" t="s">
        <v>6</v>
      </c>
      <c r="J54" s="39">
        <f t="shared" ref="J54:BE54" si="66">SUM(J52:J53)</f>
        <v>18000</v>
      </c>
      <c r="K54" s="39">
        <f t="shared" si="66"/>
        <v>0</v>
      </c>
      <c r="L54" s="39">
        <f t="shared" si="66"/>
        <v>18000</v>
      </c>
      <c r="M54" s="39">
        <f t="shared" si="66"/>
        <v>18000</v>
      </c>
      <c r="N54" s="39">
        <f t="shared" si="66"/>
        <v>18000</v>
      </c>
      <c r="O54" s="39">
        <f t="shared" si="66"/>
        <v>18000</v>
      </c>
      <c r="P54" s="39">
        <f t="shared" si="66"/>
        <v>40692</v>
      </c>
      <c r="Q54" s="39">
        <f t="shared" si="66"/>
        <v>0</v>
      </c>
      <c r="R54" s="39">
        <f t="shared" si="66"/>
        <v>0</v>
      </c>
      <c r="S54" s="39">
        <f t="shared" si="66"/>
        <v>0</v>
      </c>
      <c r="T54" s="39">
        <f t="shared" si="66"/>
        <v>0</v>
      </c>
      <c r="U54" s="39">
        <f t="shared" si="66"/>
        <v>0</v>
      </c>
      <c r="V54" s="39">
        <f t="shared" si="66"/>
        <v>0</v>
      </c>
      <c r="W54" s="39">
        <f t="shared" si="66"/>
        <v>18690</v>
      </c>
      <c r="X54" s="39">
        <f t="shared" si="66"/>
        <v>18690</v>
      </c>
      <c r="Y54" s="39">
        <f t="shared" si="66"/>
        <v>18690</v>
      </c>
      <c r="Z54" s="39">
        <f t="shared" si="66"/>
        <v>18690</v>
      </c>
      <c r="AA54" s="39">
        <f t="shared" si="66"/>
        <v>18690</v>
      </c>
      <c r="AB54" s="39">
        <f t="shared" si="66"/>
        <v>18690</v>
      </c>
      <c r="AC54" s="39">
        <f t="shared" si="66"/>
        <v>18690</v>
      </c>
      <c r="AD54" s="39">
        <f t="shared" si="66"/>
        <v>18690</v>
      </c>
      <c r="AE54" s="39">
        <f t="shared" si="66"/>
        <v>18690</v>
      </c>
      <c r="AF54" s="39">
        <f t="shared" si="66"/>
        <v>18690</v>
      </c>
      <c r="AG54" s="39">
        <f t="shared" si="66"/>
        <v>18690</v>
      </c>
      <c r="AH54" s="39">
        <f t="shared" si="66"/>
        <v>22428</v>
      </c>
      <c r="AI54" s="39">
        <f t="shared" si="66"/>
        <v>22428</v>
      </c>
      <c r="AJ54" s="39">
        <f t="shared" si="66"/>
        <v>22428</v>
      </c>
      <c r="AK54" s="39">
        <f t="shared" si="66"/>
        <v>22428</v>
      </c>
      <c r="AL54" s="39">
        <f t="shared" si="66"/>
        <v>22428</v>
      </c>
      <c r="AM54" s="39">
        <f t="shared" si="66"/>
        <v>22428</v>
      </c>
      <c r="AN54" s="39">
        <f t="shared" si="66"/>
        <v>22428</v>
      </c>
      <c r="AO54" s="39">
        <f t="shared" si="66"/>
        <v>22428</v>
      </c>
      <c r="AP54" s="39">
        <f t="shared" si="66"/>
        <v>22428</v>
      </c>
      <c r="AQ54" s="39">
        <f t="shared" si="66"/>
        <v>22428</v>
      </c>
      <c r="AR54" s="39">
        <f t="shared" si="66"/>
        <v>22428</v>
      </c>
      <c r="AS54" s="39">
        <f t="shared" si="66"/>
        <v>22428</v>
      </c>
      <c r="AT54" s="39">
        <f t="shared" si="66"/>
        <v>26789</v>
      </c>
      <c r="AU54" s="39">
        <f t="shared" si="66"/>
        <v>26789</v>
      </c>
      <c r="AV54" s="39">
        <f t="shared" si="66"/>
        <v>26789</v>
      </c>
      <c r="AW54" s="39">
        <f t="shared" si="66"/>
        <v>26789</v>
      </c>
      <c r="AX54" s="39">
        <f t="shared" si="66"/>
        <v>26789</v>
      </c>
      <c r="AY54" s="39">
        <f t="shared" si="66"/>
        <v>26789</v>
      </c>
      <c r="AZ54" s="39">
        <f t="shared" si="66"/>
        <v>26789</v>
      </c>
      <c r="BA54" s="39">
        <f t="shared" si="66"/>
        <v>26789</v>
      </c>
      <c r="BB54" s="39">
        <f t="shared" si="66"/>
        <v>26789</v>
      </c>
      <c r="BC54" s="39">
        <f t="shared" si="66"/>
        <v>26789</v>
      </c>
      <c r="BD54" s="39">
        <f t="shared" si="66"/>
        <v>26789</v>
      </c>
      <c r="BE54" s="39">
        <f t="shared" si="66"/>
        <v>26789</v>
      </c>
      <c r="BF54" s="39">
        <f t="shared" ref="BF54:BQ54" si="67">SUM(BF52:BF53)</f>
        <v>32396</v>
      </c>
      <c r="BG54" s="39">
        <f t="shared" si="67"/>
        <v>32396</v>
      </c>
      <c r="BH54" s="39">
        <f t="shared" si="67"/>
        <v>32396</v>
      </c>
      <c r="BI54" s="39">
        <f t="shared" si="67"/>
        <v>32396</v>
      </c>
      <c r="BJ54" s="39">
        <f t="shared" si="67"/>
        <v>32396</v>
      </c>
      <c r="BK54" s="39">
        <f t="shared" si="67"/>
        <v>32396</v>
      </c>
      <c r="BL54" s="39">
        <f t="shared" si="67"/>
        <v>32396</v>
      </c>
      <c r="BM54" s="39">
        <f t="shared" si="67"/>
        <v>32396</v>
      </c>
      <c r="BN54" s="39">
        <f t="shared" si="67"/>
        <v>32396</v>
      </c>
      <c r="BO54" s="39">
        <f t="shared" si="67"/>
        <v>32396</v>
      </c>
      <c r="BP54" s="39">
        <f t="shared" si="67"/>
        <v>32396</v>
      </c>
      <c r="BQ54" s="39">
        <f t="shared" si="67"/>
        <v>32396</v>
      </c>
    </row>
    <row r="55" spans="2:6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row>
    <row r="56" spans="2:6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39"/>
      <c r="AY56" s="39"/>
      <c r="AZ56" s="39"/>
      <c r="BA56" s="39"/>
      <c r="BB56" s="39"/>
      <c r="BC56" s="39"/>
      <c r="BD56" s="39"/>
      <c r="BE56" s="39"/>
      <c r="BF56" s="39"/>
      <c r="BG56" s="39"/>
      <c r="BH56" s="39"/>
      <c r="BI56" s="39"/>
      <c r="BJ56" s="39"/>
      <c r="BK56" s="39"/>
      <c r="BL56" s="39"/>
      <c r="BM56" s="39"/>
      <c r="BN56" s="39"/>
      <c r="BO56" s="39"/>
      <c r="BP56" s="39"/>
      <c r="BQ56" s="39"/>
    </row>
    <row r="57" spans="2:69">
      <c r="B57" s="4" t="s">
        <v>289</v>
      </c>
      <c r="J57" s="39">
        <v>0</v>
      </c>
      <c r="K57" s="39">
        <v>7364</v>
      </c>
      <c r="L57" s="39">
        <v>8896</v>
      </c>
      <c r="M57" s="39">
        <v>5055</v>
      </c>
      <c r="N57" s="39">
        <v>10047</v>
      </c>
      <c r="O57" s="39">
        <v>60033</v>
      </c>
      <c r="P57" s="39">
        <f>16454+1150</f>
        <v>17604</v>
      </c>
      <c r="Q57" s="39">
        <v>3285</v>
      </c>
      <c r="R57" s="39">
        <f>Inputs!R32*Inputs!R90</f>
        <v>0</v>
      </c>
      <c r="S57" s="39">
        <f>Inputs!S32*Inputs!S90</f>
        <v>0</v>
      </c>
      <c r="T57" s="39">
        <f>Inputs!T32*Inputs!T90</f>
        <v>0</v>
      </c>
      <c r="U57" s="39">
        <f>Inputs!U32*Inputs!U90</f>
        <v>0</v>
      </c>
      <c r="V57" s="39">
        <f>Inputs!V32*Inputs!V90</f>
        <v>0</v>
      </c>
      <c r="W57" s="39">
        <f>Inputs!W32*Inputs!W90</f>
        <v>18000</v>
      </c>
      <c r="X57" s="39">
        <f>Inputs!X32*Inputs!X90</f>
        <v>18000</v>
      </c>
      <c r="Y57" s="39">
        <f>Inputs!Y32*Inputs!Y90</f>
        <v>18000</v>
      </c>
      <c r="Z57" s="39">
        <f>Inputs!Z32*Inputs!Z90</f>
        <v>18000</v>
      </c>
      <c r="AA57" s="39">
        <f>Inputs!AA32*Inputs!AA90</f>
        <v>18000</v>
      </c>
      <c r="AB57" s="39">
        <f>Inputs!AB32*Inputs!AB90</f>
        <v>18000</v>
      </c>
      <c r="AC57" s="39">
        <f>Inputs!AC32*Inputs!AC90</f>
        <v>18000</v>
      </c>
      <c r="AD57" s="39">
        <f>Inputs!AD32*Inputs!AD90</f>
        <v>18000</v>
      </c>
      <c r="AE57" s="39">
        <f>Inputs!AE32*Inputs!AE90</f>
        <v>18000</v>
      </c>
      <c r="AF57" s="39">
        <f>Inputs!AF32*Inputs!AF90</f>
        <v>18000</v>
      </c>
      <c r="AG57" s="39">
        <f>Inputs!AG32*Inputs!AG90</f>
        <v>18000</v>
      </c>
      <c r="AH57" s="39">
        <f>Inputs!AH32*Inputs!AH90</f>
        <v>21600</v>
      </c>
      <c r="AI57" s="39">
        <f>Inputs!AI32*Inputs!AI90</f>
        <v>21600</v>
      </c>
      <c r="AJ57" s="39">
        <f>Inputs!AJ32*Inputs!AJ90</f>
        <v>21600</v>
      </c>
      <c r="AK57" s="39">
        <f>Inputs!AK32*Inputs!AK90</f>
        <v>21600</v>
      </c>
      <c r="AL57" s="39">
        <f>Inputs!AL32*Inputs!AL90</f>
        <v>21600</v>
      </c>
      <c r="AM57" s="39">
        <f>Inputs!AM32*Inputs!AM90</f>
        <v>21600</v>
      </c>
      <c r="AN57" s="39">
        <f>Inputs!AN32*Inputs!AN90</f>
        <v>21600</v>
      </c>
      <c r="AO57" s="39">
        <f>Inputs!AO32*Inputs!AO90</f>
        <v>21600</v>
      </c>
      <c r="AP57" s="39">
        <f>Inputs!AP32*Inputs!AP90</f>
        <v>21600</v>
      </c>
      <c r="AQ57" s="39">
        <f>Inputs!AQ32*Inputs!AQ90</f>
        <v>21600</v>
      </c>
      <c r="AR57" s="39">
        <f>Inputs!AR32*Inputs!AR90</f>
        <v>21600</v>
      </c>
      <c r="AS57" s="39">
        <f>Inputs!AS32*Inputs!AS90</f>
        <v>21600</v>
      </c>
      <c r="AT57" s="39">
        <f>Inputs!AT32*Inputs!AT90</f>
        <v>25800</v>
      </c>
      <c r="AU57" s="39">
        <f>Inputs!AU32*Inputs!AU90</f>
        <v>25800</v>
      </c>
      <c r="AV57" s="39">
        <f>Inputs!AV32*Inputs!AV90</f>
        <v>25800</v>
      </c>
      <c r="AW57" s="39">
        <f>Inputs!AW32*Inputs!AW90</f>
        <v>25800</v>
      </c>
      <c r="AX57" s="39">
        <f>Inputs!AX32*Inputs!AX90</f>
        <v>25800</v>
      </c>
      <c r="AY57" s="39">
        <f>Inputs!AY32*Inputs!AY90</f>
        <v>25800</v>
      </c>
      <c r="AZ57" s="39">
        <f>Inputs!AZ32*Inputs!AZ90</f>
        <v>25800</v>
      </c>
      <c r="BA57" s="39">
        <f>Inputs!BA32*Inputs!BA90</f>
        <v>25800</v>
      </c>
      <c r="BB57" s="39">
        <f>Inputs!BB32*Inputs!BB90</f>
        <v>25800</v>
      </c>
      <c r="BC57" s="39">
        <f>Inputs!BC32*Inputs!BC90</f>
        <v>25800</v>
      </c>
      <c r="BD57" s="39">
        <f>Inputs!BD32*Inputs!BD90</f>
        <v>25800</v>
      </c>
      <c r="BE57" s="39">
        <f>Inputs!BE32*Inputs!BE90</f>
        <v>25800</v>
      </c>
      <c r="BF57" s="39">
        <f>Inputs!BF32*Inputs!BF90</f>
        <v>31200</v>
      </c>
      <c r="BG57" s="39">
        <f>Inputs!BG32*Inputs!BG90</f>
        <v>31200</v>
      </c>
      <c r="BH57" s="39">
        <f>Inputs!BH32*Inputs!BH90</f>
        <v>31200</v>
      </c>
      <c r="BI57" s="39">
        <f>Inputs!BI32*Inputs!BI90</f>
        <v>31200</v>
      </c>
      <c r="BJ57" s="39">
        <f>Inputs!BJ32*Inputs!BJ90</f>
        <v>31200</v>
      </c>
      <c r="BK57" s="39">
        <f>Inputs!BK32*Inputs!BK90</f>
        <v>31200</v>
      </c>
      <c r="BL57" s="39">
        <f>Inputs!BL32*Inputs!BL90</f>
        <v>31200</v>
      </c>
      <c r="BM57" s="39">
        <f>Inputs!BM32*Inputs!BM90</f>
        <v>31200</v>
      </c>
      <c r="BN57" s="39">
        <f>Inputs!BN32*Inputs!BN90</f>
        <v>31200</v>
      </c>
      <c r="BO57" s="39">
        <f>Inputs!BO32*Inputs!BO90</f>
        <v>31200</v>
      </c>
      <c r="BP57" s="39">
        <f>Inputs!BP32*Inputs!BP90</f>
        <v>31200</v>
      </c>
      <c r="BQ57" s="39">
        <f>Inputs!BQ32*Inputs!BQ90</f>
        <v>31200</v>
      </c>
    </row>
    <row r="58" spans="2:69">
      <c r="B58" s="9"/>
      <c r="C58" s="9"/>
      <c r="D58" s="9"/>
      <c r="E58" s="9"/>
      <c r="F58" s="9"/>
      <c r="G58" s="9"/>
      <c r="H58" s="9"/>
      <c r="I58" s="9"/>
      <c r="J58" s="42"/>
      <c r="K58" s="42"/>
      <c r="L58" s="42"/>
      <c r="M58" s="42"/>
      <c r="N58" s="42"/>
      <c r="O58" s="42"/>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42"/>
      <c r="BE58" s="42"/>
      <c r="BF58" s="42"/>
      <c r="BG58" s="42"/>
      <c r="BH58" s="42"/>
      <c r="BI58" s="42"/>
      <c r="BJ58" s="42"/>
      <c r="BK58" s="42"/>
      <c r="BL58" s="42"/>
      <c r="BM58" s="42"/>
      <c r="BN58" s="42"/>
      <c r="BO58" s="42"/>
      <c r="BP58" s="42"/>
      <c r="BQ58" s="42"/>
    </row>
    <row r="59" spans="2:69">
      <c r="B59" s="4" t="s">
        <v>6</v>
      </c>
      <c r="J59" s="39">
        <f t="shared" ref="J59:BE59" si="68">SUM(J57:J58)</f>
        <v>0</v>
      </c>
      <c r="K59" s="39">
        <f t="shared" si="68"/>
        <v>7364</v>
      </c>
      <c r="L59" s="39">
        <f t="shared" si="68"/>
        <v>8896</v>
      </c>
      <c r="M59" s="39">
        <f t="shared" si="68"/>
        <v>5055</v>
      </c>
      <c r="N59" s="39">
        <f t="shared" si="68"/>
        <v>10047</v>
      </c>
      <c r="O59" s="39">
        <f t="shared" si="68"/>
        <v>60033</v>
      </c>
      <c r="P59" s="39">
        <f t="shared" si="68"/>
        <v>17604</v>
      </c>
      <c r="Q59" s="39">
        <f t="shared" si="68"/>
        <v>3285</v>
      </c>
      <c r="R59" s="39">
        <f t="shared" si="68"/>
        <v>0</v>
      </c>
      <c r="S59" s="39">
        <f t="shared" si="68"/>
        <v>0</v>
      </c>
      <c r="T59" s="39">
        <f t="shared" si="68"/>
        <v>0</v>
      </c>
      <c r="U59" s="39">
        <f t="shared" si="68"/>
        <v>0</v>
      </c>
      <c r="V59" s="39">
        <f t="shared" si="68"/>
        <v>0</v>
      </c>
      <c r="W59" s="39">
        <f t="shared" si="68"/>
        <v>18000</v>
      </c>
      <c r="X59" s="39">
        <f t="shared" si="68"/>
        <v>18000</v>
      </c>
      <c r="Y59" s="39">
        <f t="shared" si="68"/>
        <v>18000</v>
      </c>
      <c r="Z59" s="39">
        <f t="shared" si="68"/>
        <v>18000</v>
      </c>
      <c r="AA59" s="39">
        <f t="shared" si="68"/>
        <v>18000</v>
      </c>
      <c r="AB59" s="39">
        <f t="shared" si="68"/>
        <v>18000</v>
      </c>
      <c r="AC59" s="39">
        <f t="shared" si="68"/>
        <v>18000</v>
      </c>
      <c r="AD59" s="39">
        <f t="shared" si="68"/>
        <v>18000</v>
      </c>
      <c r="AE59" s="39">
        <f t="shared" si="68"/>
        <v>18000</v>
      </c>
      <c r="AF59" s="39">
        <f t="shared" si="68"/>
        <v>18000</v>
      </c>
      <c r="AG59" s="39">
        <f t="shared" si="68"/>
        <v>18000</v>
      </c>
      <c r="AH59" s="39">
        <f t="shared" si="68"/>
        <v>21600</v>
      </c>
      <c r="AI59" s="39">
        <f t="shared" si="68"/>
        <v>21600</v>
      </c>
      <c r="AJ59" s="39">
        <f t="shared" si="68"/>
        <v>21600</v>
      </c>
      <c r="AK59" s="39">
        <f t="shared" si="68"/>
        <v>21600</v>
      </c>
      <c r="AL59" s="39">
        <f t="shared" si="68"/>
        <v>21600</v>
      </c>
      <c r="AM59" s="39">
        <f t="shared" si="68"/>
        <v>21600</v>
      </c>
      <c r="AN59" s="39">
        <f t="shared" si="68"/>
        <v>21600</v>
      </c>
      <c r="AO59" s="39">
        <f t="shared" si="68"/>
        <v>21600</v>
      </c>
      <c r="AP59" s="39">
        <f t="shared" si="68"/>
        <v>21600</v>
      </c>
      <c r="AQ59" s="39">
        <f t="shared" si="68"/>
        <v>21600</v>
      </c>
      <c r="AR59" s="39">
        <f t="shared" si="68"/>
        <v>21600</v>
      </c>
      <c r="AS59" s="39">
        <f t="shared" si="68"/>
        <v>21600</v>
      </c>
      <c r="AT59" s="39">
        <f t="shared" si="68"/>
        <v>25800</v>
      </c>
      <c r="AU59" s="39">
        <f t="shared" si="68"/>
        <v>25800</v>
      </c>
      <c r="AV59" s="39">
        <f t="shared" si="68"/>
        <v>25800</v>
      </c>
      <c r="AW59" s="39">
        <f t="shared" si="68"/>
        <v>25800</v>
      </c>
      <c r="AX59" s="39">
        <f t="shared" si="68"/>
        <v>25800</v>
      </c>
      <c r="AY59" s="39">
        <f t="shared" si="68"/>
        <v>25800</v>
      </c>
      <c r="AZ59" s="39">
        <f t="shared" si="68"/>
        <v>25800</v>
      </c>
      <c r="BA59" s="39">
        <f t="shared" si="68"/>
        <v>25800</v>
      </c>
      <c r="BB59" s="39">
        <f t="shared" si="68"/>
        <v>25800</v>
      </c>
      <c r="BC59" s="39">
        <f t="shared" si="68"/>
        <v>25800</v>
      </c>
      <c r="BD59" s="39">
        <f t="shared" si="68"/>
        <v>25800</v>
      </c>
      <c r="BE59" s="39">
        <f t="shared" si="68"/>
        <v>25800</v>
      </c>
      <c r="BF59" s="39">
        <f t="shared" ref="BF59:BQ59" si="69">SUM(BF57:BF58)</f>
        <v>31200</v>
      </c>
      <c r="BG59" s="39">
        <f t="shared" si="69"/>
        <v>31200</v>
      </c>
      <c r="BH59" s="39">
        <f t="shared" si="69"/>
        <v>31200</v>
      </c>
      <c r="BI59" s="39">
        <f t="shared" si="69"/>
        <v>31200</v>
      </c>
      <c r="BJ59" s="39">
        <f t="shared" si="69"/>
        <v>31200</v>
      </c>
      <c r="BK59" s="39">
        <f t="shared" si="69"/>
        <v>31200</v>
      </c>
      <c r="BL59" s="39">
        <f t="shared" si="69"/>
        <v>31200</v>
      </c>
      <c r="BM59" s="39">
        <f t="shared" si="69"/>
        <v>31200</v>
      </c>
      <c r="BN59" s="39">
        <f t="shared" si="69"/>
        <v>31200</v>
      </c>
      <c r="BO59" s="39">
        <f t="shared" si="69"/>
        <v>31200</v>
      </c>
      <c r="BP59" s="39">
        <f t="shared" si="69"/>
        <v>31200</v>
      </c>
      <c r="BQ59" s="39">
        <f t="shared" si="69"/>
        <v>31200</v>
      </c>
    </row>
    <row r="60" spans="2:6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row>
    <row r="61" spans="2:6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row>
    <row r="62" spans="2:69">
      <c r="B62" s="4" t="s">
        <v>291</v>
      </c>
      <c r="J62" s="39">
        <v>1425</v>
      </c>
      <c r="K62" s="39">
        <v>0</v>
      </c>
      <c r="L62" s="39">
        <v>1425</v>
      </c>
      <c r="M62" s="39">
        <v>1500</v>
      </c>
      <c r="N62" s="39">
        <v>1500</v>
      </c>
      <c r="O62" s="39">
        <v>1425</v>
      </c>
      <c r="P62" s="39">
        <f>2850+357</f>
        <v>3207</v>
      </c>
      <c r="Q62" s="39">
        <f>Inputs!Q32*Inputs!Q91</f>
        <v>0</v>
      </c>
      <c r="R62" s="39">
        <f>Inputs!R32*Inputs!R91</f>
        <v>0</v>
      </c>
      <c r="S62" s="39">
        <f>Inputs!S32*Inputs!S91</f>
        <v>0</v>
      </c>
      <c r="T62" s="39">
        <f>Inputs!T32*Inputs!T91</f>
        <v>0</v>
      </c>
      <c r="U62" s="39">
        <f>Inputs!U32*Inputs!U91</f>
        <v>0</v>
      </c>
      <c r="V62" s="39">
        <f>Inputs!V32*Inputs!V91</f>
        <v>0</v>
      </c>
      <c r="W62" s="39">
        <f>Inputs!W32*Inputs!W91</f>
        <v>1440</v>
      </c>
      <c r="X62" s="39">
        <f>Inputs!X32*Inputs!X91</f>
        <v>1440</v>
      </c>
      <c r="Y62" s="39">
        <f>Inputs!Y32*Inputs!Y91</f>
        <v>1440</v>
      </c>
      <c r="Z62" s="39">
        <f>Inputs!Z32*Inputs!Z91</f>
        <v>1440</v>
      </c>
      <c r="AA62" s="39">
        <f>Inputs!AA32*Inputs!AA91</f>
        <v>1440</v>
      </c>
      <c r="AB62" s="39">
        <f>Inputs!AB32*Inputs!AB91</f>
        <v>1440</v>
      </c>
      <c r="AC62" s="39">
        <f>Inputs!AC32*Inputs!AC91</f>
        <v>1440</v>
      </c>
      <c r="AD62" s="39">
        <f>Inputs!AD32*Inputs!AD91</f>
        <v>1440</v>
      </c>
      <c r="AE62" s="39">
        <f>Inputs!AE32*Inputs!AE91</f>
        <v>1440</v>
      </c>
      <c r="AF62" s="39">
        <f>Inputs!AF32*Inputs!AF91</f>
        <v>1440</v>
      </c>
      <c r="AG62" s="39">
        <f>Inputs!AG32*Inputs!AG91</f>
        <v>1440</v>
      </c>
      <c r="AH62" s="39">
        <f>Inputs!AH32*Inputs!AH91</f>
        <v>1728</v>
      </c>
      <c r="AI62" s="39">
        <f>Inputs!AI32*Inputs!AI91</f>
        <v>1728</v>
      </c>
      <c r="AJ62" s="39">
        <f>Inputs!AJ32*Inputs!AJ91</f>
        <v>1728</v>
      </c>
      <c r="AK62" s="39">
        <f>Inputs!AK32*Inputs!AK91</f>
        <v>1728</v>
      </c>
      <c r="AL62" s="39">
        <f>Inputs!AL32*Inputs!AL91</f>
        <v>1728</v>
      </c>
      <c r="AM62" s="39">
        <f>Inputs!AM32*Inputs!AM91</f>
        <v>1728</v>
      </c>
      <c r="AN62" s="39">
        <f>Inputs!AN32*Inputs!AN91</f>
        <v>1728</v>
      </c>
      <c r="AO62" s="39">
        <f>Inputs!AO32*Inputs!AO91</f>
        <v>1728</v>
      </c>
      <c r="AP62" s="39">
        <f>Inputs!AP32*Inputs!AP91</f>
        <v>1728</v>
      </c>
      <c r="AQ62" s="39">
        <f>Inputs!AQ32*Inputs!AQ91</f>
        <v>1728</v>
      </c>
      <c r="AR62" s="39">
        <f>Inputs!AR32*Inputs!AR91</f>
        <v>1728</v>
      </c>
      <c r="AS62" s="39">
        <f>Inputs!AS32*Inputs!AS91</f>
        <v>1728</v>
      </c>
      <c r="AT62" s="39">
        <f>Inputs!AT32*Inputs!AT91</f>
        <v>2064</v>
      </c>
      <c r="AU62" s="39">
        <f>Inputs!AU32*Inputs!AU91</f>
        <v>2064</v>
      </c>
      <c r="AV62" s="39">
        <f>Inputs!AV32*Inputs!AV91</f>
        <v>2064</v>
      </c>
      <c r="AW62" s="39">
        <f>Inputs!AW32*Inputs!AW91</f>
        <v>2064</v>
      </c>
      <c r="AX62" s="39">
        <f>Inputs!AX32*Inputs!AX91</f>
        <v>2064</v>
      </c>
      <c r="AY62" s="39">
        <f>Inputs!AY32*Inputs!AY91</f>
        <v>2064</v>
      </c>
      <c r="AZ62" s="39">
        <f>Inputs!AZ32*Inputs!AZ91</f>
        <v>2064</v>
      </c>
      <c r="BA62" s="39">
        <f>Inputs!BA32*Inputs!BA91</f>
        <v>2064</v>
      </c>
      <c r="BB62" s="39">
        <f>Inputs!BB32*Inputs!BB91</f>
        <v>2064</v>
      </c>
      <c r="BC62" s="39">
        <f>Inputs!BC32*Inputs!BC91</f>
        <v>2064</v>
      </c>
      <c r="BD62" s="39">
        <f>Inputs!BD32*Inputs!BD91</f>
        <v>2064</v>
      </c>
      <c r="BE62" s="39">
        <f>Inputs!BE32*Inputs!BE91</f>
        <v>2064</v>
      </c>
      <c r="BF62" s="39">
        <f>Inputs!BF32*Inputs!BF91</f>
        <v>2496</v>
      </c>
      <c r="BG62" s="39">
        <f>Inputs!BG32*Inputs!BG91</f>
        <v>2496</v>
      </c>
      <c r="BH62" s="39">
        <f>Inputs!BH32*Inputs!BH91</f>
        <v>2496</v>
      </c>
      <c r="BI62" s="39">
        <f>Inputs!BI32*Inputs!BI91</f>
        <v>2496</v>
      </c>
      <c r="BJ62" s="39">
        <f>Inputs!BJ32*Inputs!BJ91</f>
        <v>2496</v>
      </c>
      <c r="BK62" s="39">
        <f>Inputs!BK32*Inputs!BK91</f>
        <v>2496</v>
      </c>
      <c r="BL62" s="39">
        <f>Inputs!BL32*Inputs!BL91</f>
        <v>2496</v>
      </c>
      <c r="BM62" s="39">
        <f>Inputs!BM32*Inputs!BM91</f>
        <v>2496</v>
      </c>
      <c r="BN62" s="39">
        <f>Inputs!BN32*Inputs!BN91</f>
        <v>2496</v>
      </c>
      <c r="BO62" s="39">
        <f>Inputs!BO32*Inputs!BO91</f>
        <v>2496</v>
      </c>
      <c r="BP62" s="39">
        <f>Inputs!BP32*Inputs!BP91</f>
        <v>2496</v>
      </c>
      <c r="BQ62" s="39">
        <f>Inputs!BQ32*Inputs!BQ91</f>
        <v>2496</v>
      </c>
    </row>
    <row r="63" spans="2:69">
      <c r="B63" s="9"/>
      <c r="C63" s="9"/>
      <c r="D63" s="9"/>
      <c r="E63" s="9"/>
      <c r="F63" s="9"/>
      <c r="G63" s="9"/>
      <c r="H63" s="9"/>
      <c r="I63" s="9"/>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42"/>
      <c r="BE63" s="42"/>
      <c r="BF63" s="42"/>
      <c r="BG63" s="42"/>
      <c r="BH63" s="42"/>
      <c r="BI63" s="42"/>
      <c r="BJ63" s="42"/>
      <c r="BK63" s="42"/>
      <c r="BL63" s="42"/>
      <c r="BM63" s="42"/>
      <c r="BN63" s="42"/>
      <c r="BO63" s="42"/>
      <c r="BP63" s="42"/>
      <c r="BQ63" s="42"/>
    </row>
    <row r="64" spans="2:69">
      <c r="B64" s="4" t="s">
        <v>6</v>
      </c>
      <c r="J64" s="39">
        <f t="shared" ref="J64:BE64" si="70">SUM(J62:J63)</f>
        <v>1425</v>
      </c>
      <c r="K64" s="39">
        <f t="shared" si="70"/>
        <v>0</v>
      </c>
      <c r="L64" s="39">
        <f t="shared" si="70"/>
        <v>1425</v>
      </c>
      <c r="M64" s="39">
        <f t="shared" si="70"/>
        <v>1500</v>
      </c>
      <c r="N64" s="39">
        <f t="shared" si="70"/>
        <v>1500</v>
      </c>
      <c r="O64" s="39">
        <f t="shared" si="70"/>
        <v>1425</v>
      </c>
      <c r="P64" s="39">
        <f t="shared" si="70"/>
        <v>3207</v>
      </c>
      <c r="Q64" s="39">
        <f t="shared" si="70"/>
        <v>0</v>
      </c>
      <c r="R64" s="39">
        <f t="shared" si="70"/>
        <v>0</v>
      </c>
      <c r="S64" s="39">
        <f t="shared" si="70"/>
        <v>0</v>
      </c>
      <c r="T64" s="39">
        <f t="shared" si="70"/>
        <v>0</v>
      </c>
      <c r="U64" s="39">
        <f t="shared" si="70"/>
        <v>0</v>
      </c>
      <c r="V64" s="39">
        <f t="shared" si="70"/>
        <v>0</v>
      </c>
      <c r="W64" s="39">
        <f t="shared" si="70"/>
        <v>1440</v>
      </c>
      <c r="X64" s="39">
        <f t="shared" si="70"/>
        <v>1440</v>
      </c>
      <c r="Y64" s="39">
        <f t="shared" si="70"/>
        <v>1440</v>
      </c>
      <c r="Z64" s="39">
        <f t="shared" si="70"/>
        <v>1440</v>
      </c>
      <c r="AA64" s="39">
        <f t="shared" si="70"/>
        <v>1440</v>
      </c>
      <c r="AB64" s="39">
        <f t="shared" si="70"/>
        <v>1440</v>
      </c>
      <c r="AC64" s="39">
        <f t="shared" si="70"/>
        <v>1440</v>
      </c>
      <c r="AD64" s="39">
        <f t="shared" si="70"/>
        <v>1440</v>
      </c>
      <c r="AE64" s="39">
        <f t="shared" si="70"/>
        <v>1440</v>
      </c>
      <c r="AF64" s="39">
        <f t="shared" si="70"/>
        <v>1440</v>
      </c>
      <c r="AG64" s="39">
        <f t="shared" si="70"/>
        <v>1440</v>
      </c>
      <c r="AH64" s="39">
        <f t="shared" si="70"/>
        <v>1728</v>
      </c>
      <c r="AI64" s="39">
        <f t="shared" si="70"/>
        <v>1728</v>
      </c>
      <c r="AJ64" s="39">
        <f t="shared" si="70"/>
        <v>1728</v>
      </c>
      <c r="AK64" s="39">
        <f t="shared" si="70"/>
        <v>1728</v>
      </c>
      <c r="AL64" s="39">
        <f t="shared" si="70"/>
        <v>1728</v>
      </c>
      <c r="AM64" s="39">
        <f t="shared" si="70"/>
        <v>1728</v>
      </c>
      <c r="AN64" s="39">
        <f t="shared" si="70"/>
        <v>1728</v>
      </c>
      <c r="AO64" s="39">
        <f t="shared" si="70"/>
        <v>1728</v>
      </c>
      <c r="AP64" s="39">
        <f t="shared" si="70"/>
        <v>1728</v>
      </c>
      <c r="AQ64" s="39">
        <f t="shared" si="70"/>
        <v>1728</v>
      </c>
      <c r="AR64" s="39">
        <f t="shared" si="70"/>
        <v>1728</v>
      </c>
      <c r="AS64" s="39">
        <f t="shared" si="70"/>
        <v>1728</v>
      </c>
      <c r="AT64" s="39">
        <f t="shared" si="70"/>
        <v>2064</v>
      </c>
      <c r="AU64" s="39">
        <f t="shared" si="70"/>
        <v>2064</v>
      </c>
      <c r="AV64" s="39">
        <f t="shared" si="70"/>
        <v>2064</v>
      </c>
      <c r="AW64" s="39">
        <f t="shared" si="70"/>
        <v>2064</v>
      </c>
      <c r="AX64" s="39">
        <f t="shared" si="70"/>
        <v>2064</v>
      </c>
      <c r="AY64" s="39">
        <f t="shared" si="70"/>
        <v>2064</v>
      </c>
      <c r="AZ64" s="39">
        <f t="shared" si="70"/>
        <v>2064</v>
      </c>
      <c r="BA64" s="39">
        <f t="shared" si="70"/>
        <v>2064</v>
      </c>
      <c r="BB64" s="39">
        <f t="shared" si="70"/>
        <v>2064</v>
      </c>
      <c r="BC64" s="39">
        <f t="shared" si="70"/>
        <v>2064</v>
      </c>
      <c r="BD64" s="39">
        <f t="shared" si="70"/>
        <v>2064</v>
      </c>
      <c r="BE64" s="39">
        <f t="shared" si="70"/>
        <v>2064</v>
      </c>
      <c r="BF64" s="39">
        <f t="shared" ref="BF64:BQ64" si="71">SUM(BF62:BF63)</f>
        <v>2496</v>
      </c>
      <c r="BG64" s="39">
        <f t="shared" si="71"/>
        <v>2496</v>
      </c>
      <c r="BH64" s="39">
        <f t="shared" si="71"/>
        <v>2496</v>
      </c>
      <c r="BI64" s="39">
        <f t="shared" si="71"/>
        <v>2496</v>
      </c>
      <c r="BJ64" s="39">
        <f t="shared" si="71"/>
        <v>2496</v>
      </c>
      <c r="BK64" s="39">
        <f t="shared" si="71"/>
        <v>2496</v>
      </c>
      <c r="BL64" s="39">
        <f t="shared" si="71"/>
        <v>2496</v>
      </c>
      <c r="BM64" s="39">
        <f t="shared" si="71"/>
        <v>2496</v>
      </c>
      <c r="BN64" s="39">
        <f t="shared" si="71"/>
        <v>2496</v>
      </c>
      <c r="BO64" s="39">
        <f t="shared" si="71"/>
        <v>2496</v>
      </c>
      <c r="BP64" s="39">
        <f t="shared" si="71"/>
        <v>2496</v>
      </c>
      <c r="BQ64" s="39">
        <f t="shared" si="71"/>
        <v>2496</v>
      </c>
    </row>
    <row r="65" spans="2:6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39"/>
      <c r="AY65" s="39"/>
      <c r="AZ65" s="39"/>
      <c r="BA65" s="39"/>
      <c r="BB65" s="39"/>
      <c r="BC65" s="39"/>
      <c r="BD65" s="39"/>
      <c r="BE65" s="39"/>
      <c r="BF65" s="39"/>
      <c r="BG65" s="39"/>
      <c r="BH65" s="39"/>
      <c r="BI65" s="39"/>
      <c r="BJ65" s="39"/>
      <c r="BK65" s="39"/>
      <c r="BL65" s="39"/>
      <c r="BM65" s="39"/>
      <c r="BN65" s="39"/>
      <c r="BO65" s="39"/>
      <c r="BP65" s="39"/>
      <c r="BQ65" s="39"/>
    </row>
    <row r="66" spans="2:6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39"/>
      <c r="AY66" s="39"/>
      <c r="AZ66" s="39"/>
      <c r="BA66" s="39"/>
      <c r="BB66" s="39"/>
      <c r="BC66" s="39"/>
      <c r="BD66" s="39"/>
      <c r="BE66" s="39"/>
      <c r="BF66" s="39"/>
      <c r="BG66" s="39"/>
      <c r="BH66" s="39"/>
      <c r="BI66" s="39"/>
      <c r="BJ66" s="39"/>
      <c r="BK66" s="39"/>
      <c r="BL66" s="39"/>
      <c r="BM66" s="39"/>
      <c r="BN66" s="39"/>
      <c r="BO66" s="39"/>
      <c r="BP66" s="39"/>
      <c r="BQ66" s="39"/>
    </row>
    <row r="67" spans="2:69">
      <c r="B67" s="4" t="s">
        <v>292</v>
      </c>
      <c r="J67" s="39">
        <v>0</v>
      </c>
      <c r="K67" s="39">
        <v>0</v>
      </c>
      <c r="L67" s="39">
        <v>0</v>
      </c>
      <c r="M67" s="39">
        <v>0</v>
      </c>
      <c r="N67" s="39">
        <v>0</v>
      </c>
      <c r="O67" s="39">
        <v>21800</v>
      </c>
      <c r="P67" s="39">
        <v>476</v>
      </c>
      <c r="Q67" s="39">
        <v>4000</v>
      </c>
      <c r="R67" s="39">
        <f>Inputs!R32*Inputs!R92</f>
        <v>0</v>
      </c>
      <c r="S67" s="39">
        <f>Inputs!S32*Inputs!S92</f>
        <v>0</v>
      </c>
      <c r="T67" s="39">
        <f>Inputs!T32*Inputs!T92</f>
        <v>0</v>
      </c>
      <c r="U67" s="39">
        <f>Inputs!U32*Inputs!U92</f>
        <v>0</v>
      </c>
      <c r="V67" s="39">
        <f>Inputs!V32*Inputs!V92</f>
        <v>0</v>
      </c>
      <c r="W67" s="39">
        <f>Inputs!W32*Inputs!W92</f>
        <v>6000</v>
      </c>
      <c r="X67" s="39">
        <f>Inputs!X32*Inputs!X92</f>
        <v>6000</v>
      </c>
      <c r="Y67" s="39">
        <f>Inputs!Y32*Inputs!Y92</f>
        <v>6000</v>
      </c>
      <c r="Z67" s="39">
        <f>Inputs!Z32*Inputs!Z92</f>
        <v>6000</v>
      </c>
      <c r="AA67" s="39">
        <f>Inputs!AA32*Inputs!AA92</f>
        <v>6000</v>
      </c>
      <c r="AB67" s="39">
        <f>Inputs!AB32*Inputs!AB92</f>
        <v>6000</v>
      </c>
      <c r="AC67" s="39">
        <f>Inputs!AC32*Inputs!AC92</f>
        <v>6000</v>
      </c>
      <c r="AD67" s="39">
        <f>Inputs!AD32*Inputs!AD92</f>
        <v>6000</v>
      </c>
      <c r="AE67" s="39">
        <f>Inputs!AE32*Inputs!AE92</f>
        <v>6000</v>
      </c>
      <c r="AF67" s="39">
        <f>Inputs!AF32*Inputs!AF92</f>
        <v>6000</v>
      </c>
      <c r="AG67" s="39">
        <f>Inputs!AG32*Inputs!AG92</f>
        <v>6000</v>
      </c>
      <c r="AH67" s="39">
        <f>Inputs!AH32*Inputs!AH92</f>
        <v>7200</v>
      </c>
      <c r="AI67" s="39">
        <f>Inputs!AI32*Inputs!AI92</f>
        <v>7200</v>
      </c>
      <c r="AJ67" s="39">
        <f>Inputs!AJ32*Inputs!AJ92</f>
        <v>7200</v>
      </c>
      <c r="AK67" s="39">
        <f>Inputs!AK32*Inputs!AK92</f>
        <v>7200</v>
      </c>
      <c r="AL67" s="39">
        <f>Inputs!AL32*Inputs!AL92</f>
        <v>7200</v>
      </c>
      <c r="AM67" s="39">
        <f>Inputs!AM32*Inputs!AM92</f>
        <v>7200</v>
      </c>
      <c r="AN67" s="39">
        <f>Inputs!AN32*Inputs!AN92</f>
        <v>7200</v>
      </c>
      <c r="AO67" s="39">
        <f>Inputs!AO32*Inputs!AO92</f>
        <v>7200</v>
      </c>
      <c r="AP67" s="39">
        <f>Inputs!AP32*Inputs!AP92</f>
        <v>7200</v>
      </c>
      <c r="AQ67" s="39">
        <f>Inputs!AQ32*Inputs!AQ92</f>
        <v>7200</v>
      </c>
      <c r="AR67" s="39">
        <f>Inputs!AR32*Inputs!AR92</f>
        <v>7200</v>
      </c>
      <c r="AS67" s="39">
        <f>Inputs!AS32*Inputs!AS92</f>
        <v>7200</v>
      </c>
      <c r="AT67" s="39">
        <f>Inputs!AT32*Inputs!AT92</f>
        <v>8600</v>
      </c>
      <c r="AU67" s="39">
        <f>Inputs!AU32*Inputs!AU92</f>
        <v>8600</v>
      </c>
      <c r="AV67" s="39">
        <f>Inputs!AV32*Inputs!AV92</f>
        <v>8600</v>
      </c>
      <c r="AW67" s="39">
        <f>Inputs!AW32*Inputs!AW92</f>
        <v>8600</v>
      </c>
      <c r="AX67" s="39">
        <f>Inputs!AX32*Inputs!AX92</f>
        <v>8600</v>
      </c>
      <c r="AY67" s="39">
        <f>Inputs!AY32*Inputs!AY92</f>
        <v>8600</v>
      </c>
      <c r="AZ67" s="39">
        <f>Inputs!AZ32*Inputs!AZ92</f>
        <v>8600</v>
      </c>
      <c r="BA67" s="39">
        <f>Inputs!BA32*Inputs!BA92</f>
        <v>8600</v>
      </c>
      <c r="BB67" s="39">
        <f>Inputs!BB32*Inputs!BB92</f>
        <v>8600</v>
      </c>
      <c r="BC67" s="39">
        <f>Inputs!BC32*Inputs!BC92</f>
        <v>8600</v>
      </c>
      <c r="BD67" s="39">
        <f>Inputs!BD32*Inputs!BD92</f>
        <v>8600</v>
      </c>
      <c r="BE67" s="39">
        <f>Inputs!BE32*Inputs!BE92</f>
        <v>8600</v>
      </c>
      <c r="BF67" s="39">
        <f>Inputs!BF32*Inputs!BF92</f>
        <v>10400</v>
      </c>
      <c r="BG67" s="39">
        <f>Inputs!BG32*Inputs!BG92</f>
        <v>10400</v>
      </c>
      <c r="BH67" s="39">
        <f>Inputs!BH32*Inputs!BH92</f>
        <v>10400</v>
      </c>
      <c r="BI67" s="39">
        <f>Inputs!BI32*Inputs!BI92</f>
        <v>10400</v>
      </c>
      <c r="BJ67" s="39">
        <f>Inputs!BJ32*Inputs!BJ92</f>
        <v>10400</v>
      </c>
      <c r="BK67" s="39">
        <f>Inputs!BK32*Inputs!BK92</f>
        <v>10400</v>
      </c>
      <c r="BL67" s="39">
        <f>Inputs!BL32*Inputs!BL92</f>
        <v>10400</v>
      </c>
      <c r="BM67" s="39">
        <f>Inputs!BM32*Inputs!BM92</f>
        <v>10400</v>
      </c>
      <c r="BN67" s="39">
        <f>Inputs!BN32*Inputs!BN92</f>
        <v>10400</v>
      </c>
      <c r="BO67" s="39">
        <f>Inputs!BO32*Inputs!BO92</f>
        <v>10400</v>
      </c>
      <c r="BP67" s="39">
        <f>Inputs!BP32*Inputs!BP92</f>
        <v>10400</v>
      </c>
      <c r="BQ67" s="39">
        <f>Inputs!BQ32*Inputs!BQ92</f>
        <v>10400</v>
      </c>
    </row>
    <row r="68" spans="2:69">
      <c r="B68" s="9"/>
      <c r="C68" s="9"/>
      <c r="D68" s="9"/>
      <c r="E68" s="9"/>
      <c r="F68" s="9"/>
      <c r="G68" s="9"/>
      <c r="H68" s="9"/>
      <c r="I68" s="9"/>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row>
    <row r="69" spans="2:69">
      <c r="B69" s="4" t="s">
        <v>6</v>
      </c>
      <c r="J69" s="39">
        <f t="shared" ref="J69:BE69" si="72">SUM(J67:J68)</f>
        <v>0</v>
      </c>
      <c r="K69" s="39">
        <f t="shared" si="72"/>
        <v>0</v>
      </c>
      <c r="L69" s="39">
        <f t="shared" si="72"/>
        <v>0</v>
      </c>
      <c r="M69" s="39">
        <f t="shared" si="72"/>
        <v>0</v>
      </c>
      <c r="N69" s="39">
        <f t="shared" si="72"/>
        <v>0</v>
      </c>
      <c r="O69" s="39">
        <f t="shared" si="72"/>
        <v>21800</v>
      </c>
      <c r="P69" s="39">
        <f t="shared" si="72"/>
        <v>476</v>
      </c>
      <c r="Q69" s="39">
        <f t="shared" si="72"/>
        <v>4000</v>
      </c>
      <c r="R69" s="39">
        <f t="shared" si="72"/>
        <v>0</v>
      </c>
      <c r="S69" s="39">
        <f t="shared" si="72"/>
        <v>0</v>
      </c>
      <c r="T69" s="39">
        <f t="shared" si="72"/>
        <v>0</v>
      </c>
      <c r="U69" s="39">
        <f t="shared" si="72"/>
        <v>0</v>
      </c>
      <c r="V69" s="39">
        <f t="shared" si="72"/>
        <v>0</v>
      </c>
      <c r="W69" s="39">
        <f t="shared" si="72"/>
        <v>6000</v>
      </c>
      <c r="X69" s="39">
        <f t="shared" si="72"/>
        <v>6000</v>
      </c>
      <c r="Y69" s="39">
        <f t="shared" si="72"/>
        <v>6000</v>
      </c>
      <c r="Z69" s="39">
        <f t="shared" si="72"/>
        <v>6000</v>
      </c>
      <c r="AA69" s="39">
        <f t="shared" si="72"/>
        <v>6000</v>
      </c>
      <c r="AB69" s="39">
        <f t="shared" si="72"/>
        <v>6000</v>
      </c>
      <c r="AC69" s="39">
        <f t="shared" si="72"/>
        <v>6000</v>
      </c>
      <c r="AD69" s="39">
        <f t="shared" si="72"/>
        <v>6000</v>
      </c>
      <c r="AE69" s="39">
        <f t="shared" si="72"/>
        <v>6000</v>
      </c>
      <c r="AF69" s="39">
        <f t="shared" si="72"/>
        <v>6000</v>
      </c>
      <c r="AG69" s="39">
        <f t="shared" si="72"/>
        <v>6000</v>
      </c>
      <c r="AH69" s="39">
        <f t="shared" si="72"/>
        <v>7200</v>
      </c>
      <c r="AI69" s="39">
        <f t="shared" si="72"/>
        <v>7200</v>
      </c>
      <c r="AJ69" s="39">
        <f t="shared" si="72"/>
        <v>7200</v>
      </c>
      <c r="AK69" s="39">
        <f t="shared" si="72"/>
        <v>7200</v>
      </c>
      <c r="AL69" s="39">
        <f t="shared" si="72"/>
        <v>7200</v>
      </c>
      <c r="AM69" s="39">
        <f t="shared" si="72"/>
        <v>7200</v>
      </c>
      <c r="AN69" s="39">
        <f t="shared" si="72"/>
        <v>7200</v>
      </c>
      <c r="AO69" s="39">
        <f t="shared" si="72"/>
        <v>7200</v>
      </c>
      <c r="AP69" s="39">
        <f t="shared" si="72"/>
        <v>7200</v>
      </c>
      <c r="AQ69" s="39">
        <f t="shared" si="72"/>
        <v>7200</v>
      </c>
      <c r="AR69" s="39">
        <f t="shared" si="72"/>
        <v>7200</v>
      </c>
      <c r="AS69" s="39">
        <f t="shared" si="72"/>
        <v>7200</v>
      </c>
      <c r="AT69" s="39">
        <f t="shared" si="72"/>
        <v>8600</v>
      </c>
      <c r="AU69" s="39">
        <f t="shared" si="72"/>
        <v>8600</v>
      </c>
      <c r="AV69" s="39">
        <f t="shared" si="72"/>
        <v>8600</v>
      </c>
      <c r="AW69" s="39">
        <f t="shared" si="72"/>
        <v>8600</v>
      </c>
      <c r="AX69" s="39">
        <f t="shared" si="72"/>
        <v>8600</v>
      </c>
      <c r="AY69" s="39">
        <f t="shared" si="72"/>
        <v>8600</v>
      </c>
      <c r="AZ69" s="39">
        <f t="shared" si="72"/>
        <v>8600</v>
      </c>
      <c r="BA69" s="39">
        <f t="shared" si="72"/>
        <v>8600</v>
      </c>
      <c r="BB69" s="39">
        <f t="shared" si="72"/>
        <v>8600</v>
      </c>
      <c r="BC69" s="39">
        <f t="shared" si="72"/>
        <v>8600</v>
      </c>
      <c r="BD69" s="39">
        <f t="shared" si="72"/>
        <v>8600</v>
      </c>
      <c r="BE69" s="39">
        <f t="shared" si="72"/>
        <v>8600</v>
      </c>
      <c r="BF69" s="39">
        <f t="shared" ref="BF69:BQ69" si="73">SUM(BF67:BF68)</f>
        <v>10400</v>
      </c>
      <c r="BG69" s="39">
        <f t="shared" si="73"/>
        <v>10400</v>
      </c>
      <c r="BH69" s="39">
        <f t="shared" si="73"/>
        <v>10400</v>
      </c>
      <c r="BI69" s="39">
        <f t="shared" si="73"/>
        <v>10400</v>
      </c>
      <c r="BJ69" s="39">
        <f t="shared" si="73"/>
        <v>10400</v>
      </c>
      <c r="BK69" s="39">
        <f t="shared" si="73"/>
        <v>10400</v>
      </c>
      <c r="BL69" s="39">
        <f t="shared" si="73"/>
        <v>10400</v>
      </c>
      <c r="BM69" s="39">
        <f t="shared" si="73"/>
        <v>10400</v>
      </c>
      <c r="BN69" s="39">
        <f t="shared" si="73"/>
        <v>10400</v>
      </c>
      <c r="BO69" s="39">
        <f t="shared" si="73"/>
        <v>10400</v>
      </c>
      <c r="BP69" s="39">
        <f t="shared" si="73"/>
        <v>10400</v>
      </c>
      <c r="BQ69" s="39">
        <f t="shared" si="73"/>
        <v>10400</v>
      </c>
    </row>
    <row r="70" spans="2:6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row>
    <row r="71" spans="2:6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row>
    <row r="72" spans="2:69">
      <c r="B72" s="4" t="s">
        <v>293</v>
      </c>
      <c r="J72" s="39">
        <v>0</v>
      </c>
      <c r="K72" s="39">
        <v>0</v>
      </c>
      <c r="L72" s="39">
        <v>484</v>
      </c>
      <c r="M72" s="39">
        <v>484</v>
      </c>
      <c r="N72" s="39">
        <v>1760</v>
      </c>
      <c r="O72" s="39">
        <v>1804</v>
      </c>
      <c r="P72" s="39">
        <v>2266</v>
      </c>
      <c r="Q72" s="39">
        <v>3344</v>
      </c>
      <c r="R72" s="39">
        <f>Inputs!R33*Inputs!R93</f>
        <v>6750</v>
      </c>
      <c r="S72" s="39">
        <f>Inputs!S33*Inputs!S93</f>
        <v>6750</v>
      </c>
      <c r="T72" s="39">
        <f>Inputs!T33*Inputs!T93</f>
        <v>6750</v>
      </c>
      <c r="U72" s="39">
        <f>Inputs!U33*Inputs!U93</f>
        <v>6750</v>
      </c>
      <c r="V72" s="39">
        <f>Inputs!V33*Inputs!V93</f>
        <v>6750</v>
      </c>
      <c r="W72" s="39">
        <f>Inputs!W33*Inputs!W93</f>
        <v>7425</v>
      </c>
      <c r="X72" s="39">
        <f>Inputs!X33*Inputs!X93</f>
        <v>8100</v>
      </c>
      <c r="Y72" s="39">
        <f>Inputs!Y33*Inputs!Y93</f>
        <v>8775</v>
      </c>
      <c r="Z72" s="39">
        <f>Inputs!Z33*Inputs!Z93</f>
        <v>9450</v>
      </c>
      <c r="AA72" s="39">
        <f>Inputs!AA33*Inputs!AA93</f>
        <v>10125</v>
      </c>
      <c r="AB72" s="39">
        <f>Inputs!AB33*Inputs!AB93</f>
        <v>10800</v>
      </c>
      <c r="AC72" s="39">
        <f>Inputs!AC33*Inputs!AC93</f>
        <v>11475</v>
      </c>
      <c r="AD72" s="39">
        <f>Inputs!AD33*Inputs!AD93</f>
        <v>12150</v>
      </c>
      <c r="AE72" s="39">
        <f>Inputs!AE33*Inputs!AE93</f>
        <v>12825</v>
      </c>
      <c r="AF72" s="39">
        <f>Inputs!AF33*Inputs!AF93</f>
        <v>13500</v>
      </c>
      <c r="AG72" s="39">
        <f>Inputs!AG33*Inputs!AG93</f>
        <v>14175</v>
      </c>
      <c r="AH72" s="39">
        <f>Inputs!AH33*Inputs!AH93</f>
        <v>14985</v>
      </c>
      <c r="AI72" s="39">
        <f>Inputs!AI33*Inputs!AI93</f>
        <v>15795</v>
      </c>
      <c r="AJ72" s="39">
        <f>Inputs!AJ33*Inputs!AJ93</f>
        <v>16605</v>
      </c>
      <c r="AK72" s="39">
        <f>Inputs!AK33*Inputs!AK93</f>
        <v>17415</v>
      </c>
      <c r="AL72" s="39">
        <f>Inputs!AL33*Inputs!AL93</f>
        <v>18225</v>
      </c>
      <c r="AM72" s="39">
        <f>Inputs!AM33*Inputs!AM93</f>
        <v>19035</v>
      </c>
      <c r="AN72" s="39">
        <f>Inputs!AN33*Inputs!AN93</f>
        <v>19845</v>
      </c>
      <c r="AO72" s="39">
        <f>Inputs!AO33*Inputs!AO93</f>
        <v>20655</v>
      </c>
      <c r="AP72" s="39">
        <f>Inputs!AP33*Inputs!AP93</f>
        <v>21465</v>
      </c>
      <c r="AQ72" s="39">
        <f>Inputs!AQ33*Inputs!AQ93</f>
        <v>22275</v>
      </c>
      <c r="AR72" s="39">
        <f>Inputs!AR33*Inputs!AR93</f>
        <v>23085</v>
      </c>
      <c r="AS72" s="39">
        <f>Inputs!AS33*Inputs!AS93</f>
        <v>23895</v>
      </c>
      <c r="AT72" s="39">
        <f>Inputs!AT33*Inputs!AT93</f>
        <v>24862.5</v>
      </c>
      <c r="AU72" s="39">
        <f>Inputs!AU33*Inputs!AU93</f>
        <v>25830</v>
      </c>
      <c r="AV72" s="39">
        <f>Inputs!AV33*Inputs!AV93</f>
        <v>26797.5</v>
      </c>
      <c r="AW72" s="39">
        <f>Inputs!AW33*Inputs!AW93</f>
        <v>27765</v>
      </c>
      <c r="AX72" s="39">
        <f>Inputs!AX33*Inputs!AX93</f>
        <v>28732.5</v>
      </c>
      <c r="AY72" s="39">
        <f>Inputs!AY33*Inputs!AY93</f>
        <v>29700</v>
      </c>
      <c r="AZ72" s="39">
        <f>Inputs!AZ33*Inputs!AZ93</f>
        <v>30667.5</v>
      </c>
      <c r="BA72" s="39">
        <f>Inputs!BA33*Inputs!BA93</f>
        <v>31635</v>
      </c>
      <c r="BB72" s="39">
        <f>Inputs!BB33*Inputs!BB93</f>
        <v>32602.5</v>
      </c>
      <c r="BC72" s="39">
        <f>Inputs!BC33*Inputs!BC93</f>
        <v>33570</v>
      </c>
      <c r="BD72" s="39">
        <f>Inputs!BD33*Inputs!BD93</f>
        <v>34537.5</v>
      </c>
      <c r="BE72" s="39">
        <f>Inputs!BE33*Inputs!BE93</f>
        <v>35505</v>
      </c>
      <c r="BF72" s="39">
        <f>Inputs!BF33*Inputs!BF93</f>
        <v>36675</v>
      </c>
      <c r="BG72" s="39">
        <f>Inputs!BG33*Inputs!BG93</f>
        <v>37845</v>
      </c>
      <c r="BH72" s="39">
        <f>Inputs!BH33*Inputs!BH93</f>
        <v>39015</v>
      </c>
      <c r="BI72" s="39">
        <f>Inputs!BI33*Inputs!BI93</f>
        <v>40185</v>
      </c>
      <c r="BJ72" s="39">
        <f>Inputs!BJ33*Inputs!BJ93</f>
        <v>41355</v>
      </c>
      <c r="BK72" s="39">
        <f>Inputs!BK33*Inputs!BK93</f>
        <v>42525</v>
      </c>
      <c r="BL72" s="39">
        <f>Inputs!BL33*Inputs!BL93</f>
        <v>43695</v>
      </c>
      <c r="BM72" s="39">
        <f>Inputs!BM33*Inputs!BM93</f>
        <v>44865</v>
      </c>
      <c r="BN72" s="39">
        <f>Inputs!BN33*Inputs!BN93</f>
        <v>46035</v>
      </c>
      <c r="BO72" s="39">
        <f>Inputs!BO33*Inputs!BO93</f>
        <v>47205</v>
      </c>
      <c r="BP72" s="39">
        <f>Inputs!BP33*Inputs!BP93</f>
        <v>48375</v>
      </c>
      <c r="BQ72" s="39">
        <f>Inputs!BQ33*Inputs!BQ93</f>
        <v>49545</v>
      </c>
    </row>
    <row r="73" spans="2:69">
      <c r="B73" s="9"/>
      <c r="C73" s="9"/>
      <c r="D73" s="9"/>
      <c r="E73" s="9"/>
      <c r="F73" s="9"/>
      <c r="G73" s="9"/>
      <c r="H73" s="9"/>
      <c r="I73" s="9"/>
      <c r="J73" s="42"/>
      <c r="K73" s="42"/>
      <c r="L73" s="42"/>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42"/>
      <c r="BE73" s="42"/>
      <c r="BF73" s="42"/>
      <c r="BG73" s="42"/>
      <c r="BH73" s="42"/>
      <c r="BI73" s="42"/>
      <c r="BJ73" s="42"/>
      <c r="BK73" s="42"/>
      <c r="BL73" s="42"/>
      <c r="BM73" s="42"/>
      <c r="BN73" s="42"/>
      <c r="BO73" s="42"/>
      <c r="BP73" s="42"/>
      <c r="BQ73" s="42"/>
    </row>
    <row r="74" spans="2:69">
      <c r="B74" s="4" t="s">
        <v>6</v>
      </c>
      <c r="J74" s="39">
        <f t="shared" ref="J74:BE74" si="74">SUM(J72:J73)</f>
        <v>0</v>
      </c>
      <c r="K74" s="39">
        <f t="shared" si="74"/>
        <v>0</v>
      </c>
      <c r="L74" s="39">
        <f t="shared" si="74"/>
        <v>484</v>
      </c>
      <c r="M74" s="39">
        <f t="shared" si="74"/>
        <v>484</v>
      </c>
      <c r="N74" s="39">
        <f t="shared" si="74"/>
        <v>1760</v>
      </c>
      <c r="O74" s="39">
        <f t="shared" si="74"/>
        <v>1804</v>
      </c>
      <c r="P74" s="39">
        <f t="shared" si="74"/>
        <v>2266</v>
      </c>
      <c r="Q74" s="39">
        <f t="shared" si="74"/>
        <v>3344</v>
      </c>
      <c r="R74" s="39">
        <f t="shared" si="74"/>
        <v>6750</v>
      </c>
      <c r="S74" s="39">
        <f t="shared" si="74"/>
        <v>6750</v>
      </c>
      <c r="T74" s="39">
        <f t="shared" si="74"/>
        <v>6750</v>
      </c>
      <c r="U74" s="39">
        <f t="shared" si="74"/>
        <v>6750</v>
      </c>
      <c r="V74" s="39">
        <f t="shared" si="74"/>
        <v>6750</v>
      </c>
      <c r="W74" s="39">
        <f t="shared" si="74"/>
        <v>7425</v>
      </c>
      <c r="X74" s="39">
        <f t="shared" si="74"/>
        <v>8100</v>
      </c>
      <c r="Y74" s="39">
        <f t="shared" si="74"/>
        <v>8775</v>
      </c>
      <c r="Z74" s="39">
        <f t="shared" si="74"/>
        <v>9450</v>
      </c>
      <c r="AA74" s="39">
        <f t="shared" si="74"/>
        <v>10125</v>
      </c>
      <c r="AB74" s="39">
        <f t="shared" si="74"/>
        <v>10800</v>
      </c>
      <c r="AC74" s="39">
        <f t="shared" si="74"/>
        <v>11475</v>
      </c>
      <c r="AD74" s="39">
        <f t="shared" si="74"/>
        <v>12150</v>
      </c>
      <c r="AE74" s="39">
        <f t="shared" si="74"/>
        <v>12825</v>
      </c>
      <c r="AF74" s="39">
        <f t="shared" si="74"/>
        <v>13500</v>
      </c>
      <c r="AG74" s="39">
        <f t="shared" si="74"/>
        <v>14175</v>
      </c>
      <c r="AH74" s="39">
        <f t="shared" si="74"/>
        <v>14985</v>
      </c>
      <c r="AI74" s="39">
        <f t="shared" si="74"/>
        <v>15795</v>
      </c>
      <c r="AJ74" s="39">
        <f t="shared" si="74"/>
        <v>16605</v>
      </c>
      <c r="AK74" s="39">
        <f t="shared" si="74"/>
        <v>17415</v>
      </c>
      <c r="AL74" s="39">
        <f t="shared" si="74"/>
        <v>18225</v>
      </c>
      <c r="AM74" s="39">
        <f t="shared" si="74"/>
        <v>19035</v>
      </c>
      <c r="AN74" s="39">
        <f t="shared" si="74"/>
        <v>19845</v>
      </c>
      <c r="AO74" s="39">
        <f t="shared" si="74"/>
        <v>20655</v>
      </c>
      <c r="AP74" s="39">
        <f t="shared" si="74"/>
        <v>21465</v>
      </c>
      <c r="AQ74" s="39">
        <f t="shared" si="74"/>
        <v>22275</v>
      </c>
      <c r="AR74" s="39">
        <f t="shared" si="74"/>
        <v>23085</v>
      </c>
      <c r="AS74" s="39">
        <f t="shared" si="74"/>
        <v>23895</v>
      </c>
      <c r="AT74" s="39">
        <f t="shared" si="74"/>
        <v>24862.5</v>
      </c>
      <c r="AU74" s="39">
        <f t="shared" si="74"/>
        <v>25830</v>
      </c>
      <c r="AV74" s="39">
        <f t="shared" si="74"/>
        <v>26797.5</v>
      </c>
      <c r="AW74" s="39">
        <f t="shared" si="74"/>
        <v>27765</v>
      </c>
      <c r="AX74" s="39">
        <f t="shared" si="74"/>
        <v>28732.5</v>
      </c>
      <c r="AY74" s="39">
        <f t="shared" si="74"/>
        <v>29700</v>
      </c>
      <c r="AZ74" s="39">
        <f t="shared" si="74"/>
        <v>30667.5</v>
      </c>
      <c r="BA74" s="39">
        <f t="shared" si="74"/>
        <v>31635</v>
      </c>
      <c r="BB74" s="39">
        <f t="shared" si="74"/>
        <v>32602.5</v>
      </c>
      <c r="BC74" s="39">
        <f t="shared" si="74"/>
        <v>33570</v>
      </c>
      <c r="BD74" s="39">
        <f t="shared" si="74"/>
        <v>34537.5</v>
      </c>
      <c r="BE74" s="39">
        <f t="shared" si="74"/>
        <v>35505</v>
      </c>
      <c r="BF74" s="39">
        <f t="shared" ref="BF74:BQ74" si="75">SUM(BF72:BF73)</f>
        <v>36675</v>
      </c>
      <c r="BG74" s="39">
        <f t="shared" si="75"/>
        <v>37845</v>
      </c>
      <c r="BH74" s="39">
        <f t="shared" si="75"/>
        <v>39015</v>
      </c>
      <c r="BI74" s="39">
        <f t="shared" si="75"/>
        <v>40185</v>
      </c>
      <c r="BJ74" s="39">
        <f t="shared" si="75"/>
        <v>41355</v>
      </c>
      <c r="BK74" s="39">
        <f t="shared" si="75"/>
        <v>42525</v>
      </c>
      <c r="BL74" s="39">
        <f t="shared" si="75"/>
        <v>43695</v>
      </c>
      <c r="BM74" s="39">
        <f t="shared" si="75"/>
        <v>44865</v>
      </c>
      <c r="BN74" s="39">
        <f t="shared" si="75"/>
        <v>46035</v>
      </c>
      <c r="BO74" s="39">
        <f t="shared" si="75"/>
        <v>47205</v>
      </c>
      <c r="BP74" s="39">
        <f t="shared" si="75"/>
        <v>48375</v>
      </c>
      <c r="BQ74" s="39">
        <f t="shared" si="75"/>
        <v>49545</v>
      </c>
    </row>
    <row r="75" spans="2:6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c r="AX75" s="39"/>
      <c r="AY75" s="39"/>
      <c r="AZ75" s="39"/>
      <c r="BA75" s="39"/>
      <c r="BB75" s="39"/>
      <c r="BC75" s="39"/>
      <c r="BD75" s="39"/>
      <c r="BE75" s="39"/>
      <c r="BF75" s="39"/>
      <c r="BG75" s="39"/>
      <c r="BH75" s="39"/>
      <c r="BI75" s="39"/>
      <c r="BJ75" s="39"/>
      <c r="BK75" s="39"/>
      <c r="BL75" s="39"/>
      <c r="BM75" s="39"/>
      <c r="BN75" s="39"/>
      <c r="BO75" s="39"/>
      <c r="BP75" s="39"/>
      <c r="BQ75" s="39"/>
    </row>
    <row r="76" spans="2:6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row>
    <row r="77" spans="2:69">
      <c r="B77" s="4" t="s">
        <v>294</v>
      </c>
      <c r="J77" s="39">
        <v>0</v>
      </c>
      <c r="K77" s="39">
        <v>0</v>
      </c>
      <c r="L77" s="39">
        <v>0</v>
      </c>
      <c r="M77" s="39">
        <v>0</v>
      </c>
      <c r="N77" s="39">
        <v>0</v>
      </c>
      <c r="O77" s="39">
        <f>345</f>
        <v>345</v>
      </c>
      <c r="P77" s="39">
        <v>45</v>
      </c>
      <c r="Q77" s="39">
        <f>Inputs!Q94</f>
        <v>0</v>
      </c>
      <c r="R77" s="39">
        <f>Inputs!R94</f>
        <v>0</v>
      </c>
      <c r="S77" s="39">
        <f>Inputs!S94</f>
        <v>0</v>
      </c>
      <c r="T77" s="39">
        <f>Inputs!T94</f>
        <v>0</v>
      </c>
      <c r="U77" s="39">
        <f>Inputs!U94</f>
        <v>0</v>
      </c>
      <c r="V77" s="39">
        <f>Inputs!V94</f>
        <v>0</v>
      </c>
      <c r="W77" s="39">
        <f>Inputs!W94</f>
        <v>0</v>
      </c>
      <c r="X77" s="39">
        <f>Inputs!X94</f>
        <v>0</v>
      </c>
      <c r="Y77" s="39">
        <f>Inputs!Y94</f>
        <v>0</v>
      </c>
      <c r="Z77" s="39">
        <f>Inputs!Z94</f>
        <v>0</v>
      </c>
      <c r="AA77" s="39">
        <f>Inputs!AA94</f>
        <v>0</v>
      </c>
      <c r="AB77" s="39">
        <f>Inputs!AB94</f>
        <v>0</v>
      </c>
      <c r="AC77" s="39">
        <f>Inputs!AC94</f>
        <v>0</v>
      </c>
      <c r="AD77" s="39">
        <f>Inputs!AD94</f>
        <v>0</v>
      </c>
      <c r="AE77" s="39">
        <f>Inputs!AE94</f>
        <v>0</v>
      </c>
      <c r="AF77" s="39">
        <f>Inputs!AF94</f>
        <v>0</v>
      </c>
      <c r="AG77" s="39">
        <f>Inputs!AG94</f>
        <v>0</v>
      </c>
      <c r="AH77" s="39">
        <f>Inputs!AH94</f>
        <v>0</v>
      </c>
      <c r="AI77" s="39">
        <f>Inputs!AI94</f>
        <v>0</v>
      </c>
      <c r="AJ77" s="39">
        <f>Inputs!AJ94</f>
        <v>0</v>
      </c>
      <c r="AK77" s="39">
        <f>Inputs!AK94</f>
        <v>0</v>
      </c>
      <c r="AL77" s="39">
        <f>Inputs!AL94</f>
        <v>0</v>
      </c>
      <c r="AM77" s="39">
        <f>Inputs!AM94</f>
        <v>0</v>
      </c>
      <c r="AN77" s="39">
        <f>Inputs!AN94</f>
        <v>0</v>
      </c>
      <c r="AO77" s="39">
        <f>Inputs!AO94</f>
        <v>0</v>
      </c>
      <c r="AP77" s="39">
        <f>Inputs!AP94</f>
        <v>0</v>
      </c>
      <c r="AQ77" s="39">
        <f>Inputs!AQ94</f>
        <v>0</v>
      </c>
      <c r="AR77" s="39">
        <f>Inputs!AR94</f>
        <v>0</v>
      </c>
      <c r="AS77" s="39">
        <f>Inputs!AS94</f>
        <v>0</v>
      </c>
      <c r="AT77" s="39">
        <f>Inputs!AT94</f>
        <v>0</v>
      </c>
      <c r="AU77" s="39">
        <f>Inputs!AU94</f>
        <v>0</v>
      </c>
      <c r="AV77" s="39">
        <f>Inputs!AV94</f>
        <v>0</v>
      </c>
      <c r="AW77" s="39">
        <f>Inputs!AW94</f>
        <v>0</v>
      </c>
      <c r="AX77" s="39">
        <f>Inputs!AX94</f>
        <v>0</v>
      </c>
      <c r="AY77" s="39">
        <f>Inputs!AY94</f>
        <v>0</v>
      </c>
      <c r="AZ77" s="39">
        <f>Inputs!AZ94</f>
        <v>0</v>
      </c>
      <c r="BA77" s="39">
        <f>Inputs!BA94</f>
        <v>0</v>
      </c>
      <c r="BB77" s="39">
        <f>Inputs!BB94</f>
        <v>0</v>
      </c>
      <c r="BC77" s="39">
        <f>Inputs!BC94</f>
        <v>0</v>
      </c>
      <c r="BD77" s="39">
        <f>Inputs!BD94</f>
        <v>0</v>
      </c>
      <c r="BE77" s="39">
        <f>Inputs!BE94</f>
        <v>0</v>
      </c>
      <c r="BF77" s="39">
        <f>Inputs!BF94</f>
        <v>0</v>
      </c>
      <c r="BG77" s="39">
        <f>Inputs!BG94</f>
        <v>0</v>
      </c>
      <c r="BH77" s="39">
        <f>Inputs!BH94</f>
        <v>0</v>
      </c>
      <c r="BI77" s="39">
        <f>Inputs!BI94</f>
        <v>0</v>
      </c>
      <c r="BJ77" s="39">
        <f>Inputs!BJ94</f>
        <v>0</v>
      </c>
      <c r="BK77" s="39">
        <f>Inputs!BK94</f>
        <v>0</v>
      </c>
      <c r="BL77" s="39">
        <f>Inputs!BL94</f>
        <v>0</v>
      </c>
      <c r="BM77" s="39">
        <f>Inputs!BM94</f>
        <v>0</v>
      </c>
      <c r="BN77" s="39">
        <f>Inputs!BN94</f>
        <v>0</v>
      </c>
      <c r="BO77" s="39">
        <f>Inputs!BO94</f>
        <v>0</v>
      </c>
      <c r="BP77" s="39">
        <f>Inputs!BP94</f>
        <v>0</v>
      </c>
      <c r="BQ77" s="39">
        <f>Inputs!BQ94</f>
        <v>0</v>
      </c>
    </row>
    <row r="78" spans="2:69">
      <c r="B78" s="9"/>
      <c r="C78" s="9"/>
      <c r="D78" s="9"/>
      <c r="E78" s="9"/>
      <c r="F78" s="9"/>
      <c r="G78" s="9"/>
      <c r="H78" s="9"/>
      <c r="I78" s="9"/>
      <c r="J78" s="42"/>
      <c r="K78" s="42"/>
      <c r="L78" s="42"/>
      <c r="M78" s="42"/>
      <c r="N78" s="42"/>
      <c r="O78" s="42"/>
      <c r="P78" s="42"/>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row>
    <row r="79" spans="2:69">
      <c r="B79" s="4" t="s">
        <v>6</v>
      </c>
      <c r="J79" s="39">
        <f t="shared" ref="J79:BE79" si="76">SUM(J77:J78)</f>
        <v>0</v>
      </c>
      <c r="K79" s="39">
        <f t="shared" si="76"/>
        <v>0</v>
      </c>
      <c r="L79" s="39">
        <f t="shared" si="76"/>
        <v>0</v>
      </c>
      <c r="M79" s="39">
        <f t="shared" si="76"/>
        <v>0</v>
      </c>
      <c r="N79" s="39">
        <f t="shared" si="76"/>
        <v>0</v>
      </c>
      <c r="O79" s="39">
        <f t="shared" si="76"/>
        <v>345</v>
      </c>
      <c r="P79" s="39">
        <f t="shared" si="76"/>
        <v>45</v>
      </c>
      <c r="Q79" s="39">
        <f t="shared" si="76"/>
        <v>0</v>
      </c>
      <c r="R79" s="39">
        <f t="shared" si="76"/>
        <v>0</v>
      </c>
      <c r="S79" s="39">
        <f t="shared" si="76"/>
        <v>0</v>
      </c>
      <c r="T79" s="39">
        <f t="shared" si="76"/>
        <v>0</v>
      </c>
      <c r="U79" s="39">
        <f t="shared" si="76"/>
        <v>0</v>
      </c>
      <c r="V79" s="39">
        <f t="shared" si="76"/>
        <v>0</v>
      </c>
      <c r="W79" s="39">
        <f t="shared" si="76"/>
        <v>0</v>
      </c>
      <c r="X79" s="39">
        <f t="shared" si="76"/>
        <v>0</v>
      </c>
      <c r="Y79" s="39">
        <f t="shared" si="76"/>
        <v>0</v>
      </c>
      <c r="Z79" s="39">
        <f t="shared" si="76"/>
        <v>0</v>
      </c>
      <c r="AA79" s="39">
        <f t="shared" si="76"/>
        <v>0</v>
      </c>
      <c r="AB79" s="39">
        <f t="shared" si="76"/>
        <v>0</v>
      </c>
      <c r="AC79" s="39">
        <f t="shared" si="76"/>
        <v>0</v>
      </c>
      <c r="AD79" s="39">
        <f t="shared" si="76"/>
        <v>0</v>
      </c>
      <c r="AE79" s="39">
        <f t="shared" si="76"/>
        <v>0</v>
      </c>
      <c r="AF79" s="39">
        <f t="shared" si="76"/>
        <v>0</v>
      </c>
      <c r="AG79" s="39">
        <f t="shared" si="76"/>
        <v>0</v>
      </c>
      <c r="AH79" s="39">
        <f t="shared" si="76"/>
        <v>0</v>
      </c>
      <c r="AI79" s="39">
        <f t="shared" si="76"/>
        <v>0</v>
      </c>
      <c r="AJ79" s="39">
        <f t="shared" si="76"/>
        <v>0</v>
      </c>
      <c r="AK79" s="39">
        <f t="shared" si="76"/>
        <v>0</v>
      </c>
      <c r="AL79" s="39">
        <f t="shared" si="76"/>
        <v>0</v>
      </c>
      <c r="AM79" s="39">
        <f t="shared" si="76"/>
        <v>0</v>
      </c>
      <c r="AN79" s="39">
        <f t="shared" si="76"/>
        <v>0</v>
      </c>
      <c r="AO79" s="39">
        <f t="shared" si="76"/>
        <v>0</v>
      </c>
      <c r="AP79" s="39">
        <f t="shared" si="76"/>
        <v>0</v>
      </c>
      <c r="AQ79" s="39">
        <f t="shared" si="76"/>
        <v>0</v>
      </c>
      <c r="AR79" s="39">
        <f t="shared" si="76"/>
        <v>0</v>
      </c>
      <c r="AS79" s="39">
        <f t="shared" si="76"/>
        <v>0</v>
      </c>
      <c r="AT79" s="39">
        <f t="shared" si="76"/>
        <v>0</v>
      </c>
      <c r="AU79" s="39">
        <f t="shared" si="76"/>
        <v>0</v>
      </c>
      <c r="AV79" s="39">
        <f t="shared" si="76"/>
        <v>0</v>
      </c>
      <c r="AW79" s="39">
        <f t="shared" si="76"/>
        <v>0</v>
      </c>
      <c r="AX79" s="39">
        <f t="shared" si="76"/>
        <v>0</v>
      </c>
      <c r="AY79" s="39">
        <f t="shared" si="76"/>
        <v>0</v>
      </c>
      <c r="AZ79" s="39">
        <f t="shared" si="76"/>
        <v>0</v>
      </c>
      <c r="BA79" s="39">
        <f t="shared" si="76"/>
        <v>0</v>
      </c>
      <c r="BB79" s="39">
        <f t="shared" si="76"/>
        <v>0</v>
      </c>
      <c r="BC79" s="39">
        <f t="shared" si="76"/>
        <v>0</v>
      </c>
      <c r="BD79" s="39">
        <f t="shared" si="76"/>
        <v>0</v>
      </c>
      <c r="BE79" s="39">
        <f t="shared" si="76"/>
        <v>0</v>
      </c>
      <c r="BF79" s="39">
        <f t="shared" ref="BF79:BQ79" si="77">SUM(BF77:BF78)</f>
        <v>0</v>
      </c>
      <c r="BG79" s="39">
        <f t="shared" si="77"/>
        <v>0</v>
      </c>
      <c r="BH79" s="39">
        <f t="shared" si="77"/>
        <v>0</v>
      </c>
      <c r="BI79" s="39">
        <f t="shared" si="77"/>
        <v>0</v>
      </c>
      <c r="BJ79" s="39">
        <f t="shared" si="77"/>
        <v>0</v>
      </c>
      <c r="BK79" s="39">
        <f t="shared" si="77"/>
        <v>0</v>
      </c>
      <c r="BL79" s="39">
        <f t="shared" si="77"/>
        <v>0</v>
      </c>
      <c r="BM79" s="39">
        <f t="shared" si="77"/>
        <v>0</v>
      </c>
      <c r="BN79" s="39">
        <f t="shared" si="77"/>
        <v>0</v>
      </c>
      <c r="BO79" s="39">
        <f t="shared" si="77"/>
        <v>0</v>
      </c>
      <c r="BP79" s="39">
        <f t="shared" si="77"/>
        <v>0</v>
      </c>
      <c r="BQ79" s="39">
        <f t="shared" si="77"/>
        <v>0</v>
      </c>
    </row>
    <row r="80" spans="2:6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row>
    <row r="81" spans="2:6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row>
    <row r="82" spans="2:69">
      <c r="B82" s="4" t="s">
        <v>295</v>
      </c>
      <c r="J82" s="39">
        <v>0</v>
      </c>
      <c r="K82" s="39">
        <v>0</v>
      </c>
      <c r="L82" s="39">
        <v>0</v>
      </c>
      <c r="M82" s="39">
        <v>0</v>
      </c>
      <c r="N82" s="39">
        <v>0</v>
      </c>
      <c r="O82" s="39">
        <v>0</v>
      </c>
      <c r="P82" s="39">
        <f>Inputs!O33*Inputs!P95</f>
        <v>0</v>
      </c>
      <c r="Q82" s="39">
        <f>Inputs!P33*Inputs!Q95</f>
        <v>0</v>
      </c>
      <c r="R82" s="39">
        <f>Inputs!Q33*Inputs!R95</f>
        <v>0</v>
      </c>
      <c r="S82" s="65">
        <v>10000</v>
      </c>
      <c r="T82" s="65">
        <v>10000</v>
      </c>
      <c r="U82" s="65">
        <v>10000</v>
      </c>
      <c r="V82" s="65">
        <f>Inputs!U33*Inputs!V95</f>
        <v>18000</v>
      </c>
      <c r="W82" s="39">
        <f>Inputs!V33*Inputs!W95</f>
        <v>18000</v>
      </c>
      <c r="X82" s="39">
        <f>Inputs!W33*Inputs!X95</f>
        <v>19800</v>
      </c>
      <c r="Y82" s="39">
        <f>Inputs!X33*Inputs!Y95</f>
        <v>21600</v>
      </c>
      <c r="Z82" s="39">
        <f>Inputs!Y33*Inputs!Z95</f>
        <v>23400</v>
      </c>
      <c r="AA82" s="39">
        <f>Inputs!Z33*Inputs!AA95</f>
        <v>25200</v>
      </c>
      <c r="AB82" s="39">
        <f>Inputs!AA33*Inputs!AB95</f>
        <v>27000</v>
      </c>
      <c r="AC82" s="39">
        <f>Inputs!AB33*Inputs!AC95</f>
        <v>28800</v>
      </c>
      <c r="AD82" s="39">
        <f>Inputs!AC33*Inputs!AD95</f>
        <v>30600</v>
      </c>
      <c r="AE82" s="39">
        <f>Inputs!AD33*Inputs!AE95</f>
        <v>32400</v>
      </c>
      <c r="AF82" s="39">
        <f>Inputs!AE33*Inputs!AF95</f>
        <v>34200</v>
      </c>
      <c r="AG82" s="39">
        <f>Inputs!AF33*Inputs!AG95</f>
        <v>36000</v>
      </c>
      <c r="AH82" s="39">
        <f>Inputs!AG33*Inputs!AH95</f>
        <v>37800</v>
      </c>
      <c r="AI82" s="39">
        <f>Inputs!AH33*Inputs!AI95</f>
        <v>39960</v>
      </c>
      <c r="AJ82" s="39">
        <f>Inputs!AI33*Inputs!AJ95</f>
        <v>42120</v>
      </c>
      <c r="AK82" s="39">
        <f>Inputs!AJ33*Inputs!AK95</f>
        <v>44280</v>
      </c>
      <c r="AL82" s="39">
        <f>Inputs!AK33*Inputs!AL95</f>
        <v>46440</v>
      </c>
      <c r="AM82" s="39">
        <f>Inputs!AL33*Inputs!AM95</f>
        <v>48600</v>
      </c>
      <c r="AN82" s="39">
        <f>Inputs!AM33*Inputs!AN95</f>
        <v>50760</v>
      </c>
      <c r="AO82" s="39">
        <f>Inputs!AN33*Inputs!AO95</f>
        <v>52920</v>
      </c>
      <c r="AP82" s="39">
        <f>Inputs!AO33*Inputs!AP95</f>
        <v>55080</v>
      </c>
      <c r="AQ82" s="39">
        <f>Inputs!AP33*Inputs!AQ95</f>
        <v>57240</v>
      </c>
      <c r="AR82" s="39">
        <f>Inputs!AQ33*Inputs!AR95</f>
        <v>59400</v>
      </c>
      <c r="AS82" s="39">
        <f>Inputs!AR33*Inputs!AS95</f>
        <v>61560</v>
      </c>
      <c r="AT82" s="39">
        <f>Inputs!AS33*Inputs!AT95</f>
        <v>63720</v>
      </c>
      <c r="AU82" s="39">
        <f>Inputs!AT33*Inputs!AU95</f>
        <v>66300</v>
      </c>
      <c r="AV82" s="39">
        <f>Inputs!AU33*Inputs!AV95</f>
        <v>68880</v>
      </c>
      <c r="AW82" s="39">
        <f>Inputs!AV33*Inputs!AW95</f>
        <v>71460</v>
      </c>
      <c r="AX82" s="39">
        <f>Inputs!AW33*Inputs!AX95</f>
        <v>74040</v>
      </c>
      <c r="AY82" s="39">
        <f>Inputs!AX33*Inputs!AY95</f>
        <v>76620</v>
      </c>
      <c r="AZ82" s="39">
        <f>Inputs!AY33*Inputs!AZ95</f>
        <v>79200</v>
      </c>
      <c r="BA82" s="39">
        <f>Inputs!AZ33*Inputs!BA95</f>
        <v>81780</v>
      </c>
      <c r="BB82" s="39">
        <f>Inputs!BA33*Inputs!BB95</f>
        <v>84360</v>
      </c>
      <c r="BC82" s="39">
        <f>Inputs!BB33*Inputs!BC95</f>
        <v>86940</v>
      </c>
      <c r="BD82" s="39">
        <f>Inputs!BC33*Inputs!BD95</f>
        <v>89520</v>
      </c>
      <c r="BE82" s="39">
        <f>Inputs!BD33*Inputs!BE95</f>
        <v>92100</v>
      </c>
      <c r="BF82" s="39">
        <f>Inputs!BE33*Inputs!BF95</f>
        <v>94680</v>
      </c>
      <c r="BG82" s="39">
        <f>Inputs!BF33*Inputs!BG95</f>
        <v>97800</v>
      </c>
      <c r="BH82" s="39">
        <f>Inputs!BG33*Inputs!BH95</f>
        <v>100920</v>
      </c>
      <c r="BI82" s="39">
        <f>Inputs!BH33*Inputs!BI95</f>
        <v>104040</v>
      </c>
      <c r="BJ82" s="39">
        <f>Inputs!BI33*Inputs!BJ95</f>
        <v>107160</v>
      </c>
      <c r="BK82" s="39">
        <f>Inputs!BJ33*Inputs!BK95</f>
        <v>110280</v>
      </c>
      <c r="BL82" s="39">
        <f>Inputs!BK33*Inputs!BL95</f>
        <v>113400</v>
      </c>
      <c r="BM82" s="39">
        <f>Inputs!BL33*Inputs!BM95</f>
        <v>116520</v>
      </c>
      <c r="BN82" s="39">
        <f>Inputs!BM33*Inputs!BN95</f>
        <v>119640</v>
      </c>
      <c r="BO82" s="39">
        <f>Inputs!BN33*Inputs!BO95</f>
        <v>122760</v>
      </c>
      <c r="BP82" s="39">
        <f>Inputs!BO33*Inputs!BP95</f>
        <v>125880</v>
      </c>
      <c r="BQ82" s="39">
        <f>Inputs!BP33*Inputs!BQ95</f>
        <v>129000</v>
      </c>
    </row>
    <row r="83" spans="2:69">
      <c r="B83" s="9"/>
      <c r="C83" s="9"/>
      <c r="D83" s="9"/>
      <c r="E83" s="9"/>
      <c r="F83" s="9"/>
      <c r="G83" s="9"/>
      <c r="H83" s="9"/>
      <c r="I83" s="9"/>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row>
    <row r="84" spans="2:69">
      <c r="B84" s="4" t="s">
        <v>6</v>
      </c>
      <c r="J84" s="39">
        <f t="shared" ref="J84:BE84" si="78">SUM(J82:J83)</f>
        <v>0</v>
      </c>
      <c r="K84" s="39">
        <f t="shared" si="78"/>
        <v>0</v>
      </c>
      <c r="L84" s="39">
        <f t="shared" si="78"/>
        <v>0</v>
      </c>
      <c r="M84" s="39">
        <f t="shared" si="78"/>
        <v>0</v>
      </c>
      <c r="N84" s="39">
        <f t="shared" si="78"/>
        <v>0</v>
      </c>
      <c r="O84" s="39">
        <f t="shared" si="78"/>
        <v>0</v>
      </c>
      <c r="P84" s="39">
        <f t="shared" si="78"/>
        <v>0</v>
      </c>
      <c r="Q84" s="39">
        <f t="shared" si="78"/>
        <v>0</v>
      </c>
      <c r="R84" s="39">
        <f t="shared" si="78"/>
        <v>0</v>
      </c>
      <c r="S84" s="39">
        <f t="shared" si="78"/>
        <v>10000</v>
      </c>
      <c r="T84" s="39">
        <f t="shared" si="78"/>
        <v>10000</v>
      </c>
      <c r="U84" s="39">
        <f t="shared" si="78"/>
        <v>10000</v>
      </c>
      <c r="V84" s="39">
        <f t="shared" si="78"/>
        <v>18000</v>
      </c>
      <c r="W84" s="39">
        <f t="shared" si="78"/>
        <v>18000</v>
      </c>
      <c r="X84" s="39">
        <f t="shared" si="78"/>
        <v>19800</v>
      </c>
      <c r="Y84" s="39">
        <f t="shared" si="78"/>
        <v>21600</v>
      </c>
      <c r="Z84" s="39">
        <f t="shared" si="78"/>
        <v>23400</v>
      </c>
      <c r="AA84" s="39">
        <f t="shared" si="78"/>
        <v>25200</v>
      </c>
      <c r="AB84" s="39">
        <f t="shared" si="78"/>
        <v>27000</v>
      </c>
      <c r="AC84" s="39">
        <f t="shared" si="78"/>
        <v>28800</v>
      </c>
      <c r="AD84" s="39">
        <f t="shared" si="78"/>
        <v>30600</v>
      </c>
      <c r="AE84" s="39">
        <f t="shared" si="78"/>
        <v>32400</v>
      </c>
      <c r="AF84" s="39">
        <f t="shared" si="78"/>
        <v>34200</v>
      </c>
      <c r="AG84" s="39">
        <f t="shared" si="78"/>
        <v>36000</v>
      </c>
      <c r="AH84" s="39">
        <f t="shared" si="78"/>
        <v>37800</v>
      </c>
      <c r="AI84" s="39">
        <f t="shared" si="78"/>
        <v>39960</v>
      </c>
      <c r="AJ84" s="39">
        <f t="shared" si="78"/>
        <v>42120</v>
      </c>
      <c r="AK84" s="39">
        <f t="shared" si="78"/>
        <v>44280</v>
      </c>
      <c r="AL84" s="39">
        <f t="shared" si="78"/>
        <v>46440</v>
      </c>
      <c r="AM84" s="39">
        <f t="shared" si="78"/>
        <v>48600</v>
      </c>
      <c r="AN84" s="39">
        <f t="shared" si="78"/>
        <v>50760</v>
      </c>
      <c r="AO84" s="39">
        <f t="shared" si="78"/>
        <v>52920</v>
      </c>
      <c r="AP84" s="39">
        <f t="shared" si="78"/>
        <v>55080</v>
      </c>
      <c r="AQ84" s="39">
        <f t="shared" si="78"/>
        <v>57240</v>
      </c>
      <c r="AR84" s="39">
        <f t="shared" si="78"/>
        <v>59400</v>
      </c>
      <c r="AS84" s="39">
        <f t="shared" si="78"/>
        <v>61560</v>
      </c>
      <c r="AT84" s="39">
        <f t="shared" si="78"/>
        <v>63720</v>
      </c>
      <c r="AU84" s="39">
        <f t="shared" si="78"/>
        <v>66300</v>
      </c>
      <c r="AV84" s="39">
        <f t="shared" si="78"/>
        <v>68880</v>
      </c>
      <c r="AW84" s="39">
        <f t="shared" si="78"/>
        <v>71460</v>
      </c>
      <c r="AX84" s="39">
        <f t="shared" si="78"/>
        <v>74040</v>
      </c>
      <c r="AY84" s="39">
        <f t="shared" si="78"/>
        <v>76620</v>
      </c>
      <c r="AZ84" s="39">
        <f t="shared" si="78"/>
        <v>79200</v>
      </c>
      <c r="BA84" s="39">
        <f t="shared" si="78"/>
        <v>81780</v>
      </c>
      <c r="BB84" s="39">
        <f t="shared" si="78"/>
        <v>84360</v>
      </c>
      <c r="BC84" s="39">
        <f t="shared" si="78"/>
        <v>86940</v>
      </c>
      <c r="BD84" s="39">
        <f t="shared" si="78"/>
        <v>89520</v>
      </c>
      <c r="BE84" s="39">
        <f t="shared" si="78"/>
        <v>92100</v>
      </c>
      <c r="BF84" s="39">
        <f t="shared" ref="BF84:BQ84" si="79">SUM(BF82:BF83)</f>
        <v>94680</v>
      </c>
      <c r="BG84" s="39">
        <f t="shared" si="79"/>
        <v>97800</v>
      </c>
      <c r="BH84" s="39">
        <f t="shared" si="79"/>
        <v>100920</v>
      </c>
      <c r="BI84" s="39">
        <f t="shared" si="79"/>
        <v>104040</v>
      </c>
      <c r="BJ84" s="39">
        <f t="shared" si="79"/>
        <v>107160</v>
      </c>
      <c r="BK84" s="39">
        <f t="shared" si="79"/>
        <v>110280</v>
      </c>
      <c r="BL84" s="39">
        <f t="shared" si="79"/>
        <v>113400</v>
      </c>
      <c r="BM84" s="39">
        <f t="shared" si="79"/>
        <v>116520</v>
      </c>
      <c r="BN84" s="39">
        <f t="shared" si="79"/>
        <v>119640</v>
      </c>
      <c r="BO84" s="39">
        <f t="shared" si="79"/>
        <v>122760</v>
      </c>
      <c r="BP84" s="39">
        <f t="shared" si="79"/>
        <v>125880</v>
      </c>
      <c r="BQ84" s="39">
        <f t="shared" si="79"/>
        <v>129000</v>
      </c>
    </row>
    <row r="85" spans="2:6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row>
    <row r="86" spans="2:6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row>
    <row r="87" spans="2:69">
      <c r="B87" s="4" t="s">
        <v>287</v>
      </c>
      <c r="J87" s="39">
        <f>Inputs!J37*Inputs!J97</f>
        <v>0</v>
      </c>
      <c r="K87" s="39">
        <f>Inputs!K37*Inputs!K97</f>
        <v>0</v>
      </c>
      <c r="L87" s="39">
        <f>Inputs!L37*Inputs!L97</f>
        <v>0</v>
      </c>
      <c r="M87" s="39">
        <f>Inputs!M37*Inputs!M97</f>
        <v>0</v>
      </c>
      <c r="N87" s="39">
        <f>Inputs!N37*Inputs!N97</f>
        <v>0</v>
      </c>
      <c r="O87" s="39">
        <f>Inputs!O37*Inputs!O97</f>
        <v>0</v>
      </c>
      <c r="P87" s="39">
        <f>Inputs!P37*Inputs!P97</f>
        <v>0</v>
      </c>
      <c r="Q87" s="39">
        <f>Inputs!Q37*Inputs!Q97</f>
        <v>0</v>
      </c>
      <c r="R87" s="39">
        <f>Inputs!R37*Inputs!R97</f>
        <v>0</v>
      </c>
      <c r="S87" s="39">
        <f>Inputs!S37*Inputs!S97</f>
        <v>0</v>
      </c>
      <c r="T87" s="39">
        <f>Inputs!T37*Inputs!T97</f>
        <v>450</v>
      </c>
      <c r="U87" s="39">
        <f>Inputs!U37*Inputs!U97</f>
        <v>900</v>
      </c>
      <c r="V87" s="39">
        <f>Inputs!V37*Inputs!V97</f>
        <v>1350</v>
      </c>
      <c r="W87" s="39">
        <f>Inputs!W37*Inputs!W97</f>
        <v>1800</v>
      </c>
      <c r="X87" s="39">
        <f>Inputs!X37*Inputs!X97</f>
        <v>2250</v>
      </c>
      <c r="Y87" s="39">
        <f>Inputs!Y37*Inputs!Y97</f>
        <v>2700</v>
      </c>
      <c r="Z87" s="39">
        <f>Inputs!Z37*Inputs!Z97</f>
        <v>3150</v>
      </c>
      <c r="AA87" s="39">
        <f>Inputs!AA37*Inputs!AA97</f>
        <v>3600</v>
      </c>
      <c r="AB87" s="39">
        <f>Inputs!AB37*Inputs!AB97</f>
        <v>4050</v>
      </c>
      <c r="AC87" s="39">
        <f>Inputs!AC37*Inputs!AC97</f>
        <v>4500</v>
      </c>
      <c r="AD87" s="39">
        <f>Inputs!AD37*Inputs!AD97</f>
        <v>4950</v>
      </c>
      <c r="AE87" s="39">
        <f>Inputs!AE37*Inputs!AE97</f>
        <v>5400</v>
      </c>
      <c r="AF87" s="39">
        <f>Inputs!AF37*Inputs!AF97</f>
        <v>5850</v>
      </c>
      <c r="AG87" s="39">
        <f>Inputs!AG37*Inputs!AG97</f>
        <v>6300</v>
      </c>
      <c r="AH87" s="39">
        <f>Inputs!AH37*Inputs!AH97</f>
        <v>6840</v>
      </c>
      <c r="AI87" s="39">
        <f>Inputs!AI37*Inputs!AI97</f>
        <v>7380</v>
      </c>
      <c r="AJ87" s="39">
        <f>Inputs!AJ37*Inputs!AJ97</f>
        <v>7920</v>
      </c>
      <c r="AK87" s="39">
        <f>Inputs!AK37*Inputs!AK97</f>
        <v>8460</v>
      </c>
      <c r="AL87" s="39">
        <f>Inputs!AL37*Inputs!AL97</f>
        <v>9000</v>
      </c>
      <c r="AM87" s="39">
        <f>Inputs!AM37*Inputs!AM97</f>
        <v>9540</v>
      </c>
      <c r="AN87" s="39">
        <f>Inputs!AN37*Inputs!AN97</f>
        <v>10080</v>
      </c>
      <c r="AO87" s="39">
        <f>Inputs!AO37*Inputs!AO97</f>
        <v>10620</v>
      </c>
      <c r="AP87" s="39">
        <f>Inputs!AP37*Inputs!AP97</f>
        <v>11160</v>
      </c>
      <c r="AQ87" s="39">
        <f>Inputs!AQ37*Inputs!AQ97</f>
        <v>11700</v>
      </c>
      <c r="AR87" s="39">
        <f>Inputs!AR37*Inputs!AR97</f>
        <v>12240</v>
      </c>
      <c r="AS87" s="39">
        <f>Inputs!AS37*Inputs!AS97</f>
        <v>12780</v>
      </c>
      <c r="AT87" s="39">
        <f>Inputs!AT37*Inputs!AT97</f>
        <v>13410</v>
      </c>
      <c r="AU87" s="39">
        <f>Inputs!AU37*Inputs!AU97</f>
        <v>14040</v>
      </c>
      <c r="AV87" s="39">
        <f>Inputs!AV37*Inputs!AV97</f>
        <v>14670</v>
      </c>
      <c r="AW87" s="39">
        <f>Inputs!AW37*Inputs!AW97</f>
        <v>15300</v>
      </c>
      <c r="AX87" s="39">
        <f>Inputs!AX37*Inputs!AX97</f>
        <v>15930</v>
      </c>
      <c r="AY87" s="39">
        <f>Inputs!AY37*Inputs!AY97</f>
        <v>16560</v>
      </c>
      <c r="AZ87" s="39">
        <f>Inputs!AZ37*Inputs!AZ97</f>
        <v>17190</v>
      </c>
      <c r="BA87" s="39">
        <f>Inputs!BA37*Inputs!BA97</f>
        <v>17820</v>
      </c>
      <c r="BB87" s="39">
        <f>Inputs!BB37*Inputs!BB97</f>
        <v>18450</v>
      </c>
      <c r="BC87" s="39">
        <f>Inputs!BC37*Inputs!BC97</f>
        <v>19080</v>
      </c>
      <c r="BD87" s="39">
        <f>Inputs!BD37*Inputs!BD97</f>
        <v>19710</v>
      </c>
      <c r="BE87" s="39">
        <f>Inputs!BE37*Inputs!BE97</f>
        <v>20340</v>
      </c>
      <c r="BF87" s="39">
        <f>Inputs!BF37*Inputs!BF97</f>
        <v>21060</v>
      </c>
      <c r="BG87" s="39">
        <f>Inputs!BG37*Inputs!BG97</f>
        <v>21780</v>
      </c>
      <c r="BH87" s="39">
        <f>Inputs!BH37*Inputs!BH97</f>
        <v>22500</v>
      </c>
      <c r="BI87" s="39">
        <f>Inputs!BI37*Inputs!BI97</f>
        <v>23220</v>
      </c>
      <c r="BJ87" s="39">
        <f>Inputs!BJ37*Inputs!BJ97</f>
        <v>23940</v>
      </c>
      <c r="BK87" s="39">
        <f>Inputs!BK37*Inputs!BK97</f>
        <v>24660</v>
      </c>
      <c r="BL87" s="39">
        <f>Inputs!BL37*Inputs!BL97</f>
        <v>25380</v>
      </c>
      <c r="BM87" s="39">
        <f>Inputs!BM37*Inputs!BM97</f>
        <v>26100</v>
      </c>
      <c r="BN87" s="39">
        <f>Inputs!BN37*Inputs!BN97</f>
        <v>26820</v>
      </c>
      <c r="BO87" s="39">
        <f>Inputs!BO37*Inputs!BO97</f>
        <v>27540</v>
      </c>
      <c r="BP87" s="39">
        <f>Inputs!BP37*Inputs!BP97</f>
        <v>28260</v>
      </c>
      <c r="BQ87" s="39">
        <f>Inputs!BQ37*Inputs!BQ97</f>
        <v>28980</v>
      </c>
    </row>
    <row r="88" spans="2:69">
      <c r="B88" s="9"/>
      <c r="C88" s="9"/>
      <c r="D88" s="9"/>
      <c r="E88" s="9"/>
      <c r="F88" s="9"/>
      <c r="G88" s="9"/>
      <c r="H88" s="9"/>
      <c r="I88" s="9"/>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42"/>
      <c r="BE88" s="42"/>
      <c r="BF88" s="42"/>
      <c r="BG88" s="42"/>
      <c r="BH88" s="42"/>
      <c r="BI88" s="42"/>
      <c r="BJ88" s="42"/>
      <c r="BK88" s="42"/>
      <c r="BL88" s="42"/>
      <c r="BM88" s="42"/>
      <c r="BN88" s="42"/>
      <c r="BO88" s="42"/>
      <c r="BP88" s="42"/>
      <c r="BQ88" s="42"/>
    </row>
    <row r="89" spans="2:69">
      <c r="B89" s="4" t="s">
        <v>6</v>
      </c>
      <c r="J89" s="39">
        <f t="shared" ref="J89:BE89" si="80">SUM(J87:J88)</f>
        <v>0</v>
      </c>
      <c r="K89" s="39">
        <f t="shared" si="80"/>
        <v>0</v>
      </c>
      <c r="L89" s="39">
        <f t="shared" si="80"/>
        <v>0</v>
      </c>
      <c r="M89" s="39">
        <f t="shared" si="80"/>
        <v>0</v>
      </c>
      <c r="N89" s="39">
        <f t="shared" si="80"/>
        <v>0</v>
      </c>
      <c r="O89" s="39">
        <f t="shared" si="80"/>
        <v>0</v>
      </c>
      <c r="P89" s="39">
        <f t="shared" si="80"/>
        <v>0</v>
      </c>
      <c r="Q89" s="39">
        <f t="shared" si="80"/>
        <v>0</v>
      </c>
      <c r="R89" s="39">
        <f t="shared" si="80"/>
        <v>0</v>
      </c>
      <c r="S89" s="39">
        <f t="shared" si="80"/>
        <v>0</v>
      </c>
      <c r="T89" s="39">
        <f t="shared" si="80"/>
        <v>450</v>
      </c>
      <c r="U89" s="39">
        <f t="shared" si="80"/>
        <v>900</v>
      </c>
      <c r="V89" s="39">
        <f t="shared" si="80"/>
        <v>1350</v>
      </c>
      <c r="W89" s="39">
        <f t="shared" si="80"/>
        <v>1800</v>
      </c>
      <c r="X89" s="39">
        <f t="shared" si="80"/>
        <v>2250</v>
      </c>
      <c r="Y89" s="39">
        <f t="shared" si="80"/>
        <v>2700</v>
      </c>
      <c r="Z89" s="39">
        <f t="shared" si="80"/>
        <v>3150</v>
      </c>
      <c r="AA89" s="39">
        <f t="shared" si="80"/>
        <v>3600</v>
      </c>
      <c r="AB89" s="39">
        <f t="shared" si="80"/>
        <v>4050</v>
      </c>
      <c r="AC89" s="39">
        <f t="shared" si="80"/>
        <v>4500</v>
      </c>
      <c r="AD89" s="39">
        <f t="shared" si="80"/>
        <v>4950</v>
      </c>
      <c r="AE89" s="39">
        <f t="shared" si="80"/>
        <v>5400</v>
      </c>
      <c r="AF89" s="39">
        <f t="shared" si="80"/>
        <v>5850</v>
      </c>
      <c r="AG89" s="39">
        <f t="shared" si="80"/>
        <v>6300</v>
      </c>
      <c r="AH89" s="39">
        <f t="shared" si="80"/>
        <v>6840</v>
      </c>
      <c r="AI89" s="39">
        <f t="shared" si="80"/>
        <v>7380</v>
      </c>
      <c r="AJ89" s="39">
        <f t="shared" si="80"/>
        <v>7920</v>
      </c>
      <c r="AK89" s="39">
        <f t="shared" si="80"/>
        <v>8460</v>
      </c>
      <c r="AL89" s="39">
        <f t="shared" si="80"/>
        <v>9000</v>
      </c>
      <c r="AM89" s="39">
        <f t="shared" si="80"/>
        <v>9540</v>
      </c>
      <c r="AN89" s="39">
        <f t="shared" si="80"/>
        <v>10080</v>
      </c>
      <c r="AO89" s="39">
        <f t="shared" si="80"/>
        <v>10620</v>
      </c>
      <c r="AP89" s="39">
        <f t="shared" si="80"/>
        <v>11160</v>
      </c>
      <c r="AQ89" s="39">
        <f t="shared" si="80"/>
        <v>11700</v>
      </c>
      <c r="AR89" s="39">
        <f t="shared" si="80"/>
        <v>12240</v>
      </c>
      <c r="AS89" s="39">
        <f t="shared" si="80"/>
        <v>12780</v>
      </c>
      <c r="AT89" s="39">
        <f t="shared" si="80"/>
        <v>13410</v>
      </c>
      <c r="AU89" s="39">
        <f t="shared" si="80"/>
        <v>14040</v>
      </c>
      <c r="AV89" s="39">
        <f t="shared" si="80"/>
        <v>14670</v>
      </c>
      <c r="AW89" s="39">
        <f t="shared" si="80"/>
        <v>15300</v>
      </c>
      <c r="AX89" s="39">
        <f t="shared" si="80"/>
        <v>15930</v>
      </c>
      <c r="AY89" s="39">
        <f t="shared" si="80"/>
        <v>16560</v>
      </c>
      <c r="AZ89" s="39">
        <f t="shared" si="80"/>
        <v>17190</v>
      </c>
      <c r="BA89" s="39">
        <f t="shared" si="80"/>
        <v>17820</v>
      </c>
      <c r="BB89" s="39">
        <f t="shared" si="80"/>
        <v>18450</v>
      </c>
      <c r="BC89" s="39">
        <f t="shared" si="80"/>
        <v>19080</v>
      </c>
      <c r="BD89" s="39">
        <f t="shared" si="80"/>
        <v>19710</v>
      </c>
      <c r="BE89" s="39">
        <f t="shared" si="80"/>
        <v>20340</v>
      </c>
      <c r="BF89" s="39">
        <f t="shared" ref="BF89:BQ89" si="81">SUM(BF87:BF88)</f>
        <v>21060</v>
      </c>
      <c r="BG89" s="39">
        <f t="shared" si="81"/>
        <v>21780</v>
      </c>
      <c r="BH89" s="39">
        <f t="shared" si="81"/>
        <v>22500</v>
      </c>
      <c r="BI89" s="39">
        <f t="shared" si="81"/>
        <v>23220</v>
      </c>
      <c r="BJ89" s="39">
        <f t="shared" si="81"/>
        <v>23940</v>
      </c>
      <c r="BK89" s="39">
        <f t="shared" si="81"/>
        <v>24660</v>
      </c>
      <c r="BL89" s="39">
        <f t="shared" si="81"/>
        <v>25380</v>
      </c>
      <c r="BM89" s="39">
        <f t="shared" si="81"/>
        <v>26100</v>
      </c>
      <c r="BN89" s="39">
        <f t="shared" si="81"/>
        <v>26820</v>
      </c>
      <c r="BO89" s="39">
        <f t="shared" si="81"/>
        <v>27540</v>
      </c>
      <c r="BP89" s="39">
        <f t="shared" si="81"/>
        <v>28260</v>
      </c>
      <c r="BQ89" s="39">
        <f t="shared" si="81"/>
        <v>28980</v>
      </c>
    </row>
    <row r="90" spans="2:6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c r="BF90" s="39"/>
      <c r="BG90" s="39"/>
      <c r="BH90" s="39"/>
      <c r="BI90" s="39"/>
      <c r="BJ90" s="39"/>
      <c r="BK90" s="39"/>
      <c r="BL90" s="39"/>
      <c r="BM90" s="39"/>
      <c r="BN90" s="39"/>
      <c r="BO90" s="39"/>
      <c r="BP90" s="39"/>
      <c r="BQ90" s="39"/>
    </row>
    <row r="91" spans="2:6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c r="BF91" s="39"/>
      <c r="BG91" s="39"/>
      <c r="BH91" s="39"/>
      <c r="BI91" s="39"/>
      <c r="BJ91" s="39"/>
      <c r="BK91" s="39"/>
      <c r="BL91" s="39"/>
      <c r="BM91" s="39"/>
      <c r="BN91" s="39"/>
      <c r="BO91" s="39"/>
      <c r="BP91" s="39"/>
      <c r="BQ91" s="39"/>
    </row>
    <row r="92" spans="2:69">
      <c r="B92" s="4" t="s">
        <v>296</v>
      </c>
      <c r="J92" s="39">
        <f>Inputs!J37*Inputs!J98</f>
        <v>0</v>
      </c>
      <c r="K92" s="39">
        <f>Inputs!K37*Inputs!K98</f>
        <v>0</v>
      </c>
      <c r="L92" s="39">
        <f>Inputs!L37*Inputs!L98</f>
        <v>0</v>
      </c>
      <c r="M92" s="39">
        <f>Inputs!M37*Inputs!M98</f>
        <v>0</v>
      </c>
      <c r="N92" s="39">
        <f>Inputs!N37*Inputs!N98</f>
        <v>0</v>
      </c>
      <c r="O92" s="39">
        <f>Inputs!O37*Inputs!O98</f>
        <v>0</v>
      </c>
      <c r="P92" s="39">
        <f>Inputs!P37*Inputs!P98</f>
        <v>0</v>
      </c>
      <c r="Q92" s="39">
        <f>Inputs!Q37*Inputs!Q98</f>
        <v>0</v>
      </c>
      <c r="R92" s="39">
        <f>Inputs!R37*Inputs!R98</f>
        <v>0</v>
      </c>
      <c r="S92" s="39">
        <f>Inputs!S37*Inputs!S98</f>
        <v>0</v>
      </c>
      <c r="T92" s="39">
        <f>Inputs!T37*Inputs!T98</f>
        <v>60</v>
      </c>
      <c r="U92" s="39">
        <f>Inputs!U37*Inputs!U98</f>
        <v>120</v>
      </c>
      <c r="V92" s="39">
        <f>Inputs!V37*Inputs!V98</f>
        <v>180</v>
      </c>
      <c r="W92" s="39">
        <f>Inputs!W37*Inputs!W98</f>
        <v>240</v>
      </c>
      <c r="X92" s="39">
        <f>Inputs!X37*Inputs!X98</f>
        <v>300</v>
      </c>
      <c r="Y92" s="39">
        <f>Inputs!Y37*Inputs!Y98</f>
        <v>360</v>
      </c>
      <c r="Z92" s="39">
        <f>Inputs!Z37*Inputs!Z98</f>
        <v>420</v>
      </c>
      <c r="AA92" s="39">
        <f>Inputs!AA37*Inputs!AA98</f>
        <v>480</v>
      </c>
      <c r="AB92" s="39">
        <f>Inputs!AB37*Inputs!AB98</f>
        <v>540</v>
      </c>
      <c r="AC92" s="39">
        <f>Inputs!AC37*Inputs!AC98</f>
        <v>600</v>
      </c>
      <c r="AD92" s="39">
        <f>Inputs!AD37*Inputs!AD98</f>
        <v>660</v>
      </c>
      <c r="AE92" s="39">
        <f>Inputs!AE37*Inputs!AE98</f>
        <v>720</v>
      </c>
      <c r="AF92" s="39">
        <f>Inputs!AF37*Inputs!AF98</f>
        <v>780</v>
      </c>
      <c r="AG92" s="39">
        <f>Inputs!AG37*Inputs!AG98</f>
        <v>840</v>
      </c>
      <c r="AH92" s="39">
        <f>Inputs!AH37*Inputs!AH98</f>
        <v>912</v>
      </c>
      <c r="AI92" s="39">
        <f>Inputs!AI37*Inputs!AI98</f>
        <v>984</v>
      </c>
      <c r="AJ92" s="39">
        <f>Inputs!AJ37*Inputs!AJ98</f>
        <v>1056</v>
      </c>
      <c r="AK92" s="39">
        <f>Inputs!AK37*Inputs!AK98</f>
        <v>1128</v>
      </c>
      <c r="AL92" s="39">
        <f>Inputs!AL37*Inputs!AL98</f>
        <v>1200</v>
      </c>
      <c r="AM92" s="39">
        <f>Inputs!AM37*Inputs!AM98</f>
        <v>1272</v>
      </c>
      <c r="AN92" s="39">
        <f>Inputs!AN37*Inputs!AN98</f>
        <v>1344</v>
      </c>
      <c r="AO92" s="39">
        <f>Inputs!AO37*Inputs!AO98</f>
        <v>1416</v>
      </c>
      <c r="AP92" s="39">
        <f>Inputs!AP37*Inputs!AP98</f>
        <v>1488</v>
      </c>
      <c r="AQ92" s="39">
        <f>Inputs!AQ37*Inputs!AQ98</f>
        <v>1560</v>
      </c>
      <c r="AR92" s="39">
        <f>Inputs!AR37*Inputs!AR98</f>
        <v>1632</v>
      </c>
      <c r="AS92" s="39">
        <f>Inputs!AS37*Inputs!AS98</f>
        <v>1704</v>
      </c>
      <c r="AT92" s="39">
        <f>Inputs!AT37*Inputs!AT98</f>
        <v>1788</v>
      </c>
      <c r="AU92" s="39">
        <f>Inputs!AU37*Inputs!AU98</f>
        <v>1872</v>
      </c>
      <c r="AV92" s="39">
        <f>Inputs!AV37*Inputs!AV98</f>
        <v>1956</v>
      </c>
      <c r="AW92" s="39">
        <f>Inputs!AW37*Inputs!AW98</f>
        <v>2040</v>
      </c>
      <c r="AX92" s="39">
        <f>Inputs!AX37*Inputs!AX98</f>
        <v>2124</v>
      </c>
      <c r="AY92" s="39">
        <f>Inputs!AY37*Inputs!AY98</f>
        <v>2208</v>
      </c>
      <c r="AZ92" s="39">
        <f>Inputs!AZ37*Inputs!AZ98</f>
        <v>2292</v>
      </c>
      <c r="BA92" s="39">
        <f>Inputs!BA37*Inputs!BA98</f>
        <v>2376</v>
      </c>
      <c r="BB92" s="39">
        <f>Inputs!BB37*Inputs!BB98</f>
        <v>2460</v>
      </c>
      <c r="BC92" s="39">
        <f>Inputs!BC37*Inputs!BC98</f>
        <v>2544</v>
      </c>
      <c r="BD92" s="39">
        <f>Inputs!BD37*Inputs!BD98</f>
        <v>2628</v>
      </c>
      <c r="BE92" s="39">
        <f>Inputs!BE37*Inputs!BE98</f>
        <v>2712</v>
      </c>
      <c r="BF92" s="39">
        <f>Inputs!BF37*Inputs!BF98</f>
        <v>2808</v>
      </c>
      <c r="BG92" s="39">
        <f>Inputs!BG37*Inputs!BG98</f>
        <v>2904</v>
      </c>
      <c r="BH92" s="39">
        <f>Inputs!BH37*Inputs!BH98</f>
        <v>3000</v>
      </c>
      <c r="BI92" s="39">
        <f>Inputs!BI37*Inputs!BI98</f>
        <v>3096</v>
      </c>
      <c r="BJ92" s="39">
        <f>Inputs!BJ37*Inputs!BJ98</f>
        <v>3192</v>
      </c>
      <c r="BK92" s="39">
        <f>Inputs!BK37*Inputs!BK98</f>
        <v>3288</v>
      </c>
      <c r="BL92" s="39">
        <f>Inputs!BL37*Inputs!BL98</f>
        <v>3384</v>
      </c>
      <c r="BM92" s="39">
        <f>Inputs!BM37*Inputs!BM98</f>
        <v>3480</v>
      </c>
      <c r="BN92" s="39">
        <f>Inputs!BN37*Inputs!BN98</f>
        <v>3576</v>
      </c>
      <c r="BO92" s="39">
        <f>Inputs!BO37*Inputs!BO98</f>
        <v>3672</v>
      </c>
      <c r="BP92" s="39">
        <f>Inputs!BP37*Inputs!BP98</f>
        <v>3768</v>
      </c>
      <c r="BQ92" s="39">
        <f>Inputs!BQ37*Inputs!BQ98</f>
        <v>3864</v>
      </c>
    </row>
    <row r="93" spans="2:69">
      <c r="B93" s="9"/>
      <c r="C93" s="9"/>
      <c r="D93" s="9"/>
      <c r="E93" s="9"/>
      <c r="F93" s="9"/>
      <c r="G93" s="9"/>
      <c r="H93" s="9"/>
      <c r="I93" s="9"/>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42"/>
      <c r="BE93" s="42"/>
      <c r="BF93" s="42"/>
      <c r="BG93" s="42"/>
      <c r="BH93" s="42"/>
      <c r="BI93" s="42"/>
      <c r="BJ93" s="42"/>
      <c r="BK93" s="42"/>
      <c r="BL93" s="42"/>
      <c r="BM93" s="42"/>
      <c r="BN93" s="42"/>
      <c r="BO93" s="42"/>
      <c r="BP93" s="42"/>
      <c r="BQ93" s="42"/>
    </row>
    <row r="94" spans="2:69">
      <c r="B94" s="4" t="s">
        <v>6</v>
      </c>
      <c r="J94" s="39">
        <f t="shared" ref="J94:BE94" si="82">SUM(J92:J93)</f>
        <v>0</v>
      </c>
      <c r="K94" s="39">
        <f t="shared" si="82"/>
        <v>0</v>
      </c>
      <c r="L94" s="39">
        <f t="shared" si="82"/>
        <v>0</v>
      </c>
      <c r="M94" s="39">
        <f t="shared" si="82"/>
        <v>0</v>
      </c>
      <c r="N94" s="39">
        <f t="shared" si="82"/>
        <v>0</v>
      </c>
      <c r="O94" s="39">
        <f t="shared" si="82"/>
        <v>0</v>
      </c>
      <c r="P94" s="39">
        <f t="shared" si="82"/>
        <v>0</v>
      </c>
      <c r="Q94" s="39">
        <f t="shared" si="82"/>
        <v>0</v>
      </c>
      <c r="R94" s="39">
        <f t="shared" si="82"/>
        <v>0</v>
      </c>
      <c r="S94" s="39">
        <f t="shared" si="82"/>
        <v>0</v>
      </c>
      <c r="T94" s="39">
        <f t="shared" si="82"/>
        <v>60</v>
      </c>
      <c r="U94" s="39">
        <f t="shared" si="82"/>
        <v>120</v>
      </c>
      <c r="V94" s="39">
        <f t="shared" si="82"/>
        <v>180</v>
      </c>
      <c r="W94" s="39">
        <f t="shared" si="82"/>
        <v>240</v>
      </c>
      <c r="X94" s="39">
        <f t="shared" si="82"/>
        <v>300</v>
      </c>
      <c r="Y94" s="39">
        <f t="shared" si="82"/>
        <v>360</v>
      </c>
      <c r="Z94" s="39">
        <f t="shared" si="82"/>
        <v>420</v>
      </c>
      <c r="AA94" s="39">
        <f t="shared" si="82"/>
        <v>480</v>
      </c>
      <c r="AB94" s="39">
        <f t="shared" si="82"/>
        <v>540</v>
      </c>
      <c r="AC94" s="39">
        <f t="shared" si="82"/>
        <v>600</v>
      </c>
      <c r="AD94" s="39">
        <f t="shared" si="82"/>
        <v>660</v>
      </c>
      <c r="AE94" s="39">
        <f t="shared" si="82"/>
        <v>720</v>
      </c>
      <c r="AF94" s="39">
        <f t="shared" si="82"/>
        <v>780</v>
      </c>
      <c r="AG94" s="39">
        <f t="shared" si="82"/>
        <v>840</v>
      </c>
      <c r="AH94" s="39">
        <f t="shared" si="82"/>
        <v>912</v>
      </c>
      <c r="AI94" s="39">
        <f t="shared" si="82"/>
        <v>984</v>
      </c>
      <c r="AJ94" s="39">
        <f t="shared" si="82"/>
        <v>1056</v>
      </c>
      <c r="AK94" s="39">
        <f t="shared" si="82"/>
        <v>1128</v>
      </c>
      <c r="AL94" s="39">
        <f t="shared" si="82"/>
        <v>1200</v>
      </c>
      <c r="AM94" s="39">
        <f t="shared" si="82"/>
        <v>1272</v>
      </c>
      <c r="AN94" s="39">
        <f t="shared" si="82"/>
        <v>1344</v>
      </c>
      <c r="AO94" s="39">
        <f t="shared" si="82"/>
        <v>1416</v>
      </c>
      <c r="AP94" s="39">
        <f t="shared" si="82"/>
        <v>1488</v>
      </c>
      <c r="AQ94" s="39">
        <f t="shared" si="82"/>
        <v>1560</v>
      </c>
      <c r="AR94" s="39">
        <f t="shared" si="82"/>
        <v>1632</v>
      </c>
      <c r="AS94" s="39">
        <f t="shared" si="82"/>
        <v>1704</v>
      </c>
      <c r="AT94" s="39">
        <f t="shared" si="82"/>
        <v>1788</v>
      </c>
      <c r="AU94" s="39">
        <f t="shared" si="82"/>
        <v>1872</v>
      </c>
      <c r="AV94" s="39">
        <f t="shared" si="82"/>
        <v>1956</v>
      </c>
      <c r="AW94" s="39">
        <f t="shared" si="82"/>
        <v>2040</v>
      </c>
      <c r="AX94" s="39">
        <f t="shared" si="82"/>
        <v>2124</v>
      </c>
      <c r="AY94" s="39">
        <f t="shared" si="82"/>
        <v>2208</v>
      </c>
      <c r="AZ94" s="39">
        <f t="shared" si="82"/>
        <v>2292</v>
      </c>
      <c r="BA94" s="39">
        <f t="shared" si="82"/>
        <v>2376</v>
      </c>
      <c r="BB94" s="39">
        <f t="shared" si="82"/>
        <v>2460</v>
      </c>
      <c r="BC94" s="39">
        <f t="shared" si="82"/>
        <v>2544</v>
      </c>
      <c r="BD94" s="39">
        <f t="shared" si="82"/>
        <v>2628</v>
      </c>
      <c r="BE94" s="39">
        <f t="shared" si="82"/>
        <v>2712</v>
      </c>
      <c r="BF94" s="39">
        <f t="shared" ref="BF94:BQ94" si="83">SUM(BF92:BF93)</f>
        <v>2808</v>
      </c>
      <c r="BG94" s="39">
        <f t="shared" si="83"/>
        <v>2904</v>
      </c>
      <c r="BH94" s="39">
        <f t="shared" si="83"/>
        <v>3000</v>
      </c>
      <c r="BI94" s="39">
        <f t="shared" si="83"/>
        <v>3096</v>
      </c>
      <c r="BJ94" s="39">
        <f t="shared" si="83"/>
        <v>3192</v>
      </c>
      <c r="BK94" s="39">
        <f t="shared" si="83"/>
        <v>3288</v>
      </c>
      <c r="BL94" s="39">
        <f t="shared" si="83"/>
        <v>3384</v>
      </c>
      <c r="BM94" s="39">
        <f t="shared" si="83"/>
        <v>3480</v>
      </c>
      <c r="BN94" s="39">
        <f t="shared" si="83"/>
        <v>3576</v>
      </c>
      <c r="BO94" s="39">
        <f t="shared" si="83"/>
        <v>3672</v>
      </c>
      <c r="BP94" s="39">
        <f t="shared" si="83"/>
        <v>3768</v>
      </c>
      <c r="BQ94" s="39">
        <f t="shared" si="83"/>
        <v>3864</v>
      </c>
    </row>
    <row r="95" spans="2:6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c r="BF95" s="39"/>
      <c r="BG95" s="39"/>
      <c r="BH95" s="39"/>
      <c r="BI95" s="39"/>
      <c r="BJ95" s="39"/>
      <c r="BK95" s="39"/>
      <c r="BL95" s="39"/>
      <c r="BM95" s="39"/>
      <c r="BN95" s="39"/>
      <c r="BO95" s="39"/>
      <c r="BP95" s="39"/>
      <c r="BQ95" s="39"/>
    </row>
    <row r="96" spans="2:6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c r="BF96" s="39"/>
      <c r="BG96" s="39"/>
      <c r="BH96" s="39"/>
      <c r="BI96" s="39"/>
      <c r="BJ96" s="39"/>
      <c r="BK96" s="39"/>
      <c r="BL96" s="39"/>
      <c r="BM96" s="39"/>
      <c r="BN96" s="39"/>
      <c r="BO96" s="39"/>
      <c r="BP96" s="39"/>
      <c r="BQ96" s="39"/>
    </row>
    <row r="97" spans="2:69">
      <c r="B97" s="4" t="s">
        <v>297</v>
      </c>
      <c r="J97" s="39">
        <f>Inputs!J41*Inputs!J100</f>
        <v>0</v>
      </c>
      <c r="K97" s="39">
        <f>Inputs!K41*Inputs!K100</f>
        <v>0</v>
      </c>
      <c r="L97" s="39">
        <f>Inputs!L41*Inputs!L100</f>
        <v>0</v>
      </c>
      <c r="M97" s="39">
        <f>Inputs!M41*Inputs!M100</f>
        <v>0</v>
      </c>
      <c r="N97" s="39">
        <f>Inputs!N41*Inputs!N100</f>
        <v>0</v>
      </c>
      <c r="O97" s="39">
        <f>Inputs!O41*Inputs!O100</f>
        <v>0</v>
      </c>
      <c r="P97" s="39">
        <f>Inputs!P41*Inputs!P100</f>
        <v>0</v>
      </c>
      <c r="Q97" s="39">
        <f>Inputs!Q41*Inputs!Q100</f>
        <v>0</v>
      </c>
      <c r="R97" s="39">
        <f>Inputs!R41*Inputs!R100</f>
        <v>0</v>
      </c>
      <c r="S97" s="39">
        <f>Inputs!S41*Inputs!S100</f>
        <v>45</v>
      </c>
      <c r="T97" s="39">
        <f>Inputs!T41*Inputs!T100</f>
        <v>270</v>
      </c>
      <c r="U97" s="39">
        <f>Inputs!U41*Inputs!U100</f>
        <v>495</v>
      </c>
      <c r="V97" s="39">
        <f>Inputs!V41*Inputs!V100</f>
        <v>720</v>
      </c>
      <c r="W97" s="39">
        <f>Inputs!W41*Inputs!W100</f>
        <v>1170</v>
      </c>
      <c r="X97" s="39">
        <f>Inputs!X41*Inputs!X100</f>
        <v>1620</v>
      </c>
      <c r="Y97" s="39">
        <f>Inputs!Y41*Inputs!Y100</f>
        <v>2070</v>
      </c>
      <c r="Z97" s="39">
        <f>Inputs!Z41*Inputs!Z100</f>
        <v>2520</v>
      </c>
      <c r="AA97" s="39">
        <f>Inputs!AA41*Inputs!AA100</f>
        <v>2970</v>
      </c>
      <c r="AB97" s="39">
        <f>Inputs!AB41*Inputs!AB100</f>
        <v>3420</v>
      </c>
      <c r="AC97" s="39">
        <f>Inputs!AC41*Inputs!AC100</f>
        <v>3870</v>
      </c>
      <c r="AD97" s="39">
        <f>Inputs!AD41*Inputs!AD100</f>
        <v>4320</v>
      </c>
      <c r="AE97" s="39">
        <f>Inputs!AE41*Inputs!AE100</f>
        <v>4770</v>
      </c>
      <c r="AF97" s="39">
        <f>Inputs!AF41*Inputs!AF100</f>
        <v>5220</v>
      </c>
      <c r="AG97" s="39">
        <f>Inputs!AG41*Inputs!AG100</f>
        <v>5670</v>
      </c>
      <c r="AH97" s="39">
        <f>Inputs!AH41*Inputs!AH100</f>
        <v>6210</v>
      </c>
      <c r="AI97" s="39">
        <f>Inputs!AI41*Inputs!AI100</f>
        <v>6750</v>
      </c>
      <c r="AJ97" s="39">
        <f>Inputs!AJ41*Inputs!AJ100</f>
        <v>7290</v>
      </c>
      <c r="AK97" s="39">
        <f>Inputs!AK41*Inputs!AK100</f>
        <v>7830</v>
      </c>
      <c r="AL97" s="39">
        <f>Inputs!AL41*Inputs!AL100</f>
        <v>8370</v>
      </c>
      <c r="AM97" s="39">
        <f>Inputs!AM41*Inputs!AM100</f>
        <v>8910</v>
      </c>
      <c r="AN97" s="39">
        <f>Inputs!AN41*Inputs!AN100</f>
        <v>9450</v>
      </c>
      <c r="AO97" s="39">
        <f>Inputs!AO41*Inputs!AO100</f>
        <v>9990</v>
      </c>
      <c r="AP97" s="39">
        <f>Inputs!AP41*Inputs!AP100</f>
        <v>10530</v>
      </c>
      <c r="AQ97" s="39">
        <f>Inputs!AQ41*Inputs!AQ100</f>
        <v>11070</v>
      </c>
      <c r="AR97" s="39">
        <f>Inputs!AR41*Inputs!AR100</f>
        <v>11610</v>
      </c>
      <c r="AS97" s="39">
        <f>Inputs!AS41*Inputs!AS100</f>
        <v>12150</v>
      </c>
      <c r="AT97" s="39">
        <f>Inputs!AT41*Inputs!AT100</f>
        <v>12780</v>
      </c>
      <c r="AU97" s="39">
        <f>Inputs!AU41*Inputs!AU100</f>
        <v>13410</v>
      </c>
      <c r="AV97" s="39">
        <f>Inputs!AV41*Inputs!AV100</f>
        <v>14040</v>
      </c>
      <c r="AW97" s="39">
        <f>Inputs!AW41*Inputs!AW100</f>
        <v>14670</v>
      </c>
      <c r="AX97" s="39">
        <f>Inputs!AX41*Inputs!AX100</f>
        <v>15300</v>
      </c>
      <c r="AY97" s="39">
        <f>Inputs!AY41*Inputs!AY100</f>
        <v>15930</v>
      </c>
      <c r="AZ97" s="39">
        <f>Inputs!AZ41*Inputs!AZ100</f>
        <v>16560</v>
      </c>
      <c r="BA97" s="39">
        <f>Inputs!BA41*Inputs!BA100</f>
        <v>17190</v>
      </c>
      <c r="BB97" s="39">
        <f>Inputs!BB41*Inputs!BB100</f>
        <v>17820</v>
      </c>
      <c r="BC97" s="39">
        <f>Inputs!BC41*Inputs!BC100</f>
        <v>18450</v>
      </c>
      <c r="BD97" s="39">
        <f>Inputs!BD41*Inputs!BD100</f>
        <v>19080</v>
      </c>
      <c r="BE97" s="39">
        <f>Inputs!BE41*Inputs!BE100</f>
        <v>19710</v>
      </c>
      <c r="BF97" s="39">
        <f>Inputs!BF41*Inputs!BF100</f>
        <v>20430</v>
      </c>
      <c r="BG97" s="39">
        <f>Inputs!BG41*Inputs!BG100</f>
        <v>21150</v>
      </c>
      <c r="BH97" s="39">
        <f>Inputs!BH41*Inputs!BH100</f>
        <v>21870</v>
      </c>
      <c r="BI97" s="39">
        <f>Inputs!BI41*Inputs!BI100</f>
        <v>22590</v>
      </c>
      <c r="BJ97" s="39">
        <f>Inputs!BJ41*Inputs!BJ100</f>
        <v>23310</v>
      </c>
      <c r="BK97" s="39">
        <f>Inputs!BK41*Inputs!BK100</f>
        <v>24030</v>
      </c>
      <c r="BL97" s="39">
        <f>Inputs!BL41*Inputs!BL100</f>
        <v>24750</v>
      </c>
      <c r="BM97" s="39">
        <f>Inputs!BM41*Inputs!BM100</f>
        <v>25470</v>
      </c>
      <c r="BN97" s="39">
        <f>Inputs!BN41*Inputs!BN100</f>
        <v>26190</v>
      </c>
      <c r="BO97" s="39">
        <f>Inputs!BO41*Inputs!BO100</f>
        <v>26910</v>
      </c>
      <c r="BP97" s="39">
        <f>Inputs!BP41*Inputs!BP100</f>
        <v>27630</v>
      </c>
      <c r="BQ97" s="39">
        <f>Inputs!BQ41*Inputs!BQ100</f>
        <v>28350</v>
      </c>
    </row>
    <row r="98" spans="2:69">
      <c r="B98" s="9"/>
      <c r="C98" s="9"/>
      <c r="D98" s="9"/>
      <c r="E98" s="9"/>
      <c r="F98" s="9"/>
      <c r="G98" s="9"/>
      <c r="H98" s="9"/>
      <c r="I98" s="9"/>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42"/>
      <c r="BE98" s="42"/>
      <c r="BF98" s="42"/>
      <c r="BG98" s="42"/>
      <c r="BH98" s="42"/>
      <c r="BI98" s="42"/>
      <c r="BJ98" s="42"/>
      <c r="BK98" s="42"/>
      <c r="BL98" s="42"/>
      <c r="BM98" s="42"/>
      <c r="BN98" s="42"/>
      <c r="BO98" s="42"/>
      <c r="BP98" s="42"/>
      <c r="BQ98" s="42"/>
    </row>
    <row r="99" spans="2:69">
      <c r="B99" s="4" t="s">
        <v>6</v>
      </c>
      <c r="J99" s="39">
        <f t="shared" ref="J99:BE99" si="84">SUM(J97:J98)</f>
        <v>0</v>
      </c>
      <c r="K99" s="39">
        <f t="shared" si="84"/>
        <v>0</v>
      </c>
      <c r="L99" s="39">
        <f t="shared" si="84"/>
        <v>0</v>
      </c>
      <c r="M99" s="39">
        <f t="shared" si="84"/>
        <v>0</v>
      </c>
      <c r="N99" s="39">
        <f t="shared" si="84"/>
        <v>0</v>
      </c>
      <c r="O99" s="39">
        <f t="shared" si="84"/>
        <v>0</v>
      </c>
      <c r="P99" s="39">
        <f t="shared" si="84"/>
        <v>0</v>
      </c>
      <c r="Q99" s="39">
        <f t="shared" si="84"/>
        <v>0</v>
      </c>
      <c r="R99" s="39">
        <f t="shared" si="84"/>
        <v>0</v>
      </c>
      <c r="S99" s="39">
        <f t="shared" si="84"/>
        <v>45</v>
      </c>
      <c r="T99" s="39">
        <f t="shared" si="84"/>
        <v>270</v>
      </c>
      <c r="U99" s="39">
        <f t="shared" si="84"/>
        <v>495</v>
      </c>
      <c r="V99" s="39">
        <f t="shared" si="84"/>
        <v>720</v>
      </c>
      <c r="W99" s="39">
        <f t="shared" si="84"/>
        <v>1170</v>
      </c>
      <c r="X99" s="39">
        <f t="shared" si="84"/>
        <v>1620</v>
      </c>
      <c r="Y99" s="39">
        <f t="shared" si="84"/>
        <v>2070</v>
      </c>
      <c r="Z99" s="39">
        <f t="shared" si="84"/>
        <v>2520</v>
      </c>
      <c r="AA99" s="39">
        <f t="shared" si="84"/>
        <v>2970</v>
      </c>
      <c r="AB99" s="39">
        <f t="shared" si="84"/>
        <v>3420</v>
      </c>
      <c r="AC99" s="39">
        <f t="shared" si="84"/>
        <v>3870</v>
      </c>
      <c r="AD99" s="39">
        <f t="shared" si="84"/>
        <v>4320</v>
      </c>
      <c r="AE99" s="39">
        <f t="shared" si="84"/>
        <v>4770</v>
      </c>
      <c r="AF99" s="39">
        <f t="shared" si="84"/>
        <v>5220</v>
      </c>
      <c r="AG99" s="39">
        <f t="shared" si="84"/>
        <v>5670</v>
      </c>
      <c r="AH99" s="39">
        <f t="shared" si="84"/>
        <v>6210</v>
      </c>
      <c r="AI99" s="39">
        <f t="shared" si="84"/>
        <v>6750</v>
      </c>
      <c r="AJ99" s="39">
        <f t="shared" si="84"/>
        <v>7290</v>
      </c>
      <c r="AK99" s="39">
        <f t="shared" si="84"/>
        <v>7830</v>
      </c>
      <c r="AL99" s="39">
        <f t="shared" si="84"/>
        <v>8370</v>
      </c>
      <c r="AM99" s="39">
        <f t="shared" si="84"/>
        <v>8910</v>
      </c>
      <c r="AN99" s="39">
        <f t="shared" si="84"/>
        <v>9450</v>
      </c>
      <c r="AO99" s="39">
        <f t="shared" si="84"/>
        <v>9990</v>
      </c>
      <c r="AP99" s="39">
        <f t="shared" si="84"/>
        <v>10530</v>
      </c>
      <c r="AQ99" s="39">
        <f t="shared" si="84"/>
        <v>11070</v>
      </c>
      <c r="AR99" s="39">
        <f t="shared" si="84"/>
        <v>11610</v>
      </c>
      <c r="AS99" s="39">
        <f t="shared" si="84"/>
        <v>12150</v>
      </c>
      <c r="AT99" s="39">
        <f t="shared" si="84"/>
        <v>12780</v>
      </c>
      <c r="AU99" s="39">
        <f t="shared" si="84"/>
        <v>13410</v>
      </c>
      <c r="AV99" s="39">
        <f t="shared" si="84"/>
        <v>14040</v>
      </c>
      <c r="AW99" s="39">
        <f t="shared" si="84"/>
        <v>14670</v>
      </c>
      <c r="AX99" s="39">
        <f t="shared" si="84"/>
        <v>15300</v>
      </c>
      <c r="AY99" s="39">
        <f t="shared" si="84"/>
        <v>15930</v>
      </c>
      <c r="AZ99" s="39">
        <f t="shared" si="84"/>
        <v>16560</v>
      </c>
      <c r="BA99" s="39">
        <f t="shared" si="84"/>
        <v>17190</v>
      </c>
      <c r="BB99" s="39">
        <f t="shared" si="84"/>
        <v>17820</v>
      </c>
      <c r="BC99" s="39">
        <f t="shared" si="84"/>
        <v>18450</v>
      </c>
      <c r="BD99" s="39">
        <f t="shared" si="84"/>
        <v>19080</v>
      </c>
      <c r="BE99" s="39">
        <f t="shared" si="84"/>
        <v>19710</v>
      </c>
      <c r="BF99" s="39">
        <f t="shared" ref="BF99:BQ99" si="85">SUM(BF97:BF98)</f>
        <v>20430</v>
      </c>
      <c r="BG99" s="39">
        <f t="shared" si="85"/>
        <v>21150</v>
      </c>
      <c r="BH99" s="39">
        <f t="shared" si="85"/>
        <v>21870</v>
      </c>
      <c r="BI99" s="39">
        <f t="shared" si="85"/>
        <v>22590</v>
      </c>
      <c r="BJ99" s="39">
        <f t="shared" si="85"/>
        <v>23310</v>
      </c>
      <c r="BK99" s="39">
        <f t="shared" si="85"/>
        <v>24030</v>
      </c>
      <c r="BL99" s="39">
        <f t="shared" si="85"/>
        <v>24750</v>
      </c>
      <c r="BM99" s="39">
        <f t="shared" si="85"/>
        <v>25470</v>
      </c>
      <c r="BN99" s="39">
        <f t="shared" si="85"/>
        <v>26190</v>
      </c>
      <c r="BO99" s="39">
        <f t="shared" si="85"/>
        <v>26910</v>
      </c>
      <c r="BP99" s="39">
        <f t="shared" si="85"/>
        <v>27630</v>
      </c>
      <c r="BQ99" s="39">
        <f t="shared" si="85"/>
        <v>28350</v>
      </c>
    </row>
    <row r="100" spans="2:69">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c r="BF100" s="39"/>
      <c r="BG100" s="39"/>
      <c r="BH100" s="39"/>
      <c r="BI100" s="39"/>
      <c r="BJ100" s="39"/>
      <c r="BK100" s="39"/>
      <c r="BL100" s="39"/>
      <c r="BM100" s="39"/>
      <c r="BN100" s="39"/>
      <c r="BO100" s="39"/>
      <c r="BP100" s="39"/>
      <c r="BQ100" s="39"/>
    </row>
    <row r="101" spans="2:69">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c r="BF101" s="39"/>
      <c r="BG101" s="39"/>
      <c r="BH101" s="39"/>
      <c r="BI101" s="39"/>
      <c r="BJ101" s="39"/>
      <c r="BK101" s="39"/>
      <c r="BL101" s="39"/>
      <c r="BM101" s="39"/>
      <c r="BN101" s="39"/>
      <c r="BO101" s="39"/>
      <c r="BP101" s="39"/>
      <c r="BQ101" s="39"/>
    </row>
    <row r="102" spans="2:69">
      <c r="B102" s="4" t="s">
        <v>303</v>
      </c>
      <c r="J102" s="39">
        <f>Inputs!J41*Inputs!J101</f>
        <v>0</v>
      </c>
      <c r="K102" s="39">
        <f>Inputs!K41*Inputs!K101</f>
        <v>0</v>
      </c>
      <c r="L102" s="39">
        <f>Inputs!L41*Inputs!L101</f>
        <v>0</v>
      </c>
      <c r="M102" s="39">
        <f>Inputs!M41*Inputs!M101</f>
        <v>0</v>
      </c>
      <c r="N102" s="39">
        <f>Inputs!N41*Inputs!N101</f>
        <v>0</v>
      </c>
      <c r="O102" s="39">
        <f>Inputs!O41*Inputs!O101</f>
        <v>0</v>
      </c>
      <c r="P102" s="39">
        <f>Inputs!P41*Inputs!P101</f>
        <v>0</v>
      </c>
      <c r="Q102" s="39">
        <f>Inputs!Q41*Inputs!Q101</f>
        <v>0</v>
      </c>
      <c r="R102" s="39">
        <f>Inputs!R41*Inputs!R101</f>
        <v>0</v>
      </c>
      <c r="S102" s="39">
        <f>Inputs!S41*Inputs!S101</f>
        <v>6</v>
      </c>
      <c r="T102" s="39">
        <f>Inputs!T41*Inputs!T101</f>
        <v>36</v>
      </c>
      <c r="U102" s="39">
        <f>Inputs!U41*Inputs!U101</f>
        <v>66</v>
      </c>
      <c r="V102" s="39">
        <f>Inputs!V41*Inputs!V101</f>
        <v>96</v>
      </c>
      <c r="W102" s="39">
        <f>Inputs!W41*Inputs!W101</f>
        <v>156</v>
      </c>
      <c r="X102" s="39">
        <f>Inputs!X41*Inputs!X101</f>
        <v>216</v>
      </c>
      <c r="Y102" s="39">
        <f>Inputs!Y41*Inputs!Y101</f>
        <v>276</v>
      </c>
      <c r="Z102" s="39">
        <f>Inputs!Z41*Inputs!Z101</f>
        <v>336</v>
      </c>
      <c r="AA102" s="39">
        <f>Inputs!AA41*Inputs!AA101</f>
        <v>396</v>
      </c>
      <c r="AB102" s="39">
        <f>Inputs!AB41*Inputs!AB101</f>
        <v>456</v>
      </c>
      <c r="AC102" s="39">
        <f>Inputs!AC41*Inputs!AC101</f>
        <v>516</v>
      </c>
      <c r="AD102" s="39">
        <f>Inputs!AD41*Inputs!AD101</f>
        <v>576</v>
      </c>
      <c r="AE102" s="39">
        <f>Inputs!AE41*Inputs!AE101</f>
        <v>636</v>
      </c>
      <c r="AF102" s="39">
        <f>Inputs!AF41*Inputs!AF101</f>
        <v>696</v>
      </c>
      <c r="AG102" s="39">
        <f>Inputs!AG41*Inputs!AG101</f>
        <v>756</v>
      </c>
      <c r="AH102" s="39">
        <f>Inputs!AH41*Inputs!AH101</f>
        <v>828</v>
      </c>
      <c r="AI102" s="39">
        <f>Inputs!AI41*Inputs!AI101</f>
        <v>900</v>
      </c>
      <c r="AJ102" s="39">
        <f>Inputs!AJ41*Inputs!AJ101</f>
        <v>972</v>
      </c>
      <c r="AK102" s="39">
        <f>Inputs!AK41*Inputs!AK101</f>
        <v>1044</v>
      </c>
      <c r="AL102" s="39">
        <f>Inputs!AL41*Inputs!AL101</f>
        <v>1116</v>
      </c>
      <c r="AM102" s="39">
        <f>Inputs!AM41*Inputs!AM101</f>
        <v>1188</v>
      </c>
      <c r="AN102" s="39">
        <f>Inputs!AN41*Inputs!AN101</f>
        <v>1260</v>
      </c>
      <c r="AO102" s="39">
        <f>Inputs!AO41*Inputs!AO101</f>
        <v>1332</v>
      </c>
      <c r="AP102" s="39">
        <f>Inputs!AP41*Inputs!AP101</f>
        <v>1404</v>
      </c>
      <c r="AQ102" s="39">
        <f>Inputs!AQ41*Inputs!AQ101</f>
        <v>1476</v>
      </c>
      <c r="AR102" s="39">
        <f>Inputs!AR41*Inputs!AR101</f>
        <v>1548</v>
      </c>
      <c r="AS102" s="39">
        <f>Inputs!AS41*Inputs!AS101</f>
        <v>1620</v>
      </c>
      <c r="AT102" s="39">
        <f>Inputs!AT41*Inputs!AT101</f>
        <v>1704</v>
      </c>
      <c r="AU102" s="39">
        <f>Inputs!AU41*Inputs!AU101</f>
        <v>1788</v>
      </c>
      <c r="AV102" s="39">
        <f>Inputs!AV41*Inputs!AV101</f>
        <v>1872</v>
      </c>
      <c r="AW102" s="39">
        <f>Inputs!AW41*Inputs!AW101</f>
        <v>1956</v>
      </c>
      <c r="AX102" s="39">
        <f>Inputs!AX41*Inputs!AX101</f>
        <v>2040</v>
      </c>
      <c r="AY102" s="39">
        <f>Inputs!AY41*Inputs!AY101</f>
        <v>2124</v>
      </c>
      <c r="AZ102" s="39">
        <f>Inputs!AZ41*Inputs!AZ101</f>
        <v>2208</v>
      </c>
      <c r="BA102" s="39">
        <f>Inputs!BA41*Inputs!BA101</f>
        <v>2292</v>
      </c>
      <c r="BB102" s="39">
        <f>Inputs!BB41*Inputs!BB101</f>
        <v>2376</v>
      </c>
      <c r="BC102" s="39">
        <f>Inputs!BC41*Inputs!BC101</f>
        <v>2460</v>
      </c>
      <c r="BD102" s="39">
        <f>Inputs!BD41*Inputs!BD101</f>
        <v>2544</v>
      </c>
      <c r="BE102" s="39">
        <f>Inputs!BE41*Inputs!BE101</f>
        <v>2628</v>
      </c>
      <c r="BF102" s="39">
        <f>Inputs!BF41*Inputs!BF101</f>
        <v>2724</v>
      </c>
      <c r="BG102" s="39">
        <f>Inputs!BG41*Inputs!BG101</f>
        <v>2820</v>
      </c>
      <c r="BH102" s="39">
        <f>Inputs!BH41*Inputs!BH101</f>
        <v>2916</v>
      </c>
      <c r="BI102" s="39">
        <f>Inputs!BI41*Inputs!BI101</f>
        <v>3012</v>
      </c>
      <c r="BJ102" s="39">
        <f>Inputs!BJ41*Inputs!BJ101</f>
        <v>3108</v>
      </c>
      <c r="BK102" s="39">
        <f>Inputs!BK41*Inputs!BK101</f>
        <v>3204</v>
      </c>
      <c r="BL102" s="39">
        <f>Inputs!BL41*Inputs!BL101</f>
        <v>3300</v>
      </c>
      <c r="BM102" s="39">
        <f>Inputs!BM41*Inputs!BM101</f>
        <v>3396</v>
      </c>
      <c r="BN102" s="39">
        <f>Inputs!BN41*Inputs!BN101</f>
        <v>3492</v>
      </c>
      <c r="BO102" s="39">
        <f>Inputs!BO41*Inputs!BO101</f>
        <v>3588</v>
      </c>
      <c r="BP102" s="39">
        <f>Inputs!BP41*Inputs!BP101</f>
        <v>3684</v>
      </c>
      <c r="BQ102" s="39">
        <f>Inputs!BQ41*Inputs!BQ101</f>
        <v>3780</v>
      </c>
    </row>
    <row r="103" spans="2:69">
      <c r="B103" s="9"/>
      <c r="C103" s="9"/>
      <c r="D103" s="9"/>
      <c r="E103" s="9"/>
      <c r="F103" s="9"/>
      <c r="G103" s="9"/>
      <c r="H103" s="9"/>
      <c r="I103" s="9"/>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2"/>
      <c r="BH103" s="42"/>
      <c r="BI103" s="42"/>
      <c r="BJ103" s="42"/>
      <c r="BK103" s="42"/>
      <c r="BL103" s="42"/>
      <c r="BM103" s="42"/>
      <c r="BN103" s="42"/>
      <c r="BO103" s="42"/>
      <c r="BP103" s="42"/>
      <c r="BQ103" s="42"/>
    </row>
    <row r="104" spans="2:69">
      <c r="B104" s="4" t="s">
        <v>6</v>
      </c>
      <c r="J104" s="39">
        <f t="shared" ref="J104:BE104" si="86">SUM(J102:J103)</f>
        <v>0</v>
      </c>
      <c r="K104" s="39">
        <f t="shared" si="86"/>
        <v>0</v>
      </c>
      <c r="L104" s="39">
        <f t="shared" si="86"/>
        <v>0</v>
      </c>
      <c r="M104" s="39">
        <f t="shared" si="86"/>
        <v>0</v>
      </c>
      <c r="N104" s="39">
        <f t="shared" si="86"/>
        <v>0</v>
      </c>
      <c r="O104" s="39">
        <f t="shared" si="86"/>
        <v>0</v>
      </c>
      <c r="P104" s="39">
        <f t="shared" si="86"/>
        <v>0</v>
      </c>
      <c r="Q104" s="39">
        <f t="shared" si="86"/>
        <v>0</v>
      </c>
      <c r="R104" s="39">
        <f t="shared" si="86"/>
        <v>0</v>
      </c>
      <c r="S104" s="39">
        <f t="shared" si="86"/>
        <v>6</v>
      </c>
      <c r="T104" s="39">
        <f t="shared" si="86"/>
        <v>36</v>
      </c>
      <c r="U104" s="39">
        <f t="shared" si="86"/>
        <v>66</v>
      </c>
      <c r="V104" s="39">
        <f t="shared" si="86"/>
        <v>96</v>
      </c>
      <c r="W104" s="39">
        <f t="shared" si="86"/>
        <v>156</v>
      </c>
      <c r="X104" s="39">
        <f t="shared" si="86"/>
        <v>216</v>
      </c>
      <c r="Y104" s="39">
        <f t="shared" si="86"/>
        <v>276</v>
      </c>
      <c r="Z104" s="39">
        <f t="shared" si="86"/>
        <v>336</v>
      </c>
      <c r="AA104" s="39">
        <f t="shared" si="86"/>
        <v>396</v>
      </c>
      <c r="AB104" s="39">
        <f t="shared" si="86"/>
        <v>456</v>
      </c>
      <c r="AC104" s="39">
        <f t="shared" si="86"/>
        <v>516</v>
      </c>
      <c r="AD104" s="39">
        <f t="shared" si="86"/>
        <v>576</v>
      </c>
      <c r="AE104" s="39">
        <f t="shared" si="86"/>
        <v>636</v>
      </c>
      <c r="AF104" s="39">
        <f t="shared" si="86"/>
        <v>696</v>
      </c>
      <c r="AG104" s="39">
        <f t="shared" si="86"/>
        <v>756</v>
      </c>
      <c r="AH104" s="39">
        <f t="shared" si="86"/>
        <v>828</v>
      </c>
      <c r="AI104" s="39">
        <f t="shared" si="86"/>
        <v>900</v>
      </c>
      <c r="AJ104" s="39">
        <f t="shared" si="86"/>
        <v>972</v>
      </c>
      <c r="AK104" s="39">
        <f t="shared" si="86"/>
        <v>1044</v>
      </c>
      <c r="AL104" s="39">
        <f t="shared" si="86"/>
        <v>1116</v>
      </c>
      <c r="AM104" s="39">
        <f t="shared" si="86"/>
        <v>1188</v>
      </c>
      <c r="AN104" s="39">
        <f t="shared" si="86"/>
        <v>1260</v>
      </c>
      <c r="AO104" s="39">
        <f t="shared" si="86"/>
        <v>1332</v>
      </c>
      <c r="AP104" s="39">
        <f t="shared" si="86"/>
        <v>1404</v>
      </c>
      <c r="AQ104" s="39">
        <f t="shared" si="86"/>
        <v>1476</v>
      </c>
      <c r="AR104" s="39">
        <f t="shared" si="86"/>
        <v>1548</v>
      </c>
      <c r="AS104" s="39">
        <f t="shared" si="86"/>
        <v>1620</v>
      </c>
      <c r="AT104" s="39">
        <f t="shared" si="86"/>
        <v>1704</v>
      </c>
      <c r="AU104" s="39">
        <f t="shared" si="86"/>
        <v>1788</v>
      </c>
      <c r="AV104" s="39">
        <f t="shared" si="86"/>
        <v>1872</v>
      </c>
      <c r="AW104" s="39">
        <f t="shared" si="86"/>
        <v>1956</v>
      </c>
      <c r="AX104" s="39">
        <f t="shared" si="86"/>
        <v>2040</v>
      </c>
      <c r="AY104" s="39">
        <f t="shared" si="86"/>
        <v>2124</v>
      </c>
      <c r="AZ104" s="39">
        <f t="shared" si="86"/>
        <v>2208</v>
      </c>
      <c r="BA104" s="39">
        <f t="shared" si="86"/>
        <v>2292</v>
      </c>
      <c r="BB104" s="39">
        <f t="shared" si="86"/>
        <v>2376</v>
      </c>
      <c r="BC104" s="39">
        <f t="shared" si="86"/>
        <v>2460</v>
      </c>
      <c r="BD104" s="39">
        <f t="shared" si="86"/>
        <v>2544</v>
      </c>
      <c r="BE104" s="39">
        <f t="shared" si="86"/>
        <v>2628</v>
      </c>
      <c r="BF104" s="39">
        <f t="shared" ref="BF104:BQ104" si="87">SUM(BF102:BF103)</f>
        <v>2724</v>
      </c>
      <c r="BG104" s="39">
        <f t="shared" si="87"/>
        <v>2820</v>
      </c>
      <c r="BH104" s="39">
        <f t="shared" si="87"/>
        <v>2916</v>
      </c>
      <c r="BI104" s="39">
        <f t="shared" si="87"/>
        <v>3012</v>
      </c>
      <c r="BJ104" s="39">
        <f t="shared" si="87"/>
        <v>3108</v>
      </c>
      <c r="BK104" s="39">
        <f t="shared" si="87"/>
        <v>3204</v>
      </c>
      <c r="BL104" s="39">
        <f t="shared" si="87"/>
        <v>3300</v>
      </c>
      <c r="BM104" s="39">
        <f t="shared" si="87"/>
        <v>3396</v>
      </c>
      <c r="BN104" s="39">
        <f t="shared" si="87"/>
        <v>3492</v>
      </c>
      <c r="BO104" s="39">
        <f t="shared" si="87"/>
        <v>3588</v>
      </c>
      <c r="BP104" s="39">
        <f t="shared" si="87"/>
        <v>3684</v>
      </c>
      <c r="BQ104" s="39">
        <f t="shared" si="87"/>
        <v>3780</v>
      </c>
    </row>
    <row r="105" spans="2:69">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c r="BF105" s="39"/>
      <c r="BG105" s="39"/>
      <c r="BH105" s="39"/>
      <c r="BI105" s="39"/>
      <c r="BJ105" s="39"/>
      <c r="BK105" s="39"/>
      <c r="BL105" s="39"/>
      <c r="BM105" s="39"/>
      <c r="BN105" s="39"/>
      <c r="BO105" s="39"/>
      <c r="BP105" s="39"/>
      <c r="BQ105" s="39"/>
    </row>
    <row r="106" spans="2:69">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c r="BF106" s="39"/>
      <c r="BG106" s="39"/>
      <c r="BH106" s="39"/>
      <c r="BI106" s="39"/>
      <c r="BJ106" s="39"/>
      <c r="BK106" s="39"/>
      <c r="BL106" s="39"/>
      <c r="BM106" s="39"/>
      <c r="BN106" s="39"/>
      <c r="BO106" s="39"/>
      <c r="BP106" s="39"/>
      <c r="BQ106" s="39"/>
    </row>
    <row r="107" spans="2:69">
      <c r="B107" s="4" t="s">
        <v>375</v>
      </c>
      <c r="J107" s="39">
        <f>Inputs!J45*Inputs!J103</f>
        <v>0</v>
      </c>
      <c r="K107" s="39">
        <f>Inputs!K45*Inputs!K103</f>
        <v>0</v>
      </c>
      <c r="L107" s="39">
        <f>Inputs!L45*Inputs!L103</f>
        <v>0</v>
      </c>
      <c r="M107" s="39">
        <f>Inputs!M45*Inputs!M103</f>
        <v>0</v>
      </c>
      <c r="N107" s="39">
        <f>Inputs!N45*Inputs!N103</f>
        <v>0</v>
      </c>
      <c r="O107" s="39">
        <f>Inputs!O45*Inputs!O103</f>
        <v>0</v>
      </c>
      <c r="P107" s="39">
        <f>Inputs!P45*Inputs!P103</f>
        <v>0</v>
      </c>
      <c r="Q107" s="39">
        <f>Inputs!Q45*Inputs!Q103</f>
        <v>0</v>
      </c>
      <c r="R107" s="39">
        <f>Inputs!R45*Inputs!R103</f>
        <v>0</v>
      </c>
      <c r="S107" s="39">
        <f>Inputs!S45*Inputs!S103</f>
        <v>0</v>
      </c>
      <c r="T107" s="39">
        <f>Inputs!T45*Inputs!T103</f>
        <v>0</v>
      </c>
      <c r="U107" s="39">
        <f>Inputs!U45*Inputs!U103</f>
        <v>0</v>
      </c>
      <c r="V107" s="39">
        <f>Inputs!V45*Inputs!V103</f>
        <v>0</v>
      </c>
      <c r="W107" s="39">
        <f>Inputs!W45*Inputs!W103</f>
        <v>0</v>
      </c>
      <c r="X107" s="39">
        <f>Inputs!X45*Inputs!X103</f>
        <v>0</v>
      </c>
      <c r="Y107" s="39">
        <f>Inputs!Y45*Inputs!Y103</f>
        <v>0</v>
      </c>
      <c r="Z107" s="39">
        <f>Inputs!Z45*Inputs!Z103</f>
        <v>0</v>
      </c>
      <c r="AA107" s="39">
        <f>Inputs!AA45*Inputs!AA103</f>
        <v>0</v>
      </c>
      <c r="AB107" s="39">
        <f>Inputs!AB45*Inputs!AB103</f>
        <v>0</v>
      </c>
      <c r="AC107" s="39">
        <f>Inputs!AC45*Inputs!AC103</f>
        <v>0</v>
      </c>
      <c r="AD107" s="39">
        <f>Inputs!AD45*Inputs!AD103</f>
        <v>0</v>
      </c>
      <c r="AE107" s="39">
        <f>Inputs!AE45*Inputs!AE103</f>
        <v>0</v>
      </c>
      <c r="AF107" s="39">
        <f>Inputs!AF45*Inputs!AF103</f>
        <v>0</v>
      </c>
      <c r="AG107" s="39">
        <f>Inputs!AG45*Inputs!AG103</f>
        <v>0</v>
      </c>
      <c r="AH107" s="39">
        <f>Inputs!AH45*Inputs!AH103</f>
        <v>0</v>
      </c>
      <c r="AI107" s="39">
        <f>Inputs!AI45*Inputs!AI103</f>
        <v>0</v>
      </c>
      <c r="AJ107" s="39">
        <f>Inputs!AJ45*Inputs!AJ103</f>
        <v>0</v>
      </c>
      <c r="AK107" s="39">
        <f>Inputs!AK45*Inputs!AK103</f>
        <v>0</v>
      </c>
      <c r="AL107" s="39">
        <f>Inputs!AL45*Inputs!AL103</f>
        <v>0</v>
      </c>
      <c r="AM107" s="39">
        <f>Inputs!AM45*Inputs!AM103</f>
        <v>0</v>
      </c>
      <c r="AN107" s="39">
        <f>Inputs!AN45*Inputs!AN103</f>
        <v>0</v>
      </c>
      <c r="AO107" s="39">
        <f>Inputs!AO45*Inputs!AO103</f>
        <v>0</v>
      </c>
      <c r="AP107" s="39">
        <f>Inputs!AP45*Inputs!AP103</f>
        <v>0</v>
      </c>
      <c r="AQ107" s="39">
        <f>Inputs!AQ45*Inputs!AQ103</f>
        <v>0</v>
      </c>
      <c r="AR107" s="39">
        <f>Inputs!AR45*Inputs!AR103</f>
        <v>0</v>
      </c>
      <c r="AS107" s="39">
        <f>Inputs!AS45*Inputs!AS103</f>
        <v>0</v>
      </c>
      <c r="AT107" s="39">
        <f>Inputs!AT45*Inputs!AT103</f>
        <v>0</v>
      </c>
      <c r="AU107" s="39">
        <f>Inputs!AU45*Inputs!AU103</f>
        <v>0</v>
      </c>
      <c r="AV107" s="39">
        <f>Inputs!AV45*Inputs!AV103</f>
        <v>0</v>
      </c>
      <c r="AW107" s="39">
        <f>Inputs!AW45*Inputs!AW103</f>
        <v>0</v>
      </c>
      <c r="AX107" s="39">
        <f>Inputs!AX45*Inputs!AX103</f>
        <v>0</v>
      </c>
      <c r="AY107" s="39">
        <f>Inputs!AY45*Inputs!AY103</f>
        <v>0</v>
      </c>
      <c r="AZ107" s="39">
        <f>Inputs!AZ45*Inputs!AZ103</f>
        <v>0</v>
      </c>
      <c r="BA107" s="39">
        <f>Inputs!BA45*Inputs!BA103</f>
        <v>0</v>
      </c>
      <c r="BB107" s="39">
        <f>Inputs!BB45*Inputs!BB103</f>
        <v>0</v>
      </c>
      <c r="BC107" s="39">
        <f>Inputs!BC45*Inputs!BC103</f>
        <v>0</v>
      </c>
      <c r="BD107" s="39">
        <f>Inputs!BD45*Inputs!BD103</f>
        <v>0</v>
      </c>
      <c r="BE107" s="39">
        <f>Inputs!BE45*Inputs!BE103</f>
        <v>0</v>
      </c>
      <c r="BF107" s="39">
        <f>Inputs!BF45*Inputs!BF103</f>
        <v>0</v>
      </c>
      <c r="BG107" s="39">
        <f>Inputs!BG45*Inputs!BG103</f>
        <v>0</v>
      </c>
      <c r="BH107" s="39">
        <f>Inputs!BH45*Inputs!BH103</f>
        <v>0</v>
      </c>
      <c r="BI107" s="39">
        <f>Inputs!BI45*Inputs!BI103</f>
        <v>0</v>
      </c>
      <c r="BJ107" s="39">
        <f>Inputs!BJ45*Inputs!BJ103</f>
        <v>0</v>
      </c>
      <c r="BK107" s="39">
        <f>Inputs!BK45*Inputs!BK103</f>
        <v>0</v>
      </c>
      <c r="BL107" s="39">
        <f>Inputs!BL45*Inputs!BL103</f>
        <v>0</v>
      </c>
      <c r="BM107" s="39">
        <f>Inputs!BM45*Inputs!BM103</f>
        <v>0</v>
      </c>
      <c r="BN107" s="39">
        <f>Inputs!BN45*Inputs!BN103</f>
        <v>0</v>
      </c>
      <c r="BO107" s="39">
        <f>Inputs!BO45*Inputs!BO103</f>
        <v>0</v>
      </c>
      <c r="BP107" s="39">
        <f>Inputs!BP45*Inputs!BP103</f>
        <v>0</v>
      </c>
      <c r="BQ107" s="39">
        <f>Inputs!BQ45*Inputs!BQ103</f>
        <v>0</v>
      </c>
    </row>
    <row r="108" spans="2:69">
      <c r="B108" s="9"/>
      <c r="C108" s="9"/>
      <c r="D108" s="9"/>
      <c r="E108" s="9"/>
      <c r="F108" s="9"/>
      <c r="G108" s="9"/>
      <c r="H108" s="9"/>
      <c r="I108" s="9"/>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2"/>
      <c r="BH108" s="42"/>
      <c r="BI108" s="42"/>
      <c r="BJ108" s="42"/>
      <c r="BK108" s="42"/>
      <c r="BL108" s="42"/>
      <c r="BM108" s="42"/>
      <c r="BN108" s="42"/>
      <c r="BO108" s="42"/>
      <c r="BP108" s="42"/>
      <c r="BQ108" s="42"/>
    </row>
    <row r="109" spans="2:69">
      <c r="B109" s="4" t="s">
        <v>6</v>
      </c>
      <c r="J109" s="39">
        <f t="shared" ref="J109:BE109" si="88">SUM(J107:J108)</f>
        <v>0</v>
      </c>
      <c r="K109" s="39">
        <f t="shared" si="88"/>
        <v>0</v>
      </c>
      <c r="L109" s="39">
        <f t="shared" si="88"/>
        <v>0</v>
      </c>
      <c r="M109" s="39">
        <f t="shared" si="88"/>
        <v>0</v>
      </c>
      <c r="N109" s="39">
        <f t="shared" si="88"/>
        <v>0</v>
      </c>
      <c r="O109" s="39">
        <f t="shared" si="88"/>
        <v>0</v>
      </c>
      <c r="P109" s="39">
        <f t="shared" si="88"/>
        <v>0</v>
      </c>
      <c r="Q109" s="39">
        <f t="shared" si="88"/>
        <v>0</v>
      </c>
      <c r="R109" s="39">
        <f t="shared" si="88"/>
        <v>0</v>
      </c>
      <c r="S109" s="39">
        <f t="shared" si="88"/>
        <v>0</v>
      </c>
      <c r="T109" s="39">
        <f t="shared" si="88"/>
        <v>0</v>
      </c>
      <c r="U109" s="39">
        <f t="shared" si="88"/>
        <v>0</v>
      </c>
      <c r="V109" s="39">
        <f t="shared" si="88"/>
        <v>0</v>
      </c>
      <c r="W109" s="39">
        <f t="shared" si="88"/>
        <v>0</v>
      </c>
      <c r="X109" s="39">
        <f t="shared" si="88"/>
        <v>0</v>
      </c>
      <c r="Y109" s="39">
        <f t="shared" si="88"/>
        <v>0</v>
      </c>
      <c r="Z109" s="39">
        <f t="shared" si="88"/>
        <v>0</v>
      </c>
      <c r="AA109" s="39">
        <f t="shared" si="88"/>
        <v>0</v>
      </c>
      <c r="AB109" s="39">
        <f t="shared" si="88"/>
        <v>0</v>
      </c>
      <c r="AC109" s="39">
        <f t="shared" si="88"/>
        <v>0</v>
      </c>
      <c r="AD109" s="39">
        <f t="shared" si="88"/>
        <v>0</v>
      </c>
      <c r="AE109" s="39">
        <f t="shared" si="88"/>
        <v>0</v>
      </c>
      <c r="AF109" s="39">
        <f t="shared" si="88"/>
        <v>0</v>
      </c>
      <c r="AG109" s="39">
        <f t="shared" si="88"/>
        <v>0</v>
      </c>
      <c r="AH109" s="39">
        <f t="shared" si="88"/>
        <v>0</v>
      </c>
      <c r="AI109" s="39">
        <f t="shared" si="88"/>
        <v>0</v>
      </c>
      <c r="AJ109" s="39">
        <f t="shared" si="88"/>
        <v>0</v>
      </c>
      <c r="AK109" s="39">
        <f t="shared" si="88"/>
        <v>0</v>
      </c>
      <c r="AL109" s="39">
        <f t="shared" si="88"/>
        <v>0</v>
      </c>
      <c r="AM109" s="39">
        <f t="shared" si="88"/>
        <v>0</v>
      </c>
      <c r="AN109" s="39">
        <f t="shared" si="88"/>
        <v>0</v>
      </c>
      <c r="AO109" s="39">
        <f t="shared" si="88"/>
        <v>0</v>
      </c>
      <c r="AP109" s="39">
        <f t="shared" si="88"/>
        <v>0</v>
      </c>
      <c r="AQ109" s="39">
        <f t="shared" si="88"/>
        <v>0</v>
      </c>
      <c r="AR109" s="39">
        <f t="shared" si="88"/>
        <v>0</v>
      </c>
      <c r="AS109" s="39">
        <f t="shared" si="88"/>
        <v>0</v>
      </c>
      <c r="AT109" s="39">
        <f t="shared" si="88"/>
        <v>0</v>
      </c>
      <c r="AU109" s="39">
        <f t="shared" si="88"/>
        <v>0</v>
      </c>
      <c r="AV109" s="39">
        <f t="shared" si="88"/>
        <v>0</v>
      </c>
      <c r="AW109" s="39">
        <f t="shared" si="88"/>
        <v>0</v>
      </c>
      <c r="AX109" s="39">
        <f t="shared" si="88"/>
        <v>0</v>
      </c>
      <c r="AY109" s="39">
        <f t="shared" si="88"/>
        <v>0</v>
      </c>
      <c r="AZ109" s="39">
        <f t="shared" si="88"/>
        <v>0</v>
      </c>
      <c r="BA109" s="39">
        <f t="shared" si="88"/>
        <v>0</v>
      </c>
      <c r="BB109" s="39">
        <f t="shared" si="88"/>
        <v>0</v>
      </c>
      <c r="BC109" s="39">
        <f t="shared" si="88"/>
        <v>0</v>
      </c>
      <c r="BD109" s="39">
        <f t="shared" si="88"/>
        <v>0</v>
      </c>
      <c r="BE109" s="39">
        <f t="shared" si="88"/>
        <v>0</v>
      </c>
      <c r="BF109" s="39">
        <f t="shared" ref="BF109:BQ109" si="89">SUM(BF107:BF108)</f>
        <v>0</v>
      </c>
      <c r="BG109" s="39">
        <f t="shared" si="89"/>
        <v>0</v>
      </c>
      <c r="BH109" s="39">
        <f t="shared" si="89"/>
        <v>0</v>
      </c>
      <c r="BI109" s="39">
        <f t="shared" si="89"/>
        <v>0</v>
      </c>
      <c r="BJ109" s="39">
        <f t="shared" si="89"/>
        <v>0</v>
      </c>
      <c r="BK109" s="39">
        <f t="shared" si="89"/>
        <v>0</v>
      </c>
      <c r="BL109" s="39">
        <f t="shared" si="89"/>
        <v>0</v>
      </c>
      <c r="BM109" s="39">
        <f t="shared" si="89"/>
        <v>0</v>
      </c>
      <c r="BN109" s="39">
        <f t="shared" si="89"/>
        <v>0</v>
      </c>
      <c r="BO109" s="39">
        <f t="shared" si="89"/>
        <v>0</v>
      </c>
      <c r="BP109" s="39">
        <f t="shared" si="89"/>
        <v>0</v>
      </c>
      <c r="BQ109" s="39">
        <f t="shared" si="89"/>
        <v>0</v>
      </c>
    </row>
    <row r="110" spans="2:69">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row>
    <row r="111" spans="2:69">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row>
    <row r="112" spans="2:69">
      <c r="B112" s="4" t="s">
        <v>376</v>
      </c>
      <c r="J112" s="39">
        <f>Inputs!J45*Inputs!J104</f>
        <v>0</v>
      </c>
      <c r="K112" s="39">
        <f>Inputs!K45*Inputs!K104</f>
        <v>0</v>
      </c>
      <c r="L112" s="39">
        <f>Inputs!L45*Inputs!L104</f>
        <v>0</v>
      </c>
      <c r="M112" s="39">
        <f>Inputs!M45*Inputs!M104</f>
        <v>0</v>
      </c>
      <c r="N112" s="39">
        <f>Inputs!N45*Inputs!N104</f>
        <v>0</v>
      </c>
      <c r="O112" s="39">
        <f>Inputs!O45*Inputs!O104</f>
        <v>0</v>
      </c>
      <c r="P112" s="39">
        <f>Inputs!P45*Inputs!P104</f>
        <v>0</v>
      </c>
      <c r="Q112" s="39">
        <f>Inputs!Q45*Inputs!Q104</f>
        <v>0</v>
      </c>
      <c r="R112" s="39">
        <f>Inputs!R45*Inputs!R104</f>
        <v>0</v>
      </c>
      <c r="S112" s="39">
        <f>Inputs!S45*Inputs!S104</f>
        <v>0</v>
      </c>
      <c r="T112" s="39">
        <f>Inputs!T45*Inputs!T104</f>
        <v>0</v>
      </c>
      <c r="U112" s="39">
        <f>Inputs!U45*Inputs!U104</f>
        <v>0</v>
      </c>
      <c r="V112" s="39">
        <f>Inputs!V45*Inputs!V104</f>
        <v>0</v>
      </c>
      <c r="W112" s="39">
        <f>Inputs!W45*Inputs!W104</f>
        <v>0</v>
      </c>
      <c r="X112" s="39">
        <f>Inputs!X45*Inputs!X104</f>
        <v>0</v>
      </c>
      <c r="Y112" s="39">
        <f>Inputs!Y45*Inputs!Y104</f>
        <v>0</v>
      </c>
      <c r="Z112" s="39">
        <f>Inputs!Z45*Inputs!Z104</f>
        <v>0</v>
      </c>
      <c r="AA112" s="39">
        <f>Inputs!AA45*Inputs!AA104</f>
        <v>0</v>
      </c>
      <c r="AB112" s="39">
        <f>Inputs!AB45*Inputs!AB104</f>
        <v>0</v>
      </c>
      <c r="AC112" s="39">
        <f>Inputs!AC45*Inputs!AC104</f>
        <v>0</v>
      </c>
      <c r="AD112" s="39">
        <f>Inputs!AD45*Inputs!AD104</f>
        <v>0</v>
      </c>
      <c r="AE112" s="39">
        <f>Inputs!AE45*Inputs!AE104</f>
        <v>0</v>
      </c>
      <c r="AF112" s="39">
        <f>Inputs!AF45*Inputs!AF104</f>
        <v>0</v>
      </c>
      <c r="AG112" s="39">
        <f>Inputs!AG45*Inputs!AG104</f>
        <v>0</v>
      </c>
      <c r="AH112" s="39">
        <f>Inputs!AH45*Inputs!AH104</f>
        <v>0</v>
      </c>
      <c r="AI112" s="39">
        <f>Inputs!AI45*Inputs!AI104</f>
        <v>0</v>
      </c>
      <c r="AJ112" s="39">
        <f>Inputs!AJ45*Inputs!AJ104</f>
        <v>0</v>
      </c>
      <c r="AK112" s="39">
        <f>Inputs!AK45*Inputs!AK104</f>
        <v>0</v>
      </c>
      <c r="AL112" s="39">
        <f>Inputs!AL45*Inputs!AL104</f>
        <v>0</v>
      </c>
      <c r="AM112" s="39">
        <f>Inputs!AM45*Inputs!AM104</f>
        <v>0</v>
      </c>
      <c r="AN112" s="39">
        <f>Inputs!AN45*Inputs!AN104</f>
        <v>0</v>
      </c>
      <c r="AO112" s="39">
        <f>Inputs!AO45*Inputs!AO104</f>
        <v>0</v>
      </c>
      <c r="AP112" s="39">
        <f>Inputs!AP45*Inputs!AP104</f>
        <v>0</v>
      </c>
      <c r="AQ112" s="39">
        <f>Inputs!AQ45*Inputs!AQ104</f>
        <v>0</v>
      </c>
      <c r="AR112" s="39">
        <f>Inputs!AR45*Inputs!AR104</f>
        <v>0</v>
      </c>
      <c r="AS112" s="39">
        <f>Inputs!AS45*Inputs!AS104</f>
        <v>0</v>
      </c>
      <c r="AT112" s="39">
        <f>Inputs!AT45*Inputs!AT104</f>
        <v>0</v>
      </c>
      <c r="AU112" s="39">
        <f>Inputs!AU45*Inputs!AU104</f>
        <v>0</v>
      </c>
      <c r="AV112" s="39">
        <f>Inputs!AV45*Inputs!AV104</f>
        <v>0</v>
      </c>
      <c r="AW112" s="39">
        <f>Inputs!AW45*Inputs!AW104</f>
        <v>0</v>
      </c>
      <c r="AX112" s="39">
        <f>Inputs!AX45*Inputs!AX104</f>
        <v>0</v>
      </c>
      <c r="AY112" s="39">
        <f>Inputs!AY45*Inputs!AY104</f>
        <v>0</v>
      </c>
      <c r="AZ112" s="39">
        <f>Inputs!AZ45*Inputs!AZ104</f>
        <v>0</v>
      </c>
      <c r="BA112" s="39">
        <f>Inputs!BA45*Inputs!BA104</f>
        <v>0</v>
      </c>
      <c r="BB112" s="39">
        <f>Inputs!BB45*Inputs!BB104</f>
        <v>0</v>
      </c>
      <c r="BC112" s="39">
        <f>Inputs!BC45*Inputs!BC104</f>
        <v>0</v>
      </c>
      <c r="BD112" s="39">
        <f>Inputs!BD45*Inputs!BD104</f>
        <v>0</v>
      </c>
      <c r="BE112" s="39">
        <f>Inputs!BE45*Inputs!BE104</f>
        <v>0</v>
      </c>
      <c r="BF112" s="39">
        <f>Inputs!BF45*Inputs!BF104</f>
        <v>0</v>
      </c>
      <c r="BG112" s="39">
        <f>Inputs!BG45*Inputs!BG104</f>
        <v>0</v>
      </c>
      <c r="BH112" s="39">
        <f>Inputs!BH45*Inputs!BH104</f>
        <v>0</v>
      </c>
      <c r="BI112" s="39">
        <f>Inputs!BI45*Inputs!BI104</f>
        <v>0</v>
      </c>
      <c r="BJ112" s="39">
        <f>Inputs!BJ45*Inputs!BJ104</f>
        <v>0</v>
      </c>
      <c r="BK112" s="39">
        <f>Inputs!BK45*Inputs!BK104</f>
        <v>0</v>
      </c>
      <c r="BL112" s="39">
        <f>Inputs!BL45*Inputs!BL104</f>
        <v>0</v>
      </c>
      <c r="BM112" s="39">
        <f>Inputs!BM45*Inputs!BM104</f>
        <v>0</v>
      </c>
      <c r="BN112" s="39">
        <f>Inputs!BN45*Inputs!BN104</f>
        <v>0</v>
      </c>
      <c r="BO112" s="39">
        <f>Inputs!BO45*Inputs!BO104</f>
        <v>0</v>
      </c>
      <c r="BP112" s="39">
        <f>Inputs!BP45*Inputs!BP104</f>
        <v>0</v>
      </c>
      <c r="BQ112" s="39">
        <f>Inputs!BQ45*Inputs!BQ104</f>
        <v>0</v>
      </c>
    </row>
    <row r="113" spans="2:69">
      <c r="B113" s="9"/>
      <c r="C113" s="9"/>
      <c r="D113" s="9"/>
      <c r="E113" s="9"/>
      <c r="F113" s="9"/>
      <c r="G113" s="9"/>
      <c r="H113" s="9"/>
      <c r="I113" s="9"/>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row>
    <row r="114" spans="2:69">
      <c r="B114" s="4" t="s">
        <v>6</v>
      </c>
      <c r="J114" s="39">
        <f t="shared" ref="J114:BE114" si="90">SUM(J112:J113)</f>
        <v>0</v>
      </c>
      <c r="K114" s="39">
        <f t="shared" si="90"/>
        <v>0</v>
      </c>
      <c r="L114" s="39">
        <f t="shared" si="90"/>
        <v>0</v>
      </c>
      <c r="M114" s="39">
        <f t="shared" si="90"/>
        <v>0</v>
      </c>
      <c r="N114" s="39">
        <f t="shared" si="90"/>
        <v>0</v>
      </c>
      <c r="O114" s="39">
        <f t="shared" si="90"/>
        <v>0</v>
      </c>
      <c r="P114" s="39">
        <f t="shared" si="90"/>
        <v>0</v>
      </c>
      <c r="Q114" s="39">
        <f t="shared" si="90"/>
        <v>0</v>
      </c>
      <c r="R114" s="39">
        <f t="shared" si="90"/>
        <v>0</v>
      </c>
      <c r="S114" s="39">
        <f t="shared" si="90"/>
        <v>0</v>
      </c>
      <c r="T114" s="39">
        <f t="shared" si="90"/>
        <v>0</v>
      </c>
      <c r="U114" s="39">
        <f t="shared" si="90"/>
        <v>0</v>
      </c>
      <c r="V114" s="39">
        <f t="shared" si="90"/>
        <v>0</v>
      </c>
      <c r="W114" s="39">
        <f t="shared" si="90"/>
        <v>0</v>
      </c>
      <c r="X114" s="39">
        <f t="shared" si="90"/>
        <v>0</v>
      </c>
      <c r="Y114" s="39">
        <f t="shared" si="90"/>
        <v>0</v>
      </c>
      <c r="Z114" s="39">
        <f t="shared" si="90"/>
        <v>0</v>
      </c>
      <c r="AA114" s="39">
        <f t="shared" si="90"/>
        <v>0</v>
      </c>
      <c r="AB114" s="39">
        <f t="shared" si="90"/>
        <v>0</v>
      </c>
      <c r="AC114" s="39">
        <f t="shared" si="90"/>
        <v>0</v>
      </c>
      <c r="AD114" s="39">
        <f t="shared" si="90"/>
        <v>0</v>
      </c>
      <c r="AE114" s="39">
        <f t="shared" si="90"/>
        <v>0</v>
      </c>
      <c r="AF114" s="39">
        <f t="shared" si="90"/>
        <v>0</v>
      </c>
      <c r="AG114" s="39">
        <f t="shared" si="90"/>
        <v>0</v>
      </c>
      <c r="AH114" s="39">
        <f t="shared" si="90"/>
        <v>0</v>
      </c>
      <c r="AI114" s="39">
        <f t="shared" si="90"/>
        <v>0</v>
      </c>
      <c r="AJ114" s="39">
        <f t="shared" si="90"/>
        <v>0</v>
      </c>
      <c r="AK114" s="39">
        <f t="shared" si="90"/>
        <v>0</v>
      </c>
      <c r="AL114" s="39">
        <f t="shared" si="90"/>
        <v>0</v>
      </c>
      <c r="AM114" s="39">
        <f t="shared" si="90"/>
        <v>0</v>
      </c>
      <c r="AN114" s="39">
        <f t="shared" si="90"/>
        <v>0</v>
      </c>
      <c r="AO114" s="39">
        <f t="shared" si="90"/>
        <v>0</v>
      </c>
      <c r="AP114" s="39">
        <f t="shared" si="90"/>
        <v>0</v>
      </c>
      <c r="AQ114" s="39">
        <f t="shared" si="90"/>
        <v>0</v>
      </c>
      <c r="AR114" s="39">
        <f t="shared" si="90"/>
        <v>0</v>
      </c>
      <c r="AS114" s="39">
        <f t="shared" si="90"/>
        <v>0</v>
      </c>
      <c r="AT114" s="39">
        <f t="shared" si="90"/>
        <v>0</v>
      </c>
      <c r="AU114" s="39">
        <f t="shared" si="90"/>
        <v>0</v>
      </c>
      <c r="AV114" s="39">
        <f t="shared" si="90"/>
        <v>0</v>
      </c>
      <c r="AW114" s="39">
        <f t="shared" si="90"/>
        <v>0</v>
      </c>
      <c r="AX114" s="39">
        <f t="shared" si="90"/>
        <v>0</v>
      </c>
      <c r="AY114" s="39">
        <f t="shared" si="90"/>
        <v>0</v>
      </c>
      <c r="AZ114" s="39">
        <f t="shared" si="90"/>
        <v>0</v>
      </c>
      <c r="BA114" s="39">
        <f t="shared" si="90"/>
        <v>0</v>
      </c>
      <c r="BB114" s="39">
        <f t="shared" si="90"/>
        <v>0</v>
      </c>
      <c r="BC114" s="39">
        <f t="shared" si="90"/>
        <v>0</v>
      </c>
      <c r="BD114" s="39">
        <f t="shared" si="90"/>
        <v>0</v>
      </c>
      <c r="BE114" s="39">
        <f t="shared" si="90"/>
        <v>0</v>
      </c>
      <c r="BF114" s="39">
        <f t="shared" ref="BF114:BQ114" si="91">SUM(BF112:BF113)</f>
        <v>0</v>
      </c>
      <c r="BG114" s="39">
        <f t="shared" si="91"/>
        <v>0</v>
      </c>
      <c r="BH114" s="39">
        <f t="shared" si="91"/>
        <v>0</v>
      </c>
      <c r="BI114" s="39">
        <f t="shared" si="91"/>
        <v>0</v>
      </c>
      <c r="BJ114" s="39">
        <f t="shared" si="91"/>
        <v>0</v>
      </c>
      <c r="BK114" s="39">
        <f t="shared" si="91"/>
        <v>0</v>
      </c>
      <c r="BL114" s="39">
        <f t="shared" si="91"/>
        <v>0</v>
      </c>
      <c r="BM114" s="39">
        <f t="shared" si="91"/>
        <v>0</v>
      </c>
      <c r="BN114" s="39">
        <f t="shared" si="91"/>
        <v>0</v>
      </c>
      <c r="BO114" s="39">
        <f t="shared" si="91"/>
        <v>0</v>
      </c>
      <c r="BP114" s="39">
        <f t="shared" si="91"/>
        <v>0</v>
      </c>
      <c r="BQ114" s="39">
        <f t="shared" si="91"/>
        <v>0</v>
      </c>
    </row>
    <row r="115" spans="2:69">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c r="BF115" s="39"/>
      <c r="BG115" s="39"/>
      <c r="BH115" s="39"/>
      <c r="BI115" s="39"/>
      <c r="BJ115" s="39"/>
      <c r="BK115" s="39"/>
      <c r="BL115" s="39"/>
      <c r="BM115" s="39"/>
      <c r="BN115" s="39"/>
      <c r="BO115" s="39"/>
      <c r="BP115" s="39"/>
      <c r="BQ115" s="39"/>
    </row>
    <row r="116" spans="2:6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c r="BF116" s="39"/>
      <c r="BG116" s="39"/>
      <c r="BH116" s="39"/>
      <c r="BI116" s="39"/>
      <c r="BJ116" s="39"/>
      <c r="BK116" s="39"/>
      <c r="BL116" s="39"/>
      <c r="BM116" s="39"/>
      <c r="BN116" s="39"/>
      <c r="BO116" s="39"/>
      <c r="BP116" s="39"/>
      <c r="BQ116" s="39"/>
    </row>
    <row r="117" spans="2:69">
      <c r="B117" s="4" t="s">
        <v>377</v>
      </c>
      <c r="J117" s="39">
        <f>(Inputs!J33+Inputs!J41+Inputs!J45)*Inputs!J105</f>
        <v>0</v>
      </c>
      <c r="K117" s="39">
        <f>(Inputs!K33+Inputs!K41+Inputs!K45)*Inputs!K105</f>
        <v>0</v>
      </c>
      <c r="L117" s="39">
        <f>(Inputs!L33+Inputs!L41+Inputs!L45)*Inputs!L105</f>
        <v>0</v>
      </c>
      <c r="M117" s="39">
        <f>(Inputs!M33+Inputs!M41+Inputs!M45)*Inputs!M105</f>
        <v>0</v>
      </c>
      <c r="N117" s="39">
        <f>(Inputs!N33+Inputs!N41+Inputs!N45)*Inputs!N105</f>
        <v>0</v>
      </c>
      <c r="O117" s="39">
        <f>(Inputs!O33+Inputs!O41+Inputs!O45)*Inputs!O105</f>
        <v>0</v>
      </c>
      <c r="P117" s="39">
        <f>(Inputs!P33+Inputs!P41+Inputs!P45)*Inputs!P105</f>
        <v>0</v>
      </c>
      <c r="Q117" s="39">
        <f>(Inputs!Q33+Inputs!Q41+Inputs!Q45)*Inputs!Q105</f>
        <v>0</v>
      </c>
      <c r="R117" s="39">
        <f>(Inputs!R33+Inputs!R41+Inputs!R45)*Inputs!R105</f>
        <v>0</v>
      </c>
      <c r="S117" s="39">
        <f>(Inputs!S33+Inputs!S41+Inputs!S45)*Inputs!S105</f>
        <v>0</v>
      </c>
      <c r="T117" s="39">
        <f>(Inputs!T33+Inputs!T41+Inputs!T45)*Inputs!T105</f>
        <v>15600</v>
      </c>
      <c r="U117" s="39">
        <f>(Inputs!U33+Inputs!U41+Inputs!U45)*Inputs!U105</f>
        <v>16100</v>
      </c>
      <c r="V117" s="39">
        <f>(Inputs!V33+Inputs!V41+Inputs!V45)*Inputs!V105</f>
        <v>16600</v>
      </c>
      <c r="W117" s="39">
        <f>(Inputs!W33+Inputs!W41+Inputs!W45)*Inputs!W105</f>
        <v>19100</v>
      </c>
      <c r="X117" s="39">
        <f>(Inputs!X33+Inputs!X41+Inputs!X45)*Inputs!X105</f>
        <v>21600</v>
      </c>
      <c r="Y117" s="39">
        <f>(Inputs!Y33+Inputs!Y41+Inputs!Y45)*Inputs!Y105</f>
        <v>24100</v>
      </c>
      <c r="Z117" s="39">
        <f>(Inputs!Z33+Inputs!Z41+Inputs!Z45)*Inputs!Z105</f>
        <v>26600</v>
      </c>
      <c r="AA117" s="39">
        <f>(Inputs!AA33+Inputs!AA41+Inputs!AA45)*Inputs!AA105</f>
        <v>29100</v>
      </c>
      <c r="AB117" s="39">
        <f>(Inputs!AB33+Inputs!AB41+Inputs!AB45)*Inputs!AB105</f>
        <v>31600</v>
      </c>
      <c r="AC117" s="39">
        <f>(Inputs!AC33+Inputs!AC41+Inputs!AC45)*Inputs!AC105</f>
        <v>34100</v>
      </c>
      <c r="AD117" s="39">
        <f>(Inputs!AD33+Inputs!AD41+Inputs!AD45)*Inputs!AD105</f>
        <v>36600</v>
      </c>
      <c r="AE117" s="39">
        <f>(Inputs!AE33+Inputs!AE41+Inputs!AE45)*Inputs!AE105</f>
        <v>39100</v>
      </c>
      <c r="AF117" s="39">
        <f>(Inputs!AF33+Inputs!AF41+Inputs!AF45)*Inputs!AF105</f>
        <v>41600</v>
      </c>
      <c r="AG117" s="39">
        <f>(Inputs!AG33+Inputs!AG41+Inputs!AG45)*Inputs!AG105</f>
        <v>44100</v>
      </c>
      <c r="AH117" s="39">
        <f>(Inputs!AH33+Inputs!AH41+Inputs!AH45)*Inputs!AH105</f>
        <v>47100</v>
      </c>
      <c r="AI117" s="39">
        <f>(Inputs!AI33+Inputs!AI41+Inputs!AI45)*Inputs!AI105</f>
        <v>50100</v>
      </c>
      <c r="AJ117" s="39">
        <f>(Inputs!AJ33+Inputs!AJ41+Inputs!AJ45)*Inputs!AJ105</f>
        <v>53100</v>
      </c>
      <c r="AK117" s="39">
        <f>(Inputs!AK33+Inputs!AK41+Inputs!AK45)*Inputs!AK105</f>
        <v>56100</v>
      </c>
      <c r="AL117" s="39">
        <f>(Inputs!AL33+Inputs!AL41+Inputs!AL45)*Inputs!AL105</f>
        <v>59100</v>
      </c>
      <c r="AM117" s="39">
        <f>(Inputs!AM33+Inputs!AM41+Inputs!AM45)*Inputs!AM105</f>
        <v>62100</v>
      </c>
      <c r="AN117" s="39">
        <f>(Inputs!AN33+Inputs!AN41+Inputs!AN45)*Inputs!AN105</f>
        <v>65100</v>
      </c>
      <c r="AO117" s="39">
        <f>(Inputs!AO33+Inputs!AO41+Inputs!AO45)*Inputs!AO105</f>
        <v>68100</v>
      </c>
      <c r="AP117" s="39">
        <f>(Inputs!AP33+Inputs!AP41+Inputs!AP45)*Inputs!AP105</f>
        <v>71100</v>
      </c>
      <c r="AQ117" s="39">
        <f>(Inputs!AQ33+Inputs!AQ41+Inputs!AQ45)*Inputs!AQ105</f>
        <v>74100</v>
      </c>
      <c r="AR117" s="39">
        <f>(Inputs!AR33+Inputs!AR41+Inputs!AR45)*Inputs!AR105</f>
        <v>77100</v>
      </c>
      <c r="AS117" s="39">
        <f>(Inputs!AS33+Inputs!AS41+Inputs!AS45)*Inputs!AS105</f>
        <v>80100</v>
      </c>
      <c r="AT117" s="39">
        <f>(Inputs!AT33+Inputs!AT41+Inputs!AT45)*Inputs!AT105</f>
        <v>83650</v>
      </c>
      <c r="AU117" s="39">
        <f>(Inputs!AU33+Inputs!AU41+Inputs!AU45)*Inputs!AU105</f>
        <v>87200</v>
      </c>
      <c r="AV117" s="39">
        <f>(Inputs!AV33+Inputs!AV41+Inputs!AV45)*Inputs!AV105</f>
        <v>90750</v>
      </c>
      <c r="AW117" s="39">
        <f>(Inputs!AW33+Inputs!AW41+Inputs!AW45)*Inputs!AW105</f>
        <v>94300</v>
      </c>
      <c r="AX117" s="39">
        <f>(Inputs!AX33+Inputs!AX41+Inputs!AX45)*Inputs!AX105</f>
        <v>97850</v>
      </c>
      <c r="AY117" s="39">
        <f>(Inputs!AY33+Inputs!AY41+Inputs!AY45)*Inputs!AY105</f>
        <v>101400</v>
      </c>
      <c r="AZ117" s="39">
        <f>(Inputs!AZ33+Inputs!AZ41+Inputs!AZ45)*Inputs!AZ105</f>
        <v>104950</v>
      </c>
      <c r="BA117" s="39">
        <f>(Inputs!BA33+Inputs!BA41+Inputs!BA45)*Inputs!BA105</f>
        <v>108500</v>
      </c>
      <c r="BB117" s="39">
        <f>(Inputs!BB33+Inputs!BB41+Inputs!BB45)*Inputs!BB105</f>
        <v>112050</v>
      </c>
      <c r="BC117" s="39">
        <f>(Inputs!BC33+Inputs!BC41+Inputs!BC45)*Inputs!BC105</f>
        <v>115600</v>
      </c>
      <c r="BD117" s="39">
        <f>(Inputs!BD33+Inputs!BD41+Inputs!BD45)*Inputs!BD105</f>
        <v>119150</v>
      </c>
      <c r="BE117" s="39">
        <f>(Inputs!BE33+Inputs!BE41+Inputs!BE45)*Inputs!BE105</f>
        <v>122700</v>
      </c>
      <c r="BF117" s="39">
        <f>(Inputs!BF33+Inputs!BF41+Inputs!BF45)*Inputs!BF105</f>
        <v>126900</v>
      </c>
      <c r="BG117" s="39">
        <f>(Inputs!BG33+Inputs!BG41+Inputs!BG45)*Inputs!BG105</f>
        <v>131100</v>
      </c>
      <c r="BH117" s="39">
        <f>(Inputs!BH33+Inputs!BH41+Inputs!BH45)*Inputs!BH105</f>
        <v>135300</v>
      </c>
      <c r="BI117" s="39">
        <f>(Inputs!BI33+Inputs!BI41+Inputs!BI45)*Inputs!BI105</f>
        <v>139500</v>
      </c>
      <c r="BJ117" s="39">
        <f>(Inputs!BJ33+Inputs!BJ41+Inputs!BJ45)*Inputs!BJ105</f>
        <v>143700</v>
      </c>
      <c r="BK117" s="39">
        <f>(Inputs!BK33+Inputs!BK41+Inputs!BK45)*Inputs!BK105</f>
        <v>147900</v>
      </c>
      <c r="BL117" s="39">
        <f>(Inputs!BL33+Inputs!BL41+Inputs!BL45)*Inputs!BL105</f>
        <v>152100</v>
      </c>
      <c r="BM117" s="39">
        <f>(Inputs!BM33+Inputs!BM41+Inputs!BM45)*Inputs!BM105</f>
        <v>156300</v>
      </c>
      <c r="BN117" s="39">
        <f>(Inputs!BN33+Inputs!BN41+Inputs!BN45)*Inputs!BN105</f>
        <v>160500</v>
      </c>
      <c r="BO117" s="39">
        <f>(Inputs!BO33+Inputs!BO41+Inputs!BO45)*Inputs!BO105</f>
        <v>164700</v>
      </c>
      <c r="BP117" s="39">
        <f>(Inputs!BP33+Inputs!BP41+Inputs!BP45)*Inputs!BP105</f>
        <v>168900</v>
      </c>
      <c r="BQ117" s="39">
        <f>(Inputs!BQ33+Inputs!BQ41+Inputs!BQ45)*Inputs!BQ105</f>
        <v>173100</v>
      </c>
    </row>
    <row r="118" spans="2:69">
      <c r="B118" s="9"/>
      <c r="C118" s="9"/>
      <c r="D118" s="9"/>
      <c r="E118" s="9"/>
      <c r="F118" s="9"/>
      <c r="G118" s="9"/>
      <c r="H118" s="9"/>
      <c r="I118" s="9"/>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2"/>
      <c r="BH118" s="42"/>
      <c r="BI118" s="42"/>
      <c r="BJ118" s="42"/>
      <c r="BK118" s="42"/>
      <c r="BL118" s="42"/>
      <c r="BM118" s="42"/>
      <c r="BN118" s="42"/>
      <c r="BO118" s="42"/>
      <c r="BP118" s="42"/>
      <c r="BQ118" s="42"/>
    </row>
    <row r="119" spans="2:69">
      <c r="B119" s="4" t="s">
        <v>6</v>
      </c>
      <c r="J119" s="39">
        <f t="shared" ref="J119:BE119" si="92">SUM(J117:J118)</f>
        <v>0</v>
      </c>
      <c r="K119" s="39">
        <f t="shared" si="92"/>
        <v>0</v>
      </c>
      <c r="L119" s="39">
        <f t="shared" si="92"/>
        <v>0</v>
      </c>
      <c r="M119" s="39">
        <f t="shared" si="92"/>
        <v>0</v>
      </c>
      <c r="N119" s="39">
        <f t="shared" si="92"/>
        <v>0</v>
      </c>
      <c r="O119" s="39">
        <f t="shared" si="92"/>
        <v>0</v>
      </c>
      <c r="P119" s="39">
        <f t="shared" si="92"/>
        <v>0</v>
      </c>
      <c r="Q119" s="39">
        <f t="shared" si="92"/>
        <v>0</v>
      </c>
      <c r="R119" s="39">
        <f t="shared" si="92"/>
        <v>0</v>
      </c>
      <c r="S119" s="39">
        <f t="shared" si="92"/>
        <v>0</v>
      </c>
      <c r="T119" s="39">
        <f t="shared" si="92"/>
        <v>15600</v>
      </c>
      <c r="U119" s="39">
        <f t="shared" si="92"/>
        <v>16100</v>
      </c>
      <c r="V119" s="39">
        <f t="shared" si="92"/>
        <v>16600</v>
      </c>
      <c r="W119" s="39">
        <f t="shared" si="92"/>
        <v>19100</v>
      </c>
      <c r="X119" s="39">
        <f t="shared" si="92"/>
        <v>21600</v>
      </c>
      <c r="Y119" s="39">
        <f t="shared" si="92"/>
        <v>24100</v>
      </c>
      <c r="Z119" s="39">
        <f t="shared" si="92"/>
        <v>26600</v>
      </c>
      <c r="AA119" s="39">
        <f t="shared" si="92"/>
        <v>29100</v>
      </c>
      <c r="AB119" s="39">
        <f t="shared" si="92"/>
        <v>31600</v>
      </c>
      <c r="AC119" s="39">
        <f t="shared" si="92"/>
        <v>34100</v>
      </c>
      <c r="AD119" s="39">
        <f t="shared" si="92"/>
        <v>36600</v>
      </c>
      <c r="AE119" s="39">
        <f t="shared" si="92"/>
        <v>39100</v>
      </c>
      <c r="AF119" s="39">
        <f t="shared" si="92"/>
        <v>41600</v>
      </c>
      <c r="AG119" s="39">
        <f t="shared" si="92"/>
        <v>44100</v>
      </c>
      <c r="AH119" s="39">
        <f t="shared" si="92"/>
        <v>47100</v>
      </c>
      <c r="AI119" s="39">
        <f t="shared" si="92"/>
        <v>50100</v>
      </c>
      <c r="AJ119" s="39">
        <f t="shared" si="92"/>
        <v>53100</v>
      </c>
      <c r="AK119" s="39">
        <f t="shared" si="92"/>
        <v>56100</v>
      </c>
      <c r="AL119" s="39">
        <f t="shared" si="92"/>
        <v>59100</v>
      </c>
      <c r="AM119" s="39">
        <f t="shared" si="92"/>
        <v>62100</v>
      </c>
      <c r="AN119" s="39">
        <f t="shared" si="92"/>
        <v>65100</v>
      </c>
      <c r="AO119" s="39">
        <f t="shared" si="92"/>
        <v>68100</v>
      </c>
      <c r="AP119" s="39">
        <f t="shared" si="92"/>
        <v>71100</v>
      </c>
      <c r="AQ119" s="39">
        <f t="shared" si="92"/>
        <v>74100</v>
      </c>
      <c r="AR119" s="39">
        <f t="shared" si="92"/>
        <v>77100</v>
      </c>
      <c r="AS119" s="39">
        <f t="shared" si="92"/>
        <v>80100</v>
      </c>
      <c r="AT119" s="39">
        <f t="shared" si="92"/>
        <v>83650</v>
      </c>
      <c r="AU119" s="39">
        <f t="shared" si="92"/>
        <v>87200</v>
      </c>
      <c r="AV119" s="39">
        <f t="shared" si="92"/>
        <v>90750</v>
      </c>
      <c r="AW119" s="39">
        <f t="shared" si="92"/>
        <v>94300</v>
      </c>
      <c r="AX119" s="39">
        <f t="shared" si="92"/>
        <v>97850</v>
      </c>
      <c r="AY119" s="39">
        <f t="shared" si="92"/>
        <v>101400</v>
      </c>
      <c r="AZ119" s="39">
        <f t="shared" si="92"/>
        <v>104950</v>
      </c>
      <c r="BA119" s="39">
        <f t="shared" si="92"/>
        <v>108500</v>
      </c>
      <c r="BB119" s="39">
        <f t="shared" si="92"/>
        <v>112050</v>
      </c>
      <c r="BC119" s="39">
        <f t="shared" si="92"/>
        <v>115600</v>
      </c>
      <c r="BD119" s="39">
        <f t="shared" si="92"/>
        <v>119150</v>
      </c>
      <c r="BE119" s="39">
        <f t="shared" si="92"/>
        <v>122700</v>
      </c>
      <c r="BF119" s="39">
        <f t="shared" ref="BF119:BQ119" si="93">SUM(BF117:BF118)</f>
        <v>126900</v>
      </c>
      <c r="BG119" s="39">
        <f t="shared" si="93"/>
        <v>131100</v>
      </c>
      <c r="BH119" s="39">
        <f t="shared" si="93"/>
        <v>135300</v>
      </c>
      <c r="BI119" s="39">
        <f t="shared" si="93"/>
        <v>139500</v>
      </c>
      <c r="BJ119" s="39">
        <f t="shared" si="93"/>
        <v>143700</v>
      </c>
      <c r="BK119" s="39">
        <f t="shared" si="93"/>
        <v>147900</v>
      </c>
      <c r="BL119" s="39">
        <f t="shared" si="93"/>
        <v>152100</v>
      </c>
      <c r="BM119" s="39">
        <f t="shared" si="93"/>
        <v>156300</v>
      </c>
      <c r="BN119" s="39">
        <f t="shared" si="93"/>
        <v>160500</v>
      </c>
      <c r="BO119" s="39">
        <f t="shared" si="93"/>
        <v>164700</v>
      </c>
      <c r="BP119" s="39">
        <f t="shared" si="93"/>
        <v>168900</v>
      </c>
      <c r="BQ119" s="39">
        <f t="shared" si="93"/>
        <v>173100</v>
      </c>
    </row>
    <row r="120" spans="2:69">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c r="BF120" s="39"/>
      <c r="BG120" s="39"/>
      <c r="BH120" s="39"/>
      <c r="BI120" s="39"/>
      <c r="BJ120" s="39"/>
      <c r="BK120" s="39"/>
      <c r="BL120" s="39"/>
      <c r="BM120" s="39"/>
      <c r="BN120" s="39"/>
      <c r="BO120" s="39"/>
      <c r="BP120" s="39"/>
      <c r="BQ120" s="39"/>
    </row>
    <row r="121" spans="2:69">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c r="BF121" s="39"/>
      <c r="BG121" s="39"/>
      <c r="BH121" s="39"/>
      <c r="BI121" s="39"/>
      <c r="BJ121" s="39"/>
      <c r="BK121" s="39"/>
      <c r="BL121" s="39"/>
      <c r="BM121" s="39"/>
      <c r="BN121" s="39"/>
      <c r="BO121" s="39"/>
      <c r="BP121" s="39"/>
      <c r="BQ121" s="39"/>
    </row>
    <row r="122" spans="2:69">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c r="BF122" s="39"/>
      <c r="BG122" s="39"/>
      <c r="BH122" s="39"/>
      <c r="BI122" s="39"/>
      <c r="BJ122" s="39"/>
      <c r="BK122" s="39"/>
      <c r="BL122" s="39"/>
      <c r="BM122" s="39"/>
      <c r="BN122" s="39"/>
      <c r="BO122" s="39"/>
      <c r="BP122" s="39"/>
      <c r="BQ122" s="39"/>
    </row>
    <row r="123" spans="2:69">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c r="BF123" s="39"/>
      <c r="BG123" s="39"/>
      <c r="BH123" s="39"/>
      <c r="BI123" s="39"/>
      <c r="BJ123" s="39"/>
      <c r="BK123" s="39"/>
      <c r="BL123" s="39"/>
      <c r="BM123" s="39"/>
      <c r="BN123" s="39"/>
      <c r="BO123" s="39"/>
      <c r="BP123" s="39"/>
      <c r="BQ123" s="39"/>
    </row>
    <row r="124" spans="2:69">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c r="BF124" s="39"/>
      <c r="BG124" s="39"/>
      <c r="BH124" s="39"/>
      <c r="BI124" s="39"/>
      <c r="BJ124" s="39"/>
      <c r="BK124" s="39"/>
      <c r="BL124" s="39"/>
      <c r="BM124" s="39"/>
      <c r="BN124" s="39"/>
      <c r="BO124" s="39"/>
      <c r="BP124" s="39"/>
      <c r="BQ124" s="39"/>
    </row>
    <row r="125" spans="2:69">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c r="BF125" s="39"/>
      <c r="BG125" s="39"/>
      <c r="BH125" s="39"/>
      <c r="BI125" s="39"/>
      <c r="BJ125" s="39"/>
      <c r="BK125" s="39"/>
      <c r="BL125" s="39"/>
      <c r="BM125" s="39"/>
      <c r="BN125" s="39"/>
      <c r="BO125" s="39"/>
      <c r="BP125" s="39"/>
      <c r="BQ125" s="39"/>
    </row>
    <row r="126" spans="2:69">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c r="BF126" s="39"/>
      <c r="BG126" s="39"/>
      <c r="BH126" s="39"/>
      <c r="BI126" s="39"/>
      <c r="BJ126" s="39"/>
      <c r="BK126" s="39"/>
      <c r="BL126" s="39"/>
      <c r="BM126" s="39"/>
      <c r="BN126" s="39"/>
      <c r="BO126" s="39"/>
      <c r="BP126" s="39"/>
      <c r="BQ126" s="39"/>
    </row>
    <row r="127" spans="2:69">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c r="BF127" s="39"/>
      <c r="BG127" s="39"/>
      <c r="BH127" s="39"/>
      <c r="BI127" s="39"/>
      <c r="BJ127" s="39"/>
      <c r="BK127" s="39"/>
      <c r="BL127" s="39"/>
      <c r="BM127" s="39"/>
      <c r="BN127" s="39"/>
      <c r="BO127" s="39"/>
      <c r="BP127" s="39"/>
      <c r="BQ127" s="39"/>
    </row>
    <row r="128" spans="2:69">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c r="BF128" s="39"/>
      <c r="BG128" s="39"/>
      <c r="BH128" s="39"/>
      <c r="BI128" s="39"/>
      <c r="BJ128" s="39"/>
      <c r="BK128" s="39"/>
      <c r="BL128" s="39"/>
      <c r="BM128" s="39"/>
      <c r="BN128" s="39"/>
      <c r="BO128" s="39"/>
      <c r="BP128" s="39"/>
      <c r="BQ128" s="39"/>
    </row>
    <row r="129" spans="2:69">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c r="BF129" s="39"/>
      <c r="BG129" s="39"/>
      <c r="BH129" s="39"/>
      <c r="BI129" s="39"/>
      <c r="BJ129" s="39"/>
      <c r="BK129" s="39"/>
      <c r="BL129" s="39"/>
      <c r="BM129" s="39"/>
      <c r="BN129" s="39"/>
      <c r="BO129" s="39"/>
      <c r="BP129" s="39"/>
      <c r="BQ129" s="39"/>
    </row>
    <row r="130" spans="2:69">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c r="BF130" s="39"/>
      <c r="BG130" s="39"/>
      <c r="BH130" s="39"/>
      <c r="BI130" s="39"/>
      <c r="BJ130" s="39"/>
      <c r="BK130" s="39"/>
      <c r="BL130" s="39"/>
      <c r="BM130" s="39"/>
      <c r="BN130" s="39"/>
      <c r="BO130" s="39"/>
      <c r="BP130" s="39"/>
      <c r="BQ130" s="39"/>
    </row>
    <row r="131" spans="2:6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c r="BF131" s="39"/>
      <c r="BG131" s="39"/>
      <c r="BH131" s="39"/>
      <c r="BI131" s="39"/>
      <c r="BJ131" s="39"/>
      <c r="BK131" s="39"/>
      <c r="BL131" s="39"/>
      <c r="BM131" s="39"/>
      <c r="BN131" s="39"/>
      <c r="BO131" s="39"/>
      <c r="BP131" s="39"/>
      <c r="BQ131" s="39"/>
    </row>
    <row r="132" spans="2:69">
      <c r="B132" s="3" t="s">
        <v>105</v>
      </c>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c r="BF132" s="39"/>
      <c r="BG132" s="39"/>
      <c r="BH132" s="39"/>
      <c r="BI132" s="39"/>
      <c r="BJ132" s="39"/>
      <c r="BK132" s="39"/>
      <c r="BL132" s="39"/>
      <c r="BM132" s="39"/>
      <c r="BN132" s="39"/>
      <c r="BO132" s="39"/>
      <c r="BP132" s="39"/>
      <c r="BQ132" s="39"/>
    </row>
    <row r="133" spans="2:69">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c r="BF133" s="39"/>
      <c r="BG133" s="39"/>
      <c r="BH133" s="39"/>
      <c r="BI133" s="39"/>
      <c r="BJ133" s="39"/>
      <c r="BK133" s="39"/>
      <c r="BL133" s="39"/>
      <c r="BM133" s="39"/>
      <c r="BN133" s="39"/>
      <c r="BO133" s="39"/>
      <c r="BP133" s="39"/>
      <c r="BQ133" s="39"/>
    </row>
    <row r="134" spans="2:69" s="3" customFormat="1">
      <c r="B134" s="3" t="s">
        <v>90</v>
      </c>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row>
    <row r="135" spans="2:69">
      <c r="B135" s="4" t="s">
        <v>106</v>
      </c>
      <c r="J135" s="39"/>
      <c r="K135" s="39"/>
      <c r="L135" s="39"/>
      <c r="M135" s="39"/>
      <c r="N135" s="39"/>
      <c r="O135" s="39"/>
      <c r="P135" s="39"/>
      <c r="Q135" s="39"/>
      <c r="R135" s="39"/>
      <c r="S135" s="39"/>
      <c r="T135" s="39">
        <v>1750</v>
      </c>
      <c r="U135" s="39">
        <v>1750</v>
      </c>
      <c r="V135" s="39">
        <v>1750</v>
      </c>
      <c r="W135" s="39">
        <v>1750</v>
      </c>
      <c r="X135" s="39">
        <v>1750</v>
      </c>
      <c r="Y135" s="39">
        <v>1750</v>
      </c>
      <c r="Z135" s="39">
        <v>1750</v>
      </c>
      <c r="AA135" s="39">
        <v>1750</v>
      </c>
      <c r="AB135" s="39">
        <v>1750</v>
      </c>
      <c r="AC135" s="39">
        <v>1750</v>
      </c>
      <c r="AD135" s="39">
        <v>1750</v>
      </c>
      <c r="AE135" s="39">
        <v>1750</v>
      </c>
      <c r="AF135" s="39">
        <v>1750</v>
      </c>
      <c r="AG135" s="39">
        <v>1750</v>
      </c>
      <c r="AH135" s="39">
        <v>1750</v>
      </c>
      <c r="AI135" s="39">
        <v>1750</v>
      </c>
      <c r="AJ135" s="39">
        <v>1750</v>
      </c>
      <c r="AK135" s="39">
        <v>1750</v>
      </c>
      <c r="AL135" s="39">
        <v>1750</v>
      </c>
      <c r="AM135" s="39">
        <v>1750</v>
      </c>
      <c r="AN135" s="39">
        <v>1750</v>
      </c>
      <c r="AO135" s="39">
        <v>1750</v>
      </c>
      <c r="AP135" s="39">
        <v>1750</v>
      </c>
      <c r="AQ135" s="39">
        <v>1750</v>
      </c>
      <c r="AR135" s="39">
        <v>1750</v>
      </c>
      <c r="AS135" s="39">
        <v>1750</v>
      </c>
      <c r="AT135" s="39">
        <v>1750</v>
      </c>
      <c r="AU135" s="39">
        <v>1750</v>
      </c>
      <c r="AV135" s="39">
        <v>1750</v>
      </c>
      <c r="AW135" s="39">
        <v>1750</v>
      </c>
      <c r="AX135" s="39">
        <v>1750</v>
      </c>
      <c r="AY135" s="39">
        <v>1750</v>
      </c>
      <c r="AZ135" s="39">
        <v>1750</v>
      </c>
      <c r="BA135" s="39">
        <v>1750</v>
      </c>
      <c r="BB135" s="39">
        <v>1750</v>
      </c>
      <c r="BC135" s="39">
        <v>1750</v>
      </c>
      <c r="BD135" s="39">
        <v>1750</v>
      </c>
      <c r="BE135" s="39">
        <v>1750</v>
      </c>
      <c r="BF135" s="39">
        <v>2500</v>
      </c>
      <c r="BG135" s="39">
        <v>2500</v>
      </c>
      <c r="BH135" s="39">
        <v>2500</v>
      </c>
      <c r="BI135" s="39">
        <v>2500</v>
      </c>
      <c r="BJ135" s="39">
        <v>2500</v>
      </c>
      <c r="BK135" s="39">
        <v>2500</v>
      </c>
      <c r="BL135" s="39">
        <v>2500</v>
      </c>
      <c r="BM135" s="39">
        <v>2500</v>
      </c>
      <c r="BN135" s="39">
        <v>2500</v>
      </c>
      <c r="BO135" s="39">
        <v>2500</v>
      </c>
      <c r="BP135" s="39">
        <v>2500</v>
      </c>
      <c r="BQ135" s="39">
        <v>2500</v>
      </c>
    </row>
    <row r="136" spans="2:69">
      <c r="B136" s="9" t="s">
        <v>107</v>
      </c>
      <c r="C136" s="9"/>
      <c r="D136" s="9"/>
      <c r="E136" s="9"/>
      <c r="F136" s="9"/>
      <c r="G136" s="9"/>
      <c r="H136" s="9"/>
      <c r="I136" s="9"/>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2"/>
      <c r="BH136" s="42"/>
      <c r="BI136" s="42"/>
      <c r="BJ136" s="42"/>
      <c r="BK136" s="42"/>
      <c r="BL136" s="42"/>
      <c r="BM136" s="42"/>
      <c r="BN136" s="42"/>
      <c r="BO136" s="42"/>
      <c r="BP136" s="42"/>
      <c r="BQ136" s="42"/>
    </row>
    <row r="137" spans="2:69">
      <c r="B137" s="3" t="s">
        <v>108</v>
      </c>
      <c r="J137" s="39">
        <f>SUM(J135:J136)</f>
        <v>0</v>
      </c>
      <c r="K137" s="39">
        <f t="shared" ref="K137:BE137" si="94">SUM(K135:K136)</f>
        <v>0</v>
      </c>
      <c r="L137" s="39">
        <f t="shared" si="94"/>
        <v>0</v>
      </c>
      <c r="M137" s="39">
        <f t="shared" si="94"/>
        <v>0</v>
      </c>
      <c r="N137" s="39">
        <f t="shared" si="94"/>
        <v>0</v>
      </c>
      <c r="O137" s="39">
        <f t="shared" si="94"/>
        <v>0</v>
      </c>
      <c r="P137" s="39">
        <f t="shared" si="94"/>
        <v>0</v>
      </c>
      <c r="Q137" s="39">
        <f t="shared" si="94"/>
        <v>0</v>
      </c>
      <c r="R137" s="39">
        <f t="shared" si="94"/>
        <v>0</v>
      </c>
      <c r="S137" s="39">
        <f t="shared" si="94"/>
        <v>0</v>
      </c>
      <c r="T137" s="39">
        <f t="shared" si="94"/>
        <v>1750</v>
      </c>
      <c r="U137" s="39">
        <f t="shared" si="94"/>
        <v>1750</v>
      </c>
      <c r="V137" s="39">
        <f t="shared" si="94"/>
        <v>1750</v>
      </c>
      <c r="W137" s="39">
        <f t="shared" si="94"/>
        <v>1750</v>
      </c>
      <c r="X137" s="39">
        <f t="shared" si="94"/>
        <v>1750</v>
      </c>
      <c r="Y137" s="39">
        <f t="shared" si="94"/>
        <v>1750</v>
      </c>
      <c r="Z137" s="39">
        <f t="shared" si="94"/>
        <v>1750</v>
      </c>
      <c r="AA137" s="39">
        <f t="shared" si="94"/>
        <v>1750</v>
      </c>
      <c r="AB137" s="39">
        <f t="shared" si="94"/>
        <v>1750</v>
      </c>
      <c r="AC137" s="39">
        <f t="shared" si="94"/>
        <v>1750</v>
      </c>
      <c r="AD137" s="39">
        <f t="shared" si="94"/>
        <v>1750</v>
      </c>
      <c r="AE137" s="39">
        <f t="shared" si="94"/>
        <v>1750</v>
      </c>
      <c r="AF137" s="39">
        <f t="shared" si="94"/>
        <v>1750</v>
      </c>
      <c r="AG137" s="39">
        <f t="shared" si="94"/>
        <v>1750</v>
      </c>
      <c r="AH137" s="39">
        <f t="shared" si="94"/>
        <v>1750</v>
      </c>
      <c r="AI137" s="39">
        <f t="shared" si="94"/>
        <v>1750</v>
      </c>
      <c r="AJ137" s="39">
        <f t="shared" si="94"/>
        <v>1750</v>
      </c>
      <c r="AK137" s="39">
        <f t="shared" si="94"/>
        <v>1750</v>
      </c>
      <c r="AL137" s="39">
        <f t="shared" si="94"/>
        <v>1750</v>
      </c>
      <c r="AM137" s="39">
        <f t="shared" si="94"/>
        <v>1750</v>
      </c>
      <c r="AN137" s="39">
        <f t="shared" si="94"/>
        <v>1750</v>
      </c>
      <c r="AO137" s="39">
        <f t="shared" si="94"/>
        <v>1750</v>
      </c>
      <c r="AP137" s="39">
        <f t="shared" si="94"/>
        <v>1750</v>
      </c>
      <c r="AQ137" s="39">
        <f t="shared" si="94"/>
        <v>1750</v>
      </c>
      <c r="AR137" s="39">
        <f t="shared" si="94"/>
        <v>1750</v>
      </c>
      <c r="AS137" s="39">
        <f t="shared" si="94"/>
        <v>1750</v>
      </c>
      <c r="AT137" s="39">
        <f t="shared" si="94"/>
        <v>1750</v>
      </c>
      <c r="AU137" s="39">
        <f t="shared" si="94"/>
        <v>1750</v>
      </c>
      <c r="AV137" s="39">
        <f t="shared" si="94"/>
        <v>1750</v>
      </c>
      <c r="AW137" s="39">
        <f t="shared" si="94"/>
        <v>1750</v>
      </c>
      <c r="AX137" s="39">
        <f t="shared" si="94"/>
        <v>1750</v>
      </c>
      <c r="AY137" s="39">
        <f t="shared" si="94"/>
        <v>1750</v>
      </c>
      <c r="AZ137" s="39">
        <f t="shared" si="94"/>
        <v>1750</v>
      </c>
      <c r="BA137" s="39">
        <f t="shared" si="94"/>
        <v>1750</v>
      </c>
      <c r="BB137" s="39">
        <f t="shared" si="94"/>
        <v>1750</v>
      </c>
      <c r="BC137" s="39">
        <f t="shared" si="94"/>
        <v>1750</v>
      </c>
      <c r="BD137" s="39">
        <f t="shared" si="94"/>
        <v>1750</v>
      </c>
      <c r="BE137" s="39">
        <f t="shared" si="94"/>
        <v>1750</v>
      </c>
      <c r="BF137" s="39">
        <f t="shared" ref="BF137:BQ137" si="95">SUM(BF135:BF136)</f>
        <v>2500</v>
      </c>
      <c r="BG137" s="39">
        <f t="shared" si="95"/>
        <v>2500</v>
      </c>
      <c r="BH137" s="39">
        <f t="shared" si="95"/>
        <v>2500</v>
      </c>
      <c r="BI137" s="39">
        <f t="shared" si="95"/>
        <v>2500</v>
      </c>
      <c r="BJ137" s="39">
        <f t="shared" si="95"/>
        <v>2500</v>
      </c>
      <c r="BK137" s="39">
        <f t="shared" si="95"/>
        <v>2500</v>
      </c>
      <c r="BL137" s="39">
        <f t="shared" si="95"/>
        <v>2500</v>
      </c>
      <c r="BM137" s="39">
        <f t="shared" si="95"/>
        <v>2500</v>
      </c>
      <c r="BN137" s="39">
        <f t="shared" si="95"/>
        <v>2500</v>
      </c>
      <c r="BO137" s="39">
        <f t="shared" si="95"/>
        <v>2500</v>
      </c>
      <c r="BP137" s="39">
        <f t="shared" si="95"/>
        <v>2500</v>
      </c>
      <c r="BQ137" s="39">
        <f t="shared" si="95"/>
        <v>2500</v>
      </c>
    </row>
    <row r="138" spans="2:69">
      <c r="J138" s="39"/>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c r="AX138" s="39"/>
      <c r="AY138" s="39"/>
      <c r="AZ138" s="39"/>
      <c r="BA138" s="39"/>
      <c r="BB138" s="39"/>
      <c r="BC138" s="39"/>
      <c r="BD138" s="39"/>
      <c r="BE138" s="39"/>
      <c r="BF138" s="39"/>
      <c r="BG138" s="39"/>
      <c r="BH138" s="39"/>
      <c r="BI138" s="39"/>
      <c r="BJ138" s="39"/>
      <c r="BK138" s="39"/>
      <c r="BL138" s="39"/>
      <c r="BM138" s="39"/>
      <c r="BN138" s="39"/>
      <c r="BO138" s="39"/>
      <c r="BP138" s="39"/>
      <c r="BQ138" s="39"/>
    </row>
    <row r="139" spans="2:69">
      <c r="J139" s="39"/>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c r="AX139" s="39"/>
      <c r="AY139" s="39"/>
      <c r="AZ139" s="39"/>
      <c r="BA139" s="39"/>
      <c r="BB139" s="39"/>
      <c r="BC139" s="39"/>
      <c r="BD139" s="39"/>
      <c r="BE139" s="39"/>
      <c r="BF139" s="39"/>
      <c r="BG139" s="39"/>
      <c r="BH139" s="39"/>
      <c r="BI139" s="39"/>
      <c r="BJ139" s="39"/>
      <c r="BK139" s="39"/>
      <c r="BL139" s="39"/>
      <c r="BM139" s="39"/>
      <c r="BN139" s="39"/>
      <c r="BO139" s="39"/>
      <c r="BP139" s="39"/>
      <c r="BQ139" s="39"/>
    </row>
    <row r="140" spans="2:69">
      <c r="B140" s="3" t="s">
        <v>91</v>
      </c>
      <c r="C140" s="3"/>
      <c r="D140" s="3"/>
      <c r="E140" s="3"/>
      <c r="F140" s="3"/>
      <c r="G140" s="3"/>
      <c r="H140" s="3"/>
      <c r="I140" s="3"/>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row>
    <row r="141" spans="2:69">
      <c r="B141" s="4" t="s">
        <v>106</v>
      </c>
      <c r="C141" s="4" t="s">
        <v>349</v>
      </c>
      <c r="J141" s="39"/>
      <c r="K141" s="39"/>
      <c r="L141" s="39"/>
      <c r="M141" s="39"/>
      <c r="N141" s="39"/>
      <c r="O141" s="39"/>
      <c r="P141" s="39"/>
      <c r="Q141" s="39"/>
      <c r="R141" s="39"/>
      <c r="S141" s="39"/>
      <c r="T141" s="39">
        <v>0</v>
      </c>
      <c r="U141" s="39">
        <v>0</v>
      </c>
      <c r="V141" s="39">
        <v>0</v>
      </c>
      <c r="W141" s="39">
        <v>0</v>
      </c>
      <c r="X141" s="39">
        <v>0</v>
      </c>
      <c r="Y141" s="39">
        <v>0</v>
      </c>
      <c r="Z141" s="39">
        <v>0</v>
      </c>
      <c r="AA141" s="39">
        <v>0</v>
      </c>
      <c r="AB141" s="39">
        <v>0</v>
      </c>
      <c r="AC141" s="39">
        <v>0</v>
      </c>
      <c r="AD141" s="39">
        <v>0</v>
      </c>
      <c r="AE141" s="39">
        <v>0</v>
      </c>
      <c r="AF141" s="39">
        <v>0</v>
      </c>
      <c r="AG141" s="39">
        <v>0</v>
      </c>
      <c r="AH141" s="39">
        <v>0</v>
      </c>
      <c r="AI141" s="39">
        <v>0</v>
      </c>
      <c r="AJ141" s="39">
        <v>0</v>
      </c>
      <c r="AK141" s="39">
        <v>0</v>
      </c>
      <c r="AL141" s="39">
        <v>0</v>
      </c>
      <c r="AM141" s="39">
        <v>0</v>
      </c>
      <c r="AN141" s="39">
        <v>0</v>
      </c>
      <c r="AO141" s="39">
        <v>0</v>
      </c>
      <c r="AP141" s="39">
        <v>0</v>
      </c>
      <c r="AQ141" s="39">
        <v>0</v>
      </c>
      <c r="AR141" s="39">
        <v>0</v>
      </c>
      <c r="AS141" s="39">
        <v>0</v>
      </c>
      <c r="AT141" s="39">
        <v>0</v>
      </c>
      <c r="AU141" s="39">
        <v>0</v>
      </c>
      <c r="AV141" s="39">
        <v>0</v>
      </c>
      <c r="AW141" s="39">
        <v>0</v>
      </c>
      <c r="AX141" s="39">
        <v>0</v>
      </c>
      <c r="AY141" s="39">
        <v>0</v>
      </c>
      <c r="AZ141" s="39">
        <v>0</v>
      </c>
      <c r="BA141" s="39">
        <v>0</v>
      </c>
      <c r="BB141" s="39">
        <v>0</v>
      </c>
      <c r="BC141" s="39">
        <v>0</v>
      </c>
      <c r="BD141" s="39">
        <v>0</v>
      </c>
      <c r="BE141" s="39">
        <v>0</v>
      </c>
      <c r="BF141" s="39">
        <v>0</v>
      </c>
      <c r="BG141" s="39">
        <v>0</v>
      </c>
      <c r="BH141" s="39">
        <v>0</v>
      </c>
      <c r="BI141" s="39">
        <v>0</v>
      </c>
      <c r="BJ141" s="39">
        <v>0</v>
      </c>
      <c r="BK141" s="39">
        <v>0</v>
      </c>
      <c r="BL141" s="39">
        <v>0</v>
      </c>
      <c r="BM141" s="39">
        <v>0</v>
      </c>
      <c r="BN141" s="39">
        <v>0</v>
      </c>
      <c r="BO141" s="39">
        <v>0</v>
      </c>
      <c r="BP141" s="39">
        <v>0</v>
      </c>
      <c r="BQ141" s="39">
        <v>0</v>
      </c>
    </row>
    <row r="142" spans="2:69">
      <c r="B142" s="9" t="s">
        <v>107</v>
      </c>
      <c r="C142" s="9"/>
      <c r="D142" s="9"/>
      <c r="E142" s="9"/>
      <c r="F142" s="9"/>
      <c r="G142" s="9"/>
      <c r="H142" s="9"/>
      <c r="I142" s="9"/>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2"/>
      <c r="BH142" s="42"/>
      <c r="BI142" s="42"/>
      <c r="BJ142" s="42"/>
      <c r="BK142" s="42"/>
      <c r="BL142" s="42"/>
      <c r="BM142" s="42"/>
      <c r="BN142" s="42"/>
      <c r="BO142" s="42"/>
      <c r="BP142" s="42"/>
      <c r="BQ142" s="42"/>
    </row>
    <row r="143" spans="2:69">
      <c r="B143" s="3" t="s">
        <v>109</v>
      </c>
      <c r="J143" s="39">
        <f>SUM(J141:J142)</f>
        <v>0</v>
      </c>
      <c r="K143" s="39">
        <f t="shared" ref="K143" si="96">SUM(K141:K142)</f>
        <v>0</v>
      </c>
      <c r="L143" s="39">
        <f t="shared" ref="L143" si="97">SUM(L141:L142)</f>
        <v>0</v>
      </c>
      <c r="M143" s="39">
        <f t="shared" ref="M143" si="98">SUM(M141:M142)</f>
        <v>0</v>
      </c>
      <c r="N143" s="39">
        <f t="shared" ref="N143" si="99">SUM(N141:N142)</f>
        <v>0</v>
      </c>
      <c r="O143" s="39">
        <f t="shared" ref="O143" si="100">SUM(O141:O142)</f>
        <v>0</v>
      </c>
      <c r="P143" s="39">
        <f t="shared" ref="P143" si="101">SUM(P141:P142)</f>
        <v>0</v>
      </c>
      <c r="Q143" s="39">
        <f t="shared" ref="Q143" si="102">SUM(Q141:Q142)</f>
        <v>0</v>
      </c>
      <c r="R143" s="39">
        <f t="shared" ref="R143" si="103">SUM(R141:R142)</f>
        <v>0</v>
      </c>
      <c r="S143" s="39">
        <f t="shared" ref="S143" si="104">SUM(S141:S142)</f>
        <v>0</v>
      </c>
      <c r="T143" s="39">
        <f t="shared" ref="T143" si="105">SUM(T141:T142)</f>
        <v>0</v>
      </c>
      <c r="U143" s="39">
        <f t="shared" ref="U143" si="106">SUM(U141:U142)</f>
        <v>0</v>
      </c>
      <c r="V143" s="39">
        <f t="shared" ref="V143" si="107">SUM(V141:V142)</f>
        <v>0</v>
      </c>
      <c r="W143" s="39">
        <f t="shared" ref="W143" si="108">SUM(W141:W142)</f>
        <v>0</v>
      </c>
      <c r="X143" s="39">
        <f t="shared" ref="X143" si="109">SUM(X141:X142)</f>
        <v>0</v>
      </c>
      <c r="Y143" s="39">
        <f t="shared" ref="Y143" si="110">SUM(Y141:Y142)</f>
        <v>0</v>
      </c>
      <c r="Z143" s="39">
        <f t="shared" ref="Z143" si="111">SUM(Z141:Z142)</f>
        <v>0</v>
      </c>
      <c r="AA143" s="39">
        <f t="shared" ref="AA143" si="112">SUM(AA141:AA142)</f>
        <v>0</v>
      </c>
      <c r="AB143" s="39">
        <f t="shared" ref="AB143" si="113">SUM(AB141:AB142)</f>
        <v>0</v>
      </c>
      <c r="AC143" s="39">
        <f t="shared" ref="AC143" si="114">SUM(AC141:AC142)</f>
        <v>0</v>
      </c>
      <c r="AD143" s="39">
        <f t="shared" ref="AD143" si="115">SUM(AD141:AD142)</f>
        <v>0</v>
      </c>
      <c r="AE143" s="39">
        <f t="shared" ref="AE143" si="116">SUM(AE141:AE142)</f>
        <v>0</v>
      </c>
      <c r="AF143" s="39">
        <f t="shared" ref="AF143" si="117">SUM(AF141:AF142)</f>
        <v>0</v>
      </c>
      <c r="AG143" s="39">
        <f t="shared" ref="AG143" si="118">SUM(AG141:AG142)</f>
        <v>0</v>
      </c>
      <c r="AH143" s="39">
        <f t="shared" ref="AH143" si="119">SUM(AH141:AH142)</f>
        <v>0</v>
      </c>
      <c r="AI143" s="39">
        <f t="shared" ref="AI143" si="120">SUM(AI141:AI142)</f>
        <v>0</v>
      </c>
      <c r="AJ143" s="39">
        <f t="shared" ref="AJ143" si="121">SUM(AJ141:AJ142)</f>
        <v>0</v>
      </c>
      <c r="AK143" s="39">
        <f t="shared" ref="AK143" si="122">SUM(AK141:AK142)</f>
        <v>0</v>
      </c>
      <c r="AL143" s="39">
        <f t="shared" ref="AL143" si="123">SUM(AL141:AL142)</f>
        <v>0</v>
      </c>
      <c r="AM143" s="39">
        <f t="shared" ref="AM143" si="124">SUM(AM141:AM142)</f>
        <v>0</v>
      </c>
      <c r="AN143" s="39">
        <f t="shared" ref="AN143" si="125">SUM(AN141:AN142)</f>
        <v>0</v>
      </c>
      <c r="AO143" s="39">
        <f t="shared" ref="AO143" si="126">SUM(AO141:AO142)</f>
        <v>0</v>
      </c>
      <c r="AP143" s="39">
        <f t="shared" ref="AP143" si="127">SUM(AP141:AP142)</f>
        <v>0</v>
      </c>
      <c r="AQ143" s="39">
        <f t="shared" ref="AQ143" si="128">SUM(AQ141:AQ142)</f>
        <v>0</v>
      </c>
      <c r="AR143" s="39">
        <f t="shared" ref="AR143" si="129">SUM(AR141:AR142)</f>
        <v>0</v>
      </c>
      <c r="AS143" s="39">
        <f t="shared" ref="AS143" si="130">SUM(AS141:AS142)</f>
        <v>0</v>
      </c>
      <c r="AT143" s="39">
        <f t="shared" ref="AT143" si="131">SUM(AT141:AT142)</f>
        <v>0</v>
      </c>
      <c r="AU143" s="39">
        <f t="shared" ref="AU143" si="132">SUM(AU141:AU142)</f>
        <v>0</v>
      </c>
      <c r="AV143" s="39">
        <f t="shared" ref="AV143" si="133">SUM(AV141:AV142)</f>
        <v>0</v>
      </c>
      <c r="AW143" s="39">
        <f t="shared" ref="AW143" si="134">SUM(AW141:AW142)</f>
        <v>0</v>
      </c>
      <c r="AX143" s="39">
        <f t="shared" ref="AX143" si="135">SUM(AX141:AX142)</f>
        <v>0</v>
      </c>
      <c r="AY143" s="39">
        <f t="shared" ref="AY143" si="136">SUM(AY141:AY142)</f>
        <v>0</v>
      </c>
      <c r="AZ143" s="39">
        <f t="shared" ref="AZ143" si="137">SUM(AZ141:AZ142)</f>
        <v>0</v>
      </c>
      <c r="BA143" s="39">
        <f t="shared" ref="BA143" si="138">SUM(BA141:BA142)</f>
        <v>0</v>
      </c>
      <c r="BB143" s="39">
        <f t="shared" ref="BB143" si="139">SUM(BB141:BB142)</f>
        <v>0</v>
      </c>
      <c r="BC143" s="39">
        <f t="shared" ref="BC143" si="140">SUM(BC141:BC142)</f>
        <v>0</v>
      </c>
      <c r="BD143" s="39">
        <f t="shared" ref="BD143" si="141">SUM(BD141:BD142)</f>
        <v>0</v>
      </c>
      <c r="BE143" s="39">
        <f t="shared" ref="BE143:BQ143" si="142">SUM(BE141:BE142)</f>
        <v>0</v>
      </c>
      <c r="BF143" s="39">
        <f t="shared" si="142"/>
        <v>0</v>
      </c>
      <c r="BG143" s="39">
        <f t="shared" si="142"/>
        <v>0</v>
      </c>
      <c r="BH143" s="39">
        <f t="shared" si="142"/>
        <v>0</v>
      </c>
      <c r="BI143" s="39">
        <f t="shared" si="142"/>
        <v>0</v>
      </c>
      <c r="BJ143" s="39">
        <f t="shared" si="142"/>
        <v>0</v>
      </c>
      <c r="BK143" s="39">
        <f t="shared" si="142"/>
        <v>0</v>
      </c>
      <c r="BL143" s="39">
        <f t="shared" si="142"/>
        <v>0</v>
      </c>
      <c r="BM143" s="39">
        <f t="shared" si="142"/>
        <v>0</v>
      </c>
      <c r="BN143" s="39">
        <f t="shared" si="142"/>
        <v>0</v>
      </c>
      <c r="BO143" s="39">
        <f t="shared" si="142"/>
        <v>0</v>
      </c>
      <c r="BP143" s="39">
        <f t="shared" si="142"/>
        <v>0</v>
      </c>
      <c r="BQ143" s="39">
        <f t="shared" si="142"/>
        <v>0</v>
      </c>
    </row>
    <row r="144" spans="2:69">
      <c r="J144" s="39"/>
      <c r="K144" s="39"/>
      <c r="L144" s="39"/>
      <c r="M144" s="39"/>
      <c r="N144" s="39"/>
      <c r="O144" s="39"/>
      <c r="P144" s="39"/>
      <c r="Q144" s="39"/>
      <c r="R144" s="39"/>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c r="AX144" s="39"/>
      <c r="AY144" s="39"/>
      <c r="AZ144" s="39"/>
      <c r="BA144" s="39"/>
      <c r="BB144" s="39"/>
      <c r="BC144" s="39"/>
      <c r="BD144" s="39"/>
      <c r="BE144" s="39"/>
      <c r="BF144" s="39"/>
      <c r="BG144" s="39"/>
      <c r="BH144" s="39"/>
      <c r="BI144" s="39"/>
      <c r="BJ144" s="39"/>
      <c r="BK144" s="39"/>
      <c r="BL144" s="39"/>
      <c r="BM144" s="39"/>
      <c r="BN144" s="39"/>
      <c r="BO144" s="39"/>
      <c r="BP144" s="39"/>
      <c r="BQ144" s="39"/>
    </row>
    <row r="145" spans="2:69">
      <c r="J145" s="39"/>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c r="AX145" s="39"/>
      <c r="AY145" s="39"/>
      <c r="AZ145" s="39"/>
      <c r="BA145" s="39"/>
      <c r="BB145" s="39"/>
      <c r="BC145" s="39"/>
      <c r="BD145" s="39"/>
      <c r="BE145" s="39"/>
      <c r="BF145" s="39"/>
      <c r="BG145" s="39"/>
      <c r="BH145" s="39"/>
      <c r="BI145" s="39"/>
      <c r="BJ145" s="39"/>
      <c r="BK145" s="39"/>
      <c r="BL145" s="39"/>
      <c r="BM145" s="39"/>
      <c r="BN145" s="39"/>
      <c r="BO145" s="39"/>
      <c r="BP145" s="39"/>
      <c r="BQ145" s="39"/>
    </row>
    <row r="146" spans="2:69">
      <c r="B146" s="3" t="s">
        <v>92</v>
      </c>
      <c r="C146" s="3"/>
      <c r="D146" s="3"/>
      <c r="E146" s="3"/>
      <c r="F146" s="3"/>
      <c r="G146" s="3"/>
      <c r="H146" s="3"/>
      <c r="I146" s="3"/>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row>
    <row r="147" spans="2:69">
      <c r="B147" s="4" t="s">
        <v>350</v>
      </c>
      <c r="J147" s="39"/>
      <c r="K147" s="39"/>
      <c r="L147" s="39"/>
      <c r="M147" s="39"/>
      <c r="N147" s="39"/>
      <c r="O147" s="39"/>
      <c r="P147" s="39"/>
      <c r="Q147" s="39"/>
      <c r="R147" s="39"/>
      <c r="S147" s="39"/>
      <c r="T147" s="39"/>
      <c r="U147" s="39"/>
      <c r="V147" s="39"/>
      <c r="W147" s="39">
        <v>6000</v>
      </c>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c r="AX147" s="39"/>
      <c r="AY147" s="39"/>
      <c r="AZ147" s="39"/>
      <c r="BA147" s="39"/>
      <c r="BB147" s="39"/>
      <c r="BC147" s="39"/>
      <c r="BD147" s="39"/>
      <c r="BE147" s="39"/>
      <c r="BF147" s="39"/>
      <c r="BG147" s="39"/>
      <c r="BH147" s="39"/>
      <c r="BI147" s="39"/>
      <c r="BJ147" s="39"/>
      <c r="BK147" s="39"/>
      <c r="BL147" s="39"/>
      <c r="BM147" s="39"/>
      <c r="BN147" s="39"/>
      <c r="BO147" s="39"/>
      <c r="BP147" s="39"/>
      <c r="BQ147" s="39"/>
    </row>
    <row r="148" spans="2:69">
      <c r="B148" s="9"/>
      <c r="C148" s="9"/>
      <c r="D148" s="9"/>
      <c r="E148" s="9"/>
      <c r="F148" s="9"/>
      <c r="G148" s="9"/>
      <c r="H148" s="9"/>
      <c r="I148" s="9"/>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2"/>
      <c r="BH148" s="42"/>
      <c r="BI148" s="42"/>
      <c r="BJ148" s="42"/>
      <c r="BK148" s="42"/>
      <c r="BL148" s="42"/>
      <c r="BM148" s="42"/>
      <c r="BN148" s="42"/>
      <c r="BO148" s="42"/>
      <c r="BP148" s="42"/>
      <c r="BQ148" s="42"/>
    </row>
    <row r="149" spans="2:69">
      <c r="B149" s="3" t="s">
        <v>110</v>
      </c>
      <c r="J149" s="39">
        <f>SUM(J147:J148)</f>
        <v>0</v>
      </c>
      <c r="K149" s="39">
        <f t="shared" ref="K149" si="143">SUM(K147:K148)</f>
        <v>0</v>
      </c>
      <c r="L149" s="39">
        <f t="shared" ref="L149" si="144">SUM(L147:L148)</f>
        <v>0</v>
      </c>
      <c r="M149" s="39">
        <f t="shared" ref="M149" si="145">SUM(M147:M148)</f>
        <v>0</v>
      </c>
      <c r="N149" s="39">
        <f t="shared" ref="N149" si="146">SUM(N147:N148)</f>
        <v>0</v>
      </c>
      <c r="O149" s="39">
        <f t="shared" ref="O149" si="147">SUM(O147:O148)</f>
        <v>0</v>
      </c>
      <c r="P149" s="39">
        <f t="shared" ref="P149" si="148">SUM(P147:P148)</f>
        <v>0</v>
      </c>
      <c r="Q149" s="39">
        <f t="shared" ref="Q149" si="149">SUM(Q147:Q148)</f>
        <v>0</v>
      </c>
      <c r="R149" s="39">
        <f t="shared" ref="R149" si="150">SUM(R147:R148)</f>
        <v>0</v>
      </c>
      <c r="S149" s="39">
        <f t="shared" ref="S149" si="151">SUM(S147:S148)</f>
        <v>0</v>
      </c>
      <c r="T149" s="39">
        <f t="shared" ref="T149" si="152">SUM(T147:T148)</f>
        <v>0</v>
      </c>
      <c r="U149" s="39">
        <f t="shared" ref="U149" si="153">SUM(U147:U148)</f>
        <v>0</v>
      </c>
      <c r="V149" s="39">
        <f t="shared" ref="V149" si="154">SUM(V147:V148)</f>
        <v>0</v>
      </c>
      <c r="W149" s="39">
        <f t="shared" ref="W149" si="155">SUM(W147:W148)</f>
        <v>6000</v>
      </c>
      <c r="X149" s="39">
        <f t="shared" ref="X149" si="156">SUM(X147:X148)</f>
        <v>0</v>
      </c>
      <c r="Y149" s="39">
        <f t="shared" ref="Y149" si="157">SUM(Y147:Y148)</f>
        <v>0</v>
      </c>
      <c r="Z149" s="39">
        <f t="shared" ref="Z149" si="158">SUM(Z147:Z148)</f>
        <v>0</v>
      </c>
      <c r="AA149" s="39">
        <f t="shared" ref="AA149" si="159">SUM(AA147:AA148)</f>
        <v>0</v>
      </c>
      <c r="AB149" s="39">
        <f t="shared" ref="AB149" si="160">SUM(AB147:AB148)</f>
        <v>0</v>
      </c>
      <c r="AC149" s="39">
        <f t="shared" ref="AC149" si="161">SUM(AC147:AC148)</f>
        <v>0</v>
      </c>
      <c r="AD149" s="39">
        <f t="shared" ref="AD149" si="162">SUM(AD147:AD148)</f>
        <v>0</v>
      </c>
      <c r="AE149" s="39">
        <f t="shared" ref="AE149" si="163">SUM(AE147:AE148)</f>
        <v>0</v>
      </c>
      <c r="AF149" s="39">
        <f t="shared" ref="AF149" si="164">SUM(AF147:AF148)</f>
        <v>0</v>
      </c>
      <c r="AG149" s="39">
        <f t="shared" ref="AG149" si="165">SUM(AG147:AG148)</f>
        <v>0</v>
      </c>
      <c r="AH149" s="39">
        <f t="shared" ref="AH149" si="166">SUM(AH147:AH148)</f>
        <v>0</v>
      </c>
      <c r="AI149" s="39">
        <f t="shared" ref="AI149" si="167">SUM(AI147:AI148)</f>
        <v>0</v>
      </c>
      <c r="AJ149" s="39">
        <f t="shared" ref="AJ149" si="168">SUM(AJ147:AJ148)</f>
        <v>0</v>
      </c>
      <c r="AK149" s="39">
        <f t="shared" ref="AK149" si="169">SUM(AK147:AK148)</f>
        <v>0</v>
      </c>
      <c r="AL149" s="39">
        <f t="shared" ref="AL149" si="170">SUM(AL147:AL148)</f>
        <v>0</v>
      </c>
      <c r="AM149" s="39">
        <f t="shared" ref="AM149" si="171">SUM(AM147:AM148)</f>
        <v>0</v>
      </c>
      <c r="AN149" s="39">
        <f t="shared" ref="AN149" si="172">SUM(AN147:AN148)</f>
        <v>0</v>
      </c>
      <c r="AO149" s="39">
        <f t="shared" ref="AO149" si="173">SUM(AO147:AO148)</f>
        <v>0</v>
      </c>
      <c r="AP149" s="39">
        <f t="shared" ref="AP149" si="174">SUM(AP147:AP148)</f>
        <v>0</v>
      </c>
      <c r="AQ149" s="39">
        <f t="shared" ref="AQ149" si="175">SUM(AQ147:AQ148)</f>
        <v>0</v>
      </c>
      <c r="AR149" s="39">
        <f t="shared" ref="AR149" si="176">SUM(AR147:AR148)</f>
        <v>0</v>
      </c>
      <c r="AS149" s="39">
        <f t="shared" ref="AS149" si="177">SUM(AS147:AS148)</f>
        <v>0</v>
      </c>
      <c r="AT149" s="39">
        <f t="shared" ref="AT149" si="178">SUM(AT147:AT148)</f>
        <v>0</v>
      </c>
      <c r="AU149" s="39">
        <f t="shared" ref="AU149" si="179">SUM(AU147:AU148)</f>
        <v>0</v>
      </c>
      <c r="AV149" s="39">
        <f t="shared" ref="AV149" si="180">SUM(AV147:AV148)</f>
        <v>0</v>
      </c>
      <c r="AW149" s="39">
        <f t="shared" ref="AW149" si="181">SUM(AW147:AW148)</f>
        <v>0</v>
      </c>
      <c r="AX149" s="39">
        <f t="shared" ref="AX149" si="182">SUM(AX147:AX148)</f>
        <v>0</v>
      </c>
      <c r="AY149" s="39">
        <f t="shared" ref="AY149" si="183">SUM(AY147:AY148)</f>
        <v>0</v>
      </c>
      <c r="AZ149" s="39">
        <f t="shared" ref="AZ149" si="184">SUM(AZ147:AZ148)</f>
        <v>0</v>
      </c>
      <c r="BA149" s="39">
        <f t="shared" ref="BA149" si="185">SUM(BA147:BA148)</f>
        <v>0</v>
      </c>
      <c r="BB149" s="39">
        <f t="shared" ref="BB149" si="186">SUM(BB147:BB148)</f>
        <v>0</v>
      </c>
      <c r="BC149" s="39">
        <f t="shared" ref="BC149" si="187">SUM(BC147:BC148)</f>
        <v>0</v>
      </c>
      <c r="BD149" s="39">
        <f t="shared" ref="BD149" si="188">SUM(BD147:BD148)</f>
        <v>0</v>
      </c>
      <c r="BE149" s="39">
        <f t="shared" ref="BE149:BQ149" si="189">SUM(BE147:BE148)</f>
        <v>0</v>
      </c>
      <c r="BF149" s="39">
        <f t="shared" si="189"/>
        <v>0</v>
      </c>
      <c r="BG149" s="39">
        <f t="shared" si="189"/>
        <v>0</v>
      </c>
      <c r="BH149" s="39">
        <f t="shared" si="189"/>
        <v>0</v>
      </c>
      <c r="BI149" s="39">
        <f t="shared" si="189"/>
        <v>0</v>
      </c>
      <c r="BJ149" s="39">
        <f t="shared" si="189"/>
        <v>0</v>
      </c>
      <c r="BK149" s="39">
        <f t="shared" si="189"/>
        <v>0</v>
      </c>
      <c r="BL149" s="39">
        <f t="shared" si="189"/>
        <v>0</v>
      </c>
      <c r="BM149" s="39">
        <f t="shared" si="189"/>
        <v>0</v>
      </c>
      <c r="BN149" s="39">
        <f t="shared" si="189"/>
        <v>0</v>
      </c>
      <c r="BO149" s="39">
        <f t="shared" si="189"/>
        <v>0</v>
      </c>
      <c r="BP149" s="39">
        <f t="shared" si="189"/>
        <v>0</v>
      </c>
      <c r="BQ149" s="39">
        <f t="shared" si="189"/>
        <v>0</v>
      </c>
    </row>
    <row r="150" spans="2:69">
      <c r="J150" s="39"/>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c r="AX150" s="39"/>
      <c r="AY150" s="39"/>
      <c r="AZ150" s="39"/>
      <c r="BA150" s="39"/>
      <c r="BB150" s="39"/>
      <c r="BC150" s="39"/>
      <c r="BD150" s="39"/>
      <c r="BE150" s="39"/>
      <c r="BF150" s="39"/>
      <c r="BG150" s="39"/>
      <c r="BH150" s="39"/>
      <c r="BI150" s="39"/>
      <c r="BJ150" s="39"/>
      <c r="BK150" s="39"/>
      <c r="BL150" s="39"/>
      <c r="BM150" s="39"/>
      <c r="BN150" s="39"/>
      <c r="BO150" s="39"/>
      <c r="BP150" s="39"/>
      <c r="BQ150" s="39"/>
    </row>
    <row r="151" spans="2:6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39"/>
      <c r="AV151" s="39"/>
      <c r="AW151" s="39"/>
      <c r="AX151" s="39"/>
      <c r="AY151" s="39"/>
      <c r="AZ151" s="39"/>
      <c r="BA151" s="39"/>
      <c r="BB151" s="39"/>
      <c r="BC151" s="39"/>
      <c r="BD151" s="39"/>
      <c r="BE151" s="39"/>
      <c r="BF151" s="39"/>
      <c r="BG151" s="39"/>
      <c r="BH151" s="39"/>
      <c r="BI151" s="39"/>
      <c r="BJ151" s="39"/>
      <c r="BK151" s="39"/>
      <c r="BL151" s="39"/>
      <c r="BM151" s="39"/>
      <c r="BN151" s="39"/>
      <c r="BO151" s="39"/>
      <c r="BP151" s="39"/>
      <c r="BQ151" s="39"/>
    </row>
    <row r="152" spans="2:69">
      <c r="B152" s="3" t="s">
        <v>111</v>
      </c>
      <c r="C152" s="3"/>
      <c r="D152" s="3"/>
      <c r="E152" s="3"/>
      <c r="F152" s="3"/>
      <c r="G152" s="3"/>
      <c r="H152" s="3"/>
      <c r="I152" s="3"/>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row>
    <row r="153" spans="2:69">
      <c r="B153" s="4" t="s">
        <v>367</v>
      </c>
      <c r="J153" s="39">
        <f>(ROUND('KPI''s'!J8*Inputs!J116,0))*(Inputs!J111+Inputs!J112+Inputs!J113)/12</f>
        <v>0</v>
      </c>
      <c r="K153" s="39">
        <f>(ROUND('KPI''s'!K8*Inputs!K116,0))*(Inputs!K111+Inputs!K112+Inputs!K113)/12</f>
        <v>0</v>
      </c>
      <c r="L153" s="39">
        <f>(ROUND('KPI''s'!L8*Inputs!L116,0))*(Inputs!L111+Inputs!L112+Inputs!L113)/12</f>
        <v>0</v>
      </c>
      <c r="M153" s="39">
        <f>(ROUND('KPI''s'!M8*Inputs!M116,0))*(Inputs!M111+Inputs!M112+Inputs!M113)/12</f>
        <v>0</v>
      </c>
      <c r="N153" s="39">
        <f>(ROUND('KPI''s'!N8*Inputs!N116,0))*(Inputs!N111+Inputs!N112+Inputs!N113)/12</f>
        <v>0</v>
      </c>
      <c r="O153" s="39">
        <f>(ROUND('KPI''s'!O8*Inputs!O116,0))*(Inputs!O111+Inputs!O112+Inputs!O113)/12</f>
        <v>0</v>
      </c>
      <c r="P153" s="39">
        <f>(ROUND('KPI''s'!P8*Inputs!P116,0))*(Inputs!P111+Inputs!P112+Inputs!P113)/12</f>
        <v>0</v>
      </c>
      <c r="Q153" s="39">
        <f>(ROUND('KPI''s'!Q8*Inputs!Q116,0))*(Inputs!Q111+Inputs!Q112+Inputs!Q113)/12</f>
        <v>0</v>
      </c>
      <c r="R153" s="39">
        <f>(ROUND('KPI''s'!R8*Inputs!R116,0))*(Inputs!R111+Inputs!R112+Inputs!R113)/12</f>
        <v>0</v>
      </c>
      <c r="S153" s="39">
        <f>(ROUND('KPI''s'!S8*Inputs!S116,0))*(Inputs!S111+Inputs!S112+Inputs!S113)/12</f>
        <v>0</v>
      </c>
      <c r="T153" s="39">
        <f>(ROUND('KPI''s'!T8*Inputs!T116,0))*(Inputs!T111+Inputs!T112+Inputs!T113)/12</f>
        <v>0</v>
      </c>
      <c r="U153" s="39">
        <f>(ROUND('KPI''s'!U8*Inputs!U116,0))*(Inputs!U111+Inputs!U112+Inputs!U113)/12</f>
        <v>86.25</v>
      </c>
      <c r="V153" s="39">
        <f>(ROUND('KPI''s'!V8*Inputs!V116,0))*(Inputs!V111+Inputs!V112+Inputs!V113)/12</f>
        <v>86.25</v>
      </c>
      <c r="W153" s="39">
        <f>(ROUND('KPI''s'!W8*Inputs!W116,0))*(Inputs!W111+Inputs!W112+Inputs!W113)/12</f>
        <v>86.25</v>
      </c>
      <c r="X153" s="39">
        <f>(ROUND('KPI''s'!X8*Inputs!X116,0))*(Inputs!X111+Inputs!X112+Inputs!X113)/12</f>
        <v>172.5</v>
      </c>
      <c r="Y153" s="39">
        <f>(ROUND('KPI''s'!Y8*Inputs!Y116,0))*(Inputs!Y111+Inputs!Y112+Inputs!Y113)/12</f>
        <v>172.5</v>
      </c>
      <c r="Z153" s="39">
        <f>(ROUND('KPI''s'!Z8*Inputs!Z116,0))*(Inputs!Z111+Inputs!Z112+Inputs!Z113)/12</f>
        <v>258.75</v>
      </c>
      <c r="AA153" s="39">
        <f>(ROUND('KPI''s'!AA8*Inputs!AA116,0))*(Inputs!AA111+Inputs!AA112+Inputs!AA113)/12</f>
        <v>258.75</v>
      </c>
      <c r="AB153" s="39">
        <f>(ROUND('KPI''s'!AB8*Inputs!AB116,0))*(Inputs!AB111+Inputs!AB112+Inputs!AB113)/12</f>
        <v>258.75</v>
      </c>
      <c r="AC153" s="39">
        <f>(ROUND('KPI''s'!AC8*Inputs!AC116,0))*(Inputs!AC111+Inputs!AC112+Inputs!AC113)/12</f>
        <v>345</v>
      </c>
      <c r="AD153" s="39">
        <f>(ROUND('KPI''s'!AD8*Inputs!AD116,0))*(Inputs!AD111+Inputs!AD112+Inputs!AD113)/12</f>
        <v>345</v>
      </c>
      <c r="AE153" s="39">
        <f>(ROUND('KPI''s'!AE8*Inputs!AE116,0))*(Inputs!AE111+Inputs!AE112+Inputs!AE113)/12</f>
        <v>431.25</v>
      </c>
      <c r="AF153" s="39">
        <f>(ROUND('KPI''s'!AF8*Inputs!AF116,0))*(Inputs!AF111+Inputs!AF112+Inputs!AF113)/12</f>
        <v>431.25</v>
      </c>
      <c r="AG153" s="39">
        <f>(ROUND('KPI''s'!AG8*Inputs!AG116,0))*(Inputs!AG111+Inputs!AG112+Inputs!AG113)/12</f>
        <v>431.25</v>
      </c>
      <c r="AH153" s="39">
        <f>(ROUND('KPI''s'!AH8*Inputs!AH116,0))*(Inputs!AH111+Inputs!AH112+Inputs!AH113)/12</f>
        <v>517.5</v>
      </c>
      <c r="AI153" s="39">
        <f>(ROUND('KPI''s'!AI8*Inputs!AI116,0))*(Inputs!AI111+Inputs!AI112+Inputs!AI113)/12</f>
        <v>517.5</v>
      </c>
      <c r="AJ153" s="39">
        <f>(ROUND('KPI''s'!AJ8*Inputs!AJ116,0))*(Inputs!AJ111+Inputs!AJ112+Inputs!AJ113)/12</f>
        <v>603.75</v>
      </c>
      <c r="AK153" s="39">
        <f>(ROUND('KPI''s'!AK8*Inputs!AK116,0))*(Inputs!AK111+Inputs!AK112+Inputs!AK113)/12</f>
        <v>603.75</v>
      </c>
      <c r="AL153" s="39">
        <f>(ROUND('KPI''s'!AL8*Inputs!AL116,0))*(Inputs!AL111+Inputs!AL112+Inputs!AL113)/12</f>
        <v>690</v>
      </c>
      <c r="AM153" s="39">
        <f>(ROUND('KPI''s'!AM8*Inputs!AM116,0))*(Inputs!AM111+Inputs!AM112+Inputs!AM113)/12</f>
        <v>690</v>
      </c>
      <c r="AN153" s="39">
        <f>(ROUND('KPI''s'!AN8*Inputs!AN116,0))*(Inputs!AN111+Inputs!AN112+Inputs!AN113)/12</f>
        <v>776.25</v>
      </c>
      <c r="AO153" s="39">
        <f>(ROUND('KPI''s'!AO8*Inputs!AO116,0))*(Inputs!AO111+Inputs!AO112+Inputs!AO113)/12</f>
        <v>776.25</v>
      </c>
      <c r="AP153" s="39">
        <f>(ROUND('KPI''s'!AP8*Inputs!AP116,0))*(Inputs!AP111+Inputs!AP112+Inputs!AP113)/12</f>
        <v>862.5</v>
      </c>
      <c r="AQ153" s="39">
        <f>(ROUND('KPI''s'!AQ8*Inputs!AQ116,0))*(Inputs!AQ111+Inputs!AQ112+Inputs!AQ113)/12</f>
        <v>862.5</v>
      </c>
      <c r="AR153" s="39">
        <f>(ROUND('KPI''s'!AR8*Inputs!AR116,0))*(Inputs!AR111+Inputs!AR112+Inputs!AR113)/12</f>
        <v>948.75</v>
      </c>
      <c r="AS153" s="39">
        <f>(ROUND('KPI''s'!AS8*Inputs!AS116,0))*(Inputs!AS111+Inputs!AS112+Inputs!AS113)/12</f>
        <v>948.75</v>
      </c>
      <c r="AT153" s="39">
        <f>(ROUND('KPI''s'!AT8*Inputs!AT116,0))*(Inputs!AT111+Inputs!AT112+Inputs!AT113)/12</f>
        <v>1035</v>
      </c>
      <c r="AU153" s="39">
        <f>(ROUND('KPI''s'!AU8*Inputs!AU116,0))*(Inputs!AU111+Inputs!AU112+Inputs!AU113)/12</f>
        <v>1035</v>
      </c>
      <c r="AV153" s="39">
        <f>(ROUND('KPI''s'!AV8*Inputs!AV116,0))*(Inputs!AV111+Inputs!AV112+Inputs!AV113)/12</f>
        <v>1121.25</v>
      </c>
      <c r="AW153" s="39">
        <f>(ROUND('KPI''s'!AW8*Inputs!AW116,0))*(Inputs!AW111+Inputs!AW112+Inputs!AW113)/12</f>
        <v>1121.25</v>
      </c>
      <c r="AX153" s="39">
        <f>(ROUND('KPI''s'!AX8*Inputs!AX116,0))*(Inputs!AX111+Inputs!AX112+Inputs!AX113)/12</f>
        <v>1207.5</v>
      </c>
      <c r="AY153" s="39">
        <f>(ROUND('KPI''s'!AY8*Inputs!AY116,0))*(Inputs!AY111+Inputs!AY112+Inputs!AY113)/12</f>
        <v>1207.5</v>
      </c>
      <c r="AZ153" s="39">
        <f>(ROUND('KPI''s'!AZ8*Inputs!AZ116,0))*(Inputs!AZ111+Inputs!AZ112+Inputs!AZ113)/12</f>
        <v>1293.75</v>
      </c>
      <c r="BA153" s="39">
        <f>(ROUND('KPI''s'!BA8*Inputs!BA116,0))*(Inputs!BA111+Inputs!BA112+Inputs!BA113)/12</f>
        <v>1380</v>
      </c>
      <c r="BB153" s="39">
        <f>(ROUND('KPI''s'!BB8*Inputs!BB116,0))*(Inputs!BB111+Inputs!BB112+Inputs!BB113)/12</f>
        <v>1380</v>
      </c>
      <c r="BC153" s="39">
        <f>(ROUND('KPI''s'!BC8*Inputs!BC116,0))*(Inputs!BC111+Inputs!BC112+Inputs!BC113)/12</f>
        <v>1466.25</v>
      </c>
      <c r="BD153" s="39">
        <f>(ROUND('KPI''s'!BD8*Inputs!BD116,0))*(Inputs!BD111+Inputs!BD112+Inputs!BD113)/12</f>
        <v>1466.25</v>
      </c>
      <c r="BE153" s="39">
        <f>(ROUND('KPI''s'!BE8*Inputs!BE116,0))*(Inputs!BE111+Inputs!BE112+Inputs!BE113)/12</f>
        <v>1552.5</v>
      </c>
      <c r="BF153" s="39">
        <f>(ROUND('KPI''s'!BF8*Inputs!BF116,0))*(Inputs!BF111+Inputs!BF112+Inputs!BF113)/12</f>
        <v>1552.5</v>
      </c>
      <c r="BG153" s="39">
        <f>(ROUND('KPI''s'!BG8*Inputs!BG116,0))*(Inputs!BG111+Inputs!BG112+Inputs!BG113)/12</f>
        <v>1638.75</v>
      </c>
      <c r="BH153" s="39">
        <f>(ROUND('KPI''s'!BH8*Inputs!BH116,0))*(Inputs!BH111+Inputs!BH112+Inputs!BH113)/12</f>
        <v>1725</v>
      </c>
      <c r="BI153" s="39">
        <f>(ROUND('KPI''s'!BI8*Inputs!BI116,0))*(Inputs!BI111+Inputs!BI112+Inputs!BI113)/12</f>
        <v>1725</v>
      </c>
      <c r="BJ153" s="39">
        <f>(ROUND('KPI''s'!BJ8*Inputs!BJ116,0))*(Inputs!BJ111+Inputs!BJ112+Inputs!BJ113)/12</f>
        <v>1811.25</v>
      </c>
      <c r="BK153" s="39">
        <f>(ROUND('KPI''s'!BK8*Inputs!BK116,0))*(Inputs!BK111+Inputs!BK112+Inputs!BK113)/12</f>
        <v>1897.5</v>
      </c>
      <c r="BL153" s="39">
        <f>(ROUND('KPI''s'!BL8*Inputs!BL116,0))*(Inputs!BL111+Inputs!BL112+Inputs!BL113)/12</f>
        <v>1897.5</v>
      </c>
      <c r="BM153" s="39">
        <f>(ROUND('KPI''s'!BM8*Inputs!BM116,0))*(Inputs!BM111+Inputs!BM112+Inputs!BM113)/12</f>
        <v>1983.75</v>
      </c>
      <c r="BN153" s="39">
        <f>(ROUND('KPI''s'!BN8*Inputs!BN116,0))*(Inputs!BN111+Inputs!BN112+Inputs!BN113)/12</f>
        <v>2070</v>
      </c>
      <c r="BO153" s="39">
        <f>(ROUND('KPI''s'!BO8*Inputs!BO116,0))*(Inputs!BO111+Inputs!BO112+Inputs!BO113)/12</f>
        <v>2070</v>
      </c>
      <c r="BP153" s="39">
        <f>(ROUND('KPI''s'!BP8*Inputs!BP116,0))*(Inputs!BP111+Inputs!BP112+Inputs!BP113)/12</f>
        <v>2156.25</v>
      </c>
      <c r="BQ153" s="39">
        <f>(ROUND('KPI''s'!BQ8*Inputs!BQ116,0))*(Inputs!BQ111+Inputs!BQ112+Inputs!BQ113)/12</f>
        <v>2156.25</v>
      </c>
    </row>
    <row r="154" spans="2:69">
      <c r="B154" s="9"/>
      <c r="C154" s="9"/>
      <c r="D154" s="9"/>
      <c r="E154" s="9"/>
      <c r="F154" s="9"/>
      <c r="G154" s="9"/>
      <c r="H154" s="9"/>
      <c r="I154" s="9"/>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2"/>
      <c r="BH154" s="42"/>
      <c r="BI154" s="42"/>
      <c r="BJ154" s="42"/>
      <c r="BK154" s="42"/>
      <c r="BL154" s="42"/>
      <c r="BM154" s="42"/>
      <c r="BN154" s="42"/>
      <c r="BO154" s="42"/>
      <c r="BP154" s="42"/>
      <c r="BQ154" s="42"/>
    </row>
    <row r="155" spans="2:69">
      <c r="B155" s="3" t="s">
        <v>112</v>
      </c>
      <c r="J155" s="39">
        <f>SUM(J153:J154)</f>
        <v>0</v>
      </c>
      <c r="K155" s="39">
        <f t="shared" ref="K155" si="190">SUM(K153:K154)</f>
        <v>0</v>
      </c>
      <c r="L155" s="39">
        <f t="shared" ref="L155" si="191">SUM(L153:L154)</f>
        <v>0</v>
      </c>
      <c r="M155" s="39">
        <f t="shared" ref="M155" si="192">SUM(M153:M154)</f>
        <v>0</v>
      </c>
      <c r="N155" s="39">
        <f t="shared" ref="N155" si="193">SUM(N153:N154)</f>
        <v>0</v>
      </c>
      <c r="O155" s="39">
        <f t="shared" ref="O155" si="194">SUM(O153:O154)</f>
        <v>0</v>
      </c>
      <c r="P155" s="39">
        <f t="shared" ref="P155" si="195">SUM(P153:P154)</f>
        <v>0</v>
      </c>
      <c r="Q155" s="39">
        <f t="shared" ref="Q155" si="196">SUM(Q153:Q154)</f>
        <v>0</v>
      </c>
      <c r="R155" s="39">
        <f t="shared" ref="R155" si="197">SUM(R153:R154)</f>
        <v>0</v>
      </c>
      <c r="S155" s="39">
        <f t="shared" ref="S155" si="198">SUM(S153:S154)</f>
        <v>0</v>
      </c>
      <c r="T155" s="39">
        <f t="shared" ref="T155" si="199">SUM(T153:T154)</f>
        <v>0</v>
      </c>
      <c r="U155" s="39">
        <f t="shared" ref="U155" si="200">SUM(U153:U154)</f>
        <v>86.25</v>
      </c>
      <c r="V155" s="39">
        <f t="shared" ref="V155" si="201">SUM(V153:V154)</f>
        <v>86.25</v>
      </c>
      <c r="W155" s="39">
        <f t="shared" ref="W155" si="202">SUM(W153:W154)</f>
        <v>86.25</v>
      </c>
      <c r="X155" s="39">
        <f t="shared" ref="X155" si="203">SUM(X153:X154)</f>
        <v>172.5</v>
      </c>
      <c r="Y155" s="39">
        <f t="shared" ref="Y155" si="204">SUM(Y153:Y154)</f>
        <v>172.5</v>
      </c>
      <c r="Z155" s="39">
        <f t="shared" ref="Z155" si="205">SUM(Z153:Z154)</f>
        <v>258.75</v>
      </c>
      <c r="AA155" s="39">
        <f t="shared" ref="AA155" si="206">SUM(AA153:AA154)</f>
        <v>258.75</v>
      </c>
      <c r="AB155" s="39">
        <f t="shared" ref="AB155" si="207">SUM(AB153:AB154)</f>
        <v>258.75</v>
      </c>
      <c r="AC155" s="39">
        <f t="shared" ref="AC155" si="208">SUM(AC153:AC154)</f>
        <v>345</v>
      </c>
      <c r="AD155" s="39">
        <f t="shared" ref="AD155" si="209">SUM(AD153:AD154)</f>
        <v>345</v>
      </c>
      <c r="AE155" s="39">
        <f t="shared" ref="AE155" si="210">SUM(AE153:AE154)</f>
        <v>431.25</v>
      </c>
      <c r="AF155" s="39">
        <f t="shared" ref="AF155" si="211">SUM(AF153:AF154)</f>
        <v>431.25</v>
      </c>
      <c r="AG155" s="39">
        <f t="shared" ref="AG155" si="212">SUM(AG153:AG154)</f>
        <v>431.25</v>
      </c>
      <c r="AH155" s="39">
        <f t="shared" ref="AH155" si="213">SUM(AH153:AH154)</f>
        <v>517.5</v>
      </c>
      <c r="AI155" s="39">
        <f t="shared" ref="AI155" si="214">SUM(AI153:AI154)</f>
        <v>517.5</v>
      </c>
      <c r="AJ155" s="39">
        <f t="shared" ref="AJ155" si="215">SUM(AJ153:AJ154)</f>
        <v>603.75</v>
      </c>
      <c r="AK155" s="39">
        <f t="shared" ref="AK155" si="216">SUM(AK153:AK154)</f>
        <v>603.75</v>
      </c>
      <c r="AL155" s="39">
        <f t="shared" ref="AL155" si="217">SUM(AL153:AL154)</f>
        <v>690</v>
      </c>
      <c r="AM155" s="39">
        <f t="shared" ref="AM155" si="218">SUM(AM153:AM154)</f>
        <v>690</v>
      </c>
      <c r="AN155" s="39">
        <f t="shared" ref="AN155" si="219">SUM(AN153:AN154)</f>
        <v>776.25</v>
      </c>
      <c r="AO155" s="39">
        <f t="shared" ref="AO155" si="220">SUM(AO153:AO154)</f>
        <v>776.25</v>
      </c>
      <c r="AP155" s="39">
        <f t="shared" ref="AP155" si="221">SUM(AP153:AP154)</f>
        <v>862.5</v>
      </c>
      <c r="AQ155" s="39">
        <f t="shared" ref="AQ155" si="222">SUM(AQ153:AQ154)</f>
        <v>862.5</v>
      </c>
      <c r="AR155" s="39">
        <f t="shared" ref="AR155" si="223">SUM(AR153:AR154)</f>
        <v>948.75</v>
      </c>
      <c r="AS155" s="39">
        <f t="shared" ref="AS155" si="224">SUM(AS153:AS154)</f>
        <v>948.75</v>
      </c>
      <c r="AT155" s="39">
        <f t="shared" ref="AT155" si="225">SUM(AT153:AT154)</f>
        <v>1035</v>
      </c>
      <c r="AU155" s="39">
        <f t="shared" ref="AU155" si="226">SUM(AU153:AU154)</f>
        <v>1035</v>
      </c>
      <c r="AV155" s="39">
        <f t="shared" ref="AV155" si="227">SUM(AV153:AV154)</f>
        <v>1121.25</v>
      </c>
      <c r="AW155" s="39">
        <f t="shared" ref="AW155" si="228">SUM(AW153:AW154)</f>
        <v>1121.25</v>
      </c>
      <c r="AX155" s="39">
        <f t="shared" ref="AX155" si="229">SUM(AX153:AX154)</f>
        <v>1207.5</v>
      </c>
      <c r="AY155" s="39">
        <f t="shared" ref="AY155" si="230">SUM(AY153:AY154)</f>
        <v>1207.5</v>
      </c>
      <c r="AZ155" s="39">
        <f t="shared" ref="AZ155" si="231">SUM(AZ153:AZ154)</f>
        <v>1293.75</v>
      </c>
      <c r="BA155" s="39">
        <f t="shared" ref="BA155" si="232">SUM(BA153:BA154)</f>
        <v>1380</v>
      </c>
      <c r="BB155" s="39">
        <f t="shared" ref="BB155" si="233">SUM(BB153:BB154)</f>
        <v>1380</v>
      </c>
      <c r="BC155" s="39">
        <f t="shared" ref="BC155" si="234">SUM(BC153:BC154)</f>
        <v>1466.25</v>
      </c>
      <c r="BD155" s="39">
        <f t="shared" ref="BD155" si="235">SUM(BD153:BD154)</f>
        <v>1466.25</v>
      </c>
      <c r="BE155" s="39">
        <f t="shared" ref="BE155:BQ155" si="236">SUM(BE153:BE154)</f>
        <v>1552.5</v>
      </c>
      <c r="BF155" s="39">
        <f t="shared" si="236"/>
        <v>1552.5</v>
      </c>
      <c r="BG155" s="39">
        <f t="shared" si="236"/>
        <v>1638.75</v>
      </c>
      <c r="BH155" s="39">
        <f t="shared" si="236"/>
        <v>1725</v>
      </c>
      <c r="BI155" s="39">
        <f t="shared" si="236"/>
        <v>1725</v>
      </c>
      <c r="BJ155" s="39">
        <f t="shared" si="236"/>
        <v>1811.25</v>
      </c>
      <c r="BK155" s="39">
        <f t="shared" si="236"/>
        <v>1897.5</v>
      </c>
      <c r="BL155" s="39">
        <f t="shared" si="236"/>
        <v>1897.5</v>
      </c>
      <c r="BM155" s="39">
        <f t="shared" si="236"/>
        <v>1983.75</v>
      </c>
      <c r="BN155" s="39">
        <f t="shared" si="236"/>
        <v>2070</v>
      </c>
      <c r="BO155" s="39">
        <f t="shared" si="236"/>
        <v>2070</v>
      </c>
      <c r="BP155" s="39">
        <f t="shared" si="236"/>
        <v>2156.25</v>
      </c>
      <c r="BQ155" s="39">
        <f t="shared" si="236"/>
        <v>2156.25</v>
      </c>
    </row>
    <row r="156" spans="2:69">
      <c r="J156" s="39"/>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c r="AX156" s="39"/>
      <c r="AY156" s="39"/>
      <c r="AZ156" s="39"/>
      <c r="BA156" s="39"/>
      <c r="BB156" s="39"/>
      <c r="BC156" s="39"/>
      <c r="BD156" s="39"/>
      <c r="BE156" s="39"/>
      <c r="BF156" s="39"/>
      <c r="BG156" s="39"/>
      <c r="BH156" s="39"/>
      <c r="BI156" s="39"/>
      <c r="BJ156" s="39"/>
      <c r="BK156" s="39"/>
      <c r="BL156" s="39"/>
      <c r="BM156" s="39"/>
      <c r="BN156" s="39"/>
      <c r="BO156" s="39"/>
      <c r="BP156" s="39"/>
      <c r="BQ156" s="39"/>
    </row>
    <row r="157" spans="2:69">
      <c r="J157" s="39"/>
      <c r="K157" s="39"/>
      <c r="L157" s="39"/>
      <c r="M157" s="39"/>
      <c r="N157" s="39"/>
      <c r="O157" s="39"/>
      <c r="P157" s="39"/>
      <c r="Q157" s="39"/>
      <c r="R157" s="39"/>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c r="AX157" s="39"/>
      <c r="AY157" s="39"/>
      <c r="AZ157" s="39"/>
      <c r="BA157" s="39"/>
      <c r="BB157" s="39"/>
      <c r="BC157" s="39"/>
      <c r="BD157" s="39"/>
      <c r="BE157" s="39"/>
      <c r="BF157" s="39"/>
      <c r="BG157" s="39"/>
      <c r="BH157" s="39"/>
      <c r="BI157" s="39"/>
      <c r="BJ157" s="39"/>
      <c r="BK157" s="39"/>
      <c r="BL157" s="39"/>
      <c r="BM157" s="39"/>
      <c r="BN157" s="39"/>
      <c r="BO157" s="39"/>
      <c r="BP157" s="39"/>
      <c r="BQ157" s="39"/>
    </row>
    <row r="158" spans="2:69">
      <c r="B158" s="3" t="s">
        <v>113</v>
      </c>
      <c r="C158" s="3"/>
      <c r="D158" s="3"/>
      <c r="E158" s="3"/>
      <c r="F158" s="3"/>
      <c r="G158" s="3"/>
      <c r="H158" s="3"/>
      <c r="I158" s="3"/>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row>
    <row r="159" spans="2:69">
      <c r="B159" s="4" t="s">
        <v>115</v>
      </c>
      <c r="J159" s="39"/>
      <c r="K159" s="39"/>
      <c r="L159" s="39"/>
      <c r="M159" s="39"/>
      <c r="N159" s="39"/>
      <c r="O159" s="39"/>
      <c r="P159" s="39"/>
      <c r="Q159" s="39"/>
      <c r="R159" s="39"/>
      <c r="S159" s="39"/>
      <c r="T159" s="39">
        <v>100</v>
      </c>
      <c r="U159" s="39">
        <v>100</v>
      </c>
      <c r="V159" s="39">
        <v>100</v>
      </c>
      <c r="W159" s="39">
        <v>100</v>
      </c>
      <c r="X159" s="39">
        <v>100</v>
      </c>
      <c r="Y159" s="39">
        <v>100</v>
      </c>
      <c r="Z159" s="39">
        <v>100</v>
      </c>
      <c r="AA159" s="39">
        <v>100</v>
      </c>
      <c r="AB159" s="39">
        <v>100</v>
      </c>
      <c r="AC159" s="39">
        <v>100</v>
      </c>
      <c r="AD159" s="39">
        <v>100</v>
      </c>
      <c r="AE159" s="39">
        <v>300</v>
      </c>
      <c r="AF159" s="39">
        <v>300</v>
      </c>
      <c r="AG159" s="39">
        <v>300</v>
      </c>
      <c r="AH159" s="39">
        <v>300</v>
      </c>
      <c r="AI159" s="39">
        <v>300</v>
      </c>
      <c r="AJ159" s="39">
        <v>300</v>
      </c>
      <c r="AK159" s="39">
        <v>300</v>
      </c>
      <c r="AL159" s="39">
        <v>300</v>
      </c>
      <c r="AM159" s="39">
        <v>300</v>
      </c>
      <c r="AN159" s="39">
        <v>300</v>
      </c>
      <c r="AO159" s="39">
        <v>300</v>
      </c>
      <c r="AP159" s="39">
        <v>300</v>
      </c>
      <c r="AQ159" s="39">
        <v>300</v>
      </c>
      <c r="AR159" s="39">
        <v>300</v>
      </c>
      <c r="AS159" s="39">
        <v>300</v>
      </c>
      <c r="AT159" s="39">
        <v>300</v>
      </c>
      <c r="AU159" s="39">
        <v>300</v>
      </c>
      <c r="AV159" s="39">
        <v>300</v>
      </c>
      <c r="AW159" s="39">
        <v>1800</v>
      </c>
      <c r="AX159" s="39">
        <v>1800</v>
      </c>
      <c r="AY159" s="39">
        <v>1800</v>
      </c>
      <c r="AZ159" s="39">
        <v>1800</v>
      </c>
      <c r="BA159" s="39">
        <v>1800</v>
      </c>
      <c r="BB159" s="39">
        <v>1800</v>
      </c>
      <c r="BC159" s="39">
        <v>1800</v>
      </c>
      <c r="BD159" s="39">
        <v>1800</v>
      </c>
      <c r="BE159" s="39">
        <v>1800</v>
      </c>
      <c r="BF159" s="39">
        <v>1800</v>
      </c>
      <c r="BG159" s="39">
        <v>1800</v>
      </c>
      <c r="BH159" s="39">
        <v>1800</v>
      </c>
      <c r="BI159" s="39">
        <v>1800</v>
      </c>
      <c r="BJ159" s="39">
        <v>1800</v>
      </c>
      <c r="BK159" s="39">
        <v>1800</v>
      </c>
      <c r="BL159" s="39">
        <v>1800</v>
      </c>
      <c r="BM159" s="39">
        <v>1800</v>
      </c>
      <c r="BN159" s="39">
        <v>1800</v>
      </c>
      <c r="BO159" s="39">
        <v>1800</v>
      </c>
      <c r="BP159" s="39">
        <v>1800</v>
      </c>
      <c r="BQ159" s="39">
        <v>1800</v>
      </c>
    </row>
    <row r="160" spans="2:69" ht="16.95" customHeight="1">
      <c r="B160" s="4" t="s">
        <v>116</v>
      </c>
      <c r="C160" s="3"/>
      <c r="D160" s="3"/>
      <c r="E160" s="3"/>
      <c r="F160" s="3"/>
      <c r="G160" s="3"/>
      <c r="H160" s="3"/>
      <c r="I160" s="3"/>
      <c r="J160" s="39"/>
      <c r="K160" s="39"/>
      <c r="L160" s="39"/>
      <c r="M160" s="39"/>
      <c r="N160" s="39"/>
      <c r="O160" s="39"/>
      <c r="P160" s="39"/>
      <c r="Q160" s="39"/>
      <c r="R160" s="39"/>
      <c r="S160" s="39"/>
      <c r="T160" s="39">
        <v>175</v>
      </c>
      <c r="U160" s="39">
        <v>175</v>
      </c>
      <c r="V160" s="39">
        <v>175</v>
      </c>
      <c r="W160" s="39">
        <v>175</v>
      </c>
      <c r="X160" s="39">
        <v>175</v>
      </c>
      <c r="Y160" s="39">
        <v>175</v>
      </c>
      <c r="Z160" s="39">
        <v>175</v>
      </c>
      <c r="AA160" s="39">
        <v>175</v>
      </c>
      <c r="AB160" s="39">
        <v>175</v>
      </c>
      <c r="AC160" s="39">
        <v>175</v>
      </c>
      <c r="AD160" s="39">
        <v>175</v>
      </c>
      <c r="AE160" s="39">
        <v>475</v>
      </c>
      <c r="AF160" s="39">
        <v>475</v>
      </c>
      <c r="AG160" s="39">
        <v>475</v>
      </c>
      <c r="AH160" s="39">
        <v>475</v>
      </c>
      <c r="AI160" s="39">
        <v>475</v>
      </c>
      <c r="AJ160" s="39">
        <v>475</v>
      </c>
      <c r="AK160" s="39">
        <v>475</v>
      </c>
      <c r="AL160" s="39">
        <v>475</v>
      </c>
      <c r="AM160" s="39">
        <v>475</v>
      </c>
      <c r="AN160" s="39">
        <v>475</v>
      </c>
      <c r="AO160" s="39">
        <v>475</v>
      </c>
      <c r="AP160" s="39">
        <v>475</v>
      </c>
      <c r="AQ160" s="39">
        <v>475</v>
      </c>
      <c r="AR160" s="39">
        <v>475</v>
      </c>
      <c r="AS160" s="39">
        <v>475</v>
      </c>
      <c r="AT160" s="39">
        <v>475</v>
      </c>
      <c r="AU160" s="39">
        <v>475</v>
      </c>
      <c r="AV160" s="39">
        <v>475</v>
      </c>
      <c r="AW160" s="39">
        <v>1000</v>
      </c>
      <c r="AX160" s="39">
        <v>1000</v>
      </c>
      <c r="AY160" s="39">
        <v>1000</v>
      </c>
      <c r="AZ160" s="39">
        <v>1000</v>
      </c>
      <c r="BA160" s="39">
        <v>1000</v>
      </c>
      <c r="BB160" s="39">
        <v>1000</v>
      </c>
      <c r="BC160" s="39">
        <v>1000</v>
      </c>
      <c r="BD160" s="39">
        <v>1000</v>
      </c>
      <c r="BE160" s="39">
        <v>1000</v>
      </c>
      <c r="BF160" s="39">
        <v>1000</v>
      </c>
      <c r="BG160" s="39">
        <v>1000</v>
      </c>
      <c r="BH160" s="39">
        <v>1000</v>
      </c>
      <c r="BI160" s="39">
        <v>1000</v>
      </c>
      <c r="BJ160" s="39">
        <v>1000</v>
      </c>
      <c r="BK160" s="39">
        <v>1000</v>
      </c>
      <c r="BL160" s="39">
        <v>1000</v>
      </c>
      <c r="BM160" s="39">
        <v>1000</v>
      </c>
      <c r="BN160" s="39">
        <v>1000</v>
      </c>
      <c r="BO160" s="39">
        <v>1000</v>
      </c>
      <c r="BP160" s="39">
        <v>1000</v>
      </c>
      <c r="BQ160" s="39">
        <v>1000</v>
      </c>
    </row>
    <row r="161" spans="2:69">
      <c r="B161" s="4" t="s">
        <v>117</v>
      </c>
      <c r="C161" s="3"/>
      <c r="D161" s="3"/>
      <c r="E161" s="3"/>
      <c r="F161" s="3"/>
      <c r="G161" s="3"/>
      <c r="H161" s="3"/>
      <c r="I161" s="3"/>
      <c r="J161" s="39"/>
      <c r="K161" s="39"/>
      <c r="L161" s="39"/>
      <c r="M161" s="39"/>
      <c r="N161" s="39"/>
      <c r="O161" s="39"/>
      <c r="P161" s="39"/>
      <c r="Q161" s="39"/>
      <c r="R161" s="39"/>
      <c r="S161" s="39"/>
      <c r="T161" s="39">
        <v>0</v>
      </c>
      <c r="U161" s="39">
        <v>0</v>
      </c>
      <c r="V161" s="39">
        <v>0</v>
      </c>
      <c r="W161" s="39">
        <v>0</v>
      </c>
      <c r="X161" s="39">
        <v>0</v>
      </c>
      <c r="Y161" s="39">
        <v>0</v>
      </c>
      <c r="Z161" s="39">
        <v>0</v>
      </c>
      <c r="AA161" s="39">
        <v>0</v>
      </c>
      <c r="AB161" s="39">
        <v>0</v>
      </c>
      <c r="AC161" s="39">
        <v>0</v>
      </c>
      <c r="AD161" s="39">
        <v>0</v>
      </c>
      <c r="AE161" s="39">
        <v>0</v>
      </c>
      <c r="AF161" s="39">
        <v>0</v>
      </c>
      <c r="AG161" s="39">
        <v>0</v>
      </c>
      <c r="AH161" s="39">
        <v>0</v>
      </c>
      <c r="AI161" s="39">
        <v>0</v>
      </c>
      <c r="AJ161" s="39">
        <v>0</v>
      </c>
      <c r="AK161" s="39">
        <v>0</v>
      </c>
      <c r="AL161" s="39">
        <v>0</v>
      </c>
      <c r="AM161" s="39">
        <v>0</v>
      </c>
      <c r="AN161" s="39">
        <v>0</v>
      </c>
      <c r="AO161" s="39">
        <v>0</v>
      </c>
      <c r="AP161" s="39">
        <v>0</v>
      </c>
      <c r="AQ161" s="39">
        <v>0</v>
      </c>
      <c r="AR161" s="39">
        <v>0</v>
      </c>
      <c r="AS161" s="39">
        <v>0</v>
      </c>
      <c r="AT161" s="39">
        <v>0</v>
      </c>
      <c r="AU161" s="39">
        <v>0</v>
      </c>
      <c r="AV161" s="39">
        <v>0</v>
      </c>
      <c r="AW161" s="39">
        <v>0</v>
      </c>
      <c r="AX161" s="39">
        <v>0</v>
      </c>
      <c r="AY161" s="39">
        <v>0</v>
      </c>
      <c r="AZ161" s="39">
        <v>0</v>
      </c>
      <c r="BA161" s="39">
        <v>0</v>
      </c>
      <c r="BB161" s="39">
        <v>0</v>
      </c>
      <c r="BC161" s="39">
        <v>0</v>
      </c>
      <c r="BD161" s="39">
        <v>0</v>
      </c>
      <c r="BE161" s="39">
        <v>0</v>
      </c>
      <c r="BF161" s="39">
        <v>0</v>
      </c>
      <c r="BG161" s="39">
        <v>0</v>
      </c>
      <c r="BH161" s="39">
        <v>0</v>
      </c>
      <c r="BI161" s="39">
        <v>0</v>
      </c>
      <c r="BJ161" s="39">
        <v>0</v>
      </c>
      <c r="BK161" s="39">
        <v>0</v>
      </c>
      <c r="BL161" s="39">
        <v>0</v>
      </c>
      <c r="BM161" s="39">
        <v>0</v>
      </c>
      <c r="BN161" s="39">
        <v>0</v>
      </c>
      <c r="BO161" s="39">
        <v>0</v>
      </c>
      <c r="BP161" s="39">
        <v>0</v>
      </c>
      <c r="BQ161" s="39">
        <v>0</v>
      </c>
    </row>
    <row r="162" spans="2:69">
      <c r="B162" s="4" t="s">
        <v>118</v>
      </c>
      <c r="C162" s="3"/>
      <c r="D162" s="3"/>
      <c r="E162" s="3"/>
      <c r="F162" s="3"/>
      <c r="G162" s="3"/>
      <c r="H162" s="3"/>
      <c r="I162" s="3"/>
      <c r="J162" s="39"/>
      <c r="K162" s="39"/>
      <c r="L162" s="39"/>
      <c r="M162" s="39"/>
      <c r="N162" s="39"/>
      <c r="O162" s="39"/>
      <c r="P162" s="39"/>
      <c r="Q162" s="39"/>
      <c r="R162" s="39"/>
      <c r="S162" s="39"/>
      <c r="T162" s="39">
        <v>250</v>
      </c>
      <c r="U162" s="39">
        <v>250</v>
      </c>
      <c r="V162" s="39">
        <v>250</v>
      </c>
      <c r="W162" s="39">
        <v>250</v>
      </c>
      <c r="X162" s="39">
        <v>250</v>
      </c>
      <c r="Y162" s="39">
        <v>250</v>
      </c>
      <c r="Z162" s="39">
        <v>250</v>
      </c>
      <c r="AA162" s="39">
        <v>250</v>
      </c>
      <c r="AB162" s="39">
        <v>250</v>
      </c>
      <c r="AC162" s="39">
        <v>250</v>
      </c>
      <c r="AD162" s="39">
        <v>250</v>
      </c>
      <c r="AE162" s="39">
        <v>250</v>
      </c>
      <c r="AF162" s="39">
        <v>250</v>
      </c>
      <c r="AG162" s="39">
        <v>250</v>
      </c>
      <c r="AH162" s="39">
        <v>250</v>
      </c>
      <c r="AI162" s="39">
        <v>250</v>
      </c>
      <c r="AJ162" s="39">
        <v>250</v>
      </c>
      <c r="AK162" s="39">
        <v>250</v>
      </c>
      <c r="AL162" s="39">
        <v>250</v>
      </c>
      <c r="AM162" s="39">
        <v>250</v>
      </c>
      <c r="AN162" s="39">
        <v>250</v>
      </c>
      <c r="AO162" s="39">
        <v>250</v>
      </c>
      <c r="AP162" s="39">
        <v>250</v>
      </c>
      <c r="AQ162" s="39">
        <v>250</v>
      </c>
      <c r="AR162" s="39">
        <v>250</v>
      </c>
      <c r="AS162" s="39">
        <v>250</v>
      </c>
      <c r="AT162" s="39">
        <v>250</v>
      </c>
      <c r="AU162" s="39">
        <v>250</v>
      </c>
      <c r="AV162" s="39">
        <v>250</v>
      </c>
      <c r="AW162" s="39">
        <v>250</v>
      </c>
      <c r="AX162" s="39">
        <v>250</v>
      </c>
      <c r="AY162" s="39">
        <v>250</v>
      </c>
      <c r="AZ162" s="39">
        <v>250</v>
      </c>
      <c r="BA162" s="39">
        <v>250</v>
      </c>
      <c r="BB162" s="39">
        <v>250</v>
      </c>
      <c r="BC162" s="39">
        <v>250</v>
      </c>
      <c r="BD162" s="39">
        <v>250</v>
      </c>
      <c r="BE162" s="39">
        <v>250</v>
      </c>
      <c r="BF162" s="39">
        <v>250</v>
      </c>
      <c r="BG162" s="39">
        <v>250</v>
      </c>
      <c r="BH162" s="39">
        <v>250</v>
      </c>
      <c r="BI162" s="39">
        <v>250</v>
      </c>
      <c r="BJ162" s="39">
        <v>250</v>
      </c>
      <c r="BK162" s="39">
        <v>250</v>
      </c>
      <c r="BL162" s="39">
        <v>250</v>
      </c>
      <c r="BM162" s="39">
        <v>250</v>
      </c>
      <c r="BN162" s="39">
        <v>250</v>
      </c>
      <c r="BO162" s="39">
        <v>250</v>
      </c>
      <c r="BP162" s="39">
        <v>250</v>
      </c>
      <c r="BQ162" s="39">
        <v>250</v>
      </c>
    </row>
    <row r="163" spans="2:69">
      <c r="B163" s="9"/>
      <c r="C163" s="9"/>
      <c r="D163" s="9"/>
      <c r="E163" s="9"/>
      <c r="F163" s="9"/>
      <c r="G163" s="9"/>
      <c r="H163" s="9"/>
      <c r="I163" s="9"/>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row>
    <row r="164" spans="2:69">
      <c r="B164" s="3" t="s">
        <v>114</v>
      </c>
      <c r="J164" s="39">
        <f t="shared" ref="J164:BE164" si="237">SUM(J159:J163)</f>
        <v>0</v>
      </c>
      <c r="K164" s="39">
        <f t="shared" si="237"/>
        <v>0</v>
      </c>
      <c r="L164" s="39">
        <f t="shared" si="237"/>
        <v>0</v>
      </c>
      <c r="M164" s="39">
        <f t="shared" si="237"/>
        <v>0</v>
      </c>
      <c r="N164" s="39">
        <f t="shared" si="237"/>
        <v>0</v>
      </c>
      <c r="O164" s="39">
        <f t="shared" si="237"/>
        <v>0</v>
      </c>
      <c r="P164" s="39">
        <f t="shared" si="237"/>
        <v>0</v>
      </c>
      <c r="Q164" s="39">
        <f t="shared" si="237"/>
        <v>0</v>
      </c>
      <c r="R164" s="39">
        <f t="shared" si="237"/>
        <v>0</v>
      </c>
      <c r="S164" s="39">
        <f t="shared" si="237"/>
        <v>0</v>
      </c>
      <c r="T164" s="39">
        <f t="shared" si="237"/>
        <v>525</v>
      </c>
      <c r="U164" s="39">
        <f t="shared" si="237"/>
        <v>525</v>
      </c>
      <c r="V164" s="39">
        <f t="shared" si="237"/>
        <v>525</v>
      </c>
      <c r="W164" s="39">
        <f t="shared" si="237"/>
        <v>525</v>
      </c>
      <c r="X164" s="39">
        <f t="shared" si="237"/>
        <v>525</v>
      </c>
      <c r="Y164" s="39">
        <f t="shared" si="237"/>
        <v>525</v>
      </c>
      <c r="Z164" s="39">
        <f t="shared" si="237"/>
        <v>525</v>
      </c>
      <c r="AA164" s="39">
        <f t="shared" si="237"/>
        <v>525</v>
      </c>
      <c r="AB164" s="39">
        <f t="shared" si="237"/>
        <v>525</v>
      </c>
      <c r="AC164" s="39">
        <f t="shared" si="237"/>
        <v>525</v>
      </c>
      <c r="AD164" s="39">
        <f t="shared" si="237"/>
        <v>525</v>
      </c>
      <c r="AE164" s="39">
        <f t="shared" si="237"/>
        <v>1025</v>
      </c>
      <c r="AF164" s="39">
        <f t="shared" si="237"/>
        <v>1025</v>
      </c>
      <c r="AG164" s="39">
        <f t="shared" si="237"/>
        <v>1025</v>
      </c>
      <c r="AH164" s="39">
        <f t="shared" si="237"/>
        <v>1025</v>
      </c>
      <c r="AI164" s="39">
        <f t="shared" si="237"/>
        <v>1025</v>
      </c>
      <c r="AJ164" s="39">
        <f t="shared" si="237"/>
        <v>1025</v>
      </c>
      <c r="AK164" s="39">
        <f t="shared" si="237"/>
        <v>1025</v>
      </c>
      <c r="AL164" s="39">
        <f t="shared" si="237"/>
        <v>1025</v>
      </c>
      <c r="AM164" s="39">
        <f t="shared" si="237"/>
        <v>1025</v>
      </c>
      <c r="AN164" s="39">
        <f t="shared" si="237"/>
        <v>1025</v>
      </c>
      <c r="AO164" s="39">
        <f t="shared" si="237"/>
        <v>1025</v>
      </c>
      <c r="AP164" s="39">
        <f t="shared" si="237"/>
        <v>1025</v>
      </c>
      <c r="AQ164" s="39">
        <f t="shared" si="237"/>
        <v>1025</v>
      </c>
      <c r="AR164" s="39">
        <f t="shared" si="237"/>
        <v>1025</v>
      </c>
      <c r="AS164" s="39">
        <f t="shared" si="237"/>
        <v>1025</v>
      </c>
      <c r="AT164" s="39">
        <f t="shared" si="237"/>
        <v>1025</v>
      </c>
      <c r="AU164" s="39">
        <f t="shared" si="237"/>
        <v>1025</v>
      </c>
      <c r="AV164" s="39">
        <f t="shared" si="237"/>
        <v>1025</v>
      </c>
      <c r="AW164" s="39">
        <f t="shared" si="237"/>
        <v>3050</v>
      </c>
      <c r="AX164" s="39">
        <f t="shared" si="237"/>
        <v>3050</v>
      </c>
      <c r="AY164" s="39">
        <f t="shared" si="237"/>
        <v>3050</v>
      </c>
      <c r="AZ164" s="39">
        <f t="shared" si="237"/>
        <v>3050</v>
      </c>
      <c r="BA164" s="39">
        <f t="shared" si="237"/>
        <v>3050</v>
      </c>
      <c r="BB164" s="39">
        <f t="shared" si="237"/>
        <v>3050</v>
      </c>
      <c r="BC164" s="39">
        <f t="shared" si="237"/>
        <v>3050</v>
      </c>
      <c r="BD164" s="39">
        <f t="shared" si="237"/>
        <v>3050</v>
      </c>
      <c r="BE164" s="39">
        <f t="shared" si="237"/>
        <v>3050</v>
      </c>
      <c r="BF164" s="39">
        <f t="shared" ref="BF164:BQ164" si="238">SUM(BF159:BF163)</f>
        <v>3050</v>
      </c>
      <c r="BG164" s="39">
        <f t="shared" si="238"/>
        <v>3050</v>
      </c>
      <c r="BH164" s="39">
        <f t="shared" si="238"/>
        <v>3050</v>
      </c>
      <c r="BI164" s="39">
        <f t="shared" si="238"/>
        <v>3050</v>
      </c>
      <c r="BJ164" s="39">
        <f t="shared" si="238"/>
        <v>3050</v>
      </c>
      <c r="BK164" s="39">
        <f t="shared" si="238"/>
        <v>3050</v>
      </c>
      <c r="BL164" s="39">
        <f t="shared" si="238"/>
        <v>3050</v>
      </c>
      <c r="BM164" s="39">
        <f t="shared" si="238"/>
        <v>3050</v>
      </c>
      <c r="BN164" s="39">
        <f t="shared" si="238"/>
        <v>3050</v>
      </c>
      <c r="BO164" s="39">
        <f t="shared" si="238"/>
        <v>3050</v>
      </c>
      <c r="BP164" s="39">
        <f t="shared" si="238"/>
        <v>3050</v>
      </c>
      <c r="BQ164" s="39">
        <f t="shared" si="238"/>
        <v>3050</v>
      </c>
    </row>
    <row r="165" spans="2:69">
      <c r="J165" s="39"/>
      <c r="K165" s="39"/>
      <c r="L165" s="39"/>
      <c r="M165" s="39"/>
      <c r="N165" s="39"/>
      <c r="O165" s="39"/>
      <c r="P165" s="39"/>
      <c r="Q165" s="39"/>
      <c r="R165" s="39"/>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c r="AX165" s="39"/>
      <c r="AY165" s="39"/>
      <c r="AZ165" s="39"/>
      <c r="BA165" s="39"/>
      <c r="BB165" s="39"/>
      <c r="BC165" s="39"/>
      <c r="BD165" s="39"/>
      <c r="BE165" s="39"/>
      <c r="BF165" s="39"/>
      <c r="BG165" s="39"/>
      <c r="BH165" s="39"/>
      <c r="BI165" s="39"/>
      <c r="BJ165" s="39"/>
      <c r="BK165" s="39"/>
      <c r="BL165" s="39"/>
      <c r="BM165" s="39"/>
      <c r="BN165" s="39"/>
      <c r="BO165" s="39"/>
      <c r="BP165" s="39"/>
      <c r="BQ165" s="39"/>
    </row>
    <row r="166" spans="2:69">
      <c r="J166" s="39"/>
      <c r="K166" s="39"/>
      <c r="L166" s="39"/>
      <c r="M166" s="39"/>
      <c r="N166" s="39"/>
      <c r="O166" s="39"/>
      <c r="P166" s="39"/>
      <c r="Q166" s="39"/>
      <c r="R166" s="39"/>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c r="AX166" s="39"/>
      <c r="AY166" s="39"/>
      <c r="AZ166" s="39"/>
      <c r="BA166" s="39"/>
      <c r="BB166" s="39"/>
      <c r="BC166" s="39"/>
      <c r="BD166" s="39"/>
      <c r="BE166" s="39"/>
      <c r="BF166" s="39"/>
      <c r="BG166" s="39"/>
      <c r="BH166" s="39"/>
      <c r="BI166" s="39"/>
      <c r="BJ166" s="39"/>
      <c r="BK166" s="39"/>
      <c r="BL166" s="39"/>
      <c r="BM166" s="39"/>
      <c r="BN166" s="39"/>
      <c r="BO166" s="39"/>
      <c r="BP166" s="39"/>
      <c r="BQ166" s="39"/>
    </row>
    <row r="167" spans="2:69">
      <c r="B167" s="3" t="s">
        <v>316</v>
      </c>
      <c r="C167" s="3"/>
      <c r="D167" s="3"/>
      <c r="E167" s="3"/>
      <c r="F167" s="3"/>
      <c r="G167" s="3"/>
      <c r="H167" s="3"/>
      <c r="I167" s="3"/>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row>
    <row r="168" spans="2:69">
      <c r="B168" s="4" t="s">
        <v>317</v>
      </c>
      <c r="J168" s="39">
        <v>2500</v>
      </c>
      <c r="K168" s="39">
        <v>1500</v>
      </c>
      <c r="L168" s="39">
        <v>0</v>
      </c>
      <c r="M168" s="39">
        <v>1909</v>
      </c>
      <c r="N168" s="39"/>
      <c r="O168" s="39"/>
      <c r="P168" s="39"/>
      <c r="Q168" s="39">
        <v>18850</v>
      </c>
      <c r="R168" s="39"/>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c r="AX168" s="39"/>
      <c r="AY168" s="39"/>
      <c r="AZ168" s="39"/>
      <c r="BA168" s="39"/>
      <c r="BB168" s="39"/>
      <c r="BC168" s="39"/>
      <c r="BD168" s="39"/>
      <c r="BE168" s="39"/>
      <c r="BF168" s="39"/>
      <c r="BG168" s="39"/>
      <c r="BH168" s="39"/>
      <c r="BI168" s="39"/>
      <c r="BJ168" s="39"/>
      <c r="BK168" s="39"/>
      <c r="BL168" s="39"/>
      <c r="BM168" s="39"/>
      <c r="BN168" s="39"/>
      <c r="BO168" s="39"/>
      <c r="BP168" s="39"/>
      <c r="BQ168" s="39"/>
    </row>
    <row r="169" spans="2:69">
      <c r="B169" s="4" t="s">
        <v>351</v>
      </c>
      <c r="J169" s="39"/>
      <c r="K169" s="39"/>
      <c r="L169" s="39"/>
      <c r="M169" s="39"/>
      <c r="N169" s="39"/>
      <c r="O169" s="39"/>
      <c r="P169" s="39"/>
      <c r="Q169" s="39"/>
      <c r="R169" s="39"/>
      <c r="S169" s="39"/>
      <c r="T169" s="39">
        <v>100</v>
      </c>
      <c r="U169" s="39">
        <v>100</v>
      </c>
      <c r="V169" s="39">
        <v>100</v>
      </c>
      <c r="W169" s="39">
        <v>100</v>
      </c>
      <c r="X169" s="39">
        <v>100</v>
      </c>
      <c r="Y169" s="39">
        <v>100</v>
      </c>
      <c r="Z169" s="39">
        <v>100</v>
      </c>
      <c r="AA169" s="39">
        <v>100</v>
      </c>
      <c r="AB169" s="39">
        <v>100</v>
      </c>
      <c r="AC169" s="39">
        <v>100</v>
      </c>
      <c r="AD169" s="39">
        <v>100</v>
      </c>
      <c r="AE169" s="39">
        <v>100</v>
      </c>
      <c r="AF169" s="39">
        <v>100</v>
      </c>
      <c r="AG169" s="39">
        <v>100</v>
      </c>
      <c r="AH169" s="39">
        <v>100</v>
      </c>
      <c r="AI169" s="39">
        <v>100</v>
      </c>
      <c r="AJ169" s="39">
        <v>100</v>
      </c>
      <c r="AK169" s="39">
        <v>100</v>
      </c>
      <c r="AL169" s="39">
        <v>100</v>
      </c>
      <c r="AM169" s="39">
        <v>100</v>
      </c>
      <c r="AN169" s="39">
        <v>100</v>
      </c>
      <c r="AO169" s="39">
        <v>100</v>
      </c>
      <c r="AP169" s="39">
        <v>100</v>
      </c>
      <c r="AQ169" s="39">
        <v>100</v>
      </c>
      <c r="AR169" s="39">
        <v>100</v>
      </c>
      <c r="AS169" s="39">
        <v>100</v>
      </c>
      <c r="AT169" s="39">
        <v>100</v>
      </c>
      <c r="AU169" s="39">
        <v>100</v>
      </c>
      <c r="AV169" s="39">
        <v>100</v>
      </c>
      <c r="AW169" s="39">
        <v>100</v>
      </c>
      <c r="AX169" s="39">
        <v>100</v>
      </c>
      <c r="AY169" s="39">
        <v>100</v>
      </c>
      <c r="AZ169" s="39">
        <v>100</v>
      </c>
      <c r="BA169" s="39">
        <v>100</v>
      </c>
      <c r="BB169" s="39">
        <v>100</v>
      </c>
      <c r="BC169" s="39">
        <v>100</v>
      </c>
      <c r="BD169" s="39">
        <v>100</v>
      </c>
      <c r="BE169" s="39">
        <v>100</v>
      </c>
      <c r="BF169" s="39">
        <v>100</v>
      </c>
      <c r="BG169" s="39">
        <v>100</v>
      </c>
      <c r="BH169" s="39">
        <v>100</v>
      </c>
      <c r="BI169" s="39">
        <v>100</v>
      </c>
      <c r="BJ169" s="39">
        <v>100</v>
      </c>
      <c r="BK169" s="39">
        <v>100</v>
      </c>
      <c r="BL169" s="39">
        <v>100</v>
      </c>
      <c r="BM169" s="39">
        <v>100</v>
      </c>
      <c r="BN169" s="39">
        <v>100</v>
      </c>
      <c r="BO169" s="39">
        <v>100</v>
      </c>
      <c r="BP169" s="39">
        <v>100</v>
      </c>
      <c r="BQ169" s="39">
        <v>100</v>
      </c>
    </row>
    <row r="170" spans="2:69">
      <c r="B170" s="4" t="s">
        <v>352</v>
      </c>
      <c r="J170" s="39"/>
      <c r="K170" s="39"/>
      <c r="L170" s="39"/>
      <c r="M170" s="39"/>
      <c r="N170" s="39"/>
      <c r="O170" s="39"/>
      <c r="P170" s="39"/>
      <c r="Q170" s="39"/>
      <c r="R170" s="39"/>
      <c r="S170" s="39"/>
      <c r="T170" s="39">
        <v>600</v>
      </c>
      <c r="U170" s="39">
        <v>600</v>
      </c>
      <c r="V170" s="39">
        <v>600</v>
      </c>
      <c r="W170" s="39">
        <v>600</v>
      </c>
      <c r="X170" s="39">
        <v>600</v>
      </c>
      <c r="Y170" s="39">
        <v>600</v>
      </c>
      <c r="Z170" s="39">
        <v>600</v>
      </c>
      <c r="AA170" s="39">
        <v>600</v>
      </c>
      <c r="AB170" s="39">
        <v>600</v>
      </c>
      <c r="AC170" s="39">
        <v>1000</v>
      </c>
      <c r="AD170" s="39">
        <v>1000</v>
      </c>
      <c r="AE170" s="39">
        <v>1000</v>
      </c>
      <c r="AF170" s="39">
        <v>1000</v>
      </c>
      <c r="AG170" s="39">
        <v>1000</v>
      </c>
      <c r="AH170" s="39">
        <v>1000</v>
      </c>
      <c r="AI170" s="39">
        <v>1000</v>
      </c>
      <c r="AJ170" s="39">
        <v>1000</v>
      </c>
      <c r="AK170" s="39">
        <v>1000</v>
      </c>
      <c r="AL170" s="39">
        <v>1000</v>
      </c>
      <c r="AM170" s="39">
        <v>1000</v>
      </c>
      <c r="AN170" s="39">
        <v>1000</v>
      </c>
      <c r="AO170" s="39">
        <v>1000</v>
      </c>
      <c r="AP170" s="39">
        <v>1000</v>
      </c>
      <c r="AQ170" s="39">
        <v>1000</v>
      </c>
      <c r="AR170" s="39">
        <v>1000</v>
      </c>
      <c r="AS170" s="39">
        <v>1000</v>
      </c>
      <c r="AT170" s="39">
        <v>1000</v>
      </c>
      <c r="AU170" s="39">
        <v>1000</v>
      </c>
      <c r="AV170" s="39">
        <v>1000</v>
      </c>
      <c r="AW170" s="39">
        <v>1000</v>
      </c>
      <c r="AX170" s="39">
        <v>1000</v>
      </c>
      <c r="AY170" s="39">
        <v>1000</v>
      </c>
      <c r="AZ170" s="39">
        <v>1000</v>
      </c>
      <c r="BA170" s="39">
        <v>1000</v>
      </c>
      <c r="BB170" s="39">
        <v>1000</v>
      </c>
      <c r="BC170" s="39">
        <v>1000</v>
      </c>
      <c r="BD170" s="39">
        <v>1000</v>
      </c>
      <c r="BE170" s="39">
        <v>1000</v>
      </c>
      <c r="BF170" s="39">
        <v>1000</v>
      </c>
      <c r="BG170" s="39">
        <v>1000</v>
      </c>
      <c r="BH170" s="39">
        <v>1000</v>
      </c>
      <c r="BI170" s="39">
        <v>1000</v>
      </c>
      <c r="BJ170" s="39">
        <v>1000</v>
      </c>
      <c r="BK170" s="39">
        <v>1000</v>
      </c>
      <c r="BL170" s="39">
        <v>1000</v>
      </c>
      <c r="BM170" s="39">
        <v>1000</v>
      </c>
      <c r="BN170" s="39">
        <v>1000</v>
      </c>
      <c r="BO170" s="39">
        <v>1000</v>
      </c>
      <c r="BP170" s="39">
        <v>1000</v>
      </c>
      <c r="BQ170" s="39">
        <v>1000</v>
      </c>
    </row>
    <row r="171" spans="2:69">
      <c r="B171" s="9" t="s">
        <v>344</v>
      </c>
      <c r="C171" s="9"/>
      <c r="D171" s="9"/>
      <c r="E171" s="9"/>
      <c r="F171" s="9"/>
      <c r="G171" s="9"/>
      <c r="H171" s="9"/>
      <c r="I171" s="9"/>
      <c r="J171" s="42">
        <v>75</v>
      </c>
      <c r="K171" s="42"/>
      <c r="L171" s="42">
        <v>170</v>
      </c>
      <c r="M171" s="42">
        <v>170</v>
      </c>
      <c r="N171" s="42"/>
      <c r="O171" s="42">
        <v>170</v>
      </c>
      <c r="P171" s="42"/>
      <c r="Q171" s="42">
        <v>0</v>
      </c>
      <c r="R171" s="42">
        <v>170</v>
      </c>
      <c r="S171" s="42">
        <v>170</v>
      </c>
      <c r="T171" s="42">
        <v>170</v>
      </c>
      <c r="U171" s="42">
        <v>170</v>
      </c>
      <c r="V171" s="42">
        <v>170</v>
      </c>
      <c r="W171" s="42">
        <v>170</v>
      </c>
      <c r="X171" s="42">
        <v>170</v>
      </c>
      <c r="Y171" s="42">
        <v>170</v>
      </c>
      <c r="Z171" s="42">
        <v>170</v>
      </c>
      <c r="AA171" s="42">
        <v>170</v>
      </c>
      <c r="AB171" s="42">
        <v>170</v>
      </c>
      <c r="AC171" s="42">
        <v>170</v>
      </c>
      <c r="AD171" s="42">
        <v>170</v>
      </c>
      <c r="AE171" s="42">
        <v>170</v>
      </c>
      <c r="AF171" s="42">
        <v>170</v>
      </c>
      <c r="AG171" s="42">
        <v>170</v>
      </c>
      <c r="AH171" s="42">
        <v>170</v>
      </c>
      <c r="AI171" s="42">
        <v>170</v>
      </c>
      <c r="AJ171" s="42">
        <v>170</v>
      </c>
      <c r="AK171" s="42">
        <v>170</v>
      </c>
      <c r="AL171" s="42">
        <v>170</v>
      </c>
      <c r="AM171" s="42">
        <v>170</v>
      </c>
      <c r="AN171" s="42">
        <v>170</v>
      </c>
      <c r="AO171" s="42">
        <v>170</v>
      </c>
      <c r="AP171" s="42">
        <v>170</v>
      </c>
      <c r="AQ171" s="42">
        <v>170</v>
      </c>
      <c r="AR171" s="42">
        <v>170</v>
      </c>
      <c r="AS171" s="42">
        <v>170</v>
      </c>
      <c r="AT171" s="42">
        <v>170</v>
      </c>
      <c r="AU171" s="42">
        <v>170</v>
      </c>
      <c r="AV171" s="42">
        <v>170</v>
      </c>
      <c r="AW171" s="42">
        <v>170</v>
      </c>
      <c r="AX171" s="42">
        <v>170</v>
      </c>
      <c r="AY171" s="42">
        <v>170</v>
      </c>
      <c r="AZ171" s="42">
        <v>170</v>
      </c>
      <c r="BA171" s="42">
        <v>170</v>
      </c>
      <c r="BB171" s="42">
        <v>170</v>
      </c>
      <c r="BC171" s="42">
        <v>170</v>
      </c>
      <c r="BD171" s="42">
        <v>170</v>
      </c>
      <c r="BE171" s="42">
        <v>170</v>
      </c>
      <c r="BF171" s="42">
        <v>170</v>
      </c>
      <c r="BG171" s="42">
        <v>170</v>
      </c>
      <c r="BH171" s="42">
        <v>170</v>
      </c>
      <c r="BI171" s="42">
        <v>170</v>
      </c>
      <c r="BJ171" s="42">
        <v>170</v>
      </c>
      <c r="BK171" s="42">
        <v>170</v>
      </c>
      <c r="BL171" s="42">
        <v>170</v>
      </c>
      <c r="BM171" s="42">
        <v>170</v>
      </c>
      <c r="BN171" s="42">
        <v>170</v>
      </c>
      <c r="BO171" s="42">
        <v>170</v>
      </c>
      <c r="BP171" s="42">
        <v>170</v>
      </c>
      <c r="BQ171" s="42">
        <v>170</v>
      </c>
    </row>
    <row r="172" spans="2:69">
      <c r="B172" s="3" t="s">
        <v>318</v>
      </c>
      <c r="J172" s="39">
        <f t="shared" ref="J172:BE172" si="239">SUM(J168:J171)</f>
        <v>2575</v>
      </c>
      <c r="K172" s="39">
        <f t="shared" si="239"/>
        <v>1500</v>
      </c>
      <c r="L172" s="39">
        <f t="shared" si="239"/>
        <v>170</v>
      </c>
      <c r="M172" s="39">
        <f t="shared" si="239"/>
        <v>2079</v>
      </c>
      <c r="N172" s="39">
        <f t="shared" si="239"/>
        <v>0</v>
      </c>
      <c r="O172" s="39">
        <f t="shared" si="239"/>
        <v>170</v>
      </c>
      <c r="P172" s="39">
        <f t="shared" si="239"/>
        <v>0</v>
      </c>
      <c r="Q172" s="39">
        <f t="shared" si="239"/>
        <v>18850</v>
      </c>
      <c r="R172" s="39">
        <f t="shared" si="239"/>
        <v>170</v>
      </c>
      <c r="S172" s="39">
        <f t="shared" si="239"/>
        <v>170</v>
      </c>
      <c r="T172" s="39">
        <f t="shared" si="239"/>
        <v>870</v>
      </c>
      <c r="U172" s="39">
        <f t="shared" si="239"/>
        <v>870</v>
      </c>
      <c r="V172" s="39">
        <f t="shared" si="239"/>
        <v>870</v>
      </c>
      <c r="W172" s="39">
        <f t="shared" si="239"/>
        <v>870</v>
      </c>
      <c r="X172" s="39">
        <f t="shared" si="239"/>
        <v>870</v>
      </c>
      <c r="Y172" s="39">
        <f t="shared" si="239"/>
        <v>870</v>
      </c>
      <c r="Z172" s="39">
        <f t="shared" si="239"/>
        <v>870</v>
      </c>
      <c r="AA172" s="39">
        <f t="shared" si="239"/>
        <v>870</v>
      </c>
      <c r="AB172" s="39">
        <f t="shared" si="239"/>
        <v>870</v>
      </c>
      <c r="AC172" s="39">
        <f t="shared" si="239"/>
        <v>1270</v>
      </c>
      <c r="AD172" s="39">
        <f t="shared" si="239"/>
        <v>1270</v>
      </c>
      <c r="AE172" s="39">
        <f t="shared" si="239"/>
        <v>1270</v>
      </c>
      <c r="AF172" s="39">
        <f t="shared" si="239"/>
        <v>1270</v>
      </c>
      <c r="AG172" s="39">
        <f t="shared" si="239"/>
        <v>1270</v>
      </c>
      <c r="AH172" s="39">
        <f t="shared" si="239"/>
        <v>1270</v>
      </c>
      <c r="AI172" s="39">
        <f t="shared" si="239"/>
        <v>1270</v>
      </c>
      <c r="AJ172" s="39">
        <f t="shared" si="239"/>
        <v>1270</v>
      </c>
      <c r="AK172" s="39">
        <f t="shared" si="239"/>
        <v>1270</v>
      </c>
      <c r="AL172" s="39">
        <f t="shared" si="239"/>
        <v>1270</v>
      </c>
      <c r="AM172" s="39">
        <f t="shared" si="239"/>
        <v>1270</v>
      </c>
      <c r="AN172" s="39">
        <f t="shared" si="239"/>
        <v>1270</v>
      </c>
      <c r="AO172" s="39">
        <f t="shared" si="239"/>
        <v>1270</v>
      </c>
      <c r="AP172" s="39">
        <f t="shared" si="239"/>
        <v>1270</v>
      </c>
      <c r="AQ172" s="39">
        <f t="shared" si="239"/>
        <v>1270</v>
      </c>
      <c r="AR172" s="39">
        <f t="shared" si="239"/>
        <v>1270</v>
      </c>
      <c r="AS172" s="39">
        <f t="shared" si="239"/>
        <v>1270</v>
      </c>
      <c r="AT172" s="39">
        <f t="shared" si="239"/>
        <v>1270</v>
      </c>
      <c r="AU172" s="39">
        <f t="shared" si="239"/>
        <v>1270</v>
      </c>
      <c r="AV172" s="39">
        <f t="shared" si="239"/>
        <v>1270</v>
      </c>
      <c r="AW172" s="39">
        <f t="shared" si="239"/>
        <v>1270</v>
      </c>
      <c r="AX172" s="39">
        <f t="shared" si="239"/>
        <v>1270</v>
      </c>
      <c r="AY172" s="39">
        <f t="shared" si="239"/>
        <v>1270</v>
      </c>
      <c r="AZ172" s="39">
        <f t="shared" si="239"/>
        <v>1270</v>
      </c>
      <c r="BA172" s="39">
        <f t="shared" si="239"/>
        <v>1270</v>
      </c>
      <c r="BB172" s="39">
        <f t="shared" si="239"/>
        <v>1270</v>
      </c>
      <c r="BC172" s="39">
        <f t="shared" si="239"/>
        <v>1270</v>
      </c>
      <c r="BD172" s="39">
        <f t="shared" si="239"/>
        <v>1270</v>
      </c>
      <c r="BE172" s="39">
        <f t="shared" si="239"/>
        <v>1270</v>
      </c>
      <c r="BF172" s="39">
        <f t="shared" ref="BF172:BQ172" si="240">SUM(BF168:BF171)</f>
        <v>1270</v>
      </c>
      <c r="BG172" s="39">
        <f t="shared" si="240"/>
        <v>1270</v>
      </c>
      <c r="BH172" s="39">
        <f t="shared" si="240"/>
        <v>1270</v>
      </c>
      <c r="BI172" s="39">
        <f t="shared" si="240"/>
        <v>1270</v>
      </c>
      <c r="BJ172" s="39">
        <f t="shared" si="240"/>
        <v>1270</v>
      </c>
      <c r="BK172" s="39">
        <f t="shared" si="240"/>
        <v>1270</v>
      </c>
      <c r="BL172" s="39">
        <f t="shared" si="240"/>
        <v>1270</v>
      </c>
      <c r="BM172" s="39">
        <f t="shared" si="240"/>
        <v>1270</v>
      </c>
      <c r="BN172" s="39">
        <f t="shared" si="240"/>
        <v>1270</v>
      </c>
      <c r="BO172" s="39">
        <f t="shared" si="240"/>
        <v>1270</v>
      </c>
      <c r="BP172" s="39">
        <f t="shared" si="240"/>
        <v>1270</v>
      </c>
      <c r="BQ172" s="39">
        <f t="shared" si="240"/>
        <v>1270</v>
      </c>
    </row>
    <row r="173" spans="2:69">
      <c r="J173" s="39"/>
      <c r="K173" s="39"/>
      <c r="L173" s="39"/>
      <c r="M173" s="39"/>
      <c r="N173" s="39"/>
      <c r="O173" s="39"/>
      <c r="P173" s="39"/>
      <c r="Q173" s="39"/>
      <c r="R173" s="39"/>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c r="AX173" s="39"/>
      <c r="AY173" s="39"/>
      <c r="AZ173" s="39"/>
      <c r="BA173" s="39"/>
      <c r="BB173" s="39"/>
      <c r="BC173" s="39"/>
      <c r="BD173" s="39"/>
      <c r="BE173" s="39"/>
      <c r="BF173" s="39"/>
      <c r="BG173" s="39"/>
      <c r="BH173" s="39"/>
      <c r="BI173" s="39"/>
      <c r="BJ173" s="39"/>
      <c r="BK173" s="39"/>
      <c r="BL173" s="39"/>
      <c r="BM173" s="39"/>
      <c r="BN173" s="39"/>
      <c r="BO173" s="39"/>
      <c r="BP173" s="39"/>
      <c r="BQ173" s="39"/>
    </row>
    <row r="174" spans="2:69">
      <c r="J174" s="39"/>
      <c r="K174" s="39"/>
      <c r="L174" s="39"/>
      <c r="M174" s="39"/>
      <c r="N174" s="39"/>
      <c r="O174" s="39"/>
      <c r="P174" s="39"/>
      <c r="Q174" s="39"/>
      <c r="R174" s="39"/>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c r="AX174" s="39"/>
      <c r="AY174" s="39"/>
      <c r="AZ174" s="39"/>
      <c r="BA174" s="39"/>
      <c r="BB174" s="39"/>
      <c r="BC174" s="39"/>
      <c r="BD174" s="39"/>
      <c r="BE174" s="39"/>
      <c r="BF174" s="39"/>
      <c r="BG174" s="39"/>
      <c r="BH174" s="39"/>
      <c r="BI174" s="39"/>
      <c r="BJ174" s="39"/>
      <c r="BK174" s="39"/>
      <c r="BL174" s="39"/>
      <c r="BM174" s="39"/>
      <c r="BN174" s="39"/>
      <c r="BO174" s="39"/>
      <c r="BP174" s="39"/>
      <c r="BQ174" s="39"/>
    </row>
    <row r="175" spans="2:69">
      <c r="B175" s="3" t="s">
        <v>96</v>
      </c>
      <c r="C175" s="3"/>
      <c r="D175" s="3"/>
      <c r="E175" s="3"/>
      <c r="F175" s="3"/>
      <c r="G175" s="3"/>
      <c r="H175" s="3"/>
      <c r="I175" s="3"/>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row>
    <row r="176" spans="2:69">
      <c r="B176" s="4" t="s">
        <v>339</v>
      </c>
      <c r="J176" s="39">
        <v>0</v>
      </c>
      <c r="K176" s="39">
        <v>399</v>
      </c>
      <c r="L176" s="39">
        <v>230</v>
      </c>
      <c r="M176" s="39">
        <v>156</v>
      </c>
      <c r="N176" s="39">
        <v>2199</v>
      </c>
      <c r="O176" s="39"/>
      <c r="P176" s="39"/>
      <c r="Q176" s="39">
        <v>0</v>
      </c>
      <c r="R176" s="39">
        <v>2000</v>
      </c>
      <c r="S176" s="39">
        <v>2000</v>
      </c>
      <c r="T176" s="39">
        <v>2000</v>
      </c>
      <c r="U176" s="39">
        <v>2000</v>
      </c>
      <c r="V176" s="39">
        <v>2000</v>
      </c>
      <c r="W176" s="39">
        <v>2000</v>
      </c>
      <c r="X176" s="39">
        <v>2000</v>
      </c>
      <c r="Y176" s="39">
        <v>2000</v>
      </c>
      <c r="Z176" s="39">
        <v>2000</v>
      </c>
      <c r="AA176" s="39">
        <v>2000</v>
      </c>
      <c r="AB176" s="39">
        <v>2000</v>
      </c>
      <c r="AC176" s="39">
        <v>2000</v>
      </c>
      <c r="AD176" s="39">
        <v>2000</v>
      </c>
      <c r="AE176" s="39">
        <v>2000</v>
      </c>
      <c r="AF176" s="39">
        <v>4000</v>
      </c>
      <c r="AG176" s="39">
        <v>4000</v>
      </c>
      <c r="AH176" s="39">
        <v>4000</v>
      </c>
      <c r="AI176" s="39">
        <v>4000</v>
      </c>
      <c r="AJ176" s="39">
        <v>4000</v>
      </c>
      <c r="AK176" s="39">
        <v>4000</v>
      </c>
      <c r="AL176" s="39">
        <v>4000</v>
      </c>
      <c r="AM176" s="39">
        <v>4000</v>
      </c>
      <c r="AN176" s="39">
        <v>4000</v>
      </c>
      <c r="AO176" s="39">
        <v>4000</v>
      </c>
      <c r="AP176" s="39">
        <v>4000</v>
      </c>
      <c r="AQ176" s="39">
        <v>4000</v>
      </c>
      <c r="AR176" s="39">
        <v>4000</v>
      </c>
      <c r="AS176" s="39">
        <v>4000</v>
      </c>
      <c r="AT176" s="39">
        <v>5000</v>
      </c>
      <c r="AU176" s="39">
        <v>5000</v>
      </c>
      <c r="AV176" s="39">
        <v>5000</v>
      </c>
      <c r="AW176" s="39">
        <v>5000</v>
      </c>
      <c r="AX176" s="39">
        <v>5000</v>
      </c>
      <c r="AY176" s="39">
        <v>5000</v>
      </c>
      <c r="AZ176" s="39">
        <v>5000</v>
      </c>
      <c r="BA176" s="39">
        <v>5000</v>
      </c>
      <c r="BB176" s="39">
        <v>5000</v>
      </c>
      <c r="BC176" s="39">
        <v>5000</v>
      </c>
      <c r="BD176" s="39">
        <v>5000</v>
      </c>
      <c r="BE176" s="39">
        <v>5000</v>
      </c>
      <c r="BF176" s="39">
        <v>7000</v>
      </c>
      <c r="BG176" s="39">
        <v>7000</v>
      </c>
      <c r="BH176" s="39">
        <v>7000</v>
      </c>
      <c r="BI176" s="39">
        <v>7000</v>
      </c>
      <c r="BJ176" s="39">
        <v>7000</v>
      </c>
      <c r="BK176" s="39">
        <v>7000</v>
      </c>
      <c r="BL176" s="39">
        <v>7000</v>
      </c>
      <c r="BM176" s="39">
        <v>7000</v>
      </c>
      <c r="BN176" s="39">
        <v>7000</v>
      </c>
      <c r="BO176" s="39">
        <v>7000</v>
      </c>
      <c r="BP176" s="39">
        <v>7000</v>
      </c>
      <c r="BQ176" s="39">
        <v>7000</v>
      </c>
    </row>
    <row r="177" spans="2:69">
      <c r="B177" s="9"/>
      <c r="C177" s="9"/>
      <c r="D177" s="9"/>
      <c r="E177" s="9"/>
      <c r="F177" s="9"/>
      <c r="G177" s="9"/>
      <c r="H177" s="9"/>
      <c r="I177" s="9"/>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2"/>
      <c r="BH177" s="42"/>
      <c r="BI177" s="42"/>
      <c r="BJ177" s="42"/>
      <c r="BK177" s="42"/>
      <c r="BL177" s="42"/>
      <c r="BM177" s="42"/>
      <c r="BN177" s="42"/>
      <c r="BO177" s="42"/>
      <c r="BP177" s="42"/>
      <c r="BQ177" s="42"/>
    </row>
    <row r="178" spans="2:69">
      <c r="B178" s="3" t="s">
        <v>319</v>
      </c>
      <c r="J178" s="39">
        <f t="shared" ref="J178:BE178" si="241">SUM(J176:J177)</f>
        <v>0</v>
      </c>
      <c r="K178" s="39">
        <f t="shared" si="241"/>
        <v>399</v>
      </c>
      <c r="L178" s="39">
        <f t="shared" si="241"/>
        <v>230</v>
      </c>
      <c r="M178" s="39">
        <f t="shared" si="241"/>
        <v>156</v>
      </c>
      <c r="N178" s="39">
        <f t="shared" si="241"/>
        <v>2199</v>
      </c>
      <c r="O178" s="39">
        <f t="shared" si="241"/>
        <v>0</v>
      </c>
      <c r="P178" s="39">
        <f t="shared" si="241"/>
        <v>0</v>
      </c>
      <c r="Q178" s="39">
        <f t="shared" si="241"/>
        <v>0</v>
      </c>
      <c r="R178" s="39">
        <f t="shared" si="241"/>
        <v>2000</v>
      </c>
      <c r="S178" s="39">
        <f t="shared" si="241"/>
        <v>2000</v>
      </c>
      <c r="T178" s="39">
        <f t="shared" si="241"/>
        <v>2000</v>
      </c>
      <c r="U178" s="39">
        <f t="shared" si="241"/>
        <v>2000</v>
      </c>
      <c r="V178" s="39">
        <f t="shared" si="241"/>
        <v>2000</v>
      </c>
      <c r="W178" s="39">
        <f t="shared" si="241"/>
        <v>2000</v>
      </c>
      <c r="X178" s="39">
        <f t="shared" si="241"/>
        <v>2000</v>
      </c>
      <c r="Y178" s="39">
        <f t="shared" si="241"/>
        <v>2000</v>
      </c>
      <c r="Z178" s="39">
        <f t="shared" si="241"/>
        <v>2000</v>
      </c>
      <c r="AA178" s="39">
        <f t="shared" si="241"/>
        <v>2000</v>
      </c>
      <c r="AB178" s="39">
        <f t="shared" si="241"/>
        <v>2000</v>
      </c>
      <c r="AC178" s="39">
        <f t="shared" si="241"/>
        <v>2000</v>
      </c>
      <c r="AD178" s="39">
        <f t="shared" si="241"/>
        <v>2000</v>
      </c>
      <c r="AE178" s="39">
        <f t="shared" si="241"/>
        <v>2000</v>
      </c>
      <c r="AF178" s="39">
        <f t="shared" si="241"/>
        <v>4000</v>
      </c>
      <c r="AG178" s="39">
        <f t="shared" si="241"/>
        <v>4000</v>
      </c>
      <c r="AH178" s="39">
        <f t="shared" si="241"/>
        <v>4000</v>
      </c>
      <c r="AI178" s="39">
        <f t="shared" si="241"/>
        <v>4000</v>
      </c>
      <c r="AJ178" s="39">
        <f t="shared" si="241"/>
        <v>4000</v>
      </c>
      <c r="AK178" s="39">
        <f t="shared" si="241"/>
        <v>4000</v>
      </c>
      <c r="AL178" s="39">
        <f t="shared" si="241"/>
        <v>4000</v>
      </c>
      <c r="AM178" s="39">
        <f t="shared" si="241"/>
        <v>4000</v>
      </c>
      <c r="AN178" s="39">
        <f t="shared" si="241"/>
        <v>4000</v>
      </c>
      <c r="AO178" s="39">
        <f t="shared" si="241"/>
        <v>4000</v>
      </c>
      <c r="AP178" s="39">
        <f t="shared" si="241"/>
        <v>4000</v>
      </c>
      <c r="AQ178" s="39">
        <f t="shared" si="241"/>
        <v>4000</v>
      </c>
      <c r="AR178" s="39">
        <f t="shared" si="241"/>
        <v>4000</v>
      </c>
      <c r="AS178" s="39">
        <f t="shared" si="241"/>
        <v>4000</v>
      </c>
      <c r="AT178" s="39">
        <f t="shared" si="241"/>
        <v>5000</v>
      </c>
      <c r="AU178" s="39">
        <f t="shared" si="241"/>
        <v>5000</v>
      </c>
      <c r="AV178" s="39">
        <f t="shared" si="241"/>
        <v>5000</v>
      </c>
      <c r="AW178" s="39">
        <f t="shared" si="241"/>
        <v>5000</v>
      </c>
      <c r="AX178" s="39">
        <f t="shared" si="241"/>
        <v>5000</v>
      </c>
      <c r="AY178" s="39">
        <f t="shared" si="241"/>
        <v>5000</v>
      </c>
      <c r="AZ178" s="39">
        <f t="shared" si="241"/>
        <v>5000</v>
      </c>
      <c r="BA178" s="39">
        <f t="shared" si="241"/>
        <v>5000</v>
      </c>
      <c r="BB178" s="39">
        <f t="shared" si="241"/>
        <v>5000</v>
      </c>
      <c r="BC178" s="39">
        <f t="shared" si="241"/>
        <v>5000</v>
      </c>
      <c r="BD178" s="39">
        <f t="shared" si="241"/>
        <v>5000</v>
      </c>
      <c r="BE178" s="39">
        <f t="shared" si="241"/>
        <v>5000</v>
      </c>
      <c r="BF178" s="39">
        <f t="shared" ref="BF178:BQ178" si="242">SUM(BF176:BF177)</f>
        <v>7000</v>
      </c>
      <c r="BG178" s="39">
        <f t="shared" si="242"/>
        <v>7000</v>
      </c>
      <c r="BH178" s="39">
        <f t="shared" si="242"/>
        <v>7000</v>
      </c>
      <c r="BI178" s="39">
        <f t="shared" si="242"/>
        <v>7000</v>
      </c>
      <c r="BJ178" s="39">
        <f t="shared" si="242"/>
        <v>7000</v>
      </c>
      <c r="BK178" s="39">
        <f t="shared" si="242"/>
        <v>7000</v>
      </c>
      <c r="BL178" s="39">
        <f t="shared" si="242"/>
        <v>7000</v>
      </c>
      <c r="BM178" s="39">
        <f t="shared" si="242"/>
        <v>7000</v>
      </c>
      <c r="BN178" s="39">
        <f t="shared" si="242"/>
        <v>7000</v>
      </c>
      <c r="BO178" s="39">
        <f t="shared" si="242"/>
        <v>7000</v>
      </c>
      <c r="BP178" s="39">
        <f t="shared" si="242"/>
        <v>7000</v>
      </c>
      <c r="BQ178" s="39">
        <f t="shared" si="242"/>
        <v>7000</v>
      </c>
    </row>
    <row r="179" spans="2:69">
      <c r="J179" s="39"/>
      <c r="K179" s="39"/>
      <c r="L179" s="39"/>
      <c r="M179" s="39"/>
      <c r="N179" s="39"/>
      <c r="O179" s="39"/>
      <c r="P179" s="39"/>
      <c r="Q179" s="39"/>
      <c r="R179" s="39"/>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c r="AX179" s="39"/>
      <c r="AY179" s="39"/>
      <c r="AZ179" s="39"/>
      <c r="BA179" s="39"/>
      <c r="BB179" s="39"/>
      <c r="BC179" s="39"/>
      <c r="BD179" s="39"/>
      <c r="BE179" s="39"/>
      <c r="BF179" s="39"/>
      <c r="BG179" s="39"/>
      <c r="BH179" s="39"/>
      <c r="BI179" s="39"/>
      <c r="BJ179" s="39"/>
      <c r="BK179" s="39"/>
      <c r="BL179" s="39"/>
      <c r="BM179" s="39"/>
      <c r="BN179" s="39"/>
      <c r="BO179" s="39"/>
      <c r="BP179" s="39"/>
      <c r="BQ179" s="39"/>
    </row>
    <row r="180" spans="2:69">
      <c r="J180" s="39"/>
      <c r="K180" s="39"/>
      <c r="L180" s="39"/>
      <c r="M180" s="39"/>
      <c r="N180" s="39"/>
      <c r="O180" s="39"/>
      <c r="P180" s="39"/>
      <c r="Q180" s="39"/>
      <c r="R180" s="39"/>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c r="AX180" s="39"/>
      <c r="AY180" s="39"/>
      <c r="AZ180" s="39"/>
      <c r="BA180" s="39"/>
      <c r="BB180" s="39"/>
      <c r="BC180" s="39"/>
      <c r="BD180" s="39"/>
      <c r="BE180" s="39"/>
      <c r="BF180" s="39"/>
      <c r="BG180" s="39"/>
      <c r="BH180" s="39"/>
      <c r="BI180" s="39"/>
      <c r="BJ180" s="39"/>
      <c r="BK180" s="39"/>
      <c r="BL180" s="39"/>
      <c r="BM180" s="39"/>
      <c r="BN180" s="39"/>
      <c r="BO180" s="39"/>
      <c r="BP180" s="39"/>
      <c r="BQ180" s="39"/>
    </row>
    <row r="181" spans="2:69">
      <c r="B181" s="3" t="s">
        <v>334</v>
      </c>
      <c r="C181" s="3"/>
      <c r="D181" s="3"/>
      <c r="E181" s="3"/>
      <c r="F181" s="3"/>
      <c r="G181" s="3"/>
      <c r="H181" s="3"/>
      <c r="I181" s="3"/>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row>
    <row r="182" spans="2:69">
      <c r="B182" s="4" t="s">
        <v>336</v>
      </c>
      <c r="J182" s="39"/>
      <c r="K182" s="39"/>
      <c r="L182" s="39"/>
      <c r="M182" s="39"/>
      <c r="N182" s="39"/>
      <c r="O182" s="39"/>
      <c r="P182" s="39"/>
      <c r="Q182" s="39"/>
      <c r="R182" s="39"/>
      <c r="S182" s="39">
        <v>500</v>
      </c>
      <c r="T182" s="39">
        <v>500</v>
      </c>
      <c r="U182" s="39">
        <v>500</v>
      </c>
      <c r="V182" s="39">
        <v>500</v>
      </c>
      <c r="W182" s="39">
        <v>500</v>
      </c>
      <c r="X182" s="39">
        <v>500</v>
      </c>
      <c r="Y182" s="39">
        <v>500</v>
      </c>
      <c r="Z182" s="39">
        <v>500</v>
      </c>
      <c r="AA182" s="39">
        <v>500</v>
      </c>
      <c r="AB182" s="39">
        <v>500</v>
      </c>
      <c r="AC182" s="39">
        <v>1000</v>
      </c>
      <c r="AD182" s="39">
        <v>1000</v>
      </c>
      <c r="AE182" s="39">
        <v>1000</v>
      </c>
      <c r="AF182" s="39">
        <v>1000</v>
      </c>
      <c r="AG182" s="39">
        <v>1000</v>
      </c>
      <c r="AH182" s="39">
        <v>1000</v>
      </c>
      <c r="AI182" s="39">
        <v>1000</v>
      </c>
      <c r="AJ182" s="39">
        <v>1000</v>
      </c>
      <c r="AK182" s="39">
        <v>1000</v>
      </c>
      <c r="AL182" s="39">
        <v>1000</v>
      </c>
      <c r="AM182" s="39">
        <v>1000</v>
      </c>
      <c r="AN182" s="39">
        <v>1000</v>
      </c>
      <c r="AO182" s="39">
        <v>1000</v>
      </c>
      <c r="AP182" s="39">
        <v>1000</v>
      </c>
      <c r="AQ182" s="39">
        <v>1000</v>
      </c>
      <c r="AR182" s="39">
        <v>1000</v>
      </c>
      <c r="AS182" s="39">
        <v>1000</v>
      </c>
      <c r="AT182" s="39">
        <v>1500</v>
      </c>
      <c r="AU182" s="39">
        <v>1500</v>
      </c>
      <c r="AV182" s="39">
        <v>1500</v>
      </c>
      <c r="AW182" s="39">
        <v>1500</v>
      </c>
      <c r="AX182" s="39">
        <v>1500</v>
      </c>
      <c r="AY182" s="39">
        <v>1500</v>
      </c>
      <c r="AZ182" s="39">
        <v>1500</v>
      </c>
      <c r="BA182" s="39">
        <v>1500</v>
      </c>
      <c r="BB182" s="39">
        <v>1500</v>
      </c>
      <c r="BC182" s="39">
        <v>1500</v>
      </c>
      <c r="BD182" s="39">
        <v>1500</v>
      </c>
      <c r="BE182" s="39">
        <v>1500</v>
      </c>
      <c r="BF182" s="39">
        <v>2000</v>
      </c>
      <c r="BG182" s="39">
        <v>2000</v>
      </c>
      <c r="BH182" s="39">
        <v>2000</v>
      </c>
      <c r="BI182" s="39">
        <v>2000</v>
      </c>
      <c r="BJ182" s="39">
        <v>2000</v>
      </c>
      <c r="BK182" s="39">
        <v>2000</v>
      </c>
      <c r="BL182" s="39">
        <v>2000</v>
      </c>
      <c r="BM182" s="39">
        <v>2000</v>
      </c>
      <c r="BN182" s="39">
        <v>2000</v>
      </c>
      <c r="BO182" s="39">
        <v>2000</v>
      </c>
      <c r="BP182" s="39">
        <v>2000</v>
      </c>
      <c r="BQ182" s="39">
        <v>2000</v>
      </c>
    </row>
    <row r="183" spans="2:69">
      <c r="B183" s="9"/>
      <c r="C183" s="9"/>
      <c r="D183" s="9"/>
      <c r="E183" s="9"/>
      <c r="F183" s="9"/>
      <c r="G183" s="9"/>
      <c r="H183" s="9"/>
      <c r="I183" s="9"/>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2"/>
      <c r="BH183" s="42"/>
      <c r="BI183" s="42"/>
      <c r="BJ183" s="42"/>
      <c r="BK183" s="42"/>
      <c r="BL183" s="42"/>
      <c r="BM183" s="42"/>
      <c r="BN183" s="42"/>
      <c r="BO183" s="42"/>
      <c r="BP183" s="42"/>
      <c r="BQ183" s="42"/>
    </row>
    <row r="184" spans="2:69">
      <c r="B184" s="3" t="s">
        <v>335</v>
      </c>
      <c r="J184" s="39">
        <f t="shared" ref="J184:BE184" si="243">SUM(J182:J183)</f>
        <v>0</v>
      </c>
      <c r="K184" s="39">
        <f t="shared" si="243"/>
        <v>0</v>
      </c>
      <c r="L184" s="39">
        <f t="shared" si="243"/>
        <v>0</v>
      </c>
      <c r="M184" s="39">
        <f t="shared" si="243"/>
        <v>0</v>
      </c>
      <c r="N184" s="39">
        <f t="shared" si="243"/>
        <v>0</v>
      </c>
      <c r="O184" s="39">
        <f t="shared" si="243"/>
        <v>0</v>
      </c>
      <c r="P184" s="39">
        <f t="shared" si="243"/>
        <v>0</v>
      </c>
      <c r="Q184" s="39">
        <f t="shared" si="243"/>
        <v>0</v>
      </c>
      <c r="R184" s="39">
        <f t="shared" si="243"/>
        <v>0</v>
      </c>
      <c r="S184" s="39">
        <f t="shared" si="243"/>
        <v>500</v>
      </c>
      <c r="T184" s="39">
        <f t="shared" si="243"/>
        <v>500</v>
      </c>
      <c r="U184" s="39">
        <f t="shared" si="243"/>
        <v>500</v>
      </c>
      <c r="V184" s="39">
        <f t="shared" si="243"/>
        <v>500</v>
      </c>
      <c r="W184" s="39">
        <f t="shared" si="243"/>
        <v>500</v>
      </c>
      <c r="X184" s="39">
        <f t="shared" si="243"/>
        <v>500</v>
      </c>
      <c r="Y184" s="39">
        <f t="shared" si="243"/>
        <v>500</v>
      </c>
      <c r="Z184" s="39">
        <f t="shared" si="243"/>
        <v>500</v>
      </c>
      <c r="AA184" s="39">
        <f t="shared" si="243"/>
        <v>500</v>
      </c>
      <c r="AB184" s="39">
        <f t="shared" si="243"/>
        <v>500</v>
      </c>
      <c r="AC184" s="39">
        <f t="shared" si="243"/>
        <v>1000</v>
      </c>
      <c r="AD184" s="39">
        <f t="shared" si="243"/>
        <v>1000</v>
      </c>
      <c r="AE184" s="39">
        <f t="shared" si="243"/>
        <v>1000</v>
      </c>
      <c r="AF184" s="39">
        <f t="shared" si="243"/>
        <v>1000</v>
      </c>
      <c r="AG184" s="39">
        <f t="shared" si="243"/>
        <v>1000</v>
      </c>
      <c r="AH184" s="39">
        <f t="shared" si="243"/>
        <v>1000</v>
      </c>
      <c r="AI184" s="39">
        <f t="shared" si="243"/>
        <v>1000</v>
      </c>
      <c r="AJ184" s="39">
        <f t="shared" si="243"/>
        <v>1000</v>
      </c>
      <c r="AK184" s="39">
        <f t="shared" si="243"/>
        <v>1000</v>
      </c>
      <c r="AL184" s="39">
        <f t="shared" si="243"/>
        <v>1000</v>
      </c>
      <c r="AM184" s="39">
        <f t="shared" si="243"/>
        <v>1000</v>
      </c>
      <c r="AN184" s="39">
        <f t="shared" si="243"/>
        <v>1000</v>
      </c>
      <c r="AO184" s="39">
        <f t="shared" si="243"/>
        <v>1000</v>
      </c>
      <c r="AP184" s="39">
        <f t="shared" si="243"/>
        <v>1000</v>
      </c>
      <c r="AQ184" s="39">
        <f t="shared" si="243"/>
        <v>1000</v>
      </c>
      <c r="AR184" s="39">
        <f t="shared" si="243"/>
        <v>1000</v>
      </c>
      <c r="AS184" s="39">
        <f t="shared" si="243"/>
        <v>1000</v>
      </c>
      <c r="AT184" s="39">
        <f t="shared" si="243"/>
        <v>1500</v>
      </c>
      <c r="AU184" s="39">
        <f t="shared" si="243"/>
        <v>1500</v>
      </c>
      <c r="AV184" s="39">
        <f t="shared" si="243"/>
        <v>1500</v>
      </c>
      <c r="AW184" s="39">
        <f t="shared" si="243"/>
        <v>1500</v>
      </c>
      <c r="AX184" s="39">
        <f t="shared" si="243"/>
        <v>1500</v>
      </c>
      <c r="AY184" s="39">
        <f t="shared" si="243"/>
        <v>1500</v>
      </c>
      <c r="AZ184" s="39">
        <f t="shared" si="243"/>
        <v>1500</v>
      </c>
      <c r="BA184" s="39">
        <f t="shared" si="243"/>
        <v>1500</v>
      </c>
      <c r="BB184" s="39">
        <f t="shared" si="243"/>
        <v>1500</v>
      </c>
      <c r="BC184" s="39">
        <f t="shared" si="243"/>
        <v>1500</v>
      </c>
      <c r="BD184" s="39">
        <f t="shared" si="243"/>
        <v>1500</v>
      </c>
      <c r="BE184" s="39">
        <f t="shared" si="243"/>
        <v>1500</v>
      </c>
      <c r="BF184" s="39">
        <f t="shared" ref="BF184:BQ184" si="244">SUM(BF182:BF183)</f>
        <v>2000</v>
      </c>
      <c r="BG184" s="39">
        <f t="shared" si="244"/>
        <v>2000</v>
      </c>
      <c r="BH184" s="39">
        <f t="shared" si="244"/>
        <v>2000</v>
      </c>
      <c r="BI184" s="39">
        <f t="shared" si="244"/>
        <v>2000</v>
      </c>
      <c r="BJ184" s="39">
        <f t="shared" si="244"/>
        <v>2000</v>
      </c>
      <c r="BK184" s="39">
        <f t="shared" si="244"/>
        <v>2000</v>
      </c>
      <c r="BL184" s="39">
        <f t="shared" si="244"/>
        <v>2000</v>
      </c>
      <c r="BM184" s="39">
        <f t="shared" si="244"/>
        <v>2000</v>
      </c>
      <c r="BN184" s="39">
        <f t="shared" si="244"/>
        <v>2000</v>
      </c>
      <c r="BO184" s="39">
        <f t="shared" si="244"/>
        <v>2000</v>
      </c>
      <c r="BP184" s="39">
        <f t="shared" si="244"/>
        <v>2000</v>
      </c>
      <c r="BQ184" s="39">
        <f t="shared" si="244"/>
        <v>2000</v>
      </c>
    </row>
    <row r="185" spans="2:69">
      <c r="B185" s="3"/>
      <c r="J185" s="39"/>
      <c r="K185" s="39"/>
      <c r="L185" s="39"/>
      <c r="M185" s="39"/>
      <c r="N185" s="39"/>
      <c r="O185" s="39"/>
      <c r="P185" s="39"/>
      <c r="Q185" s="39"/>
      <c r="R185" s="39"/>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c r="AX185" s="39"/>
      <c r="AY185" s="39"/>
      <c r="AZ185" s="39"/>
      <c r="BA185" s="39"/>
      <c r="BB185" s="39"/>
      <c r="BC185" s="39"/>
      <c r="BD185" s="39"/>
      <c r="BE185" s="39"/>
      <c r="BF185" s="39"/>
      <c r="BG185" s="39"/>
      <c r="BH185" s="39"/>
      <c r="BI185" s="39"/>
      <c r="BJ185" s="39"/>
      <c r="BK185" s="39"/>
      <c r="BL185" s="39"/>
      <c r="BM185" s="39"/>
      <c r="BN185" s="39"/>
      <c r="BO185" s="39"/>
      <c r="BP185" s="39"/>
      <c r="BQ185" s="39"/>
    </row>
    <row r="186" spans="2:69">
      <c r="B186" s="3"/>
      <c r="J186" s="39"/>
      <c r="K186" s="39"/>
      <c r="L186" s="39"/>
      <c r="M186" s="39"/>
      <c r="N186" s="39"/>
      <c r="O186" s="39"/>
      <c r="P186" s="39"/>
      <c r="Q186" s="39"/>
      <c r="R186" s="39"/>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c r="AX186" s="39"/>
      <c r="AY186" s="39"/>
      <c r="AZ186" s="39"/>
      <c r="BA186" s="39"/>
      <c r="BB186" s="39"/>
      <c r="BC186" s="39"/>
      <c r="BD186" s="39"/>
      <c r="BE186" s="39"/>
      <c r="BF186" s="39"/>
      <c r="BG186" s="39"/>
      <c r="BH186" s="39"/>
      <c r="BI186" s="39"/>
      <c r="BJ186" s="39"/>
      <c r="BK186" s="39"/>
      <c r="BL186" s="39"/>
      <c r="BM186" s="39"/>
      <c r="BN186" s="39"/>
      <c r="BO186" s="39"/>
      <c r="BP186" s="39"/>
      <c r="BQ186" s="39"/>
    </row>
    <row r="187" spans="2:69">
      <c r="B187" s="3" t="s">
        <v>341</v>
      </c>
      <c r="C187" s="3"/>
      <c r="D187" s="3"/>
      <c r="E187" s="3"/>
      <c r="F187" s="3"/>
      <c r="G187" s="3"/>
      <c r="H187" s="3"/>
      <c r="I187" s="3"/>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row>
    <row r="188" spans="2:69">
      <c r="B188" s="4" t="s">
        <v>342</v>
      </c>
      <c r="J188" s="39"/>
      <c r="K188" s="39"/>
      <c r="L188" s="39">
        <v>15000</v>
      </c>
      <c r="M188" s="39">
        <v>32550</v>
      </c>
      <c r="N188" s="39">
        <v>30000</v>
      </c>
      <c r="O188" s="39">
        <v>30000</v>
      </c>
      <c r="P188" s="39">
        <v>30000</v>
      </c>
      <c r="Q188" s="39">
        <v>40368</v>
      </c>
      <c r="R188" s="39">
        <v>25000</v>
      </c>
      <c r="S188" s="39">
        <v>30000</v>
      </c>
      <c r="T188" s="39">
        <v>30000</v>
      </c>
      <c r="U188" s="39">
        <v>30000</v>
      </c>
      <c r="V188" s="39">
        <v>30000</v>
      </c>
      <c r="W188" s="39">
        <v>30000</v>
      </c>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c r="AX188" s="39"/>
      <c r="AY188" s="39"/>
      <c r="AZ188" s="39"/>
      <c r="BA188" s="39"/>
      <c r="BB188" s="39"/>
      <c r="BC188" s="39"/>
      <c r="BD188" s="39"/>
      <c r="BE188" s="39"/>
      <c r="BF188" s="39"/>
      <c r="BG188" s="39"/>
      <c r="BH188" s="39"/>
      <c r="BI188" s="39"/>
      <c r="BJ188" s="39"/>
      <c r="BK188" s="39"/>
      <c r="BL188" s="39"/>
      <c r="BM188" s="39"/>
      <c r="BN188" s="39"/>
      <c r="BO188" s="39"/>
      <c r="BP188" s="39"/>
      <c r="BQ188" s="39"/>
    </row>
    <row r="189" spans="2:69">
      <c r="B189" s="9"/>
      <c r="C189" s="9"/>
      <c r="D189" s="9"/>
      <c r="E189" s="9"/>
      <c r="F189" s="9"/>
      <c r="G189" s="9"/>
      <c r="H189" s="9"/>
      <c r="I189" s="9"/>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row>
    <row r="190" spans="2:69">
      <c r="B190" s="3" t="s">
        <v>343</v>
      </c>
      <c r="J190" s="39">
        <f t="shared" ref="J190:BE190" si="245">SUM(J188:J189)</f>
        <v>0</v>
      </c>
      <c r="K190" s="39">
        <f t="shared" si="245"/>
        <v>0</v>
      </c>
      <c r="L190" s="39">
        <f t="shared" si="245"/>
        <v>15000</v>
      </c>
      <c r="M190" s="39">
        <f t="shared" si="245"/>
        <v>32550</v>
      </c>
      <c r="N190" s="39">
        <f t="shared" si="245"/>
        <v>30000</v>
      </c>
      <c r="O190" s="39">
        <f t="shared" si="245"/>
        <v>30000</v>
      </c>
      <c r="P190" s="39">
        <f t="shared" si="245"/>
        <v>30000</v>
      </c>
      <c r="Q190" s="39">
        <f t="shared" si="245"/>
        <v>40368</v>
      </c>
      <c r="R190" s="39">
        <f t="shared" si="245"/>
        <v>25000</v>
      </c>
      <c r="S190" s="39">
        <f t="shared" si="245"/>
        <v>30000</v>
      </c>
      <c r="T190" s="39">
        <f t="shared" si="245"/>
        <v>30000</v>
      </c>
      <c r="U190" s="39">
        <f t="shared" si="245"/>
        <v>30000</v>
      </c>
      <c r="V190" s="39">
        <f t="shared" si="245"/>
        <v>30000</v>
      </c>
      <c r="W190" s="39">
        <f t="shared" si="245"/>
        <v>30000</v>
      </c>
      <c r="X190" s="39">
        <f t="shared" si="245"/>
        <v>0</v>
      </c>
      <c r="Y190" s="39">
        <f t="shared" si="245"/>
        <v>0</v>
      </c>
      <c r="Z190" s="39">
        <f t="shared" si="245"/>
        <v>0</v>
      </c>
      <c r="AA190" s="39">
        <f t="shared" si="245"/>
        <v>0</v>
      </c>
      <c r="AB190" s="39">
        <f t="shared" si="245"/>
        <v>0</v>
      </c>
      <c r="AC190" s="39">
        <f t="shared" si="245"/>
        <v>0</v>
      </c>
      <c r="AD190" s="39">
        <f t="shared" si="245"/>
        <v>0</v>
      </c>
      <c r="AE190" s="39">
        <f t="shared" si="245"/>
        <v>0</v>
      </c>
      <c r="AF190" s="39">
        <f t="shared" si="245"/>
        <v>0</v>
      </c>
      <c r="AG190" s="39">
        <f t="shared" si="245"/>
        <v>0</v>
      </c>
      <c r="AH190" s="39">
        <f t="shared" si="245"/>
        <v>0</v>
      </c>
      <c r="AI190" s="39">
        <f t="shared" si="245"/>
        <v>0</v>
      </c>
      <c r="AJ190" s="39">
        <f t="shared" si="245"/>
        <v>0</v>
      </c>
      <c r="AK190" s="39">
        <f t="shared" si="245"/>
        <v>0</v>
      </c>
      <c r="AL190" s="39">
        <f t="shared" si="245"/>
        <v>0</v>
      </c>
      <c r="AM190" s="39">
        <f t="shared" si="245"/>
        <v>0</v>
      </c>
      <c r="AN190" s="39">
        <f t="shared" si="245"/>
        <v>0</v>
      </c>
      <c r="AO190" s="39">
        <f t="shared" si="245"/>
        <v>0</v>
      </c>
      <c r="AP190" s="39">
        <f t="shared" si="245"/>
        <v>0</v>
      </c>
      <c r="AQ190" s="39">
        <f t="shared" si="245"/>
        <v>0</v>
      </c>
      <c r="AR190" s="39">
        <f t="shared" si="245"/>
        <v>0</v>
      </c>
      <c r="AS190" s="39">
        <f t="shared" si="245"/>
        <v>0</v>
      </c>
      <c r="AT190" s="39">
        <f t="shared" si="245"/>
        <v>0</v>
      </c>
      <c r="AU190" s="39">
        <f t="shared" si="245"/>
        <v>0</v>
      </c>
      <c r="AV190" s="39">
        <f t="shared" si="245"/>
        <v>0</v>
      </c>
      <c r="AW190" s="39">
        <f t="shared" si="245"/>
        <v>0</v>
      </c>
      <c r="AX190" s="39">
        <f t="shared" si="245"/>
        <v>0</v>
      </c>
      <c r="AY190" s="39">
        <f t="shared" si="245"/>
        <v>0</v>
      </c>
      <c r="AZ190" s="39">
        <f t="shared" si="245"/>
        <v>0</v>
      </c>
      <c r="BA190" s="39">
        <f t="shared" si="245"/>
        <v>0</v>
      </c>
      <c r="BB190" s="39">
        <f t="shared" si="245"/>
        <v>0</v>
      </c>
      <c r="BC190" s="39">
        <f t="shared" si="245"/>
        <v>0</v>
      </c>
      <c r="BD190" s="39">
        <f t="shared" si="245"/>
        <v>0</v>
      </c>
      <c r="BE190" s="39">
        <f t="shared" si="245"/>
        <v>0</v>
      </c>
      <c r="BF190" s="39">
        <f t="shared" ref="BF190:BQ190" si="246">SUM(BF188:BF189)</f>
        <v>0</v>
      </c>
      <c r="BG190" s="39">
        <f t="shared" si="246"/>
        <v>0</v>
      </c>
      <c r="BH190" s="39">
        <f t="shared" si="246"/>
        <v>0</v>
      </c>
      <c r="BI190" s="39">
        <f t="shared" si="246"/>
        <v>0</v>
      </c>
      <c r="BJ190" s="39">
        <f t="shared" si="246"/>
        <v>0</v>
      </c>
      <c r="BK190" s="39">
        <f t="shared" si="246"/>
        <v>0</v>
      </c>
      <c r="BL190" s="39">
        <f t="shared" si="246"/>
        <v>0</v>
      </c>
      <c r="BM190" s="39">
        <f t="shared" si="246"/>
        <v>0</v>
      </c>
      <c r="BN190" s="39">
        <f t="shared" si="246"/>
        <v>0</v>
      </c>
      <c r="BO190" s="39">
        <f t="shared" si="246"/>
        <v>0</v>
      </c>
      <c r="BP190" s="39">
        <f t="shared" si="246"/>
        <v>0</v>
      </c>
      <c r="BQ190" s="39">
        <f t="shared" si="246"/>
        <v>0</v>
      </c>
    </row>
    <row r="191" spans="2:69">
      <c r="J191" s="39"/>
      <c r="K191" s="39"/>
      <c r="L191" s="39"/>
      <c r="M191" s="39"/>
      <c r="N191" s="39"/>
      <c r="O191" s="39"/>
      <c r="P191" s="39"/>
      <c r="Q191" s="39"/>
      <c r="R191" s="39"/>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c r="AX191" s="39"/>
      <c r="AY191" s="39"/>
      <c r="AZ191" s="39"/>
      <c r="BA191" s="39"/>
      <c r="BB191" s="39"/>
      <c r="BC191" s="39"/>
      <c r="BD191" s="39"/>
      <c r="BE191" s="39"/>
      <c r="BF191" s="39"/>
      <c r="BG191" s="39"/>
      <c r="BH191" s="39"/>
      <c r="BI191" s="39"/>
      <c r="BJ191" s="39"/>
      <c r="BK191" s="39"/>
      <c r="BL191" s="39"/>
      <c r="BM191" s="39"/>
      <c r="BN191" s="39"/>
      <c r="BO191" s="39"/>
      <c r="BP191" s="39"/>
      <c r="BQ191" s="39"/>
    </row>
    <row r="192" spans="2:69">
      <c r="J192" s="39"/>
      <c r="K192" s="39"/>
      <c r="L192" s="39"/>
      <c r="M192" s="39"/>
      <c r="N192" s="39"/>
      <c r="O192" s="39"/>
      <c r="P192" s="39"/>
      <c r="Q192" s="39"/>
      <c r="R192" s="39"/>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c r="AX192" s="39"/>
      <c r="AY192" s="39"/>
      <c r="AZ192" s="39"/>
      <c r="BA192" s="39"/>
      <c r="BB192" s="39"/>
      <c r="BC192" s="39"/>
      <c r="BD192" s="39"/>
      <c r="BE192" s="39"/>
      <c r="BF192" s="39"/>
      <c r="BG192" s="39"/>
      <c r="BH192" s="39"/>
      <c r="BI192" s="39"/>
      <c r="BJ192" s="39"/>
      <c r="BK192" s="39"/>
      <c r="BL192" s="39"/>
      <c r="BM192" s="39"/>
      <c r="BN192" s="39"/>
      <c r="BO192" s="39"/>
      <c r="BP192" s="39"/>
      <c r="BQ192" s="39"/>
    </row>
    <row r="193" spans="2:69">
      <c r="B193" s="3" t="s">
        <v>320</v>
      </c>
      <c r="C193" s="3"/>
      <c r="D193" s="3"/>
      <c r="E193" s="3"/>
      <c r="F193" s="3"/>
      <c r="G193" s="3"/>
      <c r="H193" s="3"/>
      <c r="I193" s="3"/>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row>
    <row r="194" spans="2:69">
      <c r="B194" s="4" t="s">
        <v>323</v>
      </c>
      <c r="J194" s="39">
        <v>600</v>
      </c>
      <c r="K194" s="39">
        <v>0</v>
      </c>
      <c r="L194" s="39">
        <v>600</v>
      </c>
      <c r="M194" s="39">
        <v>600</v>
      </c>
      <c r="N194" s="39">
        <v>1000</v>
      </c>
      <c r="O194" s="39">
        <v>1000</v>
      </c>
      <c r="P194" s="39">
        <v>1000</v>
      </c>
      <c r="Q194" s="39">
        <v>1000</v>
      </c>
      <c r="R194" s="39">
        <v>1000</v>
      </c>
      <c r="S194" s="39">
        <v>1000</v>
      </c>
      <c r="T194" s="39">
        <v>1000</v>
      </c>
      <c r="U194" s="39">
        <v>1000</v>
      </c>
      <c r="V194" s="39">
        <v>1000</v>
      </c>
      <c r="W194" s="39">
        <v>1000</v>
      </c>
      <c r="X194" s="39">
        <v>1000</v>
      </c>
      <c r="Y194" s="39">
        <v>1000</v>
      </c>
      <c r="Z194" s="39">
        <v>1000</v>
      </c>
      <c r="AA194" s="39">
        <v>1000</v>
      </c>
      <c r="AB194" s="39">
        <v>1000</v>
      </c>
      <c r="AC194" s="39">
        <v>1000</v>
      </c>
      <c r="AD194" s="39">
        <v>1000</v>
      </c>
      <c r="AE194" s="39">
        <v>1000</v>
      </c>
      <c r="AF194" s="39">
        <v>1000</v>
      </c>
      <c r="AG194" s="39">
        <v>1000</v>
      </c>
      <c r="AH194" s="39">
        <v>1000</v>
      </c>
      <c r="AI194" s="39">
        <v>1000</v>
      </c>
      <c r="AJ194" s="39">
        <v>1000</v>
      </c>
      <c r="AK194" s="39">
        <v>1000</v>
      </c>
      <c r="AL194" s="39">
        <v>1000</v>
      </c>
      <c r="AM194" s="39">
        <v>1000</v>
      </c>
      <c r="AN194" s="39">
        <v>1000</v>
      </c>
      <c r="AO194" s="39">
        <v>1000</v>
      </c>
      <c r="AP194" s="39">
        <v>1000</v>
      </c>
      <c r="AQ194" s="39">
        <v>1000</v>
      </c>
      <c r="AR194" s="39">
        <v>1000</v>
      </c>
      <c r="AS194" s="39">
        <v>1000</v>
      </c>
      <c r="AT194" s="39">
        <v>1500</v>
      </c>
      <c r="AU194" s="39">
        <v>1500</v>
      </c>
      <c r="AV194" s="39">
        <v>1500</v>
      </c>
      <c r="AW194" s="39">
        <v>1500</v>
      </c>
      <c r="AX194" s="39">
        <v>1500</v>
      </c>
      <c r="AY194" s="39">
        <v>1500</v>
      </c>
      <c r="AZ194" s="39">
        <v>1500</v>
      </c>
      <c r="BA194" s="39">
        <v>1500</v>
      </c>
      <c r="BB194" s="39">
        <v>1500</v>
      </c>
      <c r="BC194" s="39">
        <v>1500</v>
      </c>
      <c r="BD194" s="39">
        <v>1500</v>
      </c>
      <c r="BE194" s="39">
        <v>1500</v>
      </c>
      <c r="BF194" s="39">
        <v>1500</v>
      </c>
      <c r="BG194" s="39">
        <v>1500</v>
      </c>
      <c r="BH194" s="39">
        <v>1500</v>
      </c>
      <c r="BI194" s="39">
        <v>1500</v>
      </c>
      <c r="BJ194" s="39">
        <v>1500</v>
      </c>
      <c r="BK194" s="39">
        <v>1500</v>
      </c>
      <c r="BL194" s="39">
        <v>1500</v>
      </c>
      <c r="BM194" s="39">
        <v>1500</v>
      </c>
      <c r="BN194" s="39">
        <v>1500</v>
      </c>
      <c r="BO194" s="39">
        <v>1500</v>
      </c>
      <c r="BP194" s="39">
        <v>1500</v>
      </c>
      <c r="BQ194" s="39">
        <v>1500</v>
      </c>
    </row>
    <row r="195" spans="2:69">
      <c r="B195" s="9" t="s">
        <v>353</v>
      </c>
      <c r="C195" s="9"/>
      <c r="D195" s="9"/>
      <c r="E195" s="9"/>
      <c r="F195" s="9"/>
      <c r="G195" s="9"/>
      <c r="H195" s="9"/>
      <c r="I195" s="9"/>
      <c r="J195" s="42"/>
      <c r="K195" s="42"/>
      <c r="L195" s="42"/>
      <c r="M195" s="42"/>
      <c r="N195" s="42"/>
      <c r="O195" s="42"/>
      <c r="P195" s="42"/>
      <c r="Q195" s="42"/>
      <c r="R195" s="42"/>
      <c r="S195" s="42"/>
      <c r="T195" s="42"/>
      <c r="U195" s="42"/>
      <c r="V195" s="42"/>
      <c r="W195" s="42">
        <v>300</v>
      </c>
      <c r="X195" s="42">
        <v>300</v>
      </c>
      <c r="Y195" s="42">
        <v>300</v>
      </c>
      <c r="Z195" s="42">
        <v>300</v>
      </c>
      <c r="AA195" s="42">
        <v>300</v>
      </c>
      <c r="AB195" s="42">
        <v>300</v>
      </c>
      <c r="AC195" s="42">
        <v>300</v>
      </c>
      <c r="AD195" s="42">
        <v>300</v>
      </c>
      <c r="AE195" s="42">
        <v>300</v>
      </c>
      <c r="AF195" s="42">
        <v>300</v>
      </c>
      <c r="AG195" s="42">
        <v>300</v>
      </c>
      <c r="AH195" s="42">
        <v>300</v>
      </c>
      <c r="AI195" s="42">
        <v>300</v>
      </c>
      <c r="AJ195" s="42">
        <v>300</v>
      </c>
      <c r="AK195" s="42">
        <v>300</v>
      </c>
      <c r="AL195" s="42">
        <v>300</v>
      </c>
      <c r="AM195" s="42">
        <v>300</v>
      </c>
      <c r="AN195" s="42">
        <v>300</v>
      </c>
      <c r="AO195" s="42">
        <v>300</v>
      </c>
      <c r="AP195" s="42">
        <v>300</v>
      </c>
      <c r="AQ195" s="42">
        <v>300</v>
      </c>
      <c r="AR195" s="42">
        <v>300</v>
      </c>
      <c r="AS195" s="42">
        <v>300</v>
      </c>
      <c r="AT195" s="42">
        <v>300</v>
      </c>
      <c r="AU195" s="42">
        <v>300</v>
      </c>
      <c r="AV195" s="42">
        <v>300</v>
      </c>
      <c r="AW195" s="42">
        <v>300</v>
      </c>
      <c r="AX195" s="42">
        <v>300</v>
      </c>
      <c r="AY195" s="42">
        <v>300</v>
      </c>
      <c r="AZ195" s="42">
        <v>300</v>
      </c>
      <c r="BA195" s="42">
        <v>300</v>
      </c>
      <c r="BB195" s="42">
        <v>300</v>
      </c>
      <c r="BC195" s="42">
        <v>300</v>
      </c>
      <c r="BD195" s="42">
        <v>300</v>
      </c>
      <c r="BE195" s="42">
        <v>300</v>
      </c>
      <c r="BF195" s="42">
        <v>300</v>
      </c>
      <c r="BG195" s="42">
        <v>300</v>
      </c>
      <c r="BH195" s="42">
        <v>300</v>
      </c>
      <c r="BI195" s="42">
        <v>300</v>
      </c>
      <c r="BJ195" s="42">
        <v>300</v>
      </c>
      <c r="BK195" s="42">
        <v>300</v>
      </c>
      <c r="BL195" s="42">
        <v>300</v>
      </c>
      <c r="BM195" s="42">
        <v>300</v>
      </c>
      <c r="BN195" s="42">
        <v>300</v>
      </c>
      <c r="BO195" s="42">
        <v>300</v>
      </c>
      <c r="BP195" s="42">
        <v>300</v>
      </c>
      <c r="BQ195" s="42">
        <v>300</v>
      </c>
    </row>
    <row r="196" spans="2:69">
      <c r="B196" s="3" t="s">
        <v>321</v>
      </c>
      <c r="J196" s="39">
        <f t="shared" ref="J196:BE196" si="247">SUM(J194:J195)</f>
        <v>600</v>
      </c>
      <c r="K196" s="39">
        <f t="shared" si="247"/>
        <v>0</v>
      </c>
      <c r="L196" s="39">
        <f t="shared" si="247"/>
        <v>600</v>
      </c>
      <c r="M196" s="39">
        <f t="shared" si="247"/>
        <v>600</v>
      </c>
      <c r="N196" s="39">
        <f t="shared" si="247"/>
        <v>1000</v>
      </c>
      <c r="O196" s="39">
        <f t="shared" si="247"/>
        <v>1000</v>
      </c>
      <c r="P196" s="39">
        <f t="shared" si="247"/>
        <v>1000</v>
      </c>
      <c r="Q196" s="39">
        <f t="shared" si="247"/>
        <v>1000</v>
      </c>
      <c r="R196" s="39">
        <f t="shared" si="247"/>
        <v>1000</v>
      </c>
      <c r="S196" s="39">
        <f t="shared" si="247"/>
        <v>1000</v>
      </c>
      <c r="T196" s="39">
        <f t="shared" si="247"/>
        <v>1000</v>
      </c>
      <c r="U196" s="39">
        <f t="shared" si="247"/>
        <v>1000</v>
      </c>
      <c r="V196" s="39">
        <f t="shared" si="247"/>
        <v>1000</v>
      </c>
      <c r="W196" s="39">
        <f t="shared" si="247"/>
        <v>1300</v>
      </c>
      <c r="X196" s="39">
        <f t="shared" si="247"/>
        <v>1300</v>
      </c>
      <c r="Y196" s="39">
        <f t="shared" si="247"/>
        <v>1300</v>
      </c>
      <c r="Z196" s="39">
        <f t="shared" si="247"/>
        <v>1300</v>
      </c>
      <c r="AA196" s="39">
        <f t="shared" si="247"/>
        <v>1300</v>
      </c>
      <c r="AB196" s="39">
        <f t="shared" si="247"/>
        <v>1300</v>
      </c>
      <c r="AC196" s="39">
        <f t="shared" si="247"/>
        <v>1300</v>
      </c>
      <c r="AD196" s="39">
        <f t="shared" si="247"/>
        <v>1300</v>
      </c>
      <c r="AE196" s="39">
        <f t="shared" si="247"/>
        <v>1300</v>
      </c>
      <c r="AF196" s="39">
        <f t="shared" si="247"/>
        <v>1300</v>
      </c>
      <c r="AG196" s="39">
        <f t="shared" si="247"/>
        <v>1300</v>
      </c>
      <c r="AH196" s="39">
        <f t="shared" si="247"/>
        <v>1300</v>
      </c>
      <c r="AI196" s="39">
        <f t="shared" si="247"/>
        <v>1300</v>
      </c>
      <c r="AJ196" s="39">
        <f t="shared" si="247"/>
        <v>1300</v>
      </c>
      <c r="AK196" s="39">
        <f t="shared" si="247"/>
        <v>1300</v>
      </c>
      <c r="AL196" s="39">
        <f t="shared" si="247"/>
        <v>1300</v>
      </c>
      <c r="AM196" s="39">
        <f t="shared" si="247"/>
        <v>1300</v>
      </c>
      <c r="AN196" s="39">
        <f t="shared" si="247"/>
        <v>1300</v>
      </c>
      <c r="AO196" s="39">
        <f t="shared" si="247"/>
        <v>1300</v>
      </c>
      <c r="AP196" s="39">
        <f t="shared" si="247"/>
        <v>1300</v>
      </c>
      <c r="AQ196" s="39">
        <f t="shared" si="247"/>
        <v>1300</v>
      </c>
      <c r="AR196" s="39">
        <f t="shared" si="247"/>
        <v>1300</v>
      </c>
      <c r="AS196" s="39">
        <f t="shared" si="247"/>
        <v>1300</v>
      </c>
      <c r="AT196" s="39">
        <f t="shared" si="247"/>
        <v>1800</v>
      </c>
      <c r="AU196" s="39">
        <f t="shared" si="247"/>
        <v>1800</v>
      </c>
      <c r="AV196" s="39">
        <f t="shared" si="247"/>
        <v>1800</v>
      </c>
      <c r="AW196" s="39">
        <f t="shared" si="247"/>
        <v>1800</v>
      </c>
      <c r="AX196" s="39">
        <f t="shared" si="247"/>
        <v>1800</v>
      </c>
      <c r="AY196" s="39">
        <f t="shared" si="247"/>
        <v>1800</v>
      </c>
      <c r="AZ196" s="39">
        <f t="shared" si="247"/>
        <v>1800</v>
      </c>
      <c r="BA196" s="39">
        <f t="shared" si="247"/>
        <v>1800</v>
      </c>
      <c r="BB196" s="39">
        <f t="shared" si="247"/>
        <v>1800</v>
      </c>
      <c r="BC196" s="39">
        <f t="shared" si="247"/>
        <v>1800</v>
      </c>
      <c r="BD196" s="39">
        <f t="shared" si="247"/>
        <v>1800</v>
      </c>
      <c r="BE196" s="39">
        <f t="shared" si="247"/>
        <v>1800</v>
      </c>
      <c r="BF196" s="39">
        <f t="shared" ref="BF196:BQ196" si="248">SUM(BF194:BF195)</f>
        <v>1800</v>
      </c>
      <c r="BG196" s="39">
        <f t="shared" si="248"/>
        <v>1800</v>
      </c>
      <c r="BH196" s="39">
        <f t="shared" si="248"/>
        <v>1800</v>
      </c>
      <c r="BI196" s="39">
        <f t="shared" si="248"/>
        <v>1800</v>
      </c>
      <c r="BJ196" s="39">
        <f t="shared" si="248"/>
        <v>1800</v>
      </c>
      <c r="BK196" s="39">
        <f t="shared" si="248"/>
        <v>1800</v>
      </c>
      <c r="BL196" s="39">
        <f t="shared" si="248"/>
        <v>1800</v>
      </c>
      <c r="BM196" s="39">
        <f t="shared" si="248"/>
        <v>1800</v>
      </c>
      <c r="BN196" s="39">
        <f t="shared" si="248"/>
        <v>1800</v>
      </c>
      <c r="BO196" s="39">
        <f t="shared" si="248"/>
        <v>1800</v>
      </c>
      <c r="BP196" s="39">
        <f t="shared" si="248"/>
        <v>1800</v>
      </c>
      <c r="BQ196" s="39">
        <f t="shared" si="248"/>
        <v>1800</v>
      </c>
    </row>
    <row r="197" spans="2:69">
      <c r="J197" s="39"/>
      <c r="K197" s="39"/>
      <c r="L197" s="39"/>
      <c r="M197" s="39"/>
      <c r="N197" s="39"/>
      <c r="O197" s="39"/>
      <c r="P197" s="39"/>
      <c r="Q197" s="39"/>
      <c r="R197" s="39"/>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c r="AX197" s="39"/>
      <c r="AY197" s="39"/>
      <c r="AZ197" s="39"/>
      <c r="BA197" s="39"/>
      <c r="BB197" s="39"/>
      <c r="BC197" s="39"/>
      <c r="BD197" s="39"/>
      <c r="BE197" s="39"/>
      <c r="BF197" s="39"/>
      <c r="BG197" s="39"/>
      <c r="BH197" s="39"/>
      <c r="BI197" s="39"/>
      <c r="BJ197" s="39"/>
      <c r="BK197" s="39"/>
      <c r="BL197" s="39"/>
      <c r="BM197" s="39"/>
      <c r="BN197" s="39"/>
      <c r="BO197" s="39"/>
      <c r="BP197" s="39"/>
      <c r="BQ197" s="39"/>
    </row>
    <row r="198" spans="2:69">
      <c r="J198" s="39"/>
      <c r="K198" s="39"/>
      <c r="L198" s="39"/>
      <c r="M198" s="39"/>
      <c r="N198" s="39"/>
      <c r="O198" s="39"/>
      <c r="P198" s="39"/>
      <c r="Q198" s="39"/>
      <c r="R198" s="39"/>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c r="AX198" s="39"/>
      <c r="AY198" s="39"/>
      <c r="AZ198" s="39"/>
      <c r="BA198" s="39"/>
      <c r="BB198" s="39"/>
      <c r="BC198" s="39"/>
      <c r="BD198" s="39"/>
      <c r="BE198" s="39"/>
      <c r="BF198" s="39"/>
      <c r="BG198" s="39"/>
      <c r="BH198" s="39"/>
      <c r="BI198" s="39"/>
      <c r="BJ198" s="39"/>
      <c r="BK198" s="39"/>
      <c r="BL198" s="39"/>
      <c r="BM198" s="39"/>
      <c r="BN198" s="39"/>
      <c r="BO198" s="39"/>
      <c r="BP198" s="39"/>
      <c r="BQ198" s="39"/>
    </row>
    <row r="199" spans="2:69">
      <c r="B199" s="3" t="s">
        <v>322</v>
      </c>
      <c r="C199" s="3"/>
      <c r="D199" s="3"/>
      <c r="E199" s="3"/>
      <c r="F199" s="3"/>
      <c r="G199" s="3"/>
      <c r="H199" s="3"/>
      <c r="I199" s="3"/>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row>
    <row r="200" spans="2:69">
      <c r="B200" s="4" t="s">
        <v>337</v>
      </c>
      <c r="J200" s="39">
        <v>72</v>
      </c>
      <c r="K200" s="39">
        <v>0</v>
      </c>
      <c r="L200" s="39">
        <v>0</v>
      </c>
      <c r="M200" s="39">
        <v>0</v>
      </c>
      <c r="N200" s="39">
        <v>195</v>
      </c>
      <c r="O200" s="39">
        <v>195</v>
      </c>
      <c r="P200" s="39">
        <v>0</v>
      </c>
      <c r="Q200" s="39">
        <v>0</v>
      </c>
      <c r="R200" s="39">
        <v>195</v>
      </c>
      <c r="S200" s="39">
        <v>195</v>
      </c>
      <c r="T200" s="39">
        <v>1000</v>
      </c>
      <c r="U200" s="39">
        <v>1000</v>
      </c>
      <c r="V200" s="39">
        <v>1000</v>
      </c>
      <c r="W200" s="39">
        <v>1000</v>
      </c>
      <c r="X200" s="39">
        <v>1000</v>
      </c>
      <c r="Y200" s="39">
        <v>1000</v>
      </c>
      <c r="Z200" s="39">
        <v>1000</v>
      </c>
      <c r="AA200" s="39">
        <v>1000</v>
      </c>
      <c r="AB200" s="39">
        <v>1000</v>
      </c>
      <c r="AC200" s="39">
        <v>1000</v>
      </c>
      <c r="AD200" s="39">
        <v>1000</v>
      </c>
      <c r="AE200" s="39">
        <v>1000</v>
      </c>
      <c r="AF200" s="39">
        <v>1000</v>
      </c>
      <c r="AG200" s="39">
        <v>1000</v>
      </c>
      <c r="AH200" s="39">
        <v>1000</v>
      </c>
      <c r="AI200" s="39">
        <v>1000</v>
      </c>
      <c r="AJ200" s="39">
        <v>1000</v>
      </c>
      <c r="AK200" s="39">
        <v>1000</v>
      </c>
      <c r="AL200" s="39">
        <v>1000</v>
      </c>
      <c r="AM200" s="39">
        <v>1000</v>
      </c>
      <c r="AN200" s="39">
        <v>1000</v>
      </c>
      <c r="AO200" s="39">
        <v>1000</v>
      </c>
      <c r="AP200" s="39">
        <v>1000</v>
      </c>
      <c r="AQ200" s="39">
        <v>1000</v>
      </c>
      <c r="AR200" s="39">
        <v>1000</v>
      </c>
      <c r="AS200" s="39">
        <v>1000</v>
      </c>
      <c r="AT200" s="39">
        <v>1500</v>
      </c>
      <c r="AU200" s="39">
        <v>1500</v>
      </c>
      <c r="AV200" s="39">
        <v>1500</v>
      </c>
      <c r="AW200" s="39">
        <v>1500</v>
      </c>
      <c r="AX200" s="39">
        <v>1500</v>
      </c>
      <c r="AY200" s="39">
        <v>1500</v>
      </c>
      <c r="AZ200" s="39">
        <v>1500</v>
      </c>
      <c r="BA200" s="39">
        <v>1500</v>
      </c>
      <c r="BB200" s="39">
        <v>1500</v>
      </c>
      <c r="BC200" s="39">
        <v>1500</v>
      </c>
      <c r="BD200" s="39">
        <v>1500</v>
      </c>
      <c r="BE200" s="39">
        <v>1500</v>
      </c>
      <c r="BF200" s="39">
        <v>2000</v>
      </c>
      <c r="BG200" s="39">
        <v>2000</v>
      </c>
      <c r="BH200" s="39">
        <v>2000</v>
      </c>
      <c r="BI200" s="39">
        <v>2000</v>
      </c>
      <c r="BJ200" s="39">
        <v>2000</v>
      </c>
      <c r="BK200" s="39">
        <v>2000</v>
      </c>
      <c r="BL200" s="39">
        <v>2000</v>
      </c>
      <c r="BM200" s="39">
        <v>2000</v>
      </c>
      <c r="BN200" s="39">
        <v>2000</v>
      </c>
      <c r="BO200" s="39">
        <v>2000</v>
      </c>
      <c r="BP200" s="39">
        <v>2000</v>
      </c>
      <c r="BQ200" s="39">
        <v>2000</v>
      </c>
    </row>
    <row r="201" spans="2:69">
      <c r="B201" s="9"/>
      <c r="C201" s="9"/>
      <c r="D201" s="9"/>
      <c r="E201" s="9"/>
      <c r="F201" s="9"/>
      <c r="G201" s="9"/>
      <c r="H201" s="9"/>
      <c r="I201" s="9"/>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2"/>
      <c r="BH201" s="42"/>
      <c r="BI201" s="42"/>
      <c r="BJ201" s="42"/>
      <c r="BK201" s="42"/>
      <c r="BL201" s="42"/>
      <c r="BM201" s="42"/>
      <c r="BN201" s="42"/>
      <c r="BO201" s="42"/>
      <c r="BP201" s="42"/>
      <c r="BQ201" s="42"/>
    </row>
    <row r="202" spans="2:69">
      <c r="B202" s="3" t="s">
        <v>324</v>
      </c>
      <c r="J202" s="39">
        <f t="shared" ref="J202:BE202" si="249">SUM(J200:J201)</f>
        <v>72</v>
      </c>
      <c r="K202" s="39">
        <f t="shared" si="249"/>
        <v>0</v>
      </c>
      <c r="L202" s="39">
        <f t="shared" si="249"/>
        <v>0</v>
      </c>
      <c r="M202" s="39">
        <f t="shared" si="249"/>
        <v>0</v>
      </c>
      <c r="N202" s="39">
        <f t="shared" si="249"/>
        <v>195</v>
      </c>
      <c r="O202" s="39">
        <f t="shared" si="249"/>
        <v>195</v>
      </c>
      <c r="P202" s="39">
        <f t="shared" si="249"/>
        <v>0</v>
      </c>
      <c r="Q202" s="39">
        <f t="shared" si="249"/>
        <v>0</v>
      </c>
      <c r="R202" s="39">
        <f t="shared" si="249"/>
        <v>195</v>
      </c>
      <c r="S202" s="39">
        <f t="shared" si="249"/>
        <v>195</v>
      </c>
      <c r="T202" s="39">
        <f t="shared" si="249"/>
        <v>1000</v>
      </c>
      <c r="U202" s="39">
        <f t="shared" si="249"/>
        <v>1000</v>
      </c>
      <c r="V202" s="39">
        <f t="shared" si="249"/>
        <v>1000</v>
      </c>
      <c r="W202" s="39">
        <f t="shared" si="249"/>
        <v>1000</v>
      </c>
      <c r="X202" s="39">
        <f t="shared" si="249"/>
        <v>1000</v>
      </c>
      <c r="Y202" s="39">
        <f t="shared" si="249"/>
        <v>1000</v>
      </c>
      <c r="Z202" s="39">
        <f t="shared" si="249"/>
        <v>1000</v>
      </c>
      <c r="AA202" s="39">
        <f t="shared" si="249"/>
        <v>1000</v>
      </c>
      <c r="AB202" s="39">
        <f t="shared" si="249"/>
        <v>1000</v>
      </c>
      <c r="AC202" s="39">
        <f t="shared" si="249"/>
        <v>1000</v>
      </c>
      <c r="AD202" s="39">
        <f t="shared" si="249"/>
        <v>1000</v>
      </c>
      <c r="AE202" s="39">
        <f t="shared" si="249"/>
        <v>1000</v>
      </c>
      <c r="AF202" s="39">
        <f t="shared" si="249"/>
        <v>1000</v>
      </c>
      <c r="AG202" s="39">
        <f t="shared" si="249"/>
        <v>1000</v>
      </c>
      <c r="AH202" s="39">
        <f t="shared" si="249"/>
        <v>1000</v>
      </c>
      <c r="AI202" s="39">
        <f t="shared" si="249"/>
        <v>1000</v>
      </c>
      <c r="AJ202" s="39">
        <f t="shared" si="249"/>
        <v>1000</v>
      </c>
      <c r="AK202" s="39">
        <f t="shared" si="249"/>
        <v>1000</v>
      </c>
      <c r="AL202" s="39">
        <f t="shared" si="249"/>
        <v>1000</v>
      </c>
      <c r="AM202" s="39">
        <f t="shared" si="249"/>
        <v>1000</v>
      </c>
      <c r="AN202" s="39">
        <f t="shared" si="249"/>
        <v>1000</v>
      </c>
      <c r="AO202" s="39">
        <f t="shared" si="249"/>
        <v>1000</v>
      </c>
      <c r="AP202" s="39">
        <f t="shared" si="249"/>
        <v>1000</v>
      </c>
      <c r="AQ202" s="39">
        <f t="shared" si="249"/>
        <v>1000</v>
      </c>
      <c r="AR202" s="39">
        <f t="shared" si="249"/>
        <v>1000</v>
      </c>
      <c r="AS202" s="39">
        <f t="shared" si="249"/>
        <v>1000</v>
      </c>
      <c r="AT202" s="39">
        <f t="shared" si="249"/>
        <v>1500</v>
      </c>
      <c r="AU202" s="39">
        <f t="shared" si="249"/>
        <v>1500</v>
      </c>
      <c r="AV202" s="39">
        <f t="shared" si="249"/>
        <v>1500</v>
      </c>
      <c r="AW202" s="39">
        <f t="shared" si="249"/>
        <v>1500</v>
      </c>
      <c r="AX202" s="39">
        <f t="shared" si="249"/>
        <v>1500</v>
      </c>
      <c r="AY202" s="39">
        <f t="shared" si="249"/>
        <v>1500</v>
      </c>
      <c r="AZ202" s="39">
        <f t="shared" si="249"/>
        <v>1500</v>
      </c>
      <c r="BA202" s="39">
        <f t="shared" si="249"/>
        <v>1500</v>
      </c>
      <c r="BB202" s="39">
        <f t="shared" si="249"/>
        <v>1500</v>
      </c>
      <c r="BC202" s="39">
        <f t="shared" si="249"/>
        <v>1500</v>
      </c>
      <c r="BD202" s="39">
        <f t="shared" si="249"/>
        <v>1500</v>
      </c>
      <c r="BE202" s="39">
        <f t="shared" si="249"/>
        <v>1500</v>
      </c>
      <c r="BF202" s="39">
        <f t="shared" ref="BF202:BQ202" si="250">SUM(BF200:BF201)</f>
        <v>2000</v>
      </c>
      <c r="BG202" s="39">
        <f t="shared" si="250"/>
        <v>2000</v>
      </c>
      <c r="BH202" s="39">
        <f t="shared" si="250"/>
        <v>2000</v>
      </c>
      <c r="BI202" s="39">
        <f t="shared" si="250"/>
        <v>2000</v>
      </c>
      <c r="BJ202" s="39">
        <f t="shared" si="250"/>
        <v>2000</v>
      </c>
      <c r="BK202" s="39">
        <f t="shared" si="250"/>
        <v>2000</v>
      </c>
      <c r="BL202" s="39">
        <f t="shared" si="250"/>
        <v>2000</v>
      </c>
      <c r="BM202" s="39">
        <f t="shared" si="250"/>
        <v>2000</v>
      </c>
      <c r="BN202" s="39">
        <f t="shared" si="250"/>
        <v>2000</v>
      </c>
      <c r="BO202" s="39">
        <f t="shared" si="250"/>
        <v>2000</v>
      </c>
      <c r="BP202" s="39">
        <f t="shared" si="250"/>
        <v>2000</v>
      </c>
      <c r="BQ202" s="39">
        <f t="shared" si="250"/>
        <v>2000</v>
      </c>
    </row>
    <row r="203" spans="2:69">
      <c r="J203" s="39"/>
      <c r="K203" s="39"/>
      <c r="L203" s="39"/>
      <c r="M203" s="39"/>
      <c r="N203" s="39"/>
      <c r="O203" s="39"/>
      <c r="P203" s="39"/>
      <c r="Q203" s="39"/>
      <c r="R203" s="39"/>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c r="AX203" s="39"/>
      <c r="AY203" s="39"/>
      <c r="AZ203" s="39"/>
      <c r="BA203" s="39"/>
      <c r="BB203" s="39"/>
      <c r="BC203" s="39"/>
      <c r="BD203" s="39"/>
      <c r="BE203" s="39"/>
      <c r="BF203" s="39"/>
      <c r="BG203" s="39"/>
      <c r="BH203" s="39"/>
      <c r="BI203" s="39"/>
      <c r="BJ203" s="39"/>
      <c r="BK203" s="39"/>
      <c r="BL203" s="39"/>
      <c r="BM203" s="39"/>
      <c r="BN203" s="39"/>
      <c r="BO203" s="39"/>
      <c r="BP203" s="39"/>
      <c r="BQ203" s="39"/>
    </row>
    <row r="204" spans="2:69">
      <c r="J204" s="39"/>
      <c r="K204" s="39"/>
      <c r="L204" s="39"/>
      <c r="M204" s="39"/>
      <c r="N204" s="39"/>
      <c r="O204" s="39"/>
      <c r="P204" s="39"/>
      <c r="Q204" s="39"/>
      <c r="R204" s="39"/>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c r="AX204" s="39"/>
      <c r="AY204" s="39"/>
      <c r="AZ204" s="39"/>
      <c r="BA204" s="39"/>
      <c r="BB204" s="39"/>
      <c r="BC204" s="39"/>
      <c r="BD204" s="39"/>
      <c r="BE204" s="39"/>
      <c r="BF204" s="39"/>
      <c r="BG204" s="39"/>
      <c r="BH204" s="39"/>
      <c r="BI204" s="39"/>
      <c r="BJ204" s="39"/>
      <c r="BK204" s="39"/>
      <c r="BL204" s="39"/>
      <c r="BM204" s="39"/>
      <c r="BN204" s="39"/>
      <c r="BO204" s="39"/>
      <c r="BP204" s="39"/>
      <c r="BQ204" s="39"/>
    </row>
    <row r="205" spans="2:69">
      <c r="B205" s="3" t="s">
        <v>98</v>
      </c>
      <c r="C205" s="3"/>
      <c r="D205" s="3"/>
      <c r="E205" s="3"/>
      <c r="F205" s="3"/>
      <c r="G205" s="3"/>
      <c r="H205" s="3"/>
      <c r="I205" s="3"/>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row>
    <row r="206" spans="2:69">
      <c r="B206" s="4" t="s">
        <v>354</v>
      </c>
      <c r="J206" s="39"/>
      <c r="K206" s="39"/>
      <c r="L206" s="39"/>
      <c r="M206" s="39"/>
      <c r="N206" s="39"/>
      <c r="O206" s="39"/>
      <c r="P206" s="39"/>
      <c r="Q206" s="39"/>
      <c r="R206" s="39"/>
      <c r="S206" s="39">
        <v>300</v>
      </c>
      <c r="T206" s="39"/>
      <c r="U206" s="39"/>
      <c r="V206" s="39">
        <v>300</v>
      </c>
      <c r="W206" s="39"/>
      <c r="X206" s="39"/>
      <c r="Y206" s="39">
        <v>300</v>
      </c>
      <c r="Z206" s="39"/>
      <c r="AA206" s="39"/>
      <c r="AB206" s="39">
        <v>300</v>
      </c>
      <c r="AC206" s="39"/>
      <c r="AD206" s="39"/>
      <c r="AE206" s="39">
        <v>300</v>
      </c>
      <c r="AF206" s="39"/>
      <c r="AG206" s="39"/>
      <c r="AH206" s="39">
        <v>500</v>
      </c>
      <c r="AI206" s="39"/>
      <c r="AJ206" s="39"/>
      <c r="AK206" s="39">
        <v>500</v>
      </c>
      <c r="AL206" s="39"/>
      <c r="AM206" s="39"/>
      <c r="AN206" s="39">
        <v>500</v>
      </c>
      <c r="AO206" s="39"/>
      <c r="AP206" s="39"/>
      <c r="AQ206" s="39">
        <v>500</v>
      </c>
      <c r="AR206" s="39"/>
      <c r="AS206" s="39"/>
      <c r="AT206" s="39">
        <v>500</v>
      </c>
      <c r="AU206" s="39"/>
      <c r="AV206" s="39"/>
      <c r="AW206" s="39">
        <v>500</v>
      </c>
      <c r="AX206" s="39"/>
      <c r="AY206" s="39"/>
      <c r="AZ206" s="39">
        <v>500</v>
      </c>
      <c r="BA206" s="39"/>
      <c r="BB206" s="39"/>
      <c r="BC206" s="39">
        <v>500</v>
      </c>
      <c r="BD206" s="39"/>
      <c r="BE206" s="39"/>
      <c r="BF206" s="39"/>
      <c r="BG206" s="39"/>
      <c r="BH206" s="39"/>
      <c r="BI206" s="39"/>
      <c r="BJ206" s="39"/>
      <c r="BK206" s="39"/>
      <c r="BL206" s="39"/>
      <c r="BM206" s="39"/>
      <c r="BN206" s="39"/>
      <c r="BO206" s="39"/>
      <c r="BP206" s="39"/>
      <c r="BQ206" s="39"/>
    </row>
    <row r="207" spans="2:69">
      <c r="B207" s="9"/>
      <c r="C207" s="9"/>
      <c r="D207" s="9"/>
      <c r="E207" s="9"/>
      <c r="F207" s="9"/>
      <c r="G207" s="9"/>
      <c r="H207" s="9"/>
      <c r="I207" s="9"/>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2"/>
      <c r="BH207" s="42"/>
      <c r="BI207" s="42"/>
      <c r="BJ207" s="42"/>
      <c r="BK207" s="42"/>
      <c r="BL207" s="42"/>
      <c r="BM207" s="42"/>
      <c r="BN207" s="42"/>
      <c r="BO207" s="42"/>
      <c r="BP207" s="42"/>
      <c r="BQ207" s="42"/>
    </row>
    <row r="208" spans="2:69">
      <c r="B208" s="3" t="s">
        <v>325</v>
      </c>
      <c r="J208" s="39">
        <f t="shared" ref="J208:BE208" si="251">SUM(J206:J207)</f>
        <v>0</v>
      </c>
      <c r="K208" s="39">
        <f t="shared" si="251"/>
        <v>0</v>
      </c>
      <c r="L208" s="39">
        <f t="shared" si="251"/>
        <v>0</v>
      </c>
      <c r="M208" s="39">
        <f t="shared" si="251"/>
        <v>0</v>
      </c>
      <c r="N208" s="39">
        <f t="shared" si="251"/>
        <v>0</v>
      </c>
      <c r="O208" s="39">
        <f t="shared" si="251"/>
        <v>0</v>
      </c>
      <c r="P208" s="39">
        <f t="shared" si="251"/>
        <v>0</v>
      </c>
      <c r="Q208" s="39">
        <f t="shared" si="251"/>
        <v>0</v>
      </c>
      <c r="R208" s="39">
        <f t="shared" si="251"/>
        <v>0</v>
      </c>
      <c r="S208" s="39">
        <f t="shared" si="251"/>
        <v>300</v>
      </c>
      <c r="T208" s="39">
        <f t="shared" si="251"/>
        <v>0</v>
      </c>
      <c r="U208" s="39">
        <f t="shared" si="251"/>
        <v>0</v>
      </c>
      <c r="V208" s="39">
        <f t="shared" si="251"/>
        <v>300</v>
      </c>
      <c r="W208" s="39">
        <f t="shared" si="251"/>
        <v>0</v>
      </c>
      <c r="X208" s="39">
        <f t="shared" si="251"/>
        <v>0</v>
      </c>
      <c r="Y208" s="39">
        <f t="shared" si="251"/>
        <v>300</v>
      </c>
      <c r="Z208" s="39">
        <f t="shared" si="251"/>
        <v>0</v>
      </c>
      <c r="AA208" s="39">
        <f t="shared" si="251"/>
        <v>0</v>
      </c>
      <c r="AB208" s="39">
        <f t="shared" si="251"/>
        <v>300</v>
      </c>
      <c r="AC208" s="39">
        <f t="shared" si="251"/>
        <v>0</v>
      </c>
      <c r="AD208" s="39">
        <f t="shared" si="251"/>
        <v>0</v>
      </c>
      <c r="AE208" s="39">
        <f t="shared" si="251"/>
        <v>300</v>
      </c>
      <c r="AF208" s="39">
        <f t="shared" si="251"/>
        <v>0</v>
      </c>
      <c r="AG208" s="39">
        <f t="shared" si="251"/>
        <v>0</v>
      </c>
      <c r="AH208" s="39">
        <f t="shared" si="251"/>
        <v>500</v>
      </c>
      <c r="AI208" s="39">
        <f t="shared" si="251"/>
        <v>0</v>
      </c>
      <c r="AJ208" s="39">
        <f t="shared" si="251"/>
        <v>0</v>
      </c>
      <c r="AK208" s="39">
        <f t="shared" si="251"/>
        <v>500</v>
      </c>
      <c r="AL208" s="39">
        <f t="shared" si="251"/>
        <v>0</v>
      </c>
      <c r="AM208" s="39">
        <f t="shared" si="251"/>
        <v>0</v>
      </c>
      <c r="AN208" s="39">
        <f t="shared" si="251"/>
        <v>500</v>
      </c>
      <c r="AO208" s="39">
        <f t="shared" si="251"/>
        <v>0</v>
      </c>
      <c r="AP208" s="39">
        <f t="shared" si="251"/>
        <v>0</v>
      </c>
      <c r="AQ208" s="39">
        <f t="shared" si="251"/>
        <v>500</v>
      </c>
      <c r="AR208" s="39">
        <f t="shared" si="251"/>
        <v>0</v>
      </c>
      <c r="AS208" s="39">
        <f t="shared" si="251"/>
        <v>0</v>
      </c>
      <c r="AT208" s="39">
        <f t="shared" si="251"/>
        <v>500</v>
      </c>
      <c r="AU208" s="39">
        <f t="shared" si="251"/>
        <v>0</v>
      </c>
      <c r="AV208" s="39">
        <f t="shared" si="251"/>
        <v>0</v>
      </c>
      <c r="AW208" s="39">
        <f t="shared" si="251"/>
        <v>500</v>
      </c>
      <c r="AX208" s="39">
        <f t="shared" si="251"/>
        <v>0</v>
      </c>
      <c r="AY208" s="39">
        <f t="shared" si="251"/>
        <v>0</v>
      </c>
      <c r="AZ208" s="39">
        <f t="shared" si="251"/>
        <v>500</v>
      </c>
      <c r="BA208" s="39">
        <f t="shared" si="251"/>
        <v>0</v>
      </c>
      <c r="BB208" s="39">
        <f t="shared" si="251"/>
        <v>0</v>
      </c>
      <c r="BC208" s="39">
        <f t="shared" si="251"/>
        <v>500</v>
      </c>
      <c r="BD208" s="39">
        <f t="shared" si="251"/>
        <v>0</v>
      </c>
      <c r="BE208" s="39">
        <f t="shared" si="251"/>
        <v>0</v>
      </c>
      <c r="BF208" s="39">
        <f t="shared" ref="BF208:BQ208" si="252">SUM(BF206:BF207)</f>
        <v>0</v>
      </c>
      <c r="BG208" s="39">
        <f t="shared" si="252"/>
        <v>0</v>
      </c>
      <c r="BH208" s="39">
        <f t="shared" si="252"/>
        <v>0</v>
      </c>
      <c r="BI208" s="39">
        <f t="shared" si="252"/>
        <v>0</v>
      </c>
      <c r="BJ208" s="39">
        <f t="shared" si="252"/>
        <v>0</v>
      </c>
      <c r="BK208" s="39">
        <f t="shared" si="252"/>
        <v>0</v>
      </c>
      <c r="BL208" s="39">
        <f t="shared" si="252"/>
        <v>0</v>
      </c>
      <c r="BM208" s="39">
        <f t="shared" si="252"/>
        <v>0</v>
      </c>
      <c r="BN208" s="39">
        <f t="shared" si="252"/>
        <v>0</v>
      </c>
      <c r="BO208" s="39">
        <f t="shared" si="252"/>
        <v>0</v>
      </c>
      <c r="BP208" s="39">
        <f t="shared" si="252"/>
        <v>0</v>
      </c>
      <c r="BQ208" s="39">
        <f t="shared" si="252"/>
        <v>0</v>
      </c>
    </row>
    <row r="209" spans="2:69">
      <c r="B209" s="3"/>
      <c r="J209" s="39"/>
      <c r="K209" s="39"/>
      <c r="L209" s="39"/>
      <c r="M209" s="39"/>
      <c r="N209" s="39"/>
      <c r="O209" s="39"/>
      <c r="P209" s="39"/>
      <c r="Q209" s="39"/>
      <c r="R209" s="39"/>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c r="AX209" s="39"/>
      <c r="AY209" s="39"/>
      <c r="AZ209" s="39"/>
      <c r="BA209" s="39"/>
      <c r="BB209" s="39"/>
      <c r="BC209" s="39"/>
      <c r="BD209" s="39"/>
      <c r="BE209" s="39"/>
      <c r="BF209" s="39"/>
      <c r="BG209" s="39"/>
      <c r="BH209" s="39"/>
      <c r="BI209" s="39"/>
      <c r="BJ209" s="39"/>
      <c r="BK209" s="39"/>
      <c r="BL209" s="39"/>
      <c r="BM209" s="39"/>
      <c r="BN209" s="39"/>
      <c r="BO209" s="39"/>
      <c r="BP209" s="39"/>
      <c r="BQ209" s="39"/>
    </row>
    <row r="210" spans="2:69">
      <c r="B210" s="3"/>
      <c r="J210" s="39"/>
      <c r="K210" s="39"/>
      <c r="L210" s="39"/>
      <c r="M210" s="39"/>
      <c r="N210" s="39"/>
      <c r="O210" s="39"/>
      <c r="P210" s="39"/>
      <c r="Q210" s="39"/>
      <c r="R210" s="39"/>
      <c r="S210" s="39"/>
      <c r="T210" s="39"/>
      <c r="U210" s="39"/>
      <c r="V210" s="39"/>
      <c r="W210" s="39"/>
      <c r="X210" s="39"/>
      <c r="Y210" s="39"/>
      <c r="Z210" s="39"/>
      <c r="AA210" s="39"/>
      <c r="AB210" s="39"/>
      <c r="AC210" s="39"/>
      <c r="AD210" s="39"/>
      <c r="AE210" s="39"/>
      <c r="AF210" s="39"/>
      <c r="AG210" s="39"/>
      <c r="AH210" s="39"/>
      <c r="AI210" s="39"/>
      <c r="AJ210" s="39"/>
      <c r="AK210" s="39"/>
      <c r="AL210" s="39"/>
      <c r="AM210" s="39"/>
      <c r="AN210" s="39"/>
      <c r="AO210" s="39"/>
      <c r="AP210" s="39"/>
      <c r="AQ210" s="39"/>
      <c r="AR210" s="39"/>
      <c r="AS210" s="39"/>
      <c r="AT210" s="39"/>
      <c r="AU210" s="39"/>
      <c r="AV210" s="39"/>
      <c r="AW210" s="39"/>
      <c r="AX210" s="39"/>
      <c r="AY210" s="39"/>
      <c r="AZ210" s="39"/>
      <c r="BA210" s="39"/>
      <c r="BB210" s="39"/>
      <c r="BC210" s="39"/>
      <c r="BD210" s="39"/>
      <c r="BE210" s="39"/>
      <c r="BF210" s="39"/>
      <c r="BG210" s="39"/>
      <c r="BH210" s="39"/>
      <c r="BI210" s="39"/>
      <c r="BJ210" s="39"/>
      <c r="BK210" s="39"/>
      <c r="BL210" s="39"/>
      <c r="BM210" s="39"/>
      <c r="BN210" s="39"/>
      <c r="BO210" s="39"/>
      <c r="BP210" s="39"/>
      <c r="BQ210" s="39"/>
    </row>
    <row r="211" spans="2:69">
      <c r="B211" s="3" t="s">
        <v>326</v>
      </c>
      <c r="C211" s="3"/>
      <c r="D211" s="3"/>
      <c r="E211" s="3"/>
      <c r="F211" s="3"/>
      <c r="G211" s="3"/>
      <c r="H211" s="3"/>
      <c r="I211" s="3"/>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row>
    <row r="212" spans="2:69">
      <c r="B212" s="4" t="s">
        <v>355</v>
      </c>
      <c r="J212" s="39">
        <v>0</v>
      </c>
      <c r="K212" s="39">
        <v>305</v>
      </c>
      <c r="L212" s="39"/>
      <c r="M212" s="39"/>
      <c r="N212" s="39"/>
      <c r="O212" s="39"/>
      <c r="P212" s="39"/>
      <c r="Q212" s="39"/>
      <c r="R212" s="39"/>
      <c r="S212" s="39"/>
      <c r="T212" s="39">
        <v>200</v>
      </c>
      <c r="U212" s="39">
        <v>200</v>
      </c>
      <c r="V212" s="39">
        <v>200</v>
      </c>
      <c r="W212" s="39">
        <v>200</v>
      </c>
      <c r="X212" s="39">
        <v>200</v>
      </c>
      <c r="Y212" s="39">
        <v>200</v>
      </c>
      <c r="Z212" s="39">
        <v>200</v>
      </c>
      <c r="AA212" s="39">
        <v>200</v>
      </c>
      <c r="AB212" s="39">
        <v>200</v>
      </c>
      <c r="AC212" s="39">
        <v>200</v>
      </c>
      <c r="AD212" s="39">
        <v>200</v>
      </c>
      <c r="AE212" s="39">
        <v>200</v>
      </c>
      <c r="AF212" s="39">
        <v>200</v>
      </c>
      <c r="AG212" s="39">
        <v>200</v>
      </c>
      <c r="AH212" s="39">
        <v>200</v>
      </c>
      <c r="AI212" s="39">
        <v>200</v>
      </c>
      <c r="AJ212" s="39">
        <v>200</v>
      </c>
      <c r="AK212" s="39">
        <v>200</v>
      </c>
      <c r="AL212" s="39">
        <v>200</v>
      </c>
      <c r="AM212" s="39">
        <v>200</v>
      </c>
      <c r="AN212" s="39">
        <v>200</v>
      </c>
      <c r="AO212" s="39">
        <v>200</v>
      </c>
      <c r="AP212" s="39">
        <v>200</v>
      </c>
      <c r="AQ212" s="39">
        <v>200</v>
      </c>
      <c r="AR212" s="39">
        <v>200</v>
      </c>
      <c r="AS212" s="39">
        <v>200</v>
      </c>
      <c r="AT212" s="39">
        <v>500</v>
      </c>
      <c r="AU212" s="39">
        <v>500</v>
      </c>
      <c r="AV212" s="39">
        <v>500</v>
      </c>
      <c r="AW212" s="39">
        <v>500</v>
      </c>
      <c r="AX212" s="39">
        <v>500</v>
      </c>
      <c r="AY212" s="39">
        <v>500</v>
      </c>
      <c r="AZ212" s="39">
        <v>500</v>
      </c>
      <c r="BA212" s="39">
        <v>500</v>
      </c>
      <c r="BB212" s="39">
        <v>500</v>
      </c>
      <c r="BC212" s="39">
        <v>500</v>
      </c>
      <c r="BD212" s="39">
        <v>500</v>
      </c>
      <c r="BE212" s="39">
        <v>500</v>
      </c>
      <c r="BF212" s="39">
        <v>1000</v>
      </c>
      <c r="BG212" s="39">
        <v>1000</v>
      </c>
      <c r="BH212" s="39">
        <v>1000</v>
      </c>
      <c r="BI212" s="39">
        <v>1000</v>
      </c>
      <c r="BJ212" s="39">
        <v>1000</v>
      </c>
      <c r="BK212" s="39">
        <v>1000</v>
      </c>
      <c r="BL212" s="39">
        <v>1000</v>
      </c>
      <c r="BM212" s="39">
        <v>1000</v>
      </c>
      <c r="BN212" s="39">
        <v>1000</v>
      </c>
      <c r="BO212" s="39">
        <v>1000</v>
      </c>
      <c r="BP212" s="39">
        <v>1000</v>
      </c>
      <c r="BQ212" s="39">
        <v>1000</v>
      </c>
    </row>
    <row r="213" spans="2:69">
      <c r="B213" s="9"/>
      <c r="C213" s="9"/>
      <c r="D213" s="9"/>
      <c r="E213" s="9"/>
      <c r="F213" s="9"/>
      <c r="G213" s="9"/>
      <c r="H213" s="9"/>
      <c r="I213" s="9"/>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2"/>
      <c r="BH213" s="42"/>
      <c r="BI213" s="42"/>
      <c r="BJ213" s="42"/>
      <c r="BK213" s="42"/>
      <c r="BL213" s="42"/>
      <c r="BM213" s="42"/>
      <c r="BN213" s="42"/>
      <c r="BO213" s="42"/>
      <c r="BP213" s="42"/>
      <c r="BQ213" s="42"/>
    </row>
    <row r="214" spans="2:69">
      <c r="B214" s="3" t="s">
        <v>327</v>
      </c>
      <c r="J214" s="39">
        <f t="shared" ref="J214:BE214" si="253">SUM(J212:J213)</f>
        <v>0</v>
      </c>
      <c r="K214" s="39">
        <f t="shared" si="253"/>
        <v>305</v>
      </c>
      <c r="L214" s="39">
        <f t="shared" si="253"/>
        <v>0</v>
      </c>
      <c r="M214" s="39">
        <f t="shared" si="253"/>
        <v>0</v>
      </c>
      <c r="N214" s="39">
        <f t="shared" si="253"/>
        <v>0</v>
      </c>
      <c r="O214" s="39">
        <f t="shared" si="253"/>
        <v>0</v>
      </c>
      <c r="P214" s="39">
        <f t="shared" si="253"/>
        <v>0</v>
      </c>
      <c r="Q214" s="39">
        <f t="shared" si="253"/>
        <v>0</v>
      </c>
      <c r="R214" s="39">
        <f t="shared" si="253"/>
        <v>0</v>
      </c>
      <c r="S214" s="39">
        <f t="shared" si="253"/>
        <v>0</v>
      </c>
      <c r="T214" s="39">
        <f t="shared" si="253"/>
        <v>200</v>
      </c>
      <c r="U214" s="39">
        <f t="shared" si="253"/>
        <v>200</v>
      </c>
      <c r="V214" s="39">
        <f t="shared" si="253"/>
        <v>200</v>
      </c>
      <c r="W214" s="39">
        <f t="shared" si="253"/>
        <v>200</v>
      </c>
      <c r="X214" s="39">
        <f t="shared" si="253"/>
        <v>200</v>
      </c>
      <c r="Y214" s="39">
        <f t="shared" si="253"/>
        <v>200</v>
      </c>
      <c r="Z214" s="39">
        <f t="shared" si="253"/>
        <v>200</v>
      </c>
      <c r="AA214" s="39">
        <f t="shared" si="253"/>
        <v>200</v>
      </c>
      <c r="AB214" s="39">
        <f t="shared" si="253"/>
        <v>200</v>
      </c>
      <c r="AC214" s="39">
        <f t="shared" si="253"/>
        <v>200</v>
      </c>
      <c r="AD214" s="39">
        <f t="shared" si="253"/>
        <v>200</v>
      </c>
      <c r="AE214" s="39">
        <f t="shared" si="253"/>
        <v>200</v>
      </c>
      <c r="AF214" s="39">
        <f t="shared" si="253"/>
        <v>200</v>
      </c>
      <c r="AG214" s="39">
        <f t="shared" si="253"/>
        <v>200</v>
      </c>
      <c r="AH214" s="39">
        <f t="shared" si="253"/>
        <v>200</v>
      </c>
      <c r="AI214" s="39">
        <f t="shared" si="253"/>
        <v>200</v>
      </c>
      <c r="AJ214" s="39">
        <f t="shared" si="253"/>
        <v>200</v>
      </c>
      <c r="AK214" s="39">
        <f t="shared" si="253"/>
        <v>200</v>
      </c>
      <c r="AL214" s="39">
        <f t="shared" si="253"/>
        <v>200</v>
      </c>
      <c r="AM214" s="39">
        <f t="shared" si="253"/>
        <v>200</v>
      </c>
      <c r="AN214" s="39">
        <f t="shared" si="253"/>
        <v>200</v>
      </c>
      <c r="AO214" s="39">
        <f t="shared" si="253"/>
        <v>200</v>
      </c>
      <c r="AP214" s="39">
        <f t="shared" si="253"/>
        <v>200</v>
      </c>
      <c r="AQ214" s="39">
        <f t="shared" si="253"/>
        <v>200</v>
      </c>
      <c r="AR214" s="39">
        <f t="shared" si="253"/>
        <v>200</v>
      </c>
      <c r="AS214" s="39">
        <f t="shared" si="253"/>
        <v>200</v>
      </c>
      <c r="AT214" s="39">
        <f t="shared" si="253"/>
        <v>500</v>
      </c>
      <c r="AU214" s="39">
        <f t="shared" si="253"/>
        <v>500</v>
      </c>
      <c r="AV214" s="39">
        <f t="shared" si="253"/>
        <v>500</v>
      </c>
      <c r="AW214" s="39">
        <f t="shared" si="253"/>
        <v>500</v>
      </c>
      <c r="AX214" s="39">
        <f t="shared" si="253"/>
        <v>500</v>
      </c>
      <c r="AY214" s="39">
        <f t="shared" si="253"/>
        <v>500</v>
      </c>
      <c r="AZ214" s="39">
        <f t="shared" si="253"/>
        <v>500</v>
      </c>
      <c r="BA214" s="39">
        <f t="shared" si="253"/>
        <v>500</v>
      </c>
      <c r="BB214" s="39">
        <f t="shared" si="253"/>
        <v>500</v>
      </c>
      <c r="BC214" s="39">
        <f t="shared" si="253"/>
        <v>500</v>
      </c>
      <c r="BD214" s="39">
        <f t="shared" si="253"/>
        <v>500</v>
      </c>
      <c r="BE214" s="39">
        <f t="shared" si="253"/>
        <v>500</v>
      </c>
      <c r="BF214" s="39">
        <f t="shared" ref="BF214:BQ214" si="254">SUM(BF212:BF213)</f>
        <v>1000</v>
      </c>
      <c r="BG214" s="39">
        <f t="shared" si="254"/>
        <v>1000</v>
      </c>
      <c r="BH214" s="39">
        <f t="shared" si="254"/>
        <v>1000</v>
      </c>
      <c r="BI214" s="39">
        <f t="shared" si="254"/>
        <v>1000</v>
      </c>
      <c r="BJ214" s="39">
        <f t="shared" si="254"/>
        <v>1000</v>
      </c>
      <c r="BK214" s="39">
        <f t="shared" si="254"/>
        <v>1000</v>
      </c>
      <c r="BL214" s="39">
        <f t="shared" si="254"/>
        <v>1000</v>
      </c>
      <c r="BM214" s="39">
        <f t="shared" si="254"/>
        <v>1000</v>
      </c>
      <c r="BN214" s="39">
        <f t="shared" si="254"/>
        <v>1000</v>
      </c>
      <c r="BO214" s="39">
        <f t="shared" si="254"/>
        <v>1000</v>
      </c>
      <c r="BP214" s="39">
        <f t="shared" si="254"/>
        <v>1000</v>
      </c>
      <c r="BQ214" s="39">
        <f t="shared" si="254"/>
        <v>1000</v>
      </c>
    </row>
    <row r="215" spans="2:69">
      <c r="B215" s="3"/>
      <c r="J215" s="39"/>
      <c r="K215" s="39"/>
      <c r="L215" s="39"/>
      <c r="M215" s="39"/>
      <c r="N215" s="39"/>
      <c r="O215" s="39"/>
      <c r="P215" s="39"/>
      <c r="Q215" s="39"/>
      <c r="R215" s="39"/>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c r="AX215" s="39"/>
      <c r="AY215" s="39"/>
      <c r="AZ215" s="39"/>
      <c r="BA215" s="39"/>
      <c r="BB215" s="39"/>
      <c r="BC215" s="39"/>
      <c r="BD215" s="39"/>
      <c r="BE215" s="39"/>
      <c r="BF215" s="39"/>
      <c r="BG215" s="39"/>
      <c r="BH215" s="39"/>
      <c r="BI215" s="39"/>
      <c r="BJ215" s="39"/>
      <c r="BK215" s="39"/>
      <c r="BL215" s="39"/>
      <c r="BM215" s="39"/>
      <c r="BN215" s="39"/>
      <c r="BO215" s="39"/>
      <c r="BP215" s="39"/>
      <c r="BQ215" s="39"/>
    </row>
    <row r="216" spans="2:69">
      <c r="B216" s="3"/>
      <c r="J216" s="39"/>
      <c r="K216" s="39"/>
      <c r="L216" s="39"/>
      <c r="M216" s="39"/>
      <c r="N216" s="39"/>
      <c r="O216" s="39"/>
      <c r="P216" s="39"/>
      <c r="Q216" s="39"/>
      <c r="R216" s="39"/>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c r="AX216" s="39"/>
      <c r="AY216" s="39"/>
      <c r="AZ216" s="39"/>
      <c r="BA216" s="39"/>
      <c r="BB216" s="39"/>
      <c r="BC216" s="39"/>
      <c r="BD216" s="39"/>
      <c r="BE216" s="39"/>
      <c r="BF216" s="39"/>
      <c r="BG216" s="39"/>
      <c r="BH216" s="39"/>
      <c r="BI216" s="39"/>
      <c r="BJ216" s="39"/>
      <c r="BK216" s="39"/>
      <c r="BL216" s="39"/>
      <c r="BM216" s="39"/>
      <c r="BN216" s="39"/>
      <c r="BO216" s="39"/>
      <c r="BP216" s="39"/>
      <c r="BQ216" s="39"/>
    </row>
    <row r="217" spans="2:69">
      <c r="B217" s="3" t="s">
        <v>328</v>
      </c>
      <c r="C217" s="3"/>
      <c r="D217" s="3"/>
      <c r="E217" s="3"/>
      <c r="F217" s="3"/>
      <c r="G217" s="3"/>
      <c r="H217" s="3"/>
      <c r="I217" s="3"/>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row>
    <row r="218" spans="2:69">
      <c r="B218" s="4" t="s">
        <v>328</v>
      </c>
      <c r="J218" s="39"/>
      <c r="K218" s="39"/>
      <c r="L218" s="39"/>
      <c r="M218" s="39"/>
      <c r="N218" s="39"/>
      <c r="O218" s="39"/>
      <c r="P218" s="39">
        <v>0</v>
      </c>
      <c r="Q218" s="39">
        <v>0</v>
      </c>
      <c r="R218" s="39">
        <v>10700</v>
      </c>
      <c r="S218" s="39">
        <v>26400</v>
      </c>
      <c r="T218" s="39">
        <v>5833</v>
      </c>
      <c r="U218" s="39">
        <v>5833</v>
      </c>
      <c r="V218" s="39">
        <v>5833</v>
      </c>
      <c r="W218" s="39">
        <v>5833</v>
      </c>
      <c r="X218" s="39">
        <v>5833</v>
      </c>
      <c r="Y218" s="39">
        <v>5833</v>
      </c>
      <c r="Z218" s="39">
        <v>5833</v>
      </c>
      <c r="AA218" s="39">
        <v>5833</v>
      </c>
      <c r="AB218" s="39">
        <v>5833</v>
      </c>
      <c r="AC218" s="39">
        <v>5833</v>
      </c>
      <c r="AD218" s="39">
        <v>5833</v>
      </c>
      <c r="AE218" s="39">
        <v>5833</v>
      </c>
      <c r="AF218" s="39">
        <v>5833</v>
      </c>
      <c r="AG218" s="39">
        <v>5833</v>
      </c>
      <c r="AH218" s="39">
        <v>5833</v>
      </c>
      <c r="AI218" s="39">
        <v>5833</v>
      </c>
      <c r="AJ218" s="39">
        <v>5833</v>
      </c>
      <c r="AK218" s="39">
        <v>5833</v>
      </c>
      <c r="AL218" s="39">
        <v>5833</v>
      </c>
      <c r="AM218" s="39">
        <v>5833</v>
      </c>
      <c r="AN218" s="39">
        <v>5833</v>
      </c>
      <c r="AO218" s="39">
        <v>5833</v>
      </c>
      <c r="AP218" s="39">
        <v>5833</v>
      </c>
      <c r="AQ218" s="39">
        <v>5833</v>
      </c>
      <c r="AR218" s="39">
        <v>5833</v>
      </c>
      <c r="AS218" s="39">
        <v>5833</v>
      </c>
      <c r="AT218" s="39">
        <v>5833</v>
      </c>
      <c r="AU218" s="39">
        <v>5833</v>
      </c>
      <c r="AV218" s="39">
        <v>5833</v>
      </c>
      <c r="AW218" s="39">
        <v>5833</v>
      </c>
      <c r="AX218" s="39">
        <v>5833</v>
      </c>
      <c r="AY218" s="39">
        <v>5833</v>
      </c>
      <c r="AZ218" s="39">
        <v>5833</v>
      </c>
      <c r="BA218" s="39">
        <v>5833</v>
      </c>
      <c r="BB218" s="39">
        <v>5833</v>
      </c>
      <c r="BC218" s="39">
        <v>5833</v>
      </c>
      <c r="BD218" s="39">
        <v>5833</v>
      </c>
      <c r="BE218" s="39">
        <v>5833</v>
      </c>
      <c r="BF218" s="39">
        <v>7000</v>
      </c>
      <c r="BG218" s="39">
        <v>7000</v>
      </c>
      <c r="BH218" s="39">
        <v>7000</v>
      </c>
      <c r="BI218" s="39">
        <v>7000</v>
      </c>
      <c r="BJ218" s="39">
        <v>7000</v>
      </c>
      <c r="BK218" s="39">
        <v>7000</v>
      </c>
      <c r="BL218" s="39">
        <v>7000</v>
      </c>
      <c r="BM218" s="39">
        <v>7000</v>
      </c>
      <c r="BN218" s="39">
        <v>7000</v>
      </c>
      <c r="BO218" s="39">
        <v>7000</v>
      </c>
      <c r="BP218" s="39">
        <v>7000</v>
      </c>
      <c r="BQ218" s="39">
        <v>7000</v>
      </c>
    </row>
    <row r="219" spans="2:69">
      <c r="B219" s="9"/>
      <c r="C219" s="9"/>
      <c r="D219" s="9"/>
      <c r="E219" s="9"/>
      <c r="F219" s="9"/>
      <c r="G219" s="9"/>
      <c r="H219" s="9"/>
      <c r="I219" s="9"/>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row>
    <row r="220" spans="2:69">
      <c r="B220" s="3" t="s">
        <v>329</v>
      </c>
      <c r="J220" s="39">
        <f t="shared" ref="J220:BE220" si="255">SUM(J218:J219)</f>
        <v>0</v>
      </c>
      <c r="K220" s="39">
        <f t="shared" si="255"/>
        <v>0</v>
      </c>
      <c r="L220" s="39">
        <f t="shared" si="255"/>
        <v>0</v>
      </c>
      <c r="M220" s="39">
        <f t="shared" si="255"/>
        <v>0</v>
      </c>
      <c r="N220" s="39">
        <f t="shared" si="255"/>
        <v>0</v>
      </c>
      <c r="O220" s="39">
        <f t="shared" si="255"/>
        <v>0</v>
      </c>
      <c r="P220" s="39">
        <f t="shared" si="255"/>
        <v>0</v>
      </c>
      <c r="Q220" s="39">
        <f t="shared" si="255"/>
        <v>0</v>
      </c>
      <c r="R220" s="39">
        <f t="shared" si="255"/>
        <v>10700</v>
      </c>
      <c r="S220" s="39">
        <f t="shared" si="255"/>
        <v>26400</v>
      </c>
      <c r="T220" s="39">
        <f>SUM(T218:T219)</f>
        <v>5833</v>
      </c>
      <c r="U220" s="39">
        <f t="shared" si="255"/>
        <v>5833</v>
      </c>
      <c r="V220" s="39">
        <f t="shared" si="255"/>
        <v>5833</v>
      </c>
      <c r="W220" s="39">
        <f t="shared" si="255"/>
        <v>5833</v>
      </c>
      <c r="X220" s="39">
        <f t="shared" si="255"/>
        <v>5833</v>
      </c>
      <c r="Y220" s="39">
        <f t="shared" si="255"/>
        <v>5833</v>
      </c>
      <c r="Z220" s="39">
        <f t="shared" si="255"/>
        <v>5833</v>
      </c>
      <c r="AA220" s="39">
        <f t="shared" si="255"/>
        <v>5833</v>
      </c>
      <c r="AB220" s="39">
        <f t="shared" si="255"/>
        <v>5833</v>
      </c>
      <c r="AC220" s="39">
        <f t="shared" si="255"/>
        <v>5833</v>
      </c>
      <c r="AD220" s="39">
        <f t="shared" si="255"/>
        <v>5833</v>
      </c>
      <c r="AE220" s="39">
        <f t="shared" si="255"/>
        <v>5833</v>
      </c>
      <c r="AF220" s="39">
        <f t="shared" si="255"/>
        <v>5833</v>
      </c>
      <c r="AG220" s="39">
        <f t="shared" si="255"/>
        <v>5833</v>
      </c>
      <c r="AH220" s="39">
        <f t="shared" si="255"/>
        <v>5833</v>
      </c>
      <c r="AI220" s="39">
        <f t="shared" si="255"/>
        <v>5833</v>
      </c>
      <c r="AJ220" s="39">
        <f t="shared" si="255"/>
        <v>5833</v>
      </c>
      <c r="AK220" s="39">
        <f t="shared" si="255"/>
        <v>5833</v>
      </c>
      <c r="AL220" s="39">
        <f t="shared" si="255"/>
        <v>5833</v>
      </c>
      <c r="AM220" s="39">
        <f t="shared" si="255"/>
        <v>5833</v>
      </c>
      <c r="AN220" s="39">
        <f t="shared" si="255"/>
        <v>5833</v>
      </c>
      <c r="AO220" s="39">
        <f t="shared" si="255"/>
        <v>5833</v>
      </c>
      <c r="AP220" s="39">
        <f t="shared" si="255"/>
        <v>5833</v>
      </c>
      <c r="AQ220" s="39">
        <f t="shared" si="255"/>
        <v>5833</v>
      </c>
      <c r="AR220" s="39">
        <f t="shared" si="255"/>
        <v>5833</v>
      </c>
      <c r="AS220" s="39">
        <f t="shared" si="255"/>
        <v>5833</v>
      </c>
      <c r="AT220" s="39">
        <f t="shared" si="255"/>
        <v>5833</v>
      </c>
      <c r="AU220" s="39">
        <f t="shared" si="255"/>
        <v>5833</v>
      </c>
      <c r="AV220" s="39">
        <f t="shared" si="255"/>
        <v>5833</v>
      </c>
      <c r="AW220" s="39">
        <f t="shared" si="255"/>
        <v>5833</v>
      </c>
      <c r="AX220" s="39">
        <f t="shared" si="255"/>
        <v>5833</v>
      </c>
      <c r="AY220" s="39">
        <f t="shared" si="255"/>
        <v>5833</v>
      </c>
      <c r="AZ220" s="39">
        <f t="shared" si="255"/>
        <v>5833</v>
      </c>
      <c r="BA220" s="39">
        <f t="shared" si="255"/>
        <v>5833</v>
      </c>
      <c r="BB220" s="39">
        <f t="shared" si="255"/>
        <v>5833</v>
      </c>
      <c r="BC220" s="39">
        <f t="shared" si="255"/>
        <v>5833</v>
      </c>
      <c r="BD220" s="39">
        <f t="shared" si="255"/>
        <v>5833</v>
      </c>
      <c r="BE220" s="39">
        <f t="shared" si="255"/>
        <v>5833</v>
      </c>
      <c r="BF220" s="39">
        <f t="shared" ref="BF220:BQ220" si="256">SUM(BF218:BF219)</f>
        <v>7000</v>
      </c>
      <c r="BG220" s="39">
        <f t="shared" si="256"/>
        <v>7000</v>
      </c>
      <c r="BH220" s="39">
        <f t="shared" si="256"/>
        <v>7000</v>
      </c>
      <c r="BI220" s="39">
        <f t="shared" si="256"/>
        <v>7000</v>
      </c>
      <c r="BJ220" s="39">
        <f t="shared" si="256"/>
        <v>7000</v>
      </c>
      <c r="BK220" s="39">
        <f t="shared" si="256"/>
        <v>7000</v>
      </c>
      <c r="BL220" s="39">
        <f t="shared" si="256"/>
        <v>7000</v>
      </c>
      <c r="BM220" s="39">
        <f t="shared" si="256"/>
        <v>7000</v>
      </c>
      <c r="BN220" s="39">
        <f t="shared" si="256"/>
        <v>7000</v>
      </c>
      <c r="BO220" s="39">
        <f t="shared" si="256"/>
        <v>7000</v>
      </c>
      <c r="BP220" s="39">
        <f t="shared" si="256"/>
        <v>7000</v>
      </c>
      <c r="BQ220" s="39">
        <f t="shared" si="256"/>
        <v>7000</v>
      </c>
    </row>
    <row r="221" spans="2:69">
      <c r="B221" s="3"/>
      <c r="J221" s="39"/>
      <c r="K221" s="39"/>
      <c r="L221" s="39"/>
      <c r="M221" s="39"/>
      <c r="N221" s="39"/>
      <c r="O221" s="39"/>
      <c r="P221" s="39"/>
      <c r="Q221" s="39"/>
      <c r="R221" s="39"/>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c r="AX221" s="39"/>
      <c r="AY221" s="39"/>
      <c r="AZ221" s="39"/>
      <c r="BA221" s="39"/>
      <c r="BB221" s="39"/>
      <c r="BC221" s="39"/>
      <c r="BD221" s="39"/>
      <c r="BE221" s="39"/>
      <c r="BF221" s="39"/>
      <c r="BG221" s="39"/>
      <c r="BH221" s="39"/>
      <c r="BI221" s="39"/>
      <c r="BJ221" s="39"/>
      <c r="BK221" s="39"/>
      <c r="BL221" s="39"/>
      <c r="BM221" s="39"/>
      <c r="BN221" s="39"/>
      <c r="BO221" s="39"/>
      <c r="BP221" s="39"/>
      <c r="BQ221" s="39"/>
    </row>
    <row r="222" spans="2:69">
      <c r="B222" s="3"/>
      <c r="J222" s="39"/>
      <c r="K222" s="39"/>
      <c r="L222" s="39"/>
      <c r="M222" s="39"/>
      <c r="N222" s="39"/>
      <c r="O222" s="39"/>
      <c r="P222" s="39"/>
      <c r="Q222" s="39"/>
      <c r="R222" s="39"/>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c r="AX222" s="39"/>
      <c r="AY222" s="39"/>
      <c r="AZ222" s="39"/>
      <c r="BA222" s="39"/>
      <c r="BB222" s="39"/>
      <c r="BC222" s="39"/>
      <c r="BD222" s="39"/>
      <c r="BE222" s="39"/>
      <c r="BF222" s="39"/>
      <c r="BG222" s="39"/>
      <c r="BH222" s="39"/>
      <c r="BI222" s="39"/>
      <c r="BJ222" s="39"/>
      <c r="BK222" s="39"/>
      <c r="BL222" s="39"/>
      <c r="BM222" s="39"/>
      <c r="BN222" s="39"/>
      <c r="BO222" s="39"/>
      <c r="BP222" s="39"/>
      <c r="BQ222" s="39"/>
    </row>
    <row r="223" spans="2:69">
      <c r="B223" s="3" t="s">
        <v>101</v>
      </c>
      <c r="C223" s="3"/>
      <c r="D223" s="3"/>
      <c r="E223" s="3"/>
      <c r="F223" s="3"/>
      <c r="G223" s="3"/>
      <c r="H223" s="3"/>
      <c r="I223" s="3"/>
      <c r="J223" s="54"/>
      <c r="K223" s="54"/>
      <c r="L223" s="54"/>
      <c r="M223" s="54"/>
      <c r="N223" s="54"/>
      <c r="O223" s="54"/>
      <c r="P223" s="54"/>
      <c r="Q223" s="54"/>
      <c r="R223" s="54"/>
      <c r="S223" s="54"/>
      <c r="T223" s="54"/>
      <c r="U223" s="54"/>
      <c r="V223" s="54"/>
      <c r="W223" s="54"/>
      <c r="X223" s="54"/>
      <c r="Y223" s="54"/>
      <c r="Z223" s="54"/>
      <c r="AA223" s="54"/>
      <c r="AB223" s="54"/>
      <c r="AC223" s="54"/>
      <c r="AD223" s="54"/>
      <c r="AE223" s="54"/>
      <c r="AF223" s="54"/>
      <c r="AG223" s="54"/>
      <c r="AH223" s="54"/>
      <c r="AI223" s="54"/>
      <c r="AJ223" s="54"/>
      <c r="AK223" s="54"/>
      <c r="AL223" s="54"/>
      <c r="AM223" s="54"/>
      <c r="AN223" s="54"/>
      <c r="AO223" s="54"/>
      <c r="AP223" s="54"/>
      <c r="AQ223" s="54"/>
      <c r="AR223" s="54"/>
      <c r="AS223" s="54"/>
      <c r="AT223" s="54"/>
      <c r="AU223" s="54"/>
      <c r="AV223" s="54"/>
      <c r="AW223" s="54"/>
      <c r="AX223" s="54"/>
      <c r="AY223" s="54"/>
      <c r="AZ223" s="54"/>
      <c r="BA223" s="54"/>
      <c r="BB223" s="54"/>
      <c r="BC223" s="54"/>
      <c r="BD223" s="54"/>
      <c r="BE223" s="54"/>
      <c r="BF223" s="54"/>
      <c r="BG223" s="54"/>
      <c r="BH223" s="54"/>
      <c r="BI223" s="54"/>
      <c r="BJ223" s="54"/>
      <c r="BK223" s="54"/>
      <c r="BL223" s="54"/>
      <c r="BM223" s="54"/>
      <c r="BN223" s="54"/>
      <c r="BO223" s="54"/>
      <c r="BP223" s="54"/>
      <c r="BQ223" s="54"/>
    </row>
    <row r="224" spans="2:69">
      <c r="B224" s="4" t="s">
        <v>356</v>
      </c>
      <c r="J224" s="39"/>
      <c r="K224" s="39"/>
      <c r="L224" s="39"/>
      <c r="M224" s="39"/>
      <c r="N224" s="39"/>
      <c r="O224" s="39"/>
      <c r="P224" s="39"/>
      <c r="Q224" s="39"/>
      <c r="R224" s="39"/>
      <c r="S224" s="39"/>
      <c r="T224" s="39">
        <v>250</v>
      </c>
      <c r="U224" s="39">
        <v>250</v>
      </c>
      <c r="V224" s="39">
        <v>250</v>
      </c>
      <c r="W224" s="39">
        <v>250</v>
      </c>
      <c r="X224" s="39">
        <v>250</v>
      </c>
      <c r="Y224" s="39">
        <v>250</v>
      </c>
      <c r="Z224" s="39">
        <v>250</v>
      </c>
      <c r="AA224" s="39">
        <v>250</v>
      </c>
      <c r="AB224" s="39">
        <v>250</v>
      </c>
      <c r="AC224" s="39">
        <v>250</v>
      </c>
      <c r="AD224" s="39">
        <v>250</v>
      </c>
      <c r="AE224" s="39">
        <v>250</v>
      </c>
      <c r="AF224" s="39">
        <v>250</v>
      </c>
      <c r="AG224" s="39">
        <v>250</v>
      </c>
      <c r="AH224" s="39">
        <v>500</v>
      </c>
      <c r="AI224" s="39">
        <v>500</v>
      </c>
      <c r="AJ224" s="39">
        <v>500</v>
      </c>
      <c r="AK224" s="39">
        <v>500</v>
      </c>
      <c r="AL224" s="39">
        <v>500</v>
      </c>
      <c r="AM224" s="39">
        <v>500</v>
      </c>
      <c r="AN224" s="39">
        <v>500</v>
      </c>
      <c r="AO224" s="39">
        <v>500</v>
      </c>
      <c r="AP224" s="39">
        <v>500</v>
      </c>
      <c r="AQ224" s="39">
        <v>500</v>
      </c>
      <c r="AR224" s="39">
        <v>500</v>
      </c>
      <c r="AS224" s="39">
        <v>500</v>
      </c>
      <c r="AT224" s="39">
        <v>1000</v>
      </c>
      <c r="AU224" s="39">
        <v>1000</v>
      </c>
      <c r="AV224" s="39">
        <v>1000</v>
      </c>
      <c r="AW224" s="39">
        <v>1000</v>
      </c>
      <c r="AX224" s="39">
        <v>1000</v>
      </c>
      <c r="AY224" s="39">
        <v>1000</v>
      </c>
      <c r="AZ224" s="39">
        <v>1000</v>
      </c>
      <c r="BA224" s="39">
        <v>1000</v>
      </c>
      <c r="BB224" s="39">
        <v>1000</v>
      </c>
      <c r="BC224" s="39">
        <v>1000</v>
      </c>
      <c r="BD224" s="39">
        <v>1000</v>
      </c>
      <c r="BE224" s="39">
        <v>1000</v>
      </c>
      <c r="BF224" s="39">
        <v>1500</v>
      </c>
      <c r="BG224" s="39">
        <v>1500</v>
      </c>
      <c r="BH224" s="39">
        <v>1500</v>
      </c>
      <c r="BI224" s="39">
        <v>1500</v>
      </c>
      <c r="BJ224" s="39">
        <v>1500</v>
      </c>
      <c r="BK224" s="39">
        <v>1500</v>
      </c>
      <c r="BL224" s="39">
        <v>1500</v>
      </c>
      <c r="BM224" s="39">
        <v>1500</v>
      </c>
      <c r="BN224" s="39">
        <v>1500</v>
      </c>
      <c r="BO224" s="39">
        <v>1500</v>
      </c>
      <c r="BP224" s="39">
        <v>1500</v>
      </c>
      <c r="BQ224" s="39">
        <v>1500</v>
      </c>
    </row>
    <row r="225" spans="2:69">
      <c r="B225" s="9"/>
      <c r="C225" s="9"/>
      <c r="D225" s="9"/>
      <c r="E225" s="9"/>
      <c r="F225" s="9"/>
      <c r="G225" s="9"/>
      <c r="H225" s="9"/>
      <c r="I225" s="9"/>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2"/>
      <c r="BH225" s="42"/>
      <c r="BI225" s="42"/>
      <c r="BJ225" s="42"/>
      <c r="BK225" s="42"/>
      <c r="BL225" s="42"/>
      <c r="BM225" s="42"/>
      <c r="BN225" s="42"/>
      <c r="BO225" s="42"/>
      <c r="BP225" s="42"/>
      <c r="BQ225" s="42"/>
    </row>
    <row r="226" spans="2:69">
      <c r="B226" s="3" t="s">
        <v>330</v>
      </c>
      <c r="J226" s="39">
        <f t="shared" ref="J226:BE226" si="257">SUM(J224:J225)</f>
        <v>0</v>
      </c>
      <c r="K226" s="39">
        <f t="shared" si="257"/>
        <v>0</v>
      </c>
      <c r="L226" s="39">
        <f t="shared" si="257"/>
        <v>0</v>
      </c>
      <c r="M226" s="39">
        <f t="shared" si="257"/>
        <v>0</v>
      </c>
      <c r="N226" s="39">
        <f t="shared" si="257"/>
        <v>0</v>
      </c>
      <c r="O226" s="39">
        <f t="shared" si="257"/>
        <v>0</v>
      </c>
      <c r="P226" s="39">
        <f t="shared" si="257"/>
        <v>0</v>
      </c>
      <c r="Q226" s="39">
        <f t="shared" si="257"/>
        <v>0</v>
      </c>
      <c r="R226" s="39">
        <f t="shared" si="257"/>
        <v>0</v>
      </c>
      <c r="S226" s="39">
        <f t="shared" si="257"/>
        <v>0</v>
      </c>
      <c r="T226" s="39">
        <f t="shared" si="257"/>
        <v>250</v>
      </c>
      <c r="U226" s="39">
        <f t="shared" si="257"/>
        <v>250</v>
      </c>
      <c r="V226" s="39">
        <f t="shared" si="257"/>
        <v>250</v>
      </c>
      <c r="W226" s="39">
        <f t="shared" si="257"/>
        <v>250</v>
      </c>
      <c r="X226" s="39">
        <f t="shared" si="257"/>
        <v>250</v>
      </c>
      <c r="Y226" s="39">
        <f t="shared" si="257"/>
        <v>250</v>
      </c>
      <c r="Z226" s="39">
        <f t="shared" si="257"/>
        <v>250</v>
      </c>
      <c r="AA226" s="39">
        <f t="shared" si="257"/>
        <v>250</v>
      </c>
      <c r="AB226" s="39">
        <f t="shared" si="257"/>
        <v>250</v>
      </c>
      <c r="AC226" s="39">
        <f t="shared" si="257"/>
        <v>250</v>
      </c>
      <c r="AD226" s="39">
        <f t="shared" si="257"/>
        <v>250</v>
      </c>
      <c r="AE226" s="39">
        <f t="shared" si="257"/>
        <v>250</v>
      </c>
      <c r="AF226" s="39">
        <f t="shared" si="257"/>
        <v>250</v>
      </c>
      <c r="AG226" s="39">
        <f t="shared" si="257"/>
        <v>250</v>
      </c>
      <c r="AH226" s="39">
        <f t="shared" si="257"/>
        <v>500</v>
      </c>
      <c r="AI226" s="39">
        <f t="shared" si="257"/>
        <v>500</v>
      </c>
      <c r="AJ226" s="39">
        <f t="shared" si="257"/>
        <v>500</v>
      </c>
      <c r="AK226" s="39">
        <f t="shared" si="257"/>
        <v>500</v>
      </c>
      <c r="AL226" s="39">
        <f t="shared" si="257"/>
        <v>500</v>
      </c>
      <c r="AM226" s="39">
        <f t="shared" si="257"/>
        <v>500</v>
      </c>
      <c r="AN226" s="39">
        <f t="shared" si="257"/>
        <v>500</v>
      </c>
      <c r="AO226" s="39">
        <f t="shared" si="257"/>
        <v>500</v>
      </c>
      <c r="AP226" s="39">
        <f t="shared" si="257"/>
        <v>500</v>
      </c>
      <c r="AQ226" s="39">
        <f t="shared" si="257"/>
        <v>500</v>
      </c>
      <c r="AR226" s="39">
        <f t="shared" si="257"/>
        <v>500</v>
      </c>
      <c r="AS226" s="39">
        <f t="shared" si="257"/>
        <v>500</v>
      </c>
      <c r="AT226" s="39">
        <f t="shared" si="257"/>
        <v>1000</v>
      </c>
      <c r="AU226" s="39">
        <f t="shared" si="257"/>
        <v>1000</v>
      </c>
      <c r="AV226" s="39">
        <f t="shared" si="257"/>
        <v>1000</v>
      </c>
      <c r="AW226" s="39">
        <f t="shared" si="257"/>
        <v>1000</v>
      </c>
      <c r="AX226" s="39">
        <f t="shared" si="257"/>
        <v>1000</v>
      </c>
      <c r="AY226" s="39">
        <f t="shared" si="257"/>
        <v>1000</v>
      </c>
      <c r="AZ226" s="39">
        <f t="shared" si="257"/>
        <v>1000</v>
      </c>
      <c r="BA226" s="39">
        <f t="shared" si="257"/>
        <v>1000</v>
      </c>
      <c r="BB226" s="39">
        <f t="shared" si="257"/>
        <v>1000</v>
      </c>
      <c r="BC226" s="39">
        <f t="shared" si="257"/>
        <v>1000</v>
      </c>
      <c r="BD226" s="39">
        <f t="shared" si="257"/>
        <v>1000</v>
      </c>
      <c r="BE226" s="39">
        <f t="shared" si="257"/>
        <v>1000</v>
      </c>
      <c r="BF226" s="39">
        <f t="shared" ref="BF226:BQ226" si="258">SUM(BF224:BF225)</f>
        <v>1500</v>
      </c>
      <c r="BG226" s="39">
        <f t="shared" si="258"/>
        <v>1500</v>
      </c>
      <c r="BH226" s="39">
        <f t="shared" si="258"/>
        <v>1500</v>
      </c>
      <c r="BI226" s="39">
        <f t="shared" si="258"/>
        <v>1500</v>
      </c>
      <c r="BJ226" s="39">
        <f t="shared" si="258"/>
        <v>1500</v>
      </c>
      <c r="BK226" s="39">
        <f t="shared" si="258"/>
        <v>1500</v>
      </c>
      <c r="BL226" s="39">
        <f t="shared" si="258"/>
        <v>1500</v>
      </c>
      <c r="BM226" s="39">
        <f t="shared" si="258"/>
        <v>1500</v>
      </c>
      <c r="BN226" s="39">
        <f t="shared" si="258"/>
        <v>1500</v>
      </c>
      <c r="BO226" s="39">
        <f t="shared" si="258"/>
        <v>1500</v>
      </c>
      <c r="BP226" s="39">
        <f t="shared" si="258"/>
        <v>1500</v>
      </c>
      <c r="BQ226" s="39">
        <f t="shared" si="258"/>
        <v>1500</v>
      </c>
    </row>
    <row r="227" spans="2:69">
      <c r="B227" s="3"/>
      <c r="J227" s="39"/>
      <c r="K227" s="39"/>
      <c r="L227" s="39"/>
      <c r="M227" s="39"/>
      <c r="N227" s="39"/>
      <c r="O227" s="39"/>
      <c r="P227" s="39"/>
      <c r="Q227" s="39"/>
      <c r="R227" s="39"/>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c r="AX227" s="39"/>
      <c r="AY227" s="39"/>
      <c r="AZ227" s="39"/>
      <c r="BA227" s="39"/>
      <c r="BB227" s="39"/>
      <c r="BC227" s="39"/>
      <c r="BD227" s="39"/>
      <c r="BE227" s="39"/>
      <c r="BF227" s="39"/>
      <c r="BG227" s="39"/>
      <c r="BH227" s="39"/>
      <c r="BI227" s="39"/>
      <c r="BJ227" s="39"/>
      <c r="BK227" s="39"/>
      <c r="BL227" s="39"/>
      <c r="BM227" s="39"/>
      <c r="BN227" s="39"/>
      <c r="BO227" s="39"/>
      <c r="BP227" s="39"/>
      <c r="BQ227" s="39"/>
    </row>
    <row r="228" spans="2:69">
      <c r="B228" s="3"/>
      <c r="J228" s="39"/>
      <c r="K228" s="39"/>
      <c r="L228" s="39"/>
      <c r="M228" s="39"/>
      <c r="N228" s="39"/>
      <c r="O228" s="39"/>
      <c r="P228" s="39"/>
      <c r="Q228" s="39"/>
      <c r="R228" s="39"/>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c r="AX228" s="39"/>
      <c r="AY228" s="39"/>
      <c r="AZ228" s="39"/>
      <c r="BA228" s="39"/>
      <c r="BB228" s="39"/>
      <c r="BC228" s="39"/>
      <c r="BD228" s="39"/>
      <c r="BE228" s="39"/>
      <c r="BF228" s="39"/>
      <c r="BG228" s="39"/>
      <c r="BH228" s="39"/>
      <c r="BI228" s="39"/>
      <c r="BJ228" s="39"/>
      <c r="BK228" s="39"/>
      <c r="BL228" s="39"/>
      <c r="BM228" s="39"/>
      <c r="BN228" s="39"/>
      <c r="BO228" s="39"/>
      <c r="BP228" s="39"/>
      <c r="BQ228" s="39"/>
    </row>
    <row r="229" spans="2:69">
      <c r="B229" s="3" t="s">
        <v>102</v>
      </c>
      <c r="C229" s="3"/>
      <c r="D229" s="3"/>
      <c r="E229" s="3"/>
      <c r="F229" s="3"/>
      <c r="G229" s="3"/>
      <c r="H229" s="3"/>
      <c r="I229" s="3"/>
      <c r="J229" s="54"/>
      <c r="K229" s="54"/>
      <c r="L229" s="54"/>
      <c r="M229" s="54"/>
      <c r="N229" s="54"/>
      <c r="O229" s="54"/>
      <c r="P229" s="54"/>
      <c r="Q229" s="54"/>
      <c r="R229" s="54"/>
      <c r="S229" s="54"/>
      <c r="T229" s="54"/>
      <c r="U229" s="54"/>
      <c r="V229" s="54"/>
      <c r="W229" s="54"/>
      <c r="X229" s="54"/>
      <c r="Y229" s="54"/>
      <c r="Z229" s="54"/>
      <c r="AA229" s="54"/>
      <c r="AB229" s="54"/>
      <c r="AC229" s="54"/>
      <c r="AD229" s="54"/>
      <c r="AE229" s="54"/>
      <c r="AF229" s="54"/>
      <c r="AG229" s="54"/>
      <c r="AH229" s="54"/>
      <c r="AI229" s="54"/>
      <c r="AJ229" s="54"/>
      <c r="AK229" s="54"/>
      <c r="AL229" s="54"/>
      <c r="AM229" s="54"/>
      <c r="AN229" s="54"/>
      <c r="AO229" s="54"/>
      <c r="AP229" s="54"/>
      <c r="AQ229" s="54"/>
      <c r="AR229" s="54"/>
      <c r="AS229" s="54"/>
      <c r="AT229" s="54"/>
      <c r="AU229" s="54"/>
      <c r="AV229" s="54"/>
      <c r="AW229" s="54"/>
      <c r="AX229" s="54"/>
      <c r="AY229" s="54"/>
      <c r="AZ229" s="54"/>
      <c r="BA229" s="54"/>
      <c r="BB229" s="54"/>
      <c r="BC229" s="54"/>
      <c r="BD229" s="54"/>
      <c r="BE229" s="54"/>
      <c r="BF229" s="54"/>
      <c r="BG229" s="54"/>
      <c r="BH229" s="54"/>
      <c r="BI229" s="54"/>
      <c r="BJ229" s="54"/>
      <c r="BK229" s="54"/>
      <c r="BL229" s="54"/>
      <c r="BM229" s="54"/>
      <c r="BN229" s="54"/>
      <c r="BO229" s="54"/>
      <c r="BP229" s="54"/>
      <c r="BQ229" s="54"/>
    </row>
    <row r="230" spans="2:69">
      <c r="B230" s="4" t="s">
        <v>357</v>
      </c>
      <c r="J230" s="39"/>
      <c r="K230" s="39"/>
      <c r="L230" s="39"/>
      <c r="M230" s="39"/>
      <c r="N230" s="39"/>
      <c r="O230" s="39"/>
      <c r="P230" s="39"/>
      <c r="Q230" s="39">
        <v>6171</v>
      </c>
      <c r="R230" s="39"/>
      <c r="S230" s="39"/>
      <c r="T230" s="39">
        <v>2500</v>
      </c>
      <c r="U230" s="39">
        <v>2500</v>
      </c>
      <c r="V230" s="39">
        <v>2500</v>
      </c>
      <c r="W230" s="39">
        <v>2500</v>
      </c>
      <c r="X230" s="39">
        <v>2500</v>
      </c>
      <c r="Y230" s="39">
        <v>2500</v>
      </c>
      <c r="Z230" s="39">
        <v>2500</v>
      </c>
      <c r="AA230" s="39">
        <v>2500</v>
      </c>
      <c r="AB230" s="39">
        <v>2500</v>
      </c>
      <c r="AC230" s="39">
        <v>2500</v>
      </c>
      <c r="AD230" s="39">
        <v>2500</v>
      </c>
      <c r="AE230" s="39">
        <v>2500</v>
      </c>
      <c r="AF230" s="39">
        <v>2500</v>
      </c>
      <c r="AG230" s="39">
        <v>2500</v>
      </c>
      <c r="AH230" s="39">
        <v>2500</v>
      </c>
      <c r="AI230" s="39">
        <v>2500</v>
      </c>
      <c r="AJ230" s="39">
        <v>2500</v>
      </c>
      <c r="AK230" s="39">
        <v>5000</v>
      </c>
      <c r="AL230" s="39">
        <v>5000</v>
      </c>
      <c r="AM230" s="39">
        <v>5000</v>
      </c>
      <c r="AN230" s="39">
        <v>5000</v>
      </c>
      <c r="AO230" s="39">
        <v>5000</v>
      </c>
      <c r="AP230" s="39">
        <v>5000</v>
      </c>
      <c r="AQ230" s="39">
        <v>5000</v>
      </c>
      <c r="AR230" s="39">
        <v>5000</v>
      </c>
      <c r="AS230" s="39">
        <v>5000</v>
      </c>
      <c r="AT230" s="39">
        <v>5000</v>
      </c>
      <c r="AU230" s="39">
        <v>5000</v>
      </c>
      <c r="AV230" s="39">
        <v>5000</v>
      </c>
      <c r="AW230" s="39">
        <v>5000</v>
      </c>
      <c r="AX230" s="39">
        <v>5000</v>
      </c>
      <c r="AY230" s="39">
        <v>5000</v>
      </c>
      <c r="AZ230" s="39">
        <v>5000</v>
      </c>
      <c r="BA230" s="39">
        <v>5000</v>
      </c>
      <c r="BB230" s="39">
        <v>5000</v>
      </c>
      <c r="BC230" s="39">
        <v>5000</v>
      </c>
      <c r="BD230" s="39">
        <v>5000</v>
      </c>
      <c r="BE230" s="39">
        <v>5000</v>
      </c>
      <c r="BF230" s="39">
        <v>6000</v>
      </c>
      <c r="BG230" s="39">
        <v>6000</v>
      </c>
      <c r="BH230" s="39">
        <v>6000</v>
      </c>
      <c r="BI230" s="39">
        <v>6000</v>
      </c>
      <c r="BJ230" s="39">
        <v>6000</v>
      </c>
      <c r="BK230" s="39">
        <v>6000</v>
      </c>
      <c r="BL230" s="39">
        <v>6000</v>
      </c>
      <c r="BM230" s="39">
        <v>6000</v>
      </c>
      <c r="BN230" s="39">
        <v>6000</v>
      </c>
      <c r="BO230" s="39">
        <v>6000</v>
      </c>
      <c r="BP230" s="39">
        <v>6000</v>
      </c>
      <c r="BQ230" s="39">
        <v>6000</v>
      </c>
    </row>
    <row r="231" spans="2:69">
      <c r="B231" s="9"/>
      <c r="C231" s="9"/>
      <c r="D231" s="9"/>
      <c r="E231" s="9"/>
      <c r="F231" s="9"/>
      <c r="G231" s="9"/>
      <c r="H231" s="9"/>
      <c r="I231" s="9"/>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row>
    <row r="232" spans="2:69">
      <c r="B232" s="3" t="s">
        <v>331</v>
      </c>
      <c r="J232" s="39">
        <f t="shared" ref="J232:BE232" si="259">SUM(J230:J231)</f>
        <v>0</v>
      </c>
      <c r="K232" s="39">
        <f t="shared" si="259"/>
        <v>0</v>
      </c>
      <c r="L232" s="39">
        <f t="shared" si="259"/>
        <v>0</v>
      </c>
      <c r="M232" s="39">
        <f t="shared" si="259"/>
        <v>0</v>
      </c>
      <c r="N232" s="39">
        <f t="shared" si="259"/>
        <v>0</v>
      </c>
      <c r="O232" s="39">
        <f t="shared" si="259"/>
        <v>0</v>
      </c>
      <c r="P232" s="39">
        <f t="shared" si="259"/>
        <v>0</v>
      </c>
      <c r="Q232" s="39">
        <f t="shared" si="259"/>
        <v>6171</v>
      </c>
      <c r="R232" s="39">
        <f t="shared" si="259"/>
        <v>0</v>
      </c>
      <c r="S232" s="39">
        <f t="shared" si="259"/>
        <v>0</v>
      </c>
      <c r="T232" s="39">
        <f t="shared" si="259"/>
        <v>2500</v>
      </c>
      <c r="U232" s="39">
        <f t="shared" si="259"/>
        <v>2500</v>
      </c>
      <c r="V232" s="39">
        <f t="shared" si="259"/>
        <v>2500</v>
      </c>
      <c r="W232" s="39">
        <f t="shared" si="259"/>
        <v>2500</v>
      </c>
      <c r="X232" s="39">
        <f t="shared" si="259"/>
        <v>2500</v>
      </c>
      <c r="Y232" s="39">
        <f t="shared" si="259"/>
        <v>2500</v>
      </c>
      <c r="Z232" s="39">
        <f t="shared" si="259"/>
        <v>2500</v>
      </c>
      <c r="AA232" s="39">
        <f t="shared" si="259"/>
        <v>2500</v>
      </c>
      <c r="AB232" s="39">
        <f t="shared" si="259"/>
        <v>2500</v>
      </c>
      <c r="AC232" s="39">
        <f t="shared" si="259"/>
        <v>2500</v>
      </c>
      <c r="AD232" s="39">
        <f t="shared" si="259"/>
        <v>2500</v>
      </c>
      <c r="AE232" s="39">
        <f t="shared" si="259"/>
        <v>2500</v>
      </c>
      <c r="AF232" s="39">
        <f t="shared" si="259"/>
        <v>2500</v>
      </c>
      <c r="AG232" s="39">
        <f t="shared" si="259"/>
        <v>2500</v>
      </c>
      <c r="AH232" s="39">
        <f t="shared" si="259"/>
        <v>2500</v>
      </c>
      <c r="AI232" s="39">
        <f t="shared" si="259"/>
        <v>2500</v>
      </c>
      <c r="AJ232" s="39">
        <f t="shared" si="259"/>
        <v>2500</v>
      </c>
      <c r="AK232" s="39">
        <f t="shared" si="259"/>
        <v>5000</v>
      </c>
      <c r="AL232" s="39">
        <f t="shared" si="259"/>
        <v>5000</v>
      </c>
      <c r="AM232" s="39">
        <f t="shared" si="259"/>
        <v>5000</v>
      </c>
      <c r="AN232" s="39">
        <f t="shared" si="259"/>
        <v>5000</v>
      </c>
      <c r="AO232" s="39">
        <f t="shared" si="259"/>
        <v>5000</v>
      </c>
      <c r="AP232" s="39">
        <f t="shared" si="259"/>
        <v>5000</v>
      </c>
      <c r="AQ232" s="39">
        <f t="shared" si="259"/>
        <v>5000</v>
      </c>
      <c r="AR232" s="39">
        <f t="shared" si="259"/>
        <v>5000</v>
      </c>
      <c r="AS232" s="39">
        <f t="shared" si="259"/>
        <v>5000</v>
      </c>
      <c r="AT232" s="39">
        <f t="shared" si="259"/>
        <v>5000</v>
      </c>
      <c r="AU232" s="39">
        <f t="shared" si="259"/>
        <v>5000</v>
      </c>
      <c r="AV232" s="39">
        <f t="shared" si="259"/>
        <v>5000</v>
      </c>
      <c r="AW232" s="39">
        <f t="shared" si="259"/>
        <v>5000</v>
      </c>
      <c r="AX232" s="39">
        <f t="shared" si="259"/>
        <v>5000</v>
      </c>
      <c r="AY232" s="39">
        <f t="shared" si="259"/>
        <v>5000</v>
      </c>
      <c r="AZ232" s="39">
        <f t="shared" si="259"/>
        <v>5000</v>
      </c>
      <c r="BA232" s="39">
        <f t="shared" si="259"/>
        <v>5000</v>
      </c>
      <c r="BB232" s="39">
        <f t="shared" si="259"/>
        <v>5000</v>
      </c>
      <c r="BC232" s="39">
        <f t="shared" si="259"/>
        <v>5000</v>
      </c>
      <c r="BD232" s="39">
        <f t="shared" si="259"/>
        <v>5000</v>
      </c>
      <c r="BE232" s="39">
        <f t="shared" si="259"/>
        <v>5000</v>
      </c>
      <c r="BF232" s="39">
        <f t="shared" ref="BF232:BQ232" si="260">SUM(BF230:BF231)</f>
        <v>6000</v>
      </c>
      <c r="BG232" s="39">
        <f t="shared" si="260"/>
        <v>6000</v>
      </c>
      <c r="BH232" s="39">
        <f t="shared" si="260"/>
        <v>6000</v>
      </c>
      <c r="BI232" s="39">
        <f t="shared" si="260"/>
        <v>6000</v>
      </c>
      <c r="BJ232" s="39">
        <f t="shared" si="260"/>
        <v>6000</v>
      </c>
      <c r="BK232" s="39">
        <f t="shared" si="260"/>
        <v>6000</v>
      </c>
      <c r="BL232" s="39">
        <f t="shared" si="260"/>
        <v>6000</v>
      </c>
      <c r="BM232" s="39">
        <f t="shared" si="260"/>
        <v>6000</v>
      </c>
      <c r="BN232" s="39">
        <f t="shared" si="260"/>
        <v>6000</v>
      </c>
      <c r="BO232" s="39">
        <f t="shared" si="260"/>
        <v>6000</v>
      </c>
      <c r="BP232" s="39">
        <f t="shared" si="260"/>
        <v>6000</v>
      </c>
      <c r="BQ232" s="39">
        <f t="shared" si="260"/>
        <v>6000</v>
      </c>
    </row>
    <row r="233" spans="2:69">
      <c r="B233" s="3"/>
      <c r="J233" s="39"/>
      <c r="K233" s="39"/>
      <c r="L233" s="39"/>
      <c r="M233" s="39"/>
      <c r="N233" s="39"/>
      <c r="O233" s="39"/>
      <c r="P233" s="39"/>
      <c r="Q233" s="39"/>
      <c r="R233" s="39"/>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c r="AX233" s="39"/>
      <c r="AY233" s="39"/>
      <c r="AZ233" s="39"/>
      <c r="BA233" s="39"/>
      <c r="BB233" s="39"/>
      <c r="BC233" s="39"/>
      <c r="BD233" s="39"/>
      <c r="BE233" s="39"/>
      <c r="BF233" s="39"/>
      <c r="BG233" s="39"/>
      <c r="BH233" s="39"/>
      <c r="BI233" s="39"/>
      <c r="BJ233" s="39"/>
      <c r="BK233" s="39"/>
      <c r="BL233" s="39"/>
      <c r="BM233" s="39"/>
      <c r="BN233" s="39"/>
      <c r="BO233" s="39"/>
      <c r="BP233" s="39"/>
      <c r="BQ233" s="39"/>
    </row>
    <row r="234" spans="2:69">
      <c r="B234" s="3"/>
      <c r="J234" s="39"/>
      <c r="K234" s="39"/>
      <c r="L234" s="39"/>
      <c r="M234" s="39"/>
      <c r="N234" s="39"/>
      <c r="O234" s="39"/>
      <c r="P234" s="39"/>
      <c r="Q234" s="39"/>
      <c r="R234" s="39"/>
      <c r="S234" s="39"/>
      <c r="T234" s="39"/>
      <c r="U234" s="39"/>
      <c r="V234" s="39"/>
      <c r="W234" s="39"/>
      <c r="X234" s="39"/>
      <c r="Y234" s="39"/>
      <c r="Z234" s="39"/>
      <c r="AA234" s="39"/>
      <c r="AB234" s="39"/>
      <c r="AC234" s="39"/>
      <c r="AD234" s="39"/>
      <c r="AE234" s="39"/>
      <c r="AF234" s="39"/>
      <c r="AG234" s="39"/>
      <c r="AH234" s="39"/>
      <c r="AI234" s="39"/>
      <c r="AJ234" s="39"/>
      <c r="AK234" s="39"/>
      <c r="AL234" s="39"/>
      <c r="AM234" s="39"/>
      <c r="AN234" s="39"/>
      <c r="AO234" s="39"/>
      <c r="AP234" s="39"/>
      <c r="AQ234" s="39"/>
      <c r="AR234" s="39"/>
      <c r="AS234" s="39"/>
      <c r="AT234" s="39"/>
      <c r="AU234" s="39"/>
      <c r="AV234" s="39"/>
      <c r="AW234" s="39"/>
      <c r="AX234" s="39"/>
      <c r="AY234" s="39"/>
      <c r="AZ234" s="39"/>
      <c r="BA234" s="39"/>
      <c r="BB234" s="39"/>
      <c r="BC234" s="39"/>
      <c r="BD234" s="39"/>
      <c r="BE234" s="39"/>
      <c r="BF234" s="39"/>
      <c r="BG234" s="39"/>
      <c r="BH234" s="39"/>
      <c r="BI234" s="39"/>
      <c r="BJ234" s="39"/>
      <c r="BK234" s="39"/>
      <c r="BL234" s="39"/>
      <c r="BM234" s="39"/>
      <c r="BN234" s="39"/>
      <c r="BO234" s="39"/>
      <c r="BP234" s="39"/>
      <c r="BQ234" s="39"/>
    </row>
    <row r="235" spans="2:69">
      <c r="B235" s="3" t="s">
        <v>332</v>
      </c>
      <c r="C235" s="3"/>
      <c r="D235" s="3"/>
      <c r="E235" s="3"/>
      <c r="F235" s="3"/>
      <c r="G235" s="3"/>
      <c r="H235" s="3"/>
      <c r="I235" s="3"/>
      <c r="J235" s="54"/>
      <c r="K235" s="54"/>
      <c r="L235" s="54"/>
      <c r="M235" s="54"/>
      <c r="N235" s="54"/>
      <c r="O235" s="54"/>
      <c r="P235" s="54"/>
      <c r="Q235" s="54"/>
      <c r="R235" s="54"/>
      <c r="S235" s="54"/>
      <c r="T235" s="54"/>
      <c r="U235" s="54"/>
      <c r="V235" s="54"/>
      <c r="W235" s="54"/>
      <c r="X235" s="54"/>
      <c r="Y235" s="54"/>
      <c r="Z235" s="54"/>
      <c r="AA235" s="54"/>
      <c r="AB235" s="54"/>
      <c r="AC235" s="54"/>
      <c r="AD235" s="54"/>
      <c r="AE235" s="54"/>
      <c r="AF235" s="54"/>
      <c r="AG235" s="54"/>
      <c r="AH235" s="54"/>
      <c r="AI235" s="54"/>
      <c r="AJ235" s="54"/>
      <c r="AK235" s="54"/>
      <c r="AL235" s="54"/>
      <c r="AM235" s="54"/>
      <c r="AN235" s="54"/>
      <c r="AO235" s="54"/>
      <c r="AP235" s="54"/>
      <c r="AQ235" s="54"/>
      <c r="AR235" s="54"/>
      <c r="AS235" s="54"/>
      <c r="AT235" s="54"/>
      <c r="AU235" s="54"/>
      <c r="AV235" s="54"/>
      <c r="AW235" s="54"/>
      <c r="AX235" s="54"/>
      <c r="AY235" s="54"/>
      <c r="AZ235" s="54"/>
      <c r="BA235" s="54"/>
      <c r="BB235" s="54"/>
      <c r="BC235" s="54"/>
      <c r="BD235" s="54"/>
      <c r="BE235" s="54"/>
      <c r="BF235" s="54"/>
      <c r="BG235" s="54"/>
      <c r="BH235" s="54"/>
      <c r="BI235" s="54"/>
      <c r="BJ235" s="54"/>
      <c r="BK235" s="54"/>
      <c r="BL235" s="54"/>
      <c r="BM235" s="54"/>
      <c r="BN235" s="54"/>
      <c r="BO235" s="54"/>
      <c r="BP235" s="54"/>
      <c r="BQ235" s="54"/>
    </row>
    <row r="236" spans="2:69">
      <c r="B236" s="4" t="s">
        <v>338</v>
      </c>
      <c r="J236" s="39">
        <v>5</v>
      </c>
      <c r="K236" s="39">
        <v>19</v>
      </c>
      <c r="L236" s="39">
        <v>19</v>
      </c>
      <c r="M236" s="39">
        <v>19</v>
      </c>
      <c r="N236" s="39">
        <v>33</v>
      </c>
      <c r="O236" s="39">
        <v>33</v>
      </c>
      <c r="P236" s="39">
        <v>33</v>
      </c>
      <c r="Q236" s="39">
        <v>35</v>
      </c>
      <c r="R236" s="39">
        <v>33</v>
      </c>
      <c r="S236" s="39">
        <v>33</v>
      </c>
      <c r="T236" s="39">
        <v>33</v>
      </c>
      <c r="U236" s="39">
        <v>33</v>
      </c>
      <c r="V236" s="39">
        <v>33</v>
      </c>
      <c r="W236" s="39">
        <v>33</v>
      </c>
      <c r="X236" s="39">
        <v>33</v>
      </c>
      <c r="Y236" s="39">
        <v>33</v>
      </c>
      <c r="Z236" s="39">
        <v>33</v>
      </c>
      <c r="AA236" s="39">
        <v>33</v>
      </c>
      <c r="AB236" s="39">
        <v>33</v>
      </c>
      <c r="AC236" s="39">
        <v>33</v>
      </c>
      <c r="AD236" s="39">
        <v>33</v>
      </c>
      <c r="AE236" s="39">
        <v>33</v>
      </c>
      <c r="AF236" s="39">
        <v>33</v>
      </c>
      <c r="AG236" s="39">
        <v>33</v>
      </c>
      <c r="AH236" s="39">
        <v>33</v>
      </c>
      <c r="AI236" s="39">
        <v>33</v>
      </c>
      <c r="AJ236" s="39">
        <v>33</v>
      </c>
      <c r="AK236" s="39">
        <v>33</v>
      </c>
      <c r="AL236" s="39">
        <v>33</v>
      </c>
      <c r="AM236" s="39">
        <v>33</v>
      </c>
      <c r="AN236" s="39">
        <v>33</v>
      </c>
      <c r="AO236" s="39">
        <v>33</v>
      </c>
      <c r="AP236" s="39">
        <v>33</v>
      </c>
      <c r="AQ236" s="39">
        <v>33</v>
      </c>
      <c r="AR236" s="39">
        <v>33</v>
      </c>
      <c r="AS236" s="39">
        <v>33</v>
      </c>
      <c r="AT236" s="39">
        <v>33</v>
      </c>
      <c r="AU236" s="39">
        <v>33</v>
      </c>
      <c r="AV236" s="39">
        <v>33</v>
      </c>
      <c r="AW236" s="39">
        <v>33</v>
      </c>
      <c r="AX236" s="39">
        <v>33</v>
      </c>
      <c r="AY236" s="39">
        <v>33</v>
      </c>
      <c r="AZ236" s="39">
        <v>33</v>
      </c>
      <c r="BA236" s="39">
        <v>33</v>
      </c>
      <c r="BB236" s="39">
        <v>33</v>
      </c>
      <c r="BC236" s="39">
        <v>33</v>
      </c>
      <c r="BD236" s="39">
        <v>33</v>
      </c>
      <c r="BE236" s="39">
        <v>33</v>
      </c>
      <c r="BF236" s="39">
        <v>33</v>
      </c>
      <c r="BG236" s="39">
        <v>33</v>
      </c>
      <c r="BH236" s="39">
        <v>33</v>
      </c>
      <c r="BI236" s="39">
        <v>33</v>
      </c>
      <c r="BJ236" s="39">
        <v>33</v>
      </c>
      <c r="BK236" s="39">
        <v>33</v>
      </c>
      <c r="BL236" s="39">
        <v>33</v>
      </c>
      <c r="BM236" s="39">
        <v>33</v>
      </c>
      <c r="BN236" s="39">
        <v>33</v>
      </c>
      <c r="BO236" s="39">
        <v>33</v>
      </c>
      <c r="BP236" s="39">
        <v>33</v>
      </c>
      <c r="BQ236" s="39">
        <v>33</v>
      </c>
    </row>
    <row r="237" spans="2:69">
      <c r="B237" s="9" t="s">
        <v>340</v>
      </c>
      <c r="C237" s="9"/>
      <c r="D237" s="9"/>
      <c r="E237" s="9"/>
      <c r="F237" s="9"/>
      <c r="G237" s="9"/>
      <c r="H237" s="9"/>
      <c r="I237" s="9"/>
      <c r="J237" s="42"/>
      <c r="K237" s="42">
        <v>175</v>
      </c>
      <c r="L237" s="42"/>
      <c r="M237" s="42"/>
      <c r="N237" s="42"/>
      <c r="O237" s="42"/>
      <c r="P237" s="42">
        <v>0</v>
      </c>
      <c r="Q237" s="42">
        <v>0</v>
      </c>
      <c r="R237" s="42">
        <v>50</v>
      </c>
      <c r="S237" s="42">
        <v>50</v>
      </c>
      <c r="T237" s="42">
        <v>1000</v>
      </c>
      <c r="U237" s="42">
        <v>1000</v>
      </c>
      <c r="V237" s="42">
        <v>1000</v>
      </c>
      <c r="W237" s="42">
        <v>1000</v>
      </c>
      <c r="X237" s="42">
        <v>1000</v>
      </c>
      <c r="Y237" s="42">
        <v>1000</v>
      </c>
      <c r="Z237" s="42">
        <v>1000</v>
      </c>
      <c r="AA237" s="42">
        <v>1000</v>
      </c>
      <c r="AB237" s="42">
        <v>1000</v>
      </c>
      <c r="AC237" s="42">
        <v>1000</v>
      </c>
      <c r="AD237" s="42">
        <v>1000</v>
      </c>
      <c r="AE237" s="42">
        <v>1000</v>
      </c>
      <c r="AF237" s="42">
        <v>1000</v>
      </c>
      <c r="AG237" s="42">
        <v>1000</v>
      </c>
      <c r="AH237" s="42">
        <v>1000</v>
      </c>
      <c r="AI237" s="42">
        <v>1000</v>
      </c>
      <c r="AJ237" s="42">
        <v>1000</v>
      </c>
      <c r="AK237" s="42">
        <v>1000</v>
      </c>
      <c r="AL237" s="42">
        <v>1000</v>
      </c>
      <c r="AM237" s="42">
        <v>1000</v>
      </c>
      <c r="AN237" s="42">
        <v>1000</v>
      </c>
      <c r="AO237" s="42">
        <v>1000</v>
      </c>
      <c r="AP237" s="42">
        <v>1000</v>
      </c>
      <c r="AQ237" s="42">
        <v>1000</v>
      </c>
      <c r="AR237" s="42">
        <v>1000</v>
      </c>
      <c r="AS237" s="42">
        <v>1000</v>
      </c>
      <c r="AT237" s="42">
        <v>1000</v>
      </c>
      <c r="AU237" s="42">
        <v>1000</v>
      </c>
      <c r="AV237" s="42">
        <v>1000</v>
      </c>
      <c r="AW237" s="42">
        <v>1000</v>
      </c>
      <c r="AX237" s="42">
        <v>1000</v>
      </c>
      <c r="AY237" s="42">
        <v>1000</v>
      </c>
      <c r="AZ237" s="42">
        <v>1000</v>
      </c>
      <c r="BA237" s="42">
        <v>1000</v>
      </c>
      <c r="BB237" s="42">
        <v>1000</v>
      </c>
      <c r="BC237" s="42">
        <v>1000</v>
      </c>
      <c r="BD237" s="42">
        <v>1000</v>
      </c>
      <c r="BE237" s="42">
        <v>1000</v>
      </c>
      <c r="BF237" s="42">
        <v>1000</v>
      </c>
      <c r="BG237" s="42">
        <v>1000</v>
      </c>
      <c r="BH237" s="42">
        <v>1000</v>
      </c>
      <c r="BI237" s="42">
        <v>1000</v>
      </c>
      <c r="BJ237" s="42">
        <v>1000</v>
      </c>
      <c r="BK237" s="42">
        <v>1000</v>
      </c>
      <c r="BL237" s="42">
        <v>1000</v>
      </c>
      <c r="BM237" s="42">
        <v>1000</v>
      </c>
      <c r="BN237" s="42">
        <v>1000</v>
      </c>
      <c r="BO237" s="42">
        <v>1000</v>
      </c>
      <c r="BP237" s="42">
        <v>1000</v>
      </c>
      <c r="BQ237" s="42">
        <v>1000</v>
      </c>
    </row>
    <row r="238" spans="2:69">
      <c r="B238" s="3" t="s">
        <v>333</v>
      </c>
      <c r="J238" s="39">
        <f t="shared" ref="J238:BE238" si="261">SUM(J236:J237)</f>
        <v>5</v>
      </c>
      <c r="K238" s="39">
        <f t="shared" si="261"/>
        <v>194</v>
      </c>
      <c r="L238" s="39">
        <f t="shared" si="261"/>
        <v>19</v>
      </c>
      <c r="M238" s="39">
        <f t="shared" si="261"/>
        <v>19</v>
      </c>
      <c r="N238" s="39">
        <f t="shared" si="261"/>
        <v>33</v>
      </c>
      <c r="O238" s="39">
        <f t="shared" si="261"/>
        <v>33</v>
      </c>
      <c r="P238" s="39">
        <f t="shared" si="261"/>
        <v>33</v>
      </c>
      <c r="Q238" s="39">
        <f t="shared" si="261"/>
        <v>35</v>
      </c>
      <c r="R238" s="39">
        <f t="shared" si="261"/>
        <v>83</v>
      </c>
      <c r="S238" s="39">
        <f t="shared" si="261"/>
        <v>83</v>
      </c>
      <c r="T238" s="39">
        <f t="shared" si="261"/>
        <v>1033</v>
      </c>
      <c r="U238" s="39">
        <f t="shared" si="261"/>
        <v>1033</v>
      </c>
      <c r="V238" s="39">
        <f t="shared" si="261"/>
        <v>1033</v>
      </c>
      <c r="W238" s="39">
        <f t="shared" si="261"/>
        <v>1033</v>
      </c>
      <c r="X238" s="39">
        <f t="shared" si="261"/>
        <v>1033</v>
      </c>
      <c r="Y238" s="39">
        <f t="shared" si="261"/>
        <v>1033</v>
      </c>
      <c r="Z238" s="39">
        <f t="shared" si="261"/>
        <v>1033</v>
      </c>
      <c r="AA238" s="39">
        <f t="shared" si="261"/>
        <v>1033</v>
      </c>
      <c r="AB238" s="39">
        <f t="shared" si="261"/>
        <v>1033</v>
      </c>
      <c r="AC238" s="39">
        <f t="shared" si="261"/>
        <v>1033</v>
      </c>
      <c r="AD238" s="39">
        <f t="shared" si="261"/>
        <v>1033</v>
      </c>
      <c r="AE238" s="39">
        <f t="shared" si="261"/>
        <v>1033</v>
      </c>
      <c r="AF238" s="39">
        <f t="shared" si="261"/>
        <v>1033</v>
      </c>
      <c r="AG238" s="39">
        <f t="shared" si="261"/>
        <v>1033</v>
      </c>
      <c r="AH238" s="39">
        <f t="shared" si="261"/>
        <v>1033</v>
      </c>
      <c r="AI238" s="39">
        <f t="shared" si="261"/>
        <v>1033</v>
      </c>
      <c r="AJ238" s="39">
        <f t="shared" si="261"/>
        <v>1033</v>
      </c>
      <c r="AK238" s="39">
        <f t="shared" si="261"/>
        <v>1033</v>
      </c>
      <c r="AL238" s="39">
        <f t="shared" si="261"/>
        <v>1033</v>
      </c>
      <c r="AM238" s="39">
        <f t="shared" si="261"/>
        <v>1033</v>
      </c>
      <c r="AN238" s="39">
        <f t="shared" si="261"/>
        <v>1033</v>
      </c>
      <c r="AO238" s="39">
        <f t="shared" si="261"/>
        <v>1033</v>
      </c>
      <c r="AP238" s="39">
        <f t="shared" si="261"/>
        <v>1033</v>
      </c>
      <c r="AQ238" s="39">
        <f t="shared" si="261"/>
        <v>1033</v>
      </c>
      <c r="AR238" s="39">
        <f t="shared" si="261"/>
        <v>1033</v>
      </c>
      <c r="AS238" s="39">
        <f t="shared" si="261"/>
        <v>1033</v>
      </c>
      <c r="AT238" s="39">
        <f t="shared" si="261"/>
        <v>1033</v>
      </c>
      <c r="AU238" s="39">
        <f t="shared" si="261"/>
        <v>1033</v>
      </c>
      <c r="AV238" s="39">
        <f t="shared" si="261"/>
        <v>1033</v>
      </c>
      <c r="AW238" s="39">
        <f t="shared" si="261"/>
        <v>1033</v>
      </c>
      <c r="AX238" s="39">
        <f t="shared" si="261"/>
        <v>1033</v>
      </c>
      <c r="AY238" s="39">
        <f t="shared" si="261"/>
        <v>1033</v>
      </c>
      <c r="AZ238" s="39">
        <f t="shared" si="261"/>
        <v>1033</v>
      </c>
      <c r="BA238" s="39">
        <f t="shared" si="261"/>
        <v>1033</v>
      </c>
      <c r="BB238" s="39">
        <f t="shared" si="261"/>
        <v>1033</v>
      </c>
      <c r="BC238" s="39">
        <f t="shared" si="261"/>
        <v>1033</v>
      </c>
      <c r="BD238" s="39">
        <f t="shared" si="261"/>
        <v>1033</v>
      </c>
      <c r="BE238" s="39">
        <f t="shared" si="261"/>
        <v>1033</v>
      </c>
      <c r="BF238" s="39">
        <f t="shared" ref="BF238:BQ238" si="262">SUM(BF236:BF237)</f>
        <v>1033</v>
      </c>
      <c r="BG238" s="39">
        <f t="shared" si="262"/>
        <v>1033</v>
      </c>
      <c r="BH238" s="39">
        <f t="shared" si="262"/>
        <v>1033</v>
      </c>
      <c r="BI238" s="39">
        <f t="shared" si="262"/>
        <v>1033</v>
      </c>
      <c r="BJ238" s="39">
        <f t="shared" si="262"/>
        <v>1033</v>
      </c>
      <c r="BK238" s="39">
        <f t="shared" si="262"/>
        <v>1033</v>
      </c>
      <c r="BL238" s="39">
        <f t="shared" si="262"/>
        <v>1033</v>
      </c>
      <c r="BM238" s="39">
        <f t="shared" si="262"/>
        <v>1033</v>
      </c>
      <c r="BN238" s="39">
        <f t="shared" si="262"/>
        <v>1033</v>
      </c>
      <c r="BO238" s="39">
        <f t="shared" si="262"/>
        <v>1033</v>
      </c>
      <c r="BP238" s="39">
        <f t="shared" si="262"/>
        <v>1033</v>
      </c>
      <c r="BQ238" s="39">
        <f t="shared" si="262"/>
        <v>1033</v>
      </c>
    </row>
    <row r="239" spans="2:69">
      <c r="B239" s="3"/>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c r="AX239" s="39"/>
      <c r="AY239" s="39"/>
      <c r="AZ239" s="39"/>
      <c r="BA239" s="39"/>
      <c r="BB239" s="39"/>
      <c r="BC239" s="39"/>
      <c r="BD239" s="39"/>
      <c r="BE239" s="39"/>
      <c r="BF239" s="39"/>
      <c r="BG239" s="39"/>
      <c r="BH239" s="39"/>
      <c r="BI239" s="39"/>
      <c r="BJ239" s="39"/>
      <c r="BK239" s="39"/>
      <c r="BL239" s="39"/>
      <c r="BM239" s="39"/>
      <c r="BN239" s="39"/>
      <c r="BO239" s="39"/>
      <c r="BP239" s="39"/>
      <c r="BQ239" s="39"/>
    </row>
    <row r="240" spans="2:69">
      <c r="J240" s="39"/>
      <c r="K240" s="39"/>
      <c r="L240" s="39"/>
      <c r="M240" s="39"/>
      <c r="N240" s="39"/>
      <c r="O240" s="39"/>
      <c r="P240" s="39"/>
      <c r="Q240" s="39"/>
      <c r="R240" s="39"/>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c r="AX240" s="39"/>
      <c r="AY240" s="39"/>
      <c r="AZ240" s="39"/>
      <c r="BA240" s="39"/>
      <c r="BB240" s="39"/>
      <c r="BC240" s="39"/>
      <c r="BD240" s="39"/>
      <c r="BE240" s="39"/>
      <c r="BF240" s="39"/>
      <c r="BG240" s="39"/>
      <c r="BH240" s="39"/>
      <c r="BI240" s="39"/>
      <c r="BJ240" s="39"/>
      <c r="BK240" s="39"/>
      <c r="BL240" s="39"/>
      <c r="BM240" s="39"/>
      <c r="BN240" s="39"/>
      <c r="BO240" s="39"/>
      <c r="BP240" s="39"/>
      <c r="BQ240" s="39"/>
    </row>
    <row r="241" spans="2:69">
      <c r="B241" s="3" t="s">
        <v>61</v>
      </c>
      <c r="J241" s="39"/>
      <c r="K241" s="39"/>
      <c r="L241" s="39"/>
      <c r="M241" s="39"/>
      <c r="N241" s="39"/>
      <c r="O241" s="39"/>
      <c r="P241" s="39"/>
      <c r="Q241" s="39"/>
      <c r="R241" s="39"/>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c r="AX241" s="39"/>
      <c r="AY241" s="39"/>
      <c r="AZ241" s="39"/>
      <c r="BA241" s="39"/>
      <c r="BB241" s="39"/>
      <c r="BC241" s="39"/>
      <c r="BD241" s="39"/>
      <c r="BE241" s="39"/>
      <c r="BF241" s="39"/>
      <c r="BG241" s="39"/>
      <c r="BH241" s="39"/>
      <c r="BI241" s="39"/>
      <c r="BJ241" s="39"/>
      <c r="BK241" s="39"/>
      <c r="BL241" s="39"/>
      <c r="BM241" s="39"/>
      <c r="BN241" s="39"/>
      <c r="BO241" s="39"/>
      <c r="BP241" s="39"/>
      <c r="BQ241" s="39"/>
    </row>
    <row r="242" spans="2:69">
      <c r="J242" s="39">
        <v>0</v>
      </c>
      <c r="K242" s="39">
        <v>0</v>
      </c>
      <c r="L242" s="39">
        <v>0</v>
      </c>
      <c r="M242" s="39">
        <v>0</v>
      </c>
      <c r="N242" s="39">
        <v>0</v>
      </c>
      <c r="O242" s="39">
        <v>0</v>
      </c>
      <c r="P242" s="39">
        <v>0</v>
      </c>
      <c r="Q242" s="39">
        <v>0</v>
      </c>
      <c r="R242" s="39">
        <v>0</v>
      </c>
      <c r="S242" s="39">
        <v>0</v>
      </c>
      <c r="T242" s="39">
        <v>0</v>
      </c>
      <c r="U242" s="39">
        <v>0</v>
      </c>
      <c r="V242" s="39">
        <v>0</v>
      </c>
      <c r="W242" s="39">
        <v>0</v>
      </c>
      <c r="X242" s="39">
        <v>0</v>
      </c>
      <c r="Y242" s="39">
        <v>0</v>
      </c>
      <c r="Z242" s="39">
        <v>0</v>
      </c>
      <c r="AA242" s="39">
        <v>0</v>
      </c>
      <c r="AB242" s="39">
        <v>0</v>
      </c>
      <c r="AC242" s="39">
        <v>0</v>
      </c>
      <c r="AD242" s="39">
        <v>0</v>
      </c>
      <c r="AE242" s="39">
        <v>0</v>
      </c>
      <c r="AF242" s="39">
        <v>0</v>
      </c>
      <c r="AG242" s="39">
        <v>0</v>
      </c>
      <c r="AH242" s="39">
        <v>0</v>
      </c>
      <c r="AI242" s="39">
        <v>0</v>
      </c>
      <c r="AJ242" s="39">
        <v>0</v>
      </c>
      <c r="AK242" s="39">
        <v>0</v>
      </c>
      <c r="AL242" s="39">
        <v>0</v>
      </c>
      <c r="AM242" s="39">
        <v>0</v>
      </c>
      <c r="AN242" s="39">
        <v>0</v>
      </c>
      <c r="AO242" s="39">
        <v>0</v>
      </c>
      <c r="AP242" s="39">
        <v>0</v>
      </c>
      <c r="AQ242" s="39">
        <v>0</v>
      </c>
      <c r="AR242" s="39">
        <v>0</v>
      </c>
      <c r="AS242" s="39">
        <v>0</v>
      </c>
      <c r="AT242" s="39">
        <v>0</v>
      </c>
      <c r="AU242" s="39">
        <v>0</v>
      </c>
      <c r="AV242" s="39">
        <v>0</v>
      </c>
      <c r="AW242" s="39">
        <v>0</v>
      </c>
      <c r="AX242" s="39">
        <v>0</v>
      </c>
      <c r="AY242" s="39">
        <v>0</v>
      </c>
      <c r="AZ242" s="39">
        <v>0</v>
      </c>
      <c r="BA242" s="39">
        <v>0</v>
      </c>
      <c r="BB242" s="39">
        <v>0</v>
      </c>
      <c r="BC242" s="39">
        <v>0</v>
      </c>
      <c r="BD242" s="39">
        <v>0</v>
      </c>
      <c r="BE242" s="39">
        <v>0</v>
      </c>
      <c r="BF242" s="39">
        <v>0</v>
      </c>
      <c r="BG242" s="39">
        <v>0</v>
      </c>
      <c r="BH242" s="39">
        <v>0</v>
      </c>
      <c r="BI242" s="39">
        <v>0</v>
      </c>
      <c r="BJ242" s="39">
        <v>0</v>
      </c>
      <c r="BK242" s="39">
        <v>0</v>
      </c>
      <c r="BL242" s="39">
        <v>0</v>
      </c>
      <c r="BM242" s="39">
        <v>0</v>
      </c>
      <c r="BN242" s="39">
        <v>0</v>
      </c>
      <c r="BO242" s="39">
        <v>0</v>
      </c>
      <c r="BP242" s="39">
        <v>0</v>
      </c>
      <c r="BQ242" s="39">
        <v>0</v>
      </c>
    </row>
    <row r="243" spans="2:69">
      <c r="J243" s="39"/>
      <c r="K243" s="39"/>
      <c r="L243" s="39"/>
      <c r="M243" s="39"/>
      <c r="N243" s="39"/>
      <c r="O243" s="39"/>
      <c r="P243" s="39"/>
      <c r="Q243" s="39"/>
      <c r="R243" s="39"/>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c r="AX243" s="39"/>
      <c r="AY243" s="39"/>
      <c r="AZ243" s="39"/>
      <c r="BA243" s="39"/>
      <c r="BB243" s="39"/>
      <c r="BC243" s="39"/>
      <c r="BD243" s="39"/>
      <c r="BE243" s="39"/>
      <c r="BF243" s="39"/>
      <c r="BG243" s="39"/>
      <c r="BH243" s="39"/>
      <c r="BI243" s="39"/>
      <c r="BJ243" s="39"/>
      <c r="BK243" s="39"/>
      <c r="BL243" s="39"/>
      <c r="BM243" s="39"/>
      <c r="BN243" s="39"/>
      <c r="BO243" s="39"/>
      <c r="BP243" s="39"/>
      <c r="BQ243" s="39"/>
    </row>
    <row r="244" spans="2:69">
      <c r="B244" s="9"/>
      <c r="C244" s="9"/>
      <c r="D244" s="9"/>
      <c r="E244" s="9"/>
      <c r="F244" s="9"/>
      <c r="G244" s="9"/>
      <c r="H244" s="9"/>
      <c r="I244" s="9"/>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2"/>
      <c r="BH244" s="42"/>
      <c r="BI244" s="42"/>
      <c r="BJ244" s="42"/>
      <c r="BK244" s="42"/>
      <c r="BL244" s="42"/>
      <c r="BM244" s="42"/>
      <c r="BN244" s="42"/>
      <c r="BO244" s="42"/>
      <c r="BP244" s="42"/>
      <c r="BQ244" s="42"/>
    </row>
    <row r="245" spans="2:69">
      <c r="B245" s="4" t="s">
        <v>119</v>
      </c>
      <c r="J245" s="39">
        <f>SUM(J242:J244)</f>
        <v>0</v>
      </c>
      <c r="K245" s="39">
        <f t="shared" ref="K245" si="263">SUM(K242:K244)</f>
        <v>0</v>
      </c>
      <c r="L245" s="39">
        <f t="shared" ref="L245" si="264">SUM(L242:L244)</f>
        <v>0</v>
      </c>
      <c r="M245" s="39">
        <f t="shared" ref="M245" si="265">SUM(M242:M244)</f>
        <v>0</v>
      </c>
      <c r="N245" s="39">
        <f t="shared" ref="N245" si="266">SUM(N242:N244)</f>
        <v>0</v>
      </c>
      <c r="O245" s="39">
        <f t="shared" ref="O245" si="267">SUM(O242:O244)</f>
        <v>0</v>
      </c>
      <c r="P245" s="39">
        <f t="shared" ref="P245" si="268">SUM(P242:P244)</f>
        <v>0</v>
      </c>
      <c r="Q245" s="39">
        <f t="shared" ref="Q245" si="269">SUM(Q242:Q244)</f>
        <v>0</v>
      </c>
      <c r="R245" s="39">
        <f t="shared" ref="R245" si="270">SUM(R242:R244)</f>
        <v>0</v>
      </c>
      <c r="S245" s="39">
        <f t="shared" ref="S245" si="271">SUM(S242:S244)</f>
        <v>0</v>
      </c>
      <c r="T245" s="39">
        <f t="shared" ref="T245" si="272">SUM(T242:T244)</f>
        <v>0</v>
      </c>
      <c r="U245" s="39">
        <f t="shared" ref="U245" si="273">SUM(U242:U244)</f>
        <v>0</v>
      </c>
      <c r="V245" s="39">
        <f t="shared" ref="V245" si="274">SUM(V242:V244)</f>
        <v>0</v>
      </c>
      <c r="W245" s="39">
        <f t="shared" ref="W245" si="275">SUM(W242:W244)</f>
        <v>0</v>
      </c>
      <c r="X245" s="39">
        <f t="shared" ref="X245" si="276">SUM(X242:X244)</f>
        <v>0</v>
      </c>
      <c r="Y245" s="39">
        <f t="shared" ref="Y245" si="277">SUM(Y242:Y244)</f>
        <v>0</v>
      </c>
      <c r="Z245" s="39">
        <f t="shared" ref="Z245" si="278">SUM(Z242:Z244)</f>
        <v>0</v>
      </c>
      <c r="AA245" s="39">
        <f t="shared" ref="AA245" si="279">SUM(AA242:AA244)</f>
        <v>0</v>
      </c>
      <c r="AB245" s="39">
        <f t="shared" ref="AB245" si="280">SUM(AB242:AB244)</f>
        <v>0</v>
      </c>
      <c r="AC245" s="39">
        <f t="shared" ref="AC245" si="281">SUM(AC242:AC244)</f>
        <v>0</v>
      </c>
      <c r="AD245" s="39">
        <f t="shared" ref="AD245" si="282">SUM(AD242:AD244)</f>
        <v>0</v>
      </c>
      <c r="AE245" s="39">
        <f t="shared" ref="AE245" si="283">SUM(AE242:AE244)</f>
        <v>0</v>
      </c>
      <c r="AF245" s="39">
        <f t="shared" ref="AF245" si="284">SUM(AF242:AF244)</f>
        <v>0</v>
      </c>
      <c r="AG245" s="39">
        <f t="shared" ref="AG245" si="285">SUM(AG242:AG244)</f>
        <v>0</v>
      </c>
      <c r="AH245" s="39">
        <f t="shared" ref="AH245" si="286">SUM(AH242:AH244)</f>
        <v>0</v>
      </c>
      <c r="AI245" s="39">
        <f t="shared" ref="AI245" si="287">SUM(AI242:AI244)</f>
        <v>0</v>
      </c>
      <c r="AJ245" s="39">
        <f t="shared" ref="AJ245" si="288">SUM(AJ242:AJ244)</f>
        <v>0</v>
      </c>
      <c r="AK245" s="39">
        <f t="shared" ref="AK245" si="289">SUM(AK242:AK244)</f>
        <v>0</v>
      </c>
      <c r="AL245" s="39">
        <f t="shared" ref="AL245" si="290">SUM(AL242:AL244)</f>
        <v>0</v>
      </c>
      <c r="AM245" s="39">
        <f t="shared" ref="AM245" si="291">SUM(AM242:AM244)</f>
        <v>0</v>
      </c>
      <c r="AN245" s="39">
        <f t="shared" ref="AN245" si="292">SUM(AN242:AN244)</f>
        <v>0</v>
      </c>
      <c r="AO245" s="39">
        <f t="shared" ref="AO245" si="293">SUM(AO242:AO244)</f>
        <v>0</v>
      </c>
      <c r="AP245" s="39">
        <f t="shared" ref="AP245" si="294">SUM(AP242:AP244)</f>
        <v>0</v>
      </c>
      <c r="AQ245" s="39">
        <f t="shared" ref="AQ245" si="295">SUM(AQ242:AQ244)</f>
        <v>0</v>
      </c>
      <c r="AR245" s="39">
        <f t="shared" ref="AR245" si="296">SUM(AR242:AR244)</f>
        <v>0</v>
      </c>
      <c r="AS245" s="39">
        <f t="shared" ref="AS245" si="297">SUM(AS242:AS244)</f>
        <v>0</v>
      </c>
      <c r="AT245" s="39">
        <f t="shared" ref="AT245" si="298">SUM(AT242:AT244)</f>
        <v>0</v>
      </c>
      <c r="AU245" s="39">
        <f t="shared" ref="AU245" si="299">SUM(AU242:AU244)</f>
        <v>0</v>
      </c>
      <c r="AV245" s="39">
        <f t="shared" ref="AV245" si="300">SUM(AV242:AV244)</f>
        <v>0</v>
      </c>
      <c r="AW245" s="39">
        <f t="shared" ref="AW245" si="301">SUM(AW242:AW244)</f>
        <v>0</v>
      </c>
      <c r="AX245" s="39">
        <f t="shared" ref="AX245" si="302">SUM(AX242:AX244)</f>
        <v>0</v>
      </c>
      <c r="AY245" s="39">
        <f t="shared" ref="AY245" si="303">SUM(AY242:AY244)</f>
        <v>0</v>
      </c>
      <c r="AZ245" s="39">
        <f t="shared" ref="AZ245" si="304">SUM(AZ242:AZ244)</f>
        <v>0</v>
      </c>
      <c r="BA245" s="39">
        <f t="shared" ref="BA245" si="305">SUM(BA242:BA244)</f>
        <v>0</v>
      </c>
      <c r="BB245" s="39">
        <f t="shared" ref="BB245" si="306">SUM(BB242:BB244)</f>
        <v>0</v>
      </c>
      <c r="BC245" s="39">
        <f t="shared" ref="BC245" si="307">SUM(BC242:BC244)</f>
        <v>0</v>
      </c>
      <c r="BD245" s="39">
        <f t="shared" ref="BD245" si="308">SUM(BD242:BD244)</f>
        <v>0</v>
      </c>
      <c r="BE245" s="39">
        <f t="shared" ref="BE245:BQ245" si="309">SUM(BE242:BE244)</f>
        <v>0</v>
      </c>
      <c r="BF245" s="39">
        <f t="shared" si="309"/>
        <v>0</v>
      </c>
      <c r="BG245" s="39">
        <f t="shared" si="309"/>
        <v>0</v>
      </c>
      <c r="BH245" s="39">
        <f t="shared" si="309"/>
        <v>0</v>
      </c>
      <c r="BI245" s="39">
        <f t="shared" si="309"/>
        <v>0</v>
      </c>
      <c r="BJ245" s="39">
        <f t="shared" si="309"/>
        <v>0</v>
      </c>
      <c r="BK245" s="39">
        <f t="shared" si="309"/>
        <v>0</v>
      </c>
      <c r="BL245" s="39">
        <f t="shared" si="309"/>
        <v>0</v>
      </c>
      <c r="BM245" s="39">
        <f t="shared" si="309"/>
        <v>0</v>
      </c>
      <c r="BN245" s="39">
        <f t="shared" si="309"/>
        <v>0</v>
      </c>
      <c r="BO245" s="39">
        <f t="shared" si="309"/>
        <v>0</v>
      </c>
      <c r="BP245" s="39">
        <f t="shared" si="309"/>
        <v>0</v>
      </c>
      <c r="BQ245" s="39">
        <f t="shared" si="309"/>
        <v>0</v>
      </c>
    </row>
    <row r="246" spans="2:6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39"/>
      <c r="BE246" s="39"/>
      <c r="BF246" s="39"/>
      <c r="BG246" s="39"/>
      <c r="BH246" s="39"/>
      <c r="BI246" s="39"/>
      <c r="BJ246" s="39"/>
      <c r="BK246" s="39"/>
      <c r="BL246" s="39"/>
      <c r="BM246" s="39"/>
      <c r="BN246" s="39"/>
      <c r="BO246" s="39"/>
      <c r="BP246" s="39"/>
      <c r="BQ246" s="39"/>
    </row>
    <row r="247" spans="2:6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39"/>
      <c r="BE247" s="39"/>
      <c r="BF247" s="39"/>
      <c r="BG247" s="39"/>
      <c r="BH247" s="39"/>
      <c r="BI247" s="39"/>
      <c r="BJ247" s="39"/>
      <c r="BK247" s="39"/>
      <c r="BL247" s="39"/>
      <c r="BM247" s="39"/>
      <c r="BN247" s="39"/>
      <c r="BO247" s="39"/>
      <c r="BP247" s="39"/>
      <c r="BQ247" s="39"/>
    </row>
    <row r="248" spans="2:69">
      <c r="B248" s="3" t="s">
        <v>120</v>
      </c>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39"/>
      <c r="BE248" s="39"/>
      <c r="BF248" s="39"/>
      <c r="BG248" s="39"/>
      <c r="BH248" s="39"/>
      <c r="BI248" s="39"/>
      <c r="BJ248" s="39"/>
      <c r="BK248" s="39"/>
      <c r="BL248" s="39"/>
      <c r="BM248" s="39"/>
      <c r="BN248" s="39"/>
      <c r="BO248" s="39"/>
      <c r="BP248" s="39"/>
      <c r="BQ248" s="39"/>
    </row>
    <row r="249" spans="2:69">
      <c r="J249" s="39">
        <v>0</v>
      </c>
      <c r="K249" s="39">
        <v>0</v>
      </c>
      <c r="L249" s="39">
        <v>0</v>
      </c>
      <c r="M249" s="39">
        <v>0</v>
      </c>
      <c r="N249" s="39">
        <v>0</v>
      </c>
      <c r="O249" s="39">
        <v>0</v>
      </c>
      <c r="P249" s="39">
        <v>0</v>
      </c>
      <c r="Q249" s="39">
        <v>0</v>
      </c>
      <c r="R249" s="39">
        <v>0</v>
      </c>
      <c r="S249" s="39">
        <v>0</v>
      </c>
      <c r="T249" s="39">
        <v>0</v>
      </c>
      <c r="U249" s="39">
        <v>0</v>
      </c>
      <c r="V249" s="39">
        <v>0</v>
      </c>
      <c r="W249" s="39">
        <v>0</v>
      </c>
      <c r="X249" s="39">
        <v>0</v>
      </c>
      <c r="Y249" s="39">
        <v>0</v>
      </c>
      <c r="Z249" s="39">
        <v>0</v>
      </c>
      <c r="AA249" s="39">
        <v>0</v>
      </c>
      <c r="AB249" s="39">
        <v>0</v>
      </c>
      <c r="AC249" s="39">
        <v>0</v>
      </c>
      <c r="AD249" s="39">
        <v>0</v>
      </c>
      <c r="AE249" s="39">
        <v>0</v>
      </c>
      <c r="AF249" s="39">
        <v>0</v>
      </c>
      <c r="AG249" s="39">
        <v>0</v>
      </c>
      <c r="AH249" s="39">
        <v>0</v>
      </c>
      <c r="AI249" s="39">
        <v>0</v>
      </c>
      <c r="AJ249" s="39">
        <v>0</v>
      </c>
      <c r="AK249" s="39">
        <v>0</v>
      </c>
      <c r="AL249" s="39">
        <v>0</v>
      </c>
      <c r="AM249" s="39">
        <v>0</v>
      </c>
      <c r="AN249" s="39">
        <v>0</v>
      </c>
      <c r="AO249" s="39">
        <v>0</v>
      </c>
      <c r="AP249" s="39">
        <v>0</v>
      </c>
      <c r="AQ249" s="39">
        <v>0</v>
      </c>
      <c r="AR249" s="39">
        <v>0</v>
      </c>
      <c r="AS249" s="39">
        <v>0</v>
      </c>
      <c r="AT249" s="39">
        <v>0</v>
      </c>
      <c r="AU249" s="39">
        <v>0</v>
      </c>
      <c r="AV249" s="39">
        <v>0</v>
      </c>
      <c r="AW249" s="39">
        <v>0</v>
      </c>
      <c r="AX249" s="39">
        <v>0</v>
      </c>
      <c r="AY249" s="39">
        <v>0</v>
      </c>
      <c r="AZ249" s="39">
        <v>0</v>
      </c>
      <c r="BA249" s="39">
        <v>0</v>
      </c>
      <c r="BB249" s="39">
        <v>0</v>
      </c>
      <c r="BC249" s="39">
        <v>0</v>
      </c>
      <c r="BD249" s="39">
        <v>0</v>
      </c>
      <c r="BE249" s="39">
        <v>0</v>
      </c>
      <c r="BF249" s="39">
        <v>0</v>
      </c>
      <c r="BG249" s="39">
        <v>0</v>
      </c>
      <c r="BH249" s="39">
        <v>0</v>
      </c>
      <c r="BI249" s="39">
        <v>0</v>
      </c>
      <c r="BJ249" s="39">
        <v>0</v>
      </c>
      <c r="BK249" s="39">
        <v>0</v>
      </c>
      <c r="BL249" s="39">
        <v>0</v>
      </c>
      <c r="BM249" s="39">
        <v>0</v>
      </c>
      <c r="BN249" s="39">
        <v>0</v>
      </c>
      <c r="BO249" s="39">
        <v>0</v>
      </c>
      <c r="BP249" s="39">
        <v>0</v>
      </c>
      <c r="BQ249" s="39">
        <v>0</v>
      </c>
    </row>
    <row r="250" spans="2:6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39"/>
      <c r="BE250" s="39"/>
      <c r="BF250" s="39"/>
      <c r="BG250" s="39"/>
      <c r="BH250" s="39"/>
      <c r="BI250" s="39"/>
      <c r="BJ250" s="39"/>
      <c r="BK250" s="39"/>
      <c r="BL250" s="39"/>
      <c r="BM250" s="39"/>
      <c r="BN250" s="39"/>
      <c r="BO250" s="39"/>
      <c r="BP250" s="39"/>
      <c r="BQ250" s="39"/>
    </row>
    <row r="251" spans="2:69">
      <c r="B251" s="9"/>
      <c r="C251" s="9"/>
      <c r="D251" s="9"/>
      <c r="E251" s="9"/>
      <c r="F251" s="9"/>
      <c r="G251" s="9"/>
      <c r="H251" s="9"/>
      <c r="I251" s="9"/>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2"/>
      <c r="BH251" s="42"/>
      <c r="BI251" s="42"/>
      <c r="BJ251" s="42"/>
      <c r="BK251" s="42"/>
      <c r="BL251" s="42"/>
      <c r="BM251" s="42"/>
      <c r="BN251" s="42"/>
      <c r="BO251" s="42"/>
      <c r="BP251" s="42"/>
      <c r="BQ251" s="42"/>
    </row>
    <row r="252" spans="2:69">
      <c r="B252" s="4" t="s">
        <v>121</v>
      </c>
      <c r="J252" s="39">
        <f>SUM(J249:J251)</f>
        <v>0</v>
      </c>
      <c r="K252" s="39">
        <f t="shared" ref="K252" si="310">SUM(K249:K251)</f>
        <v>0</v>
      </c>
      <c r="L252" s="39">
        <f t="shared" ref="L252" si="311">SUM(L249:L251)</f>
        <v>0</v>
      </c>
      <c r="M252" s="39">
        <f t="shared" ref="M252" si="312">SUM(M249:M251)</f>
        <v>0</v>
      </c>
      <c r="N252" s="39">
        <f t="shared" ref="N252" si="313">SUM(N249:N251)</f>
        <v>0</v>
      </c>
      <c r="O252" s="39">
        <f t="shared" ref="O252" si="314">SUM(O249:O251)</f>
        <v>0</v>
      </c>
      <c r="P252" s="39">
        <f t="shared" ref="P252" si="315">SUM(P249:P251)</f>
        <v>0</v>
      </c>
      <c r="Q252" s="39">
        <f t="shared" ref="Q252" si="316">SUM(Q249:Q251)</f>
        <v>0</v>
      </c>
      <c r="R252" s="39">
        <f t="shared" ref="R252" si="317">SUM(R249:R251)</f>
        <v>0</v>
      </c>
      <c r="S252" s="39">
        <f t="shared" ref="S252" si="318">SUM(S249:S251)</f>
        <v>0</v>
      </c>
      <c r="T252" s="39">
        <f t="shared" ref="T252" si="319">SUM(T249:T251)</f>
        <v>0</v>
      </c>
      <c r="U252" s="39">
        <f t="shared" ref="U252" si="320">SUM(U249:U251)</f>
        <v>0</v>
      </c>
      <c r="V252" s="39">
        <f t="shared" ref="V252" si="321">SUM(V249:V251)</f>
        <v>0</v>
      </c>
      <c r="W252" s="39">
        <f t="shared" ref="W252" si="322">SUM(W249:W251)</f>
        <v>0</v>
      </c>
      <c r="X252" s="39">
        <f t="shared" ref="X252" si="323">SUM(X249:X251)</f>
        <v>0</v>
      </c>
      <c r="Y252" s="39">
        <f t="shared" ref="Y252" si="324">SUM(Y249:Y251)</f>
        <v>0</v>
      </c>
      <c r="Z252" s="39">
        <f t="shared" ref="Z252" si="325">SUM(Z249:Z251)</f>
        <v>0</v>
      </c>
      <c r="AA252" s="39">
        <f t="shared" ref="AA252" si="326">SUM(AA249:AA251)</f>
        <v>0</v>
      </c>
      <c r="AB252" s="39">
        <f t="shared" ref="AB252" si="327">SUM(AB249:AB251)</f>
        <v>0</v>
      </c>
      <c r="AC252" s="39">
        <f t="shared" ref="AC252" si="328">SUM(AC249:AC251)</f>
        <v>0</v>
      </c>
      <c r="AD252" s="39">
        <f t="shared" ref="AD252" si="329">SUM(AD249:AD251)</f>
        <v>0</v>
      </c>
      <c r="AE252" s="39">
        <f t="shared" ref="AE252" si="330">SUM(AE249:AE251)</f>
        <v>0</v>
      </c>
      <c r="AF252" s="39">
        <f t="shared" ref="AF252" si="331">SUM(AF249:AF251)</f>
        <v>0</v>
      </c>
      <c r="AG252" s="39">
        <f t="shared" ref="AG252" si="332">SUM(AG249:AG251)</f>
        <v>0</v>
      </c>
      <c r="AH252" s="39">
        <f t="shared" ref="AH252" si="333">SUM(AH249:AH251)</f>
        <v>0</v>
      </c>
      <c r="AI252" s="39">
        <f t="shared" ref="AI252" si="334">SUM(AI249:AI251)</f>
        <v>0</v>
      </c>
      <c r="AJ252" s="39">
        <f t="shared" ref="AJ252" si="335">SUM(AJ249:AJ251)</f>
        <v>0</v>
      </c>
      <c r="AK252" s="39">
        <f t="shared" ref="AK252" si="336">SUM(AK249:AK251)</f>
        <v>0</v>
      </c>
      <c r="AL252" s="39">
        <f t="shared" ref="AL252" si="337">SUM(AL249:AL251)</f>
        <v>0</v>
      </c>
      <c r="AM252" s="39">
        <f t="shared" ref="AM252" si="338">SUM(AM249:AM251)</f>
        <v>0</v>
      </c>
      <c r="AN252" s="39">
        <f t="shared" ref="AN252" si="339">SUM(AN249:AN251)</f>
        <v>0</v>
      </c>
      <c r="AO252" s="39">
        <f t="shared" ref="AO252" si="340">SUM(AO249:AO251)</f>
        <v>0</v>
      </c>
      <c r="AP252" s="39">
        <f t="shared" ref="AP252" si="341">SUM(AP249:AP251)</f>
        <v>0</v>
      </c>
      <c r="AQ252" s="39">
        <f t="shared" ref="AQ252" si="342">SUM(AQ249:AQ251)</f>
        <v>0</v>
      </c>
      <c r="AR252" s="39">
        <f t="shared" ref="AR252" si="343">SUM(AR249:AR251)</f>
        <v>0</v>
      </c>
      <c r="AS252" s="39">
        <f t="shared" ref="AS252" si="344">SUM(AS249:AS251)</f>
        <v>0</v>
      </c>
      <c r="AT252" s="39">
        <f t="shared" ref="AT252" si="345">SUM(AT249:AT251)</f>
        <v>0</v>
      </c>
      <c r="AU252" s="39">
        <f t="shared" ref="AU252" si="346">SUM(AU249:AU251)</f>
        <v>0</v>
      </c>
      <c r="AV252" s="39">
        <f t="shared" ref="AV252" si="347">SUM(AV249:AV251)</f>
        <v>0</v>
      </c>
      <c r="AW252" s="39">
        <f t="shared" ref="AW252" si="348">SUM(AW249:AW251)</f>
        <v>0</v>
      </c>
      <c r="AX252" s="39">
        <f t="shared" ref="AX252" si="349">SUM(AX249:AX251)</f>
        <v>0</v>
      </c>
      <c r="AY252" s="39">
        <f t="shared" ref="AY252" si="350">SUM(AY249:AY251)</f>
        <v>0</v>
      </c>
      <c r="AZ252" s="39">
        <f t="shared" ref="AZ252" si="351">SUM(AZ249:AZ251)</f>
        <v>0</v>
      </c>
      <c r="BA252" s="39">
        <f t="shared" ref="BA252" si="352">SUM(BA249:BA251)</f>
        <v>0</v>
      </c>
      <c r="BB252" s="39">
        <f t="shared" ref="BB252" si="353">SUM(BB249:BB251)</f>
        <v>0</v>
      </c>
      <c r="BC252" s="39">
        <f t="shared" ref="BC252" si="354">SUM(BC249:BC251)</f>
        <v>0</v>
      </c>
      <c r="BD252" s="39">
        <f t="shared" ref="BD252" si="355">SUM(BD249:BD251)</f>
        <v>0</v>
      </c>
      <c r="BE252" s="39">
        <f t="shared" ref="BE252:BQ252" si="356">SUM(BE249:BE251)</f>
        <v>0</v>
      </c>
      <c r="BF252" s="39">
        <f t="shared" si="356"/>
        <v>0</v>
      </c>
      <c r="BG252" s="39">
        <f t="shared" si="356"/>
        <v>0</v>
      </c>
      <c r="BH252" s="39">
        <f t="shared" si="356"/>
        <v>0</v>
      </c>
      <c r="BI252" s="39">
        <f t="shared" si="356"/>
        <v>0</v>
      </c>
      <c r="BJ252" s="39">
        <f t="shared" si="356"/>
        <v>0</v>
      </c>
      <c r="BK252" s="39">
        <f t="shared" si="356"/>
        <v>0</v>
      </c>
      <c r="BL252" s="39">
        <f t="shared" si="356"/>
        <v>0</v>
      </c>
      <c r="BM252" s="39">
        <f t="shared" si="356"/>
        <v>0</v>
      </c>
      <c r="BN252" s="39">
        <f t="shared" si="356"/>
        <v>0</v>
      </c>
      <c r="BO252" s="39">
        <f t="shared" si="356"/>
        <v>0</v>
      </c>
      <c r="BP252" s="39">
        <f t="shared" si="356"/>
        <v>0</v>
      </c>
      <c r="BQ252" s="39">
        <f t="shared" si="356"/>
        <v>0</v>
      </c>
    </row>
    <row r="253" spans="2:6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39"/>
      <c r="BE253" s="39"/>
    </row>
    <row r="254" spans="2:6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39"/>
      <c r="BE254" s="39"/>
    </row>
    <row r="255" spans="2:6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39"/>
      <c r="BE255" s="39"/>
    </row>
    <row r="256" spans="2:6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39"/>
      <c r="BE256" s="39"/>
    </row>
    <row r="257" spans="10:57">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39"/>
      <c r="BE257" s="39"/>
    </row>
    <row r="258" spans="10:57">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39"/>
      <c r="BE258" s="39"/>
    </row>
  </sheetData>
  <phoneticPr fontId="15" type="noConversion"/>
  <pageMargins left="0.7" right="0.7" top="0.75" bottom="0.75" header="0.3" footer="0.3"/>
  <pageSetup paperSize="9" orientation="portrait" horizontalDpi="1200" verticalDpi="120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V88"/>
  <sheetViews>
    <sheetView workbookViewId="0">
      <pane xSplit="3" ySplit="4" topLeftCell="AO5" activePane="bottomRight" state="frozen"/>
      <selection pane="topRight" activeCell="D1" sqref="D1"/>
      <selection pane="bottomLeft" activeCell="A5" sqref="A5"/>
      <selection pane="bottomRight" activeCell="AV93" sqref="AV93"/>
    </sheetView>
  </sheetViews>
  <sheetFormatPr defaultColWidth="8.77734375" defaultRowHeight="14.4"/>
  <cols>
    <col min="2" max="2" width="15.77734375" customWidth="1"/>
    <col min="3" max="3" width="10.77734375" bestFit="1" customWidth="1"/>
    <col min="10" max="10" width="9.109375" bestFit="1" customWidth="1"/>
    <col min="12" max="12" width="9.33203125" bestFit="1" customWidth="1"/>
    <col min="24" max="24" width="9.33203125" bestFit="1" customWidth="1"/>
    <col min="36" max="36" width="9.33203125" bestFit="1" customWidth="1"/>
    <col min="48" max="48" width="9.33203125" bestFit="1" customWidth="1"/>
    <col min="60" max="60" width="9.33203125" bestFit="1" customWidth="1"/>
  </cols>
  <sheetData>
    <row r="1" spans="1:74">
      <c r="A1" s="3" t="s">
        <v>80</v>
      </c>
    </row>
    <row r="2" spans="1:74">
      <c r="A2" s="3" t="s">
        <v>184</v>
      </c>
      <c r="J2" s="1">
        <f>Timing!J2</f>
        <v>44986</v>
      </c>
      <c r="K2" s="1">
        <f>Timing!K2</f>
        <v>45017</v>
      </c>
      <c r="L2" s="1">
        <f>Timing!L2</f>
        <v>45047</v>
      </c>
      <c r="M2" s="1">
        <f>Timing!M2</f>
        <v>45078</v>
      </c>
      <c r="N2" s="1">
        <f>Timing!N2</f>
        <v>45108</v>
      </c>
      <c r="O2" s="1">
        <f>Timing!O2</f>
        <v>45139</v>
      </c>
      <c r="P2" s="1">
        <f>Timing!P2</f>
        <v>45170</v>
      </c>
      <c r="Q2" s="1">
        <f>Timing!Q2</f>
        <v>45200</v>
      </c>
      <c r="R2" s="1">
        <f>Timing!R2</f>
        <v>45231</v>
      </c>
      <c r="S2" s="1">
        <f>Timing!S2</f>
        <v>45261</v>
      </c>
      <c r="T2" s="1">
        <f>Timing!T2</f>
        <v>45292</v>
      </c>
      <c r="U2" s="1">
        <f>Timing!U2</f>
        <v>45323</v>
      </c>
      <c r="V2" s="1">
        <f>Timing!V2</f>
        <v>45352</v>
      </c>
      <c r="W2" s="1">
        <f>Timing!W2</f>
        <v>45383</v>
      </c>
      <c r="X2" s="1">
        <f>Timing!X2</f>
        <v>45413</v>
      </c>
      <c r="Y2" s="1">
        <f>Timing!Y2</f>
        <v>45444</v>
      </c>
      <c r="Z2" s="1">
        <f>Timing!Z2</f>
        <v>45474</v>
      </c>
      <c r="AA2" s="1">
        <f>Timing!AA2</f>
        <v>45505</v>
      </c>
      <c r="AB2" s="1">
        <f>Timing!AB2</f>
        <v>45536</v>
      </c>
      <c r="AC2" s="1">
        <f>Timing!AC2</f>
        <v>45566</v>
      </c>
      <c r="AD2" s="1">
        <f>Timing!AD2</f>
        <v>45597</v>
      </c>
      <c r="AE2" s="1">
        <f>Timing!AE2</f>
        <v>45627</v>
      </c>
      <c r="AF2" s="1">
        <f>Timing!AF2</f>
        <v>45658</v>
      </c>
      <c r="AG2" s="1">
        <f>Timing!AG2</f>
        <v>45689</v>
      </c>
      <c r="AH2" s="1">
        <f>Timing!AH2</f>
        <v>45717</v>
      </c>
      <c r="AI2" s="1">
        <f>Timing!AI2</f>
        <v>45748</v>
      </c>
      <c r="AJ2" s="1">
        <f>Timing!AJ2</f>
        <v>45778</v>
      </c>
      <c r="AK2" s="1">
        <f>Timing!AK2</f>
        <v>45809</v>
      </c>
      <c r="AL2" s="1">
        <f>Timing!AL2</f>
        <v>45839</v>
      </c>
      <c r="AM2" s="1">
        <f>Timing!AM2</f>
        <v>45870</v>
      </c>
      <c r="AN2" s="1">
        <f>Timing!AN2</f>
        <v>45901</v>
      </c>
      <c r="AO2" s="1">
        <f>Timing!AO2</f>
        <v>45931</v>
      </c>
      <c r="AP2" s="1">
        <f>Timing!AP2</f>
        <v>45962</v>
      </c>
      <c r="AQ2" s="1">
        <f>Timing!AQ2</f>
        <v>45992</v>
      </c>
      <c r="AR2" s="1">
        <f>Timing!AR2</f>
        <v>46023</v>
      </c>
      <c r="AS2" s="1">
        <f>Timing!AS2</f>
        <v>46054</v>
      </c>
      <c r="AT2" s="1">
        <f>Timing!AT2</f>
        <v>46082</v>
      </c>
      <c r="AU2" s="1">
        <f>Timing!AU2</f>
        <v>46113</v>
      </c>
      <c r="AV2" s="1">
        <f>Timing!AV2</f>
        <v>46143</v>
      </c>
      <c r="AW2" s="1">
        <f>Timing!AW2</f>
        <v>46174</v>
      </c>
      <c r="AX2" s="1">
        <f>Timing!AX2</f>
        <v>46204</v>
      </c>
      <c r="AY2" s="1">
        <f>Timing!AY2</f>
        <v>46235</v>
      </c>
      <c r="AZ2" s="1">
        <f>Timing!AZ2</f>
        <v>46266</v>
      </c>
      <c r="BA2" s="1">
        <f>Timing!BA2</f>
        <v>46296</v>
      </c>
      <c r="BB2" s="1">
        <f>Timing!BB2</f>
        <v>46327</v>
      </c>
      <c r="BC2" s="1">
        <f>Timing!BC2</f>
        <v>46357</v>
      </c>
      <c r="BD2" s="1">
        <f>Timing!BD2</f>
        <v>46388</v>
      </c>
      <c r="BE2" s="1">
        <f>Timing!BE2</f>
        <v>46419</v>
      </c>
      <c r="BF2" s="1">
        <f>Timing!BF2</f>
        <v>46447</v>
      </c>
      <c r="BG2" s="1">
        <f>Timing!BG2</f>
        <v>46478</v>
      </c>
      <c r="BH2" s="1">
        <f>Timing!BH2</f>
        <v>46508</v>
      </c>
      <c r="BI2" s="1">
        <f>Timing!BI2</f>
        <v>46539</v>
      </c>
      <c r="BJ2" s="1">
        <f>Timing!BJ2</f>
        <v>46569</v>
      </c>
      <c r="BK2" s="1">
        <f>Timing!BK2</f>
        <v>46600</v>
      </c>
      <c r="BL2" s="1">
        <f>Timing!BL2</f>
        <v>46631</v>
      </c>
      <c r="BM2" s="1">
        <f>Timing!BM2</f>
        <v>46661</v>
      </c>
      <c r="BN2" s="1">
        <f>Timing!BN2</f>
        <v>46692</v>
      </c>
      <c r="BO2" s="1">
        <f>Timing!BO2</f>
        <v>46722</v>
      </c>
      <c r="BP2" s="1">
        <f>Timing!BP2</f>
        <v>46753</v>
      </c>
      <c r="BQ2" s="1">
        <f>Timing!BQ2</f>
        <v>46784</v>
      </c>
      <c r="BR2" s="1"/>
      <c r="BS2" s="1"/>
      <c r="BT2" s="1"/>
      <c r="BU2" s="1"/>
      <c r="BV2" s="1"/>
    </row>
    <row r="3" spans="1:74">
      <c r="J3" s="1">
        <f>Timing!J3</f>
        <v>45016</v>
      </c>
      <c r="K3" s="1">
        <f>Timing!K3</f>
        <v>45046</v>
      </c>
      <c r="L3" s="1">
        <f>Timing!L3</f>
        <v>45077</v>
      </c>
      <c r="M3" s="1">
        <f>Timing!M3</f>
        <v>45107</v>
      </c>
      <c r="N3" s="1">
        <f>Timing!N3</f>
        <v>45138</v>
      </c>
      <c r="O3" s="1">
        <f>Timing!O3</f>
        <v>45169</v>
      </c>
      <c r="P3" s="1">
        <f>Timing!P3</f>
        <v>45199</v>
      </c>
      <c r="Q3" s="1">
        <f>Timing!Q3</f>
        <v>45230</v>
      </c>
      <c r="R3" s="1">
        <f>Timing!R3</f>
        <v>45260</v>
      </c>
      <c r="S3" s="1">
        <f>Timing!S3</f>
        <v>45291</v>
      </c>
      <c r="T3" s="1">
        <f>Timing!T3</f>
        <v>45322</v>
      </c>
      <c r="U3" s="1">
        <f>Timing!U3</f>
        <v>45351</v>
      </c>
      <c r="V3" s="1">
        <f>Timing!V3</f>
        <v>45382</v>
      </c>
      <c r="W3" s="1">
        <f>Timing!W3</f>
        <v>45412</v>
      </c>
      <c r="X3" s="1">
        <f>Timing!X3</f>
        <v>45443</v>
      </c>
      <c r="Y3" s="1">
        <f>Timing!Y3</f>
        <v>45473</v>
      </c>
      <c r="Z3" s="1">
        <f>Timing!Z3</f>
        <v>45504</v>
      </c>
      <c r="AA3" s="1">
        <f>Timing!AA3</f>
        <v>45535</v>
      </c>
      <c r="AB3" s="1">
        <f>Timing!AB3</f>
        <v>45565</v>
      </c>
      <c r="AC3" s="1">
        <f>Timing!AC3</f>
        <v>45596</v>
      </c>
      <c r="AD3" s="1">
        <f>Timing!AD3</f>
        <v>45626</v>
      </c>
      <c r="AE3" s="1">
        <f>Timing!AE3</f>
        <v>45657</v>
      </c>
      <c r="AF3" s="1">
        <f>Timing!AF3</f>
        <v>45688</v>
      </c>
      <c r="AG3" s="1">
        <f>Timing!AG3</f>
        <v>45716</v>
      </c>
      <c r="AH3" s="1">
        <f>Timing!AH3</f>
        <v>45747</v>
      </c>
      <c r="AI3" s="1">
        <f>Timing!AI3</f>
        <v>45777</v>
      </c>
      <c r="AJ3" s="1">
        <f>Timing!AJ3</f>
        <v>45808</v>
      </c>
      <c r="AK3" s="1">
        <f>Timing!AK3</f>
        <v>45838</v>
      </c>
      <c r="AL3" s="1">
        <f>Timing!AL3</f>
        <v>45869</v>
      </c>
      <c r="AM3" s="1">
        <f>Timing!AM3</f>
        <v>45900</v>
      </c>
      <c r="AN3" s="1">
        <f>Timing!AN3</f>
        <v>45930</v>
      </c>
      <c r="AO3" s="1">
        <f>Timing!AO3</f>
        <v>45961</v>
      </c>
      <c r="AP3" s="1">
        <f>Timing!AP3</f>
        <v>45991</v>
      </c>
      <c r="AQ3" s="1">
        <f>Timing!AQ3</f>
        <v>46022</v>
      </c>
      <c r="AR3" s="1">
        <f>Timing!AR3</f>
        <v>46053</v>
      </c>
      <c r="AS3" s="1">
        <f>Timing!AS3</f>
        <v>46081</v>
      </c>
      <c r="AT3" s="1">
        <f>Timing!AT3</f>
        <v>46112</v>
      </c>
      <c r="AU3" s="1">
        <f>Timing!AU3</f>
        <v>46142</v>
      </c>
      <c r="AV3" s="1">
        <f>Timing!AV3</f>
        <v>46173</v>
      </c>
      <c r="AW3" s="1">
        <f>Timing!AW3</f>
        <v>46203</v>
      </c>
      <c r="AX3" s="1">
        <f>Timing!AX3</f>
        <v>46234</v>
      </c>
      <c r="AY3" s="1">
        <f>Timing!AY3</f>
        <v>46265</v>
      </c>
      <c r="AZ3" s="1">
        <f>Timing!AZ3</f>
        <v>46295</v>
      </c>
      <c r="BA3" s="1">
        <f>Timing!BA3</f>
        <v>46326</v>
      </c>
      <c r="BB3" s="1">
        <f>Timing!BB3</f>
        <v>46356</v>
      </c>
      <c r="BC3" s="1">
        <f>Timing!BC3</f>
        <v>46387</v>
      </c>
      <c r="BD3" s="1">
        <f>Timing!BD3</f>
        <v>46418</v>
      </c>
      <c r="BE3" s="1">
        <f>Timing!BE3</f>
        <v>46446</v>
      </c>
      <c r="BF3" s="1">
        <f>Timing!BF3</f>
        <v>46477</v>
      </c>
      <c r="BG3" s="1">
        <f>Timing!BG3</f>
        <v>46507</v>
      </c>
      <c r="BH3" s="1">
        <f>Timing!BH3</f>
        <v>46538</v>
      </c>
      <c r="BI3" s="1">
        <f>Timing!BI3</f>
        <v>46568</v>
      </c>
      <c r="BJ3" s="1">
        <f>Timing!BJ3</f>
        <v>46599</v>
      </c>
      <c r="BK3" s="1">
        <f>Timing!BK3</f>
        <v>46630</v>
      </c>
      <c r="BL3" s="1">
        <f>Timing!BL3</f>
        <v>46660</v>
      </c>
      <c r="BM3" s="1">
        <f>Timing!BM3</f>
        <v>46691</v>
      </c>
      <c r="BN3" s="1">
        <f>Timing!BN3</f>
        <v>46721</v>
      </c>
      <c r="BO3" s="1">
        <f>Timing!BO3</f>
        <v>46752</v>
      </c>
      <c r="BP3" s="1">
        <f>Timing!BP3</f>
        <v>46783</v>
      </c>
      <c r="BQ3" s="1">
        <f>Timing!BQ3</f>
        <v>46812</v>
      </c>
      <c r="BR3" s="1"/>
      <c r="BS3" s="1"/>
      <c r="BT3" s="1"/>
      <c r="BU3" s="1"/>
      <c r="BV3" s="1"/>
    </row>
    <row r="5" spans="1:74">
      <c r="B5" s="2" t="s">
        <v>104</v>
      </c>
    </row>
    <row r="6" spans="1:74">
      <c r="B6" t="s">
        <v>298</v>
      </c>
      <c r="J6">
        <v>0</v>
      </c>
      <c r="K6">
        <v>0</v>
      </c>
      <c r="L6">
        <v>0</v>
      </c>
      <c r="M6">
        <v>0</v>
      </c>
      <c r="N6">
        <v>0</v>
      </c>
      <c r="O6">
        <v>0</v>
      </c>
      <c r="P6">
        <v>0</v>
      </c>
      <c r="Q6">
        <v>0</v>
      </c>
      <c r="R6">
        <v>0</v>
      </c>
      <c r="S6">
        <v>0</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c r="BH6">
        <v>1</v>
      </c>
      <c r="BI6">
        <v>1</v>
      </c>
      <c r="BJ6">
        <v>1</v>
      </c>
      <c r="BK6">
        <v>1</v>
      </c>
      <c r="BL6">
        <v>1</v>
      </c>
      <c r="BM6">
        <v>1</v>
      </c>
      <c r="BN6">
        <v>1</v>
      </c>
      <c r="BO6">
        <v>1</v>
      </c>
      <c r="BP6">
        <v>1</v>
      </c>
      <c r="BQ6">
        <v>1</v>
      </c>
    </row>
    <row r="7" spans="1:74">
      <c r="B7" t="s">
        <v>358</v>
      </c>
      <c r="J7">
        <v>0</v>
      </c>
      <c r="K7">
        <v>0</v>
      </c>
      <c r="L7">
        <v>0</v>
      </c>
      <c r="M7">
        <v>0</v>
      </c>
      <c r="N7">
        <v>0</v>
      </c>
      <c r="O7">
        <v>0</v>
      </c>
      <c r="P7">
        <v>0</v>
      </c>
      <c r="Q7">
        <v>0</v>
      </c>
      <c r="R7">
        <v>0</v>
      </c>
      <c r="S7">
        <v>0</v>
      </c>
      <c r="T7">
        <v>0</v>
      </c>
      <c r="U7">
        <v>0</v>
      </c>
      <c r="V7">
        <v>0</v>
      </c>
      <c r="W7">
        <v>3</v>
      </c>
      <c r="X7">
        <v>3</v>
      </c>
      <c r="Y7">
        <v>3</v>
      </c>
      <c r="Z7">
        <v>3</v>
      </c>
      <c r="AA7">
        <v>3</v>
      </c>
      <c r="AB7">
        <v>3</v>
      </c>
      <c r="AC7">
        <v>3</v>
      </c>
      <c r="AD7">
        <v>3</v>
      </c>
      <c r="AE7">
        <v>3</v>
      </c>
      <c r="AF7">
        <v>3</v>
      </c>
      <c r="AG7">
        <v>3</v>
      </c>
      <c r="AH7">
        <v>3</v>
      </c>
      <c r="AI7">
        <v>3</v>
      </c>
      <c r="AJ7">
        <v>3</v>
      </c>
      <c r="AK7">
        <v>3</v>
      </c>
      <c r="AL7">
        <v>3</v>
      </c>
      <c r="AM7">
        <v>3</v>
      </c>
      <c r="AN7">
        <v>3</v>
      </c>
      <c r="AO7">
        <v>3</v>
      </c>
      <c r="AP7">
        <v>3</v>
      </c>
      <c r="AQ7">
        <v>3</v>
      </c>
      <c r="AR7">
        <v>3</v>
      </c>
      <c r="AS7">
        <v>3</v>
      </c>
      <c r="AT7">
        <v>3</v>
      </c>
      <c r="AU7">
        <v>3</v>
      </c>
      <c r="AV7">
        <v>3</v>
      </c>
      <c r="AW7">
        <v>3</v>
      </c>
      <c r="AX7">
        <v>3</v>
      </c>
      <c r="AY7">
        <v>3</v>
      </c>
      <c r="AZ7">
        <v>3</v>
      </c>
      <c r="BA7">
        <v>3</v>
      </c>
      <c r="BB7">
        <v>3</v>
      </c>
      <c r="BC7">
        <v>3</v>
      </c>
      <c r="BD7">
        <v>3</v>
      </c>
      <c r="BE7">
        <v>3</v>
      </c>
      <c r="BF7">
        <v>3</v>
      </c>
      <c r="BG7">
        <v>3</v>
      </c>
      <c r="BH7">
        <v>3</v>
      </c>
      <c r="BI7">
        <v>3</v>
      </c>
      <c r="BJ7">
        <v>3</v>
      </c>
      <c r="BK7">
        <v>3</v>
      </c>
      <c r="BL7">
        <v>3</v>
      </c>
      <c r="BM7">
        <v>3</v>
      </c>
      <c r="BN7">
        <v>3</v>
      </c>
      <c r="BO7">
        <v>3</v>
      </c>
      <c r="BP7">
        <v>3</v>
      </c>
      <c r="BQ7">
        <v>3</v>
      </c>
    </row>
    <row r="8" spans="1:74">
      <c r="B8" t="s">
        <v>378</v>
      </c>
      <c r="J8">
        <v>0</v>
      </c>
      <c r="K8">
        <v>0</v>
      </c>
      <c r="L8">
        <v>0</v>
      </c>
      <c r="M8">
        <v>0</v>
      </c>
      <c r="N8">
        <v>0</v>
      </c>
      <c r="O8">
        <v>0</v>
      </c>
      <c r="P8">
        <v>0</v>
      </c>
      <c r="Q8">
        <v>0</v>
      </c>
      <c r="R8">
        <v>0</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c r="BG8">
        <v>1</v>
      </c>
      <c r="BH8">
        <v>1</v>
      </c>
      <c r="BI8">
        <v>1</v>
      </c>
      <c r="BJ8">
        <v>1</v>
      </c>
      <c r="BK8">
        <v>1</v>
      </c>
      <c r="BL8">
        <v>1</v>
      </c>
      <c r="BM8">
        <v>1</v>
      </c>
      <c r="BN8">
        <v>1</v>
      </c>
      <c r="BO8">
        <v>1</v>
      </c>
      <c r="BP8">
        <v>1</v>
      </c>
      <c r="BQ8">
        <v>1</v>
      </c>
    </row>
    <row r="9" spans="1:74">
      <c r="B9" t="s">
        <v>185</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1</v>
      </c>
      <c r="AI9">
        <v>1</v>
      </c>
      <c r="AJ9">
        <v>1</v>
      </c>
      <c r="AK9">
        <v>1</v>
      </c>
      <c r="AL9">
        <v>1</v>
      </c>
      <c r="AM9">
        <v>1</v>
      </c>
      <c r="AN9">
        <v>1</v>
      </c>
      <c r="AO9">
        <v>1</v>
      </c>
      <c r="AP9">
        <v>1</v>
      </c>
      <c r="AQ9">
        <v>1</v>
      </c>
      <c r="AR9">
        <v>1</v>
      </c>
      <c r="AS9">
        <v>2</v>
      </c>
      <c r="AT9">
        <v>2</v>
      </c>
      <c r="AU9">
        <v>2</v>
      </c>
      <c r="AV9">
        <v>2</v>
      </c>
      <c r="AW9">
        <v>2</v>
      </c>
      <c r="AX9">
        <v>2</v>
      </c>
      <c r="AY9">
        <v>2</v>
      </c>
      <c r="AZ9">
        <v>2</v>
      </c>
      <c r="BA9">
        <v>2</v>
      </c>
      <c r="BB9">
        <v>2</v>
      </c>
      <c r="BC9">
        <v>2</v>
      </c>
      <c r="BD9">
        <v>2</v>
      </c>
      <c r="BE9">
        <v>2</v>
      </c>
      <c r="BF9">
        <v>2</v>
      </c>
      <c r="BG9">
        <v>2</v>
      </c>
      <c r="BH9">
        <v>2</v>
      </c>
      <c r="BI9">
        <v>2</v>
      </c>
      <c r="BJ9">
        <v>2</v>
      </c>
      <c r="BK9">
        <v>2</v>
      </c>
      <c r="BL9">
        <v>2</v>
      </c>
      <c r="BM9">
        <v>2</v>
      </c>
      <c r="BN9">
        <v>2</v>
      </c>
      <c r="BO9">
        <v>2</v>
      </c>
      <c r="BP9">
        <v>2</v>
      </c>
      <c r="BQ9">
        <v>2</v>
      </c>
    </row>
    <row r="10" spans="1:74">
      <c r="B10" t="s">
        <v>186</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1</v>
      </c>
      <c r="AU10">
        <v>1</v>
      </c>
      <c r="AV10">
        <v>1</v>
      </c>
      <c r="AW10">
        <v>1</v>
      </c>
      <c r="AX10">
        <v>1</v>
      </c>
      <c r="AY10">
        <v>1</v>
      </c>
      <c r="AZ10">
        <v>1</v>
      </c>
      <c r="BA10">
        <v>1</v>
      </c>
      <c r="BB10">
        <v>1</v>
      </c>
      <c r="BC10">
        <v>1</v>
      </c>
      <c r="BD10">
        <v>1</v>
      </c>
      <c r="BE10">
        <v>1</v>
      </c>
      <c r="BF10">
        <v>2</v>
      </c>
      <c r="BG10">
        <v>2</v>
      </c>
      <c r="BH10">
        <v>2</v>
      </c>
      <c r="BI10">
        <v>2</v>
      </c>
      <c r="BJ10">
        <v>2</v>
      </c>
      <c r="BK10">
        <v>2</v>
      </c>
      <c r="BL10">
        <v>2</v>
      </c>
      <c r="BM10">
        <v>2</v>
      </c>
      <c r="BN10">
        <v>2</v>
      </c>
      <c r="BO10">
        <v>2</v>
      </c>
      <c r="BP10">
        <v>2</v>
      </c>
      <c r="BQ10">
        <v>2</v>
      </c>
    </row>
    <row r="11" spans="1:74">
      <c r="B11" t="s">
        <v>187</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1</v>
      </c>
      <c r="BG11">
        <v>1</v>
      </c>
      <c r="BH11">
        <v>1</v>
      </c>
      <c r="BI11">
        <v>1</v>
      </c>
      <c r="BJ11">
        <v>1</v>
      </c>
      <c r="BK11">
        <v>1</v>
      </c>
      <c r="BL11">
        <v>1</v>
      </c>
      <c r="BM11">
        <v>1</v>
      </c>
      <c r="BN11">
        <v>1</v>
      </c>
      <c r="BO11">
        <v>1</v>
      </c>
      <c r="BP11">
        <v>1</v>
      </c>
      <c r="BQ11">
        <v>1</v>
      </c>
    </row>
    <row r="12" spans="1:74" s="89" customFormat="1">
      <c r="B12" s="89" t="s">
        <v>188</v>
      </c>
      <c r="J12" s="89">
        <f>SUM(J6:J11)</f>
        <v>0</v>
      </c>
      <c r="K12" s="89">
        <f t="shared" ref="K12:BE12" si="0">SUM(K6:K11)</f>
        <v>0</v>
      </c>
      <c r="L12" s="89">
        <f t="shared" si="0"/>
        <v>0</v>
      </c>
      <c r="M12" s="89">
        <f t="shared" si="0"/>
        <v>0</v>
      </c>
      <c r="N12" s="89">
        <f t="shared" si="0"/>
        <v>0</v>
      </c>
      <c r="O12" s="89">
        <f t="shared" si="0"/>
        <v>0</v>
      </c>
      <c r="P12" s="89">
        <f t="shared" si="0"/>
        <v>0</v>
      </c>
      <c r="Q12" s="89">
        <f t="shared" si="0"/>
        <v>0</v>
      </c>
      <c r="R12" s="89">
        <f t="shared" si="0"/>
        <v>0</v>
      </c>
      <c r="S12" s="89">
        <f t="shared" si="0"/>
        <v>1</v>
      </c>
      <c r="T12" s="89">
        <f t="shared" si="0"/>
        <v>2</v>
      </c>
      <c r="U12" s="89">
        <f t="shared" si="0"/>
        <v>2</v>
      </c>
      <c r="V12" s="89">
        <f t="shared" si="0"/>
        <v>2</v>
      </c>
      <c r="W12" s="89">
        <f t="shared" si="0"/>
        <v>5</v>
      </c>
      <c r="X12" s="89">
        <f t="shared" si="0"/>
        <v>5</v>
      </c>
      <c r="Y12" s="89">
        <f t="shared" si="0"/>
        <v>5</v>
      </c>
      <c r="Z12" s="89">
        <f t="shared" si="0"/>
        <v>5</v>
      </c>
      <c r="AA12" s="89">
        <f t="shared" si="0"/>
        <v>5</v>
      </c>
      <c r="AB12" s="89">
        <f t="shared" si="0"/>
        <v>5</v>
      </c>
      <c r="AC12" s="89">
        <f t="shared" si="0"/>
        <v>5</v>
      </c>
      <c r="AD12" s="89">
        <f t="shared" si="0"/>
        <v>5</v>
      </c>
      <c r="AE12" s="89">
        <f t="shared" si="0"/>
        <v>5</v>
      </c>
      <c r="AF12" s="89">
        <f t="shared" si="0"/>
        <v>5</v>
      </c>
      <c r="AG12" s="89">
        <f t="shared" si="0"/>
        <v>5</v>
      </c>
      <c r="AH12" s="89">
        <f t="shared" si="0"/>
        <v>6</v>
      </c>
      <c r="AI12" s="89">
        <f t="shared" si="0"/>
        <v>6</v>
      </c>
      <c r="AJ12" s="89">
        <f t="shared" si="0"/>
        <v>6</v>
      </c>
      <c r="AK12" s="89">
        <f t="shared" si="0"/>
        <v>6</v>
      </c>
      <c r="AL12" s="89">
        <f t="shared" si="0"/>
        <v>6</v>
      </c>
      <c r="AM12" s="89">
        <f t="shared" si="0"/>
        <v>6</v>
      </c>
      <c r="AN12" s="89">
        <f t="shared" si="0"/>
        <v>6</v>
      </c>
      <c r="AO12" s="89">
        <f t="shared" si="0"/>
        <v>6</v>
      </c>
      <c r="AP12" s="89">
        <f t="shared" si="0"/>
        <v>6</v>
      </c>
      <c r="AQ12" s="89">
        <f t="shared" si="0"/>
        <v>6</v>
      </c>
      <c r="AR12" s="89">
        <f t="shared" si="0"/>
        <v>6</v>
      </c>
      <c r="AS12" s="89">
        <f t="shared" si="0"/>
        <v>7</v>
      </c>
      <c r="AT12" s="89">
        <f t="shared" si="0"/>
        <v>8</v>
      </c>
      <c r="AU12" s="89">
        <f t="shared" si="0"/>
        <v>8</v>
      </c>
      <c r="AV12" s="89">
        <f t="shared" si="0"/>
        <v>8</v>
      </c>
      <c r="AW12" s="89">
        <f t="shared" si="0"/>
        <v>8</v>
      </c>
      <c r="AX12" s="89">
        <f t="shared" si="0"/>
        <v>8</v>
      </c>
      <c r="AY12" s="89">
        <f t="shared" si="0"/>
        <v>8</v>
      </c>
      <c r="AZ12" s="89">
        <f t="shared" si="0"/>
        <v>8</v>
      </c>
      <c r="BA12" s="89">
        <f t="shared" si="0"/>
        <v>8</v>
      </c>
      <c r="BB12" s="89">
        <f t="shared" si="0"/>
        <v>8</v>
      </c>
      <c r="BC12" s="89">
        <f t="shared" si="0"/>
        <v>8</v>
      </c>
      <c r="BD12" s="89">
        <f t="shared" si="0"/>
        <v>8</v>
      </c>
      <c r="BE12" s="89">
        <f t="shared" si="0"/>
        <v>8</v>
      </c>
      <c r="BF12" s="89">
        <f t="shared" ref="BF12:BQ12" si="1">SUM(BF6:BF11)</f>
        <v>10</v>
      </c>
      <c r="BG12" s="89">
        <f t="shared" si="1"/>
        <v>10</v>
      </c>
      <c r="BH12" s="89">
        <f t="shared" si="1"/>
        <v>10</v>
      </c>
      <c r="BI12" s="89">
        <f t="shared" si="1"/>
        <v>10</v>
      </c>
      <c r="BJ12" s="89">
        <f t="shared" si="1"/>
        <v>10</v>
      </c>
      <c r="BK12" s="89">
        <f t="shared" si="1"/>
        <v>10</v>
      </c>
      <c r="BL12" s="89">
        <f t="shared" si="1"/>
        <v>10</v>
      </c>
      <c r="BM12" s="89">
        <f t="shared" si="1"/>
        <v>10</v>
      </c>
      <c r="BN12" s="89">
        <f t="shared" si="1"/>
        <v>10</v>
      </c>
      <c r="BO12" s="89">
        <f t="shared" si="1"/>
        <v>10</v>
      </c>
      <c r="BP12" s="89">
        <f t="shared" si="1"/>
        <v>10</v>
      </c>
      <c r="BQ12" s="89">
        <f t="shared" si="1"/>
        <v>10</v>
      </c>
    </row>
    <row r="14" spans="1:74">
      <c r="B14" s="2" t="s">
        <v>104</v>
      </c>
      <c r="C14" t="s">
        <v>189</v>
      </c>
    </row>
    <row r="15" spans="1:74">
      <c r="B15" t="str">
        <f>B6</f>
        <v>Media Manager</v>
      </c>
      <c r="C15" s="38">
        <v>75000</v>
      </c>
      <c r="J15" s="38">
        <f>($C15/12)*J6</f>
        <v>0</v>
      </c>
      <c r="K15" s="38">
        <f t="shared" ref="K15:BE20" si="2">($C15/12)*K6</f>
        <v>0</v>
      </c>
      <c r="L15" s="38">
        <f t="shared" si="2"/>
        <v>0</v>
      </c>
      <c r="M15" s="38">
        <f t="shared" si="2"/>
        <v>0</v>
      </c>
      <c r="N15" s="38">
        <f t="shared" si="2"/>
        <v>0</v>
      </c>
      <c r="O15" s="38">
        <f t="shared" si="2"/>
        <v>0</v>
      </c>
      <c r="P15" s="38">
        <f t="shared" si="2"/>
        <v>0</v>
      </c>
      <c r="Q15" s="38">
        <f t="shared" si="2"/>
        <v>0</v>
      </c>
      <c r="R15" s="38">
        <f t="shared" si="2"/>
        <v>0</v>
      </c>
      <c r="S15" s="38">
        <f t="shared" si="2"/>
        <v>0</v>
      </c>
      <c r="T15" s="38">
        <f t="shared" si="2"/>
        <v>6250</v>
      </c>
      <c r="U15" s="38">
        <f t="shared" si="2"/>
        <v>6250</v>
      </c>
      <c r="V15" s="38">
        <f t="shared" si="2"/>
        <v>6250</v>
      </c>
      <c r="W15" s="38">
        <f t="shared" si="2"/>
        <v>6250</v>
      </c>
      <c r="X15" s="38">
        <f t="shared" si="2"/>
        <v>6250</v>
      </c>
      <c r="Y15" s="38">
        <f t="shared" si="2"/>
        <v>6250</v>
      </c>
      <c r="Z15" s="38">
        <f t="shared" si="2"/>
        <v>6250</v>
      </c>
      <c r="AA15" s="38">
        <f t="shared" si="2"/>
        <v>6250</v>
      </c>
      <c r="AB15" s="38">
        <f t="shared" si="2"/>
        <v>6250</v>
      </c>
      <c r="AC15" s="38">
        <f t="shared" si="2"/>
        <v>6250</v>
      </c>
      <c r="AD15" s="38">
        <f t="shared" si="2"/>
        <v>6250</v>
      </c>
      <c r="AE15" s="38">
        <f t="shared" si="2"/>
        <v>6250</v>
      </c>
      <c r="AF15" s="38">
        <f t="shared" si="2"/>
        <v>6250</v>
      </c>
      <c r="AG15" s="38">
        <f t="shared" si="2"/>
        <v>6250</v>
      </c>
      <c r="AH15" s="38">
        <f t="shared" si="2"/>
        <v>6250</v>
      </c>
      <c r="AI15" s="38">
        <f t="shared" si="2"/>
        <v>6250</v>
      </c>
      <c r="AJ15" s="38">
        <f t="shared" si="2"/>
        <v>6250</v>
      </c>
      <c r="AK15" s="38">
        <f t="shared" si="2"/>
        <v>6250</v>
      </c>
      <c r="AL15" s="38">
        <f t="shared" si="2"/>
        <v>6250</v>
      </c>
      <c r="AM15" s="38">
        <f t="shared" si="2"/>
        <v>6250</v>
      </c>
      <c r="AN15" s="38">
        <f t="shared" si="2"/>
        <v>6250</v>
      </c>
      <c r="AO15" s="38">
        <f t="shared" si="2"/>
        <v>6250</v>
      </c>
      <c r="AP15" s="38">
        <f t="shared" si="2"/>
        <v>6250</v>
      </c>
      <c r="AQ15" s="38">
        <f t="shared" si="2"/>
        <v>6250</v>
      </c>
      <c r="AR15" s="38">
        <f t="shared" si="2"/>
        <v>6250</v>
      </c>
      <c r="AS15" s="38">
        <f t="shared" si="2"/>
        <v>6250</v>
      </c>
      <c r="AT15" s="38">
        <f t="shared" si="2"/>
        <v>6250</v>
      </c>
      <c r="AU15" s="38">
        <f t="shared" si="2"/>
        <v>6250</v>
      </c>
      <c r="AV15" s="38">
        <f t="shared" si="2"/>
        <v>6250</v>
      </c>
      <c r="AW15" s="38">
        <f t="shared" si="2"/>
        <v>6250</v>
      </c>
      <c r="AX15" s="38">
        <f t="shared" si="2"/>
        <v>6250</v>
      </c>
      <c r="AY15" s="38">
        <f t="shared" si="2"/>
        <v>6250</v>
      </c>
      <c r="AZ15" s="38">
        <f t="shared" si="2"/>
        <v>6250</v>
      </c>
      <c r="BA15" s="38">
        <f t="shared" si="2"/>
        <v>6250</v>
      </c>
      <c r="BB15" s="38">
        <f t="shared" si="2"/>
        <v>6250</v>
      </c>
      <c r="BC15" s="38">
        <f t="shared" si="2"/>
        <v>6250</v>
      </c>
      <c r="BD15" s="38">
        <f t="shared" si="2"/>
        <v>6250</v>
      </c>
      <c r="BE15" s="38">
        <f>($C15/12)*BE6</f>
        <v>6250</v>
      </c>
      <c r="BF15" s="38">
        <f t="shared" ref="BF15:BQ19" si="3">($C15/12)*BF6</f>
        <v>6250</v>
      </c>
      <c r="BG15" s="38">
        <f t="shared" si="3"/>
        <v>6250</v>
      </c>
      <c r="BH15" s="38">
        <f t="shared" si="3"/>
        <v>6250</v>
      </c>
      <c r="BI15" s="38">
        <f t="shared" si="3"/>
        <v>6250</v>
      </c>
      <c r="BJ15" s="38">
        <f t="shared" si="3"/>
        <v>6250</v>
      </c>
      <c r="BK15" s="38">
        <f t="shared" si="3"/>
        <v>6250</v>
      </c>
      <c r="BL15" s="38">
        <f t="shared" si="3"/>
        <v>6250</v>
      </c>
      <c r="BM15" s="38">
        <f t="shared" si="3"/>
        <v>6250</v>
      </c>
      <c r="BN15" s="38">
        <f t="shared" si="3"/>
        <v>6250</v>
      </c>
      <c r="BO15" s="38">
        <f t="shared" si="3"/>
        <v>6250</v>
      </c>
      <c r="BP15" s="38">
        <f t="shared" si="3"/>
        <v>6250</v>
      </c>
      <c r="BQ15" s="38">
        <f t="shared" si="3"/>
        <v>6250</v>
      </c>
    </row>
    <row r="16" spans="1:74">
      <c r="B16" t="str">
        <f>B7</f>
        <v>Media Sales</v>
      </c>
      <c r="C16" s="38">
        <v>50000</v>
      </c>
      <c r="J16" s="38">
        <f t="shared" ref="J16:Y20" si="4">($C16/12)*J7</f>
        <v>0</v>
      </c>
      <c r="K16" s="38">
        <f t="shared" si="4"/>
        <v>0</v>
      </c>
      <c r="L16" s="38">
        <f t="shared" si="4"/>
        <v>0</v>
      </c>
      <c r="M16" s="38">
        <f t="shared" si="4"/>
        <v>0</v>
      </c>
      <c r="N16" s="38">
        <f t="shared" si="4"/>
        <v>0</v>
      </c>
      <c r="O16" s="38">
        <f t="shared" si="4"/>
        <v>0</v>
      </c>
      <c r="P16" s="38">
        <f t="shared" si="4"/>
        <v>0</v>
      </c>
      <c r="Q16" s="38">
        <f t="shared" si="4"/>
        <v>0</v>
      </c>
      <c r="R16" s="38">
        <f t="shared" si="4"/>
        <v>0</v>
      </c>
      <c r="S16" s="38">
        <f t="shared" si="4"/>
        <v>0</v>
      </c>
      <c r="T16" s="38">
        <f t="shared" si="4"/>
        <v>0</v>
      </c>
      <c r="U16" s="38">
        <f t="shared" si="4"/>
        <v>0</v>
      </c>
      <c r="V16" s="38">
        <f t="shared" si="4"/>
        <v>0</v>
      </c>
      <c r="W16" s="38">
        <f>($C16/12)*W7</f>
        <v>12500</v>
      </c>
      <c r="X16" s="38">
        <f t="shared" si="4"/>
        <v>12500</v>
      </c>
      <c r="Y16" s="38">
        <f t="shared" si="4"/>
        <v>12500</v>
      </c>
      <c r="Z16" s="38">
        <f t="shared" si="2"/>
        <v>12500</v>
      </c>
      <c r="AA16" s="38">
        <f t="shared" si="2"/>
        <v>12500</v>
      </c>
      <c r="AB16" s="38">
        <f t="shared" si="2"/>
        <v>12500</v>
      </c>
      <c r="AC16" s="38">
        <f t="shared" si="2"/>
        <v>12500</v>
      </c>
      <c r="AD16" s="38">
        <f t="shared" si="2"/>
        <v>12500</v>
      </c>
      <c r="AE16" s="38">
        <f t="shared" si="2"/>
        <v>12500</v>
      </c>
      <c r="AF16" s="38">
        <f t="shared" si="2"/>
        <v>12500</v>
      </c>
      <c r="AG16" s="38">
        <f t="shared" si="2"/>
        <v>12500</v>
      </c>
      <c r="AH16" s="38">
        <f t="shared" si="2"/>
        <v>12500</v>
      </c>
      <c r="AI16" s="38">
        <f t="shared" si="2"/>
        <v>12500</v>
      </c>
      <c r="AJ16" s="38">
        <f t="shared" si="2"/>
        <v>12500</v>
      </c>
      <c r="AK16" s="38">
        <f t="shared" si="2"/>
        <v>12500</v>
      </c>
      <c r="AL16" s="38">
        <f t="shared" si="2"/>
        <v>12500</v>
      </c>
      <c r="AM16" s="38">
        <f t="shared" si="2"/>
        <v>12500</v>
      </c>
      <c r="AN16" s="38">
        <f t="shared" si="2"/>
        <v>12500</v>
      </c>
      <c r="AO16" s="38">
        <f t="shared" si="2"/>
        <v>12500</v>
      </c>
      <c r="AP16" s="38">
        <f t="shared" si="2"/>
        <v>12500</v>
      </c>
      <c r="AQ16" s="38">
        <f t="shared" si="2"/>
        <v>12500</v>
      </c>
      <c r="AR16" s="38">
        <f t="shared" si="2"/>
        <v>12500</v>
      </c>
      <c r="AS16" s="38">
        <f t="shared" si="2"/>
        <v>12500</v>
      </c>
      <c r="AT16" s="38">
        <f t="shared" si="2"/>
        <v>12500</v>
      </c>
      <c r="AU16" s="38">
        <f t="shared" si="2"/>
        <v>12500</v>
      </c>
      <c r="AV16" s="38">
        <f t="shared" si="2"/>
        <v>12500</v>
      </c>
      <c r="AW16" s="38">
        <f t="shared" si="2"/>
        <v>12500</v>
      </c>
      <c r="AX16" s="38">
        <f t="shared" si="2"/>
        <v>12500</v>
      </c>
      <c r="AY16" s="38">
        <f t="shared" si="2"/>
        <v>12500</v>
      </c>
      <c r="AZ16" s="38">
        <f t="shared" si="2"/>
        <v>12500</v>
      </c>
      <c r="BA16" s="38">
        <f t="shared" si="2"/>
        <v>12500</v>
      </c>
      <c r="BB16" s="38">
        <f t="shared" si="2"/>
        <v>12500</v>
      </c>
      <c r="BC16" s="38">
        <f t="shared" si="2"/>
        <v>12500</v>
      </c>
      <c r="BD16" s="38">
        <f t="shared" si="2"/>
        <v>12500</v>
      </c>
      <c r="BE16" s="38">
        <f t="shared" si="2"/>
        <v>12500</v>
      </c>
      <c r="BF16" s="38">
        <f t="shared" si="3"/>
        <v>12500</v>
      </c>
      <c r="BG16" s="38">
        <f t="shared" si="3"/>
        <v>12500</v>
      </c>
      <c r="BH16" s="38">
        <f t="shared" si="3"/>
        <v>12500</v>
      </c>
      <c r="BI16" s="38">
        <f t="shared" si="3"/>
        <v>12500</v>
      </c>
      <c r="BJ16" s="38">
        <f t="shared" si="3"/>
        <v>12500</v>
      </c>
      <c r="BK16" s="38">
        <f t="shared" si="3"/>
        <v>12500</v>
      </c>
      <c r="BL16" s="38">
        <f t="shared" si="3"/>
        <v>12500</v>
      </c>
      <c r="BM16" s="38">
        <f t="shared" si="3"/>
        <v>12500</v>
      </c>
      <c r="BN16" s="38">
        <f t="shared" si="3"/>
        <v>12500</v>
      </c>
      <c r="BO16" s="38">
        <f t="shared" si="3"/>
        <v>12500</v>
      </c>
      <c r="BP16" s="38">
        <f t="shared" si="3"/>
        <v>12500</v>
      </c>
      <c r="BQ16" s="38">
        <f t="shared" si="3"/>
        <v>12500</v>
      </c>
    </row>
    <row r="17" spans="2:69">
      <c r="B17" t="str">
        <f t="shared" ref="B17:B20" si="5">B8</f>
        <v>Operations manager</v>
      </c>
      <c r="C17" s="38">
        <v>35000</v>
      </c>
      <c r="J17" s="38">
        <f t="shared" si="4"/>
        <v>0</v>
      </c>
      <c r="K17" s="38">
        <f t="shared" si="2"/>
        <v>0</v>
      </c>
      <c r="L17" s="38">
        <f t="shared" si="2"/>
        <v>0</v>
      </c>
      <c r="M17" s="38">
        <f t="shared" si="2"/>
        <v>0</v>
      </c>
      <c r="N17" s="38">
        <f t="shared" si="2"/>
        <v>0</v>
      </c>
      <c r="O17" s="38">
        <f t="shared" si="2"/>
        <v>0</v>
      </c>
      <c r="P17" s="38">
        <f t="shared" si="2"/>
        <v>0</v>
      </c>
      <c r="Q17" s="38">
        <f t="shared" si="2"/>
        <v>0</v>
      </c>
      <c r="R17" s="38">
        <f t="shared" si="2"/>
        <v>0</v>
      </c>
      <c r="S17" s="38">
        <f t="shared" si="2"/>
        <v>2916.6666666666665</v>
      </c>
      <c r="T17" s="38">
        <f t="shared" si="2"/>
        <v>2916.6666666666665</v>
      </c>
      <c r="U17" s="38">
        <f t="shared" si="2"/>
        <v>2916.6666666666665</v>
      </c>
      <c r="V17" s="38">
        <f t="shared" si="2"/>
        <v>2916.6666666666665</v>
      </c>
      <c r="W17" s="38">
        <f t="shared" si="2"/>
        <v>2916.6666666666665</v>
      </c>
      <c r="X17" s="38">
        <f t="shared" si="2"/>
        <v>2916.6666666666665</v>
      </c>
      <c r="Y17" s="38">
        <f t="shared" si="2"/>
        <v>2916.6666666666665</v>
      </c>
      <c r="Z17" s="38">
        <f t="shared" si="2"/>
        <v>2916.6666666666665</v>
      </c>
      <c r="AA17" s="38">
        <f t="shared" si="2"/>
        <v>2916.6666666666665</v>
      </c>
      <c r="AB17" s="38">
        <f t="shared" si="2"/>
        <v>2916.6666666666665</v>
      </c>
      <c r="AC17" s="38">
        <f t="shared" si="2"/>
        <v>2916.6666666666665</v>
      </c>
      <c r="AD17" s="38">
        <f t="shared" si="2"/>
        <v>2916.6666666666665</v>
      </c>
      <c r="AE17" s="38">
        <f t="shared" si="2"/>
        <v>2916.6666666666665</v>
      </c>
      <c r="AF17" s="38">
        <f t="shared" si="2"/>
        <v>2916.6666666666665</v>
      </c>
      <c r="AG17" s="38">
        <f t="shared" si="2"/>
        <v>2916.6666666666665</v>
      </c>
      <c r="AH17" s="38">
        <f t="shared" si="2"/>
        <v>2916.6666666666665</v>
      </c>
      <c r="AI17" s="38">
        <f t="shared" si="2"/>
        <v>2916.6666666666665</v>
      </c>
      <c r="AJ17" s="38">
        <f t="shared" si="2"/>
        <v>2916.6666666666665</v>
      </c>
      <c r="AK17" s="38">
        <f t="shared" si="2"/>
        <v>2916.6666666666665</v>
      </c>
      <c r="AL17" s="38">
        <f t="shared" si="2"/>
        <v>2916.6666666666665</v>
      </c>
      <c r="AM17" s="38">
        <f t="shared" si="2"/>
        <v>2916.6666666666665</v>
      </c>
      <c r="AN17" s="38">
        <f t="shared" si="2"/>
        <v>2916.6666666666665</v>
      </c>
      <c r="AO17" s="38">
        <f t="shared" si="2"/>
        <v>2916.6666666666665</v>
      </c>
      <c r="AP17" s="38">
        <f t="shared" si="2"/>
        <v>2916.6666666666665</v>
      </c>
      <c r="AQ17" s="38">
        <f t="shared" si="2"/>
        <v>2916.6666666666665</v>
      </c>
      <c r="AR17" s="38">
        <f t="shared" si="2"/>
        <v>2916.6666666666665</v>
      </c>
      <c r="AS17" s="38">
        <f t="shared" si="2"/>
        <v>2916.6666666666665</v>
      </c>
      <c r="AT17" s="38">
        <f t="shared" si="2"/>
        <v>2916.6666666666665</v>
      </c>
      <c r="AU17" s="38">
        <f t="shared" si="2"/>
        <v>2916.6666666666665</v>
      </c>
      <c r="AV17" s="38">
        <f t="shared" si="2"/>
        <v>2916.6666666666665</v>
      </c>
      <c r="AW17" s="38">
        <f t="shared" si="2"/>
        <v>2916.6666666666665</v>
      </c>
      <c r="AX17" s="38">
        <f t="shared" si="2"/>
        <v>2916.6666666666665</v>
      </c>
      <c r="AY17" s="38">
        <f t="shared" si="2"/>
        <v>2916.6666666666665</v>
      </c>
      <c r="AZ17" s="38">
        <f t="shared" si="2"/>
        <v>2916.6666666666665</v>
      </c>
      <c r="BA17" s="38">
        <f t="shared" si="2"/>
        <v>2916.6666666666665</v>
      </c>
      <c r="BB17" s="38">
        <f t="shared" si="2"/>
        <v>2916.6666666666665</v>
      </c>
      <c r="BC17" s="38">
        <f t="shared" si="2"/>
        <v>2916.6666666666665</v>
      </c>
      <c r="BD17" s="38">
        <f t="shared" si="2"/>
        <v>2916.6666666666665</v>
      </c>
      <c r="BE17" s="38">
        <f t="shared" si="2"/>
        <v>2916.6666666666665</v>
      </c>
      <c r="BF17" s="38">
        <f t="shared" si="3"/>
        <v>2916.6666666666665</v>
      </c>
      <c r="BG17" s="38">
        <f t="shared" si="3"/>
        <v>2916.6666666666665</v>
      </c>
      <c r="BH17" s="38">
        <f t="shared" si="3"/>
        <v>2916.6666666666665</v>
      </c>
      <c r="BI17" s="38">
        <f t="shared" si="3"/>
        <v>2916.6666666666665</v>
      </c>
      <c r="BJ17" s="38">
        <f t="shared" si="3"/>
        <v>2916.6666666666665</v>
      </c>
      <c r="BK17" s="38">
        <f t="shared" si="3"/>
        <v>2916.6666666666665</v>
      </c>
      <c r="BL17" s="38">
        <f t="shared" si="3"/>
        <v>2916.6666666666665</v>
      </c>
      <c r="BM17" s="38">
        <f t="shared" si="3"/>
        <v>2916.6666666666665</v>
      </c>
      <c r="BN17" s="38">
        <f t="shared" si="3"/>
        <v>2916.6666666666665</v>
      </c>
      <c r="BO17" s="38">
        <f t="shared" si="3"/>
        <v>2916.6666666666665</v>
      </c>
      <c r="BP17" s="38">
        <f t="shared" si="3"/>
        <v>2916.6666666666665</v>
      </c>
      <c r="BQ17" s="38">
        <f t="shared" si="3"/>
        <v>2916.6666666666665</v>
      </c>
    </row>
    <row r="18" spans="2:69">
      <c r="B18" t="str">
        <f t="shared" si="5"/>
        <v>Role 4</v>
      </c>
      <c r="C18" s="38">
        <v>40000</v>
      </c>
      <c r="J18" s="38">
        <f t="shared" si="4"/>
        <v>0</v>
      </c>
      <c r="K18" s="38">
        <f t="shared" si="2"/>
        <v>0</v>
      </c>
      <c r="L18" s="38">
        <f t="shared" si="2"/>
        <v>0</v>
      </c>
      <c r="M18" s="38">
        <f t="shared" si="2"/>
        <v>0</v>
      </c>
      <c r="N18" s="38">
        <f t="shared" si="2"/>
        <v>0</v>
      </c>
      <c r="O18" s="38">
        <f t="shared" si="2"/>
        <v>0</v>
      </c>
      <c r="P18" s="38">
        <f t="shared" si="2"/>
        <v>0</v>
      </c>
      <c r="Q18" s="38">
        <f t="shared" si="2"/>
        <v>0</v>
      </c>
      <c r="R18" s="38">
        <f t="shared" si="2"/>
        <v>0</v>
      </c>
      <c r="S18" s="38">
        <f t="shared" si="2"/>
        <v>0</v>
      </c>
      <c r="T18" s="38">
        <f t="shared" si="2"/>
        <v>0</v>
      </c>
      <c r="U18" s="38">
        <f t="shared" si="2"/>
        <v>0</v>
      </c>
      <c r="V18" s="38">
        <f t="shared" si="2"/>
        <v>0</v>
      </c>
      <c r="W18" s="38">
        <f t="shared" si="2"/>
        <v>0</v>
      </c>
      <c r="X18" s="38">
        <f t="shared" si="2"/>
        <v>0</v>
      </c>
      <c r="Y18" s="38">
        <f t="shared" si="2"/>
        <v>0</v>
      </c>
      <c r="Z18" s="38">
        <f t="shared" si="2"/>
        <v>0</v>
      </c>
      <c r="AA18" s="38">
        <f t="shared" si="2"/>
        <v>0</v>
      </c>
      <c r="AB18" s="38">
        <f t="shared" si="2"/>
        <v>0</v>
      </c>
      <c r="AC18" s="38">
        <f t="shared" si="2"/>
        <v>0</v>
      </c>
      <c r="AD18" s="38">
        <f t="shared" si="2"/>
        <v>0</v>
      </c>
      <c r="AE18" s="38">
        <f t="shared" si="2"/>
        <v>0</v>
      </c>
      <c r="AF18" s="38">
        <f t="shared" si="2"/>
        <v>0</v>
      </c>
      <c r="AG18" s="38">
        <f t="shared" si="2"/>
        <v>0</v>
      </c>
      <c r="AH18" s="38">
        <f t="shared" si="2"/>
        <v>3333.3333333333335</v>
      </c>
      <c r="AI18" s="38">
        <f t="shared" si="2"/>
        <v>3333.3333333333335</v>
      </c>
      <c r="AJ18" s="38">
        <f t="shared" si="2"/>
        <v>3333.3333333333335</v>
      </c>
      <c r="AK18" s="38">
        <f t="shared" si="2"/>
        <v>3333.3333333333335</v>
      </c>
      <c r="AL18" s="38">
        <f t="shared" si="2"/>
        <v>3333.3333333333335</v>
      </c>
      <c r="AM18" s="38">
        <f t="shared" si="2"/>
        <v>3333.3333333333335</v>
      </c>
      <c r="AN18" s="38">
        <f t="shared" si="2"/>
        <v>3333.3333333333335</v>
      </c>
      <c r="AO18" s="38">
        <f t="shared" si="2"/>
        <v>3333.3333333333335</v>
      </c>
      <c r="AP18" s="38">
        <f t="shared" si="2"/>
        <v>3333.3333333333335</v>
      </c>
      <c r="AQ18" s="38">
        <f t="shared" si="2"/>
        <v>3333.3333333333335</v>
      </c>
      <c r="AR18" s="38">
        <f t="shared" si="2"/>
        <v>3333.3333333333335</v>
      </c>
      <c r="AS18" s="38">
        <f t="shared" si="2"/>
        <v>6666.666666666667</v>
      </c>
      <c r="AT18" s="38">
        <f t="shared" si="2"/>
        <v>6666.666666666667</v>
      </c>
      <c r="AU18" s="38">
        <f t="shared" si="2"/>
        <v>6666.666666666667</v>
      </c>
      <c r="AV18" s="38">
        <f t="shared" si="2"/>
        <v>6666.666666666667</v>
      </c>
      <c r="AW18" s="38">
        <f t="shared" si="2"/>
        <v>6666.666666666667</v>
      </c>
      <c r="AX18" s="38">
        <f t="shared" si="2"/>
        <v>6666.666666666667</v>
      </c>
      <c r="AY18" s="38">
        <f t="shared" si="2"/>
        <v>6666.666666666667</v>
      </c>
      <c r="AZ18" s="38">
        <f t="shared" si="2"/>
        <v>6666.666666666667</v>
      </c>
      <c r="BA18" s="38">
        <f t="shared" si="2"/>
        <v>6666.666666666667</v>
      </c>
      <c r="BB18" s="38">
        <f t="shared" si="2"/>
        <v>6666.666666666667</v>
      </c>
      <c r="BC18" s="38">
        <f t="shared" si="2"/>
        <v>6666.666666666667</v>
      </c>
      <c r="BD18" s="38">
        <f t="shared" si="2"/>
        <v>6666.666666666667</v>
      </c>
      <c r="BE18" s="38">
        <f t="shared" si="2"/>
        <v>6666.666666666667</v>
      </c>
      <c r="BF18" s="38">
        <f t="shared" si="3"/>
        <v>6666.666666666667</v>
      </c>
      <c r="BG18" s="38">
        <f t="shared" si="3"/>
        <v>6666.666666666667</v>
      </c>
      <c r="BH18" s="38">
        <f t="shared" si="3"/>
        <v>6666.666666666667</v>
      </c>
      <c r="BI18" s="38">
        <f t="shared" si="3"/>
        <v>6666.666666666667</v>
      </c>
      <c r="BJ18" s="38">
        <f t="shared" si="3"/>
        <v>6666.666666666667</v>
      </c>
      <c r="BK18" s="38">
        <f t="shared" si="3"/>
        <v>6666.666666666667</v>
      </c>
      <c r="BL18" s="38">
        <f t="shared" si="3"/>
        <v>6666.666666666667</v>
      </c>
      <c r="BM18" s="38">
        <f t="shared" si="3"/>
        <v>6666.666666666667</v>
      </c>
      <c r="BN18" s="38">
        <f t="shared" si="3"/>
        <v>6666.666666666667</v>
      </c>
      <c r="BO18" s="38">
        <f t="shared" si="3"/>
        <v>6666.666666666667</v>
      </c>
      <c r="BP18" s="38">
        <f t="shared" si="3"/>
        <v>6666.666666666667</v>
      </c>
      <c r="BQ18" s="38">
        <f t="shared" si="3"/>
        <v>6666.666666666667</v>
      </c>
    </row>
    <row r="19" spans="2:69">
      <c r="B19" t="str">
        <f t="shared" si="5"/>
        <v>Role 5</v>
      </c>
      <c r="C19" s="38">
        <v>45000</v>
      </c>
      <c r="J19" s="38">
        <f t="shared" si="4"/>
        <v>0</v>
      </c>
      <c r="K19" s="38">
        <f t="shared" si="2"/>
        <v>0</v>
      </c>
      <c r="L19" s="38">
        <f t="shared" si="2"/>
        <v>0</v>
      </c>
      <c r="M19" s="38">
        <f t="shared" si="2"/>
        <v>0</v>
      </c>
      <c r="N19" s="38">
        <f t="shared" si="2"/>
        <v>0</v>
      </c>
      <c r="O19" s="38">
        <f t="shared" si="2"/>
        <v>0</v>
      </c>
      <c r="P19" s="38">
        <f t="shared" si="2"/>
        <v>0</v>
      </c>
      <c r="Q19" s="38">
        <f t="shared" si="2"/>
        <v>0</v>
      </c>
      <c r="R19" s="38">
        <f t="shared" si="2"/>
        <v>0</v>
      </c>
      <c r="S19" s="38">
        <f t="shared" si="2"/>
        <v>0</v>
      </c>
      <c r="T19" s="38">
        <f t="shared" si="2"/>
        <v>0</v>
      </c>
      <c r="U19" s="38">
        <f t="shared" si="2"/>
        <v>0</v>
      </c>
      <c r="V19" s="38">
        <f t="shared" si="2"/>
        <v>0</v>
      </c>
      <c r="W19" s="38">
        <f t="shared" si="2"/>
        <v>0</v>
      </c>
      <c r="X19" s="38">
        <f t="shared" si="2"/>
        <v>0</v>
      </c>
      <c r="Y19" s="38">
        <f t="shared" si="2"/>
        <v>0</v>
      </c>
      <c r="Z19" s="38">
        <f t="shared" si="2"/>
        <v>0</v>
      </c>
      <c r="AA19" s="38">
        <f t="shared" si="2"/>
        <v>0</v>
      </c>
      <c r="AB19" s="38">
        <f t="shared" si="2"/>
        <v>0</v>
      </c>
      <c r="AC19" s="38">
        <f t="shared" si="2"/>
        <v>0</v>
      </c>
      <c r="AD19" s="38">
        <f t="shared" si="2"/>
        <v>0</v>
      </c>
      <c r="AE19" s="38">
        <f t="shared" si="2"/>
        <v>0</v>
      </c>
      <c r="AF19" s="38">
        <f t="shared" si="2"/>
        <v>0</v>
      </c>
      <c r="AG19" s="38">
        <f t="shared" si="2"/>
        <v>0</v>
      </c>
      <c r="AH19" s="38">
        <f t="shared" si="2"/>
        <v>0</v>
      </c>
      <c r="AI19" s="38">
        <f t="shared" si="2"/>
        <v>0</v>
      </c>
      <c r="AJ19" s="38">
        <f t="shared" si="2"/>
        <v>0</v>
      </c>
      <c r="AK19" s="38">
        <f t="shared" si="2"/>
        <v>0</v>
      </c>
      <c r="AL19" s="38">
        <f t="shared" si="2"/>
        <v>0</v>
      </c>
      <c r="AM19" s="38">
        <f t="shared" si="2"/>
        <v>0</v>
      </c>
      <c r="AN19" s="38">
        <f t="shared" si="2"/>
        <v>0</v>
      </c>
      <c r="AO19" s="38">
        <f t="shared" si="2"/>
        <v>0</v>
      </c>
      <c r="AP19" s="38">
        <f t="shared" si="2"/>
        <v>0</v>
      </c>
      <c r="AQ19" s="38">
        <f t="shared" si="2"/>
        <v>0</v>
      </c>
      <c r="AR19" s="38">
        <f t="shared" si="2"/>
        <v>0</v>
      </c>
      <c r="AS19" s="38">
        <f t="shared" si="2"/>
        <v>0</v>
      </c>
      <c r="AT19" s="38">
        <f t="shared" si="2"/>
        <v>3750</v>
      </c>
      <c r="AU19" s="38">
        <f t="shared" si="2"/>
        <v>3750</v>
      </c>
      <c r="AV19" s="38">
        <f t="shared" si="2"/>
        <v>3750</v>
      </c>
      <c r="AW19" s="38">
        <f t="shared" si="2"/>
        <v>3750</v>
      </c>
      <c r="AX19" s="38">
        <f t="shared" si="2"/>
        <v>3750</v>
      </c>
      <c r="AY19" s="38">
        <f t="shared" si="2"/>
        <v>3750</v>
      </c>
      <c r="AZ19" s="38">
        <f t="shared" si="2"/>
        <v>3750</v>
      </c>
      <c r="BA19" s="38">
        <f t="shared" si="2"/>
        <v>3750</v>
      </c>
      <c r="BB19" s="38">
        <f t="shared" si="2"/>
        <v>3750</v>
      </c>
      <c r="BC19" s="38">
        <f t="shared" si="2"/>
        <v>3750</v>
      </c>
      <c r="BD19" s="38">
        <f t="shared" si="2"/>
        <v>3750</v>
      </c>
      <c r="BE19" s="38">
        <f t="shared" si="2"/>
        <v>3750</v>
      </c>
      <c r="BF19" s="38">
        <f t="shared" si="3"/>
        <v>7500</v>
      </c>
      <c r="BG19" s="38">
        <f t="shared" si="3"/>
        <v>7500</v>
      </c>
      <c r="BH19" s="38">
        <f t="shared" si="3"/>
        <v>7500</v>
      </c>
      <c r="BI19" s="38">
        <f t="shared" si="3"/>
        <v>7500</v>
      </c>
      <c r="BJ19" s="38">
        <f t="shared" si="3"/>
        <v>7500</v>
      </c>
      <c r="BK19" s="38">
        <f t="shared" si="3"/>
        <v>7500</v>
      </c>
      <c r="BL19" s="38">
        <f t="shared" si="3"/>
        <v>7500</v>
      </c>
      <c r="BM19" s="38">
        <f t="shared" si="3"/>
        <v>7500</v>
      </c>
      <c r="BN19" s="38">
        <f t="shared" si="3"/>
        <v>7500</v>
      </c>
      <c r="BO19" s="38">
        <f t="shared" si="3"/>
        <v>7500</v>
      </c>
      <c r="BP19" s="38">
        <f t="shared" si="3"/>
        <v>7500</v>
      </c>
      <c r="BQ19" s="38">
        <f t="shared" si="3"/>
        <v>7500</v>
      </c>
    </row>
    <row r="20" spans="2:69">
      <c r="B20" t="str">
        <f t="shared" si="5"/>
        <v>Role 6</v>
      </c>
      <c r="J20" s="83">
        <f t="shared" si="4"/>
        <v>0</v>
      </c>
      <c r="K20" s="83">
        <f t="shared" si="2"/>
        <v>0</v>
      </c>
      <c r="L20" s="83">
        <f t="shared" si="2"/>
        <v>0</v>
      </c>
      <c r="M20" s="83">
        <f t="shared" si="2"/>
        <v>0</v>
      </c>
      <c r="N20" s="83">
        <f t="shared" si="2"/>
        <v>0</v>
      </c>
      <c r="O20" s="83">
        <f t="shared" si="2"/>
        <v>0</v>
      </c>
      <c r="P20" s="83">
        <f t="shared" si="2"/>
        <v>0</v>
      </c>
      <c r="Q20" s="83">
        <f t="shared" si="2"/>
        <v>0</v>
      </c>
      <c r="R20" s="83">
        <f t="shared" si="2"/>
        <v>0</v>
      </c>
      <c r="S20" s="83">
        <f t="shared" si="2"/>
        <v>0</v>
      </c>
      <c r="T20" s="83">
        <f t="shared" si="2"/>
        <v>0</v>
      </c>
      <c r="U20" s="83">
        <f t="shared" si="2"/>
        <v>0</v>
      </c>
      <c r="V20" s="83">
        <f t="shared" si="2"/>
        <v>0</v>
      </c>
      <c r="W20" s="83">
        <f t="shared" si="2"/>
        <v>0</v>
      </c>
      <c r="X20" s="83">
        <f t="shared" si="2"/>
        <v>0</v>
      </c>
      <c r="Y20" s="83">
        <f t="shared" si="2"/>
        <v>0</v>
      </c>
      <c r="Z20" s="83">
        <f t="shared" si="2"/>
        <v>0</v>
      </c>
      <c r="AA20" s="83">
        <f t="shared" si="2"/>
        <v>0</v>
      </c>
      <c r="AB20" s="83">
        <f t="shared" si="2"/>
        <v>0</v>
      </c>
      <c r="AC20" s="83">
        <f t="shared" si="2"/>
        <v>0</v>
      </c>
      <c r="AD20" s="83">
        <f t="shared" si="2"/>
        <v>0</v>
      </c>
      <c r="AE20" s="83">
        <f t="shared" si="2"/>
        <v>0</v>
      </c>
      <c r="AF20" s="83">
        <f t="shared" si="2"/>
        <v>0</v>
      </c>
      <c r="AG20" s="83">
        <f t="shared" si="2"/>
        <v>0</v>
      </c>
      <c r="AH20" s="83">
        <f t="shared" si="2"/>
        <v>0</v>
      </c>
      <c r="AI20" s="83">
        <f t="shared" si="2"/>
        <v>0</v>
      </c>
      <c r="AJ20" s="83">
        <f t="shared" si="2"/>
        <v>0</v>
      </c>
      <c r="AK20" s="83">
        <f t="shared" si="2"/>
        <v>0</v>
      </c>
      <c r="AL20" s="83">
        <f t="shared" si="2"/>
        <v>0</v>
      </c>
      <c r="AM20" s="83">
        <f t="shared" si="2"/>
        <v>0</v>
      </c>
      <c r="AN20" s="83">
        <f t="shared" si="2"/>
        <v>0</v>
      </c>
      <c r="AO20" s="83">
        <f t="shared" si="2"/>
        <v>0</v>
      </c>
      <c r="AP20" s="83">
        <f t="shared" si="2"/>
        <v>0</v>
      </c>
      <c r="AQ20" s="83">
        <f t="shared" si="2"/>
        <v>0</v>
      </c>
      <c r="AR20" s="83">
        <f t="shared" si="2"/>
        <v>0</v>
      </c>
      <c r="AS20" s="83">
        <f t="shared" si="2"/>
        <v>0</v>
      </c>
      <c r="AT20" s="83">
        <f t="shared" ref="AT20:BE20" si="6">($C20/12)*AT11</f>
        <v>0</v>
      </c>
      <c r="AU20" s="83">
        <f t="shared" si="6"/>
        <v>0</v>
      </c>
      <c r="AV20" s="83">
        <f t="shared" si="6"/>
        <v>0</v>
      </c>
      <c r="AW20" s="83">
        <f t="shared" si="6"/>
        <v>0</v>
      </c>
      <c r="AX20" s="83">
        <f t="shared" si="6"/>
        <v>0</v>
      </c>
      <c r="AY20" s="83">
        <f t="shared" si="6"/>
        <v>0</v>
      </c>
      <c r="AZ20" s="83">
        <f t="shared" si="6"/>
        <v>0</v>
      </c>
      <c r="BA20" s="83">
        <f t="shared" si="6"/>
        <v>0</v>
      </c>
      <c r="BB20" s="83">
        <f t="shared" si="6"/>
        <v>0</v>
      </c>
      <c r="BC20" s="83">
        <f t="shared" si="6"/>
        <v>0</v>
      </c>
      <c r="BD20" s="83">
        <f t="shared" si="6"/>
        <v>0</v>
      </c>
      <c r="BE20" s="83">
        <f t="shared" si="6"/>
        <v>0</v>
      </c>
      <c r="BF20" s="83">
        <f t="shared" ref="BF20:BQ20" si="7">($C20/12)*BF11</f>
        <v>0</v>
      </c>
      <c r="BG20" s="83">
        <f t="shared" si="7"/>
        <v>0</v>
      </c>
      <c r="BH20" s="83">
        <f t="shared" si="7"/>
        <v>0</v>
      </c>
      <c r="BI20" s="83">
        <f t="shared" si="7"/>
        <v>0</v>
      </c>
      <c r="BJ20" s="83">
        <f t="shared" si="7"/>
        <v>0</v>
      </c>
      <c r="BK20" s="83">
        <f t="shared" si="7"/>
        <v>0</v>
      </c>
      <c r="BL20" s="83">
        <f t="shared" si="7"/>
        <v>0</v>
      </c>
      <c r="BM20" s="83">
        <f t="shared" si="7"/>
        <v>0</v>
      </c>
      <c r="BN20" s="83">
        <f t="shared" si="7"/>
        <v>0</v>
      </c>
      <c r="BO20" s="83">
        <f t="shared" si="7"/>
        <v>0</v>
      </c>
      <c r="BP20" s="83">
        <f t="shared" si="7"/>
        <v>0</v>
      </c>
      <c r="BQ20" s="83">
        <f t="shared" si="7"/>
        <v>0</v>
      </c>
    </row>
    <row r="21" spans="2:69" s="89" customFormat="1">
      <c r="B21" s="112" t="s">
        <v>190</v>
      </c>
      <c r="J21" s="113">
        <f>SUM(J15:J20)</f>
        <v>0</v>
      </c>
      <c r="K21" s="113">
        <f t="shared" ref="K21:BE21" si="8">SUM(K15:K20)</f>
        <v>0</v>
      </c>
      <c r="L21" s="113">
        <f t="shared" si="8"/>
        <v>0</v>
      </c>
      <c r="M21" s="113">
        <f t="shared" si="8"/>
        <v>0</v>
      </c>
      <c r="N21" s="113">
        <f t="shared" si="8"/>
        <v>0</v>
      </c>
      <c r="O21" s="113">
        <f t="shared" si="8"/>
        <v>0</v>
      </c>
      <c r="P21" s="113">
        <f t="shared" si="8"/>
        <v>0</v>
      </c>
      <c r="Q21" s="113">
        <f t="shared" si="8"/>
        <v>0</v>
      </c>
      <c r="R21" s="113">
        <f t="shared" si="8"/>
        <v>0</v>
      </c>
      <c r="S21" s="113">
        <f t="shared" si="8"/>
        <v>2916.6666666666665</v>
      </c>
      <c r="T21" s="113">
        <f t="shared" si="8"/>
        <v>9166.6666666666661</v>
      </c>
      <c r="U21" s="113">
        <f t="shared" si="8"/>
        <v>9166.6666666666661</v>
      </c>
      <c r="V21" s="113">
        <f t="shared" si="8"/>
        <v>9166.6666666666661</v>
      </c>
      <c r="W21" s="113">
        <f t="shared" si="8"/>
        <v>21666.666666666668</v>
      </c>
      <c r="X21" s="113">
        <f t="shared" si="8"/>
        <v>21666.666666666668</v>
      </c>
      <c r="Y21" s="113">
        <f t="shared" si="8"/>
        <v>21666.666666666668</v>
      </c>
      <c r="Z21" s="113">
        <f t="shared" si="8"/>
        <v>21666.666666666668</v>
      </c>
      <c r="AA21" s="113">
        <f t="shared" si="8"/>
        <v>21666.666666666668</v>
      </c>
      <c r="AB21" s="113">
        <f t="shared" si="8"/>
        <v>21666.666666666668</v>
      </c>
      <c r="AC21" s="113">
        <f t="shared" si="8"/>
        <v>21666.666666666668</v>
      </c>
      <c r="AD21" s="113">
        <f t="shared" si="8"/>
        <v>21666.666666666668</v>
      </c>
      <c r="AE21" s="113">
        <f t="shared" si="8"/>
        <v>21666.666666666668</v>
      </c>
      <c r="AF21" s="113">
        <f t="shared" si="8"/>
        <v>21666.666666666668</v>
      </c>
      <c r="AG21" s="113">
        <f t="shared" si="8"/>
        <v>21666.666666666668</v>
      </c>
      <c r="AH21" s="113">
        <f t="shared" si="8"/>
        <v>25000</v>
      </c>
      <c r="AI21" s="113">
        <f t="shared" si="8"/>
        <v>25000</v>
      </c>
      <c r="AJ21" s="113">
        <f t="shared" si="8"/>
        <v>25000</v>
      </c>
      <c r="AK21" s="113">
        <f t="shared" si="8"/>
        <v>25000</v>
      </c>
      <c r="AL21" s="113">
        <f t="shared" si="8"/>
        <v>25000</v>
      </c>
      <c r="AM21" s="113">
        <f t="shared" si="8"/>
        <v>25000</v>
      </c>
      <c r="AN21" s="113">
        <f t="shared" si="8"/>
        <v>25000</v>
      </c>
      <c r="AO21" s="113">
        <f t="shared" si="8"/>
        <v>25000</v>
      </c>
      <c r="AP21" s="113">
        <f t="shared" si="8"/>
        <v>25000</v>
      </c>
      <c r="AQ21" s="113">
        <f t="shared" si="8"/>
        <v>25000</v>
      </c>
      <c r="AR21" s="113">
        <f t="shared" si="8"/>
        <v>25000</v>
      </c>
      <c r="AS21" s="113">
        <f t="shared" si="8"/>
        <v>28333.333333333336</v>
      </c>
      <c r="AT21" s="113">
        <f t="shared" si="8"/>
        <v>32083.333333333336</v>
      </c>
      <c r="AU21" s="113">
        <f t="shared" si="8"/>
        <v>32083.333333333336</v>
      </c>
      <c r="AV21" s="113">
        <f t="shared" si="8"/>
        <v>32083.333333333336</v>
      </c>
      <c r="AW21" s="113">
        <f t="shared" si="8"/>
        <v>32083.333333333336</v>
      </c>
      <c r="AX21" s="113">
        <f t="shared" si="8"/>
        <v>32083.333333333336</v>
      </c>
      <c r="AY21" s="113">
        <f t="shared" si="8"/>
        <v>32083.333333333336</v>
      </c>
      <c r="AZ21" s="113">
        <f t="shared" si="8"/>
        <v>32083.333333333336</v>
      </c>
      <c r="BA21" s="113">
        <f t="shared" si="8"/>
        <v>32083.333333333336</v>
      </c>
      <c r="BB21" s="113">
        <f t="shared" si="8"/>
        <v>32083.333333333336</v>
      </c>
      <c r="BC21" s="113">
        <f t="shared" si="8"/>
        <v>32083.333333333336</v>
      </c>
      <c r="BD21" s="113">
        <f t="shared" si="8"/>
        <v>32083.333333333336</v>
      </c>
      <c r="BE21" s="113">
        <f t="shared" si="8"/>
        <v>32083.333333333336</v>
      </c>
      <c r="BF21" s="113">
        <f t="shared" ref="BF21:BQ21" si="9">SUM(BF15:BF20)</f>
        <v>35833.333333333336</v>
      </c>
      <c r="BG21" s="113">
        <f t="shared" si="9"/>
        <v>35833.333333333336</v>
      </c>
      <c r="BH21" s="113">
        <f t="shared" si="9"/>
        <v>35833.333333333336</v>
      </c>
      <c r="BI21" s="113">
        <f t="shared" si="9"/>
        <v>35833.333333333336</v>
      </c>
      <c r="BJ21" s="113">
        <f t="shared" si="9"/>
        <v>35833.333333333336</v>
      </c>
      <c r="BK21" s="113">
        <f t="shared" si="9"/>
        <v>35833.333333333336</v>
      </c>
      <c r="BL21" s="113">
        <f t="shared" si="9"/>
        <v>35833.333333333336</v>
      </c>
      <c r="BM21" s="113">
        <f t="shared" si="9"/>
        <v>35833.333333333336</v>
      </c>
      <c r="BN21" s="113">
        <f t="shared" si="9"/>
        <v>35833.333333333336</v>
      </c>
      <c r="BO21" s="113">
        <f t="shared" si="9"/>
        <v>35833.333333333336</v>
      </c>
      <c r="BP21" s="113">
        <f t="shared" si="9"/>
        <v>35833.333333333336</v>
      </c>
      <c r="BQ21" s="113">
        <f t="shared" si="9"/>
        <v>35833.333333333336</v>
      </c>
    </row>
    <row r="24" spans="2:69">
      <c r="B24" t="s">
        <v>191</v>
      </c>
      <c r="J24" s="38">
        <f>J21*Inputs!J14</f>
        <v>0</v>
      </c>
      <c r="K24" s="38">
        <f>K21*Inputs!K14</f>
        <v>0</v>
      </c>
      <c r="L24" s="38">
        <f>L21*Inputs!L14</f>
        <v>0</v>
      </c>
      <c r="M24" s="38">
        <f>M21*Inputs!M14</f>
        <v>0</v>
      </c>
      <c r="N24" s="38">
        <f>N21*Inputs!N14</f>
        <v>0</v>
      </c>
      <c r="O24" s="38">
        <f>O21*Inputs!O14</f>
        <v>0</v>
      </c>
      <c r="P24" s="38">
        <f>P21*Inputs!P14</f>
        <v>0</v>
      </c>
      <c r="Q24" s="38">
        <f>Q21*Inputs!Q14</f>
        <v>0</v>
      </c>
      <c r="R24" s="38">
        <f>R21*Inputs!R14</f>
        <v>0</v>
      </c>
      <c r="S24" s="38">
        <f>S21*Inputs!S14</f>
        <v>437.49999999999994</v>
      </c>
      <c r="T24" s="38">
        <f>T21*Inputs!T14</f>
        <v>1374.9999999999998</v>
      </c>
      <c r="U24" s="38">
        <f>U21*Inputs!U14</f>
        <v>1374.9999999999998</v>
      </c>
      <c r="V24" s="38">
        <f>V21*Inputs!V14</f>
        <v>1374.9999999999998</v>
      </c>
      <c r="W24" s="38">
        <f>W21*Inputs!W14</f>
        <v>3250</v>
      </c>
      <c r="X24" s="38">
        <f>X21*Inputs!X14</f>
        <v>3250</v>
      </c>
      <c r="Y24" s="38">
        <f>Y21*Inputs!Y14</f>
        <v>3250</v>
      </c>
      <c r="Z24" s="38">
        <f>Z21*Inputs!Z14</f>
        <v>3250</v>
      </c>
      <c r="AA24" s="38">
        <f>AA21*Inputs!AA14</f>
        <v>3250</v>
      </c>
      <c r="AB24" s="38">
        <f>AB21*Inputs!AB14</f>
        <v>3250</v>
      </c>
      <c r="AC24" s="38">
        <f>AC21*Inputs!AC14</f>
        <v>3250</v>
      </c>
      <c r="AD24" s="38">
        <f>AD21*Inputs!AD14</f>
        <v>3250</v>
      </c>
      <c r="AE24" s="38">
        <f>AE21*Inputs!AE14</f>
        <v>3250</v>
      </c>
      <c r="AF24" s="38">
        <f>AF21*Inputs!AF14</f>
        <v>3250</v>
      </c>
      <c r="AG24" s="38">
        <f>AG21*Inputs!AG14</f>
        <v>3250</v>
      </c>
      <c r="AH24" s="38">
        <f>AH21*Inputs!AH14</f>
        <v>3750</v>
      </c>
      <c r="AI24" s="38">
        <f>AI21*Inputs!AI14</f>
        <v>3750</v>
      </c>
      <c r="AJ24" s="38">
        <f>AJ21*Inputs!AJ14</f>
        <v>3750</v>
      </c>
      <c r="AK24" s="38">
        <f>AK21*Inputs!AK14</f>
        <v>3750</v>
      </c>
      <c r="AL24" s="38">
        <f>AL21*Inputs!AL14</f>
        <v>3750</v>
      </c>
      <c r="AM24" s="38">
        <f>AM21*Inputs!AM14</f>
        <v>3750</v>
      </c>
      <c r="AN24" s="38">
        <f>AN21*Inputs!AN14</f>
        <v>3750</v>
      </c>
      <c r="AO24" s="38">
        <f>AO21*Inputs!AO14</f>
        <v>3750</v>
      </c>
      <c r="AP24" s="38">
        <f>AP21*Inputs!AP14</f>
        <v>3750</v>
      </c>
      <c r="AQ24" s="38">
        <f>AQ21*Inputs!AQ14</f>
        <v>3750</v>
      </c>
      <c r="AR24" s="38">
        <f>AR21*Inputs!AR14</f>
        <v>3750</v>
      </c>
      <c r="AS24" s="38">
        <f>AS21*Inputs!AS14</f>
        <v>4250</v>
      </c>
      <c r="AT24" s="38">
        <f>AT21*Inputs!AT14</f>
        <v>4812.5</v>
      </c>
      <c r="AU24" s="38">
        <f>AU21*Inputs!AU14</f>
        <v>4812.5</v>
      </c>
      <c r="AV24" s="38">
        <f>AV21*Inputs!AV14</f>
        <v>4812.5</v>
      </c>
      <c r="AW24" s="38">
        <f>AW21*Inputs!AW14</f>
        <v>4812.5</v>
      </c>
      <c r="AX24" s="38">
        <f>AX21*Inputs!AX14</f>
        <v>4812.5</v>
      </c>
      <c r="AY24" s="38">
        <f>AY21*Inputs!AY14</f>
        <v>4812.5</v>
      </c>
      <c r="AZ24" s="38">
        <f>AZ21*Inputs!AZ14</f>
        <v>4812.5</v>
      </c>
      <c r="BA24" s="38">
        <f>BA21*Inputs!BA14</f>
        <v>4812.5</v>
      </c>
      <c r="BB24" s="38">
        <f>BB21*Inputs!BB14</f>
        <v>4812.5</v>
      </c>
      <c r="BC24" s="38">
        <f>BC21*Inputs!BC14</f>
        <v>4812.5</v>
      </c>
      <c r="BD24" s="38">
        <f>BD21*Inputs!BD14</f>
        <v>4812.5</v>
      </c>
      <c r="BE24" s="38">
        <f>BE21*Inputs!BE14</f>
        <v>4812.5</v>
      </c>
      <c r="BF24" s="38">
        <f>BF21*Inputs!BF14</f>
        <v>5375</v>
      </c>
      <c r="BG24" s="38">
        <f>BG21*Inputs!BG14</f>
        <v>5375</v>
      </c>
      <c r="BH24" s="38">
        <f>BH21*Inputs!BH14</f>
        <v>5375</v>
      </c>
      <c r="BI24" s="38">
        <f>BI21*Inputs!BI14</f>
        <v>5375</v>
      </c>
      <c r="BJ24" s="38">
        <f>BJ21*Inputs!BJ14</f>
        <v>5375</v>
      </c>
      <c r="BK24" s="38">
        <f>BK21*Inputs!BK14</f>
        <v>5375</v>
      </c>
      <c r="BL24" s="38">
        <f>BL21*Inputs!BL14</f>
        <v>5375</v>
      </c>
      <c r="BM24" s="38">
        <f>BM21*Inputs!BM14</f>
        <v>5375</v>
      </c>
      <c r="BN24" s="38">
        <f>BN21*Inputs!BN14</f>
        <v>5375</v>
      </c>
      <c r="BO24" s="38">
        <f>BO21*Inputs!BO14</f>
        <v>5375</v>
      </c>
      <c r="BP24" s="38">
        <f>BP21*Inputs!BP14</f>
        <v>5375</v>
      </c>
      <c r="BQ24" s="38">
        <f>BQ21*Inputs!BQ14</f>
        <v>5375</v>
      </c>
    </row>
    <row r="25" spans="2:69">
      <c r="B25" t="s">
        <v>192</v>
      </c>
      <c r="J25" s="38">
        <f>J21*Inputs!J15</f>
        <v>0</v>
      </c>
      <c r="K25" s="38">
        <f>K21*Inputs!K15</f>
        <v>0</v>
      </c>
      <c r="L25" s="38">
        <f>L21*Inputs!L15</f>
        <v>0</v>
      </c>
      <c r="M25" s="38">
        <f>M21*Inputs!M15</f>
        <v>0</v>
      </c>
      <c r="N25" s="38">
        <f>N21*Inputs!N15</f>
        <v>0</v>
      </c>
      <c r="O25" s="38">
        <f>O21*Inputs!O15</f>
        <v>0</v>
      </c>
      <c r="P25" s="38">
        <f>P21*Inputs!P15</f>
        <v>0</v>
      </c>
      <c r="Q25" s="38">
        <f>Q21*Inputs!Q15</f>
        <v>0</v>
      </c>
      <c r="R25" s="38">
        <f>R21*Inputs!R15</f>
        <v>0</v>
      </c>
      <c r="S25" s="38">
        <f>S21*Inputs!S15</f>
        <v>87.499999999999986</v>
      </c>
      <c r="T25" s="38">
        <f>T21*Inputs!T15</f>
        <v>275</v>
      </c>
      <c r="U25" s="38">
        <f>U21*Inputs!U15</f>
        <v>275</v>
      </c>
      <c r="V25" s="38">
        <f>V21*Inputs!V15</f>
        <v>275</v>
      </c>
      <c r="W25" s="38">
        <f>W21*Inputs!W15</f>
        <v>650</v>
      </c>
      <c r="X25" s="38">
        <f>X21*Inputs!X15</f>
        <v>650</v>
      </c>
      <c r="Y25" s="38">
        <f>Y21*Inputs!Y15</f>
        <v>650</v>
      </c>
      <c r="Z25" s="38">
        <f>Z21*Inputs!Z15</f>
        <v>650</v>
      </c>
      <c r="AA25" s="38">
        <f>AA21*Inputs!AA15</f>
        <v>650</v>
      </c>
      <c r="AB25" s="38">
        <f>AB21*Inputs!AB15</f>
        <v>650</v>
      </c>
      <c r="AC25" s="38">
        <f>AC21*Inputs!AC15</f>
        <v>650</v>
      </c>
      <c r="AD25" s="38">
        <f>AD21*Inputs!AD15</f>
        <v>650</v>
      </c>
      <c r="AE25" s="38">
        <f>AE21*Inputs!AE15</f>
        <v>650</v>
      </c>
      <c r="AF25" s="38">
        <f>AF21*Inputs!AF15</f>
        <v>650</v>
      </c>
      <c r="AG25" s="38">
        <f>AG21*Inputs!AG15</f>
        <v>650</v>
      </c>
      <c r="AH25" s="38">
        <f>AH21*Inputs!AH15</f>
        <v>750</v>
      </c>
      <c r="AI25" s="38">
        <f>AI21*Inputs!AI15</f>
        <v>750</v>
      </c>
      <c r="AJ25" s="38">
        <f>AJ21*Inputs!AJ15</f>
        <v>750</v>
      </c>
      <c r="AK25" s="38">
        <f>AK21*Inputs!AK15</f>
        <v>750</v>
      </c>
      <c r="AL25" s="38">
        <f>AL21*Inputs!AL15</f>
        <v>750</v>
      </c>
      <c r="AM25" s="38">
        <f>AM21*Inputs!AM15</f>
        <v>750</v>
      </c>
      <c r="AN25" s="38">
        <f>AN21*Inputs!AN15</f>
        <v>750</v>
      </c>
      <c r="AO25" s="38">
        <f>AO21*Inputs!AO15</f>
        <v>750</v>
      </c>
      <c r="AP25" s="38">
        <f>AP21*Inputs!AP15</f>
        <v>750</v>
      </c>
      <c r="AQ25" s="38">
        <f>AQ21*Inputs!AQ15</f>
        <v>750</v>
      </c>
      <c r="AR25" s="38">
        <f>AR21*Inputs!AR15</f>
        <v>750</v>
      </c>
      <c r="AS25" s="38">
        <f>AS21*Inputs!AS15</f>
        <v>850</v>
      </c>
      <c r="AT25" s="38">
        <f>AT21*Inputs!AT15</f>
        <v>962.5</v>
      </c>
      <c r="AU25" s="38">
        <f>AU21*Inputs!AU15</f>
        <v>962.5</v>
      </c>
      <c r="AV25" s="38">
        <f>AV21*Inputs!AV15</f>
        <v>962.5</v>
      </c>
      <c r="AW25" s="38">
        <f>AW21*Inputs!AW15</f>
        <v>962.5</v>
      </c>
      <c r="AX25" s="38">
        <f>AX21*Inputs!AX15</f>
        <v>962.5</v>
      </c>
      <c r="AY25" s="38">
        <f>AY21*Inputs!AY15</f>
        <v>962.5</v>
      </c>
      <c r="AZ25" s="38">
        <f>AZ21*Inputs!AZ15</f>
        <v>962.5</v>
      </c>
      <c r="BA25" s="38">
        <f>BA21*Inputs!BA15</f>
        <v>962.5</v>
      </c>
      <c r="BB25" s="38">
        <f>BB21*Inputs!BB15</f>
        <v>962.5</v>
      </c>
      <c r="BC25" s="38">
        <f>BC21*Inputs!BC15</f>
        <v>962.5</v>
      </c>
      <c r="BD25" s="38">
        <f>BD21*Inputs!BD15</f>
        <v>962.5</v>
      </c>
      <c r="BE25" s="38">
        <f>BE21*Inputs!BE15</f>
        <v>962.5</v>
      </c>
      <c r="BF25" s="38">
        <f>BF21*Inputs!BF15</f>
        <v>1075</v>
      </c>
      <c r="BG25" s="38">
        <f>BG21*Inputs!BG15</f>
        <v>1075</v>
      </c>
      <c r="BH25" s="38">
        <f>BH21*Inputs!BH15</f>
        <v>1075</v>
      </c>
      <c r="BI25" s="38">
        <f>BI21*Inputs!BI15</f>
        <v>1075</v>
      </c>
      <c r="BJ25" s="38">
        <f>BJ21*Inputs!BJ15</f>
        <v>1075</v>
      </c>
      <c r="BK25" s="38">
        <f>BK21*Inputs!BK15</f>
        <v>1075</v>
      </c>
      <c r="BL25" s="38">
        <f>BL21*Inputs!BL15</f>
        <v>1075</v>
      </c>
      <c r="BM25" s="38">
        <f>BM21*Inputs!BM15</f>
        <v>1075</v>
      </c>
      <c r="BN25" s="38">
        <f>BN21*Inputs!BN15</f>
        <v>1075</v>
      </c>
      <c r="BO25" s="38">
        <f>BO21*Inputs!BO15</f>
        <v>1075</v>
      </c>
      <c r="BP25" s="38">
        <f>BP21*Inputs!BP15</f>
        <v>1075</v>
      </c>
      <c r="BQ25" s="38">
        <f>BQ21*Inputs!BQ15</f>
        <v>1075</v>
      </c>
    </row>
    <row r="26" spans="2:69">
      <c r="B26" t="s">
        <v>193</v>
      </c>
      <c r="J26" s="38">
        <f>J21*Inputs!J12</f>
        <v>0</v>
      </c>
      <c r="K26" s="38">
        <f>K21*Inputs!K12</f>
        <v>0</v>
      </c>
      <c r="L26" s="38">
        <f>L21*Inputs!L12</f>
        <v>0</v>
      </c>
      <c r="M26" s="38">
        <f>M21*Inputs!M12</f>
        <v>0</v>
      </c>
      <c r="N26" s="38">
        <f>N21*Inputs!N12</f>
        <v>0</v>
      </c>
      <c r="O26" s="38">
        <f>O21*Inputs!O12</f>
        <v>0</v>
      </c>
      <c r="P26" s="38">
        <f>P21*Inputs!P12</f>
        <v>0</v>
      </c>
      <c r="Q26" s="38">
        <f>Q21*Inputs!Q12</f>
        <v>0</v>
      </c>
      <c r="R26" s="38">
        <f>R21*Inputs!R12</f>
        <v>0</v>
      </c>
      <c r="S26" s="38">
        <f>S21*Inputs!S12</f>
        <v>729.16666666666663</v>
      </c>
      <c r="T26" s="38">
        <f>T21*Inputs!T12</f>
        <v>2291.6666666666665</v>
      </c>
      <c r="U26" s="38">
        <f>U21*Inputs!U12</f>
        <v>2291.6666666666665</v>
      </c>
      <c r="V26" s="38">
        <f>V21*Inputs!V12</f>
        <v>2291.6666666666665</v>
      </c>
      <c r="W26" s="38">
        <f>W21*Inputs!W12</f>
        <v>5416.666666666667</v>
      </c>
      <c r="X26" s="38">
        <f>X21*Inputs!X12</f>
        <v>5416.666666666667</v>
      </c>
      <c r="Y26" s="38">
        <f>Y21*Inputs!Y12</f>
        <v>5416.666666666667</v>
      </c>
      <c r="Z26" s="38">
        <f>Z21*Inputs!Z12</f>
        <v>5416.666666666667</v>
      </c>
      <c r="AA26" s="38">
        <f>AA21*Inputs!AA12</f>
        <v>5416.666666666667</v>
      </c>
      <c r="AB26" s="38">
        <f>AB21*Inputs!AB12</f>
        <v>5416.666666666667</v>
      </c>
      <c r="AC26" s="38">
        <f>AC21*Inputs!AC12</f>
        <v>5416.666666666667</v>
      </c>
      <c r="AD26" s="38">
        <f>AD21*Inputs!AD12</f>
        <v>5416.666666666667</v>
      </c>
      <c r="AE26" s="38">
        <f>AE21*Inputs!AE12</f>
        <v>5416.666666666667</v>
      </c>
      <c r="AF26" s="38">
        <f>AF21*Inputs!AF12</f>
        <v>5416.666666666667</v>
      </c>
      <c r="AG26" s="38">
        <f>AG21*Inputs!AG12</f>
        <v>5416.666666666667</v>
      </c>
      <c r="AH26" s="38">
        <f>AH21*Inputs!AH12</f>
        <v>6250</v>
      </c>
      <c r="AI26" s="38">
        <f>AI21*Inputs!AI12</f>
        <v>6250</v>
      </c>
      <c r="AJ26" s="38">
        <f>AJ21*Inputs!AJ12</f>
        <v>6250</v>
      </c>
      <c r="AK26" s="38">
        <f>AK21*Inputs!AK12</f>
        <v>6250</v>
      </c>
      <c r="AL26" s="38">
        <f>AL21*Inputs!AL12</f>
        <v>6250</v>
      </c>
      <c r="AM26" s="38">
        <f>AM21*Inputs!AM12</f>
        <v>6250</v>
      </c>
      <c r="AN26" s="38">
        <f>AN21*Inputs!AN12</f>
        <v>6250</v>
      </c>
      <c r="AO26" s="38">
        <f>AO21*Inputs!AO12</f>
        <v>6250</v>
      </c>
      <c r="AP26" s="38">
        <f>AP21*Inputs!AP12</f>
        <v>6250</v>
      </c>
      <c r="AQ26" s="38">
        <f>AQ21*Inputs!AQ12</f>
        <v>6250</v>
      </c>
      <c r="AR26" s="38">
        <f>AR21*Inputs!AR12</f>
        <v>6250</v>
      </c>
      <c r="AS26" s="38">
        <f>AS21*Inputs!AS12</f>
        <v>7083.3333333333339</v>
      </c>
      <c r="AT26" s="38">
        <f>AT21*Inputs!AT12</f>
        <v>8020.8333333333339</v>
      </c>
      <c r="AU26" s="38">
        <f>AU21*Inputs!AU12</f>
        <v>8020.8333333333339</v>
      </c>
      <c r="AV26" s="38">
        <f>AV21*Inputs!AV12</f>
        <v>8020.8333333333339</v>
      </c>
      <c r="AW26" s="38">
        <f>AW21*Inputs!AW12</f>
        <v>8020.8333333333339</v>
      </c>
      <c r="AX26" s="38">
        <f>AX21*Inputs!AX12</f>
        <v>8020.8333333333339</v>
      </c>
      <c r="AY26" s="38">
        <f>AY21*Inputs!AY12</f>
        <v>8020.8333333333339</v>
      </c>
      <c r="AZ26" s="38">
        <f>AZ21*Inputs!AZ12</f>
        <v>8020.8333333333339</v>
      </c>
      <c r="BA26" s="38">
        <f>BA21*Inputs!BA12</f>
        <v>8020.8333333333339</v>
      </c>
      <c r="BB26" s="38">
        <f>BB21*Inputs!BB12</f>
        <v>8020.8333333333339</v>
      </c>
      <c r="BC26" s="38">
        <f>BC21*Inputs!BC12</f>
        <v>8020.8333333333339</v>
      </c>
      <c r="BD26" s="38">
        <f>BD21*Inputs!BD12</f>
        <v>8020.8333333333339</v>
      </c>
      <c r="BE26" s="38">
        <f>BE21*Inputs!BE12</f>
        <v>8020.8333333333339</v>
      </c>
      <c r="BF26" s="38">
        <f>BF21*Inputs!BF12</f>
        <v>8958.3333333333339</v>
      </c>
      <c r="BG26" s="38">
        <f>BG21*Inputs!BG12</f>
        <v>8958.3333333333339</v>
      </c>
      <c r="BH26" s="38">
        <f>BH21*Inputs!BH12</f>
        <v>8958.3333333333339</v>
      </c>
      <c r="BI26" s="38">
        <f>BI21*Inputs!BI12</f>
        <v>8958.3333333333339</v>
      </c>
      <c r="BJ26" s="38">
        <f>BJ21*Inputs!BJ12</f>
        <v>8958.3333333333339</v>
      </c>
      <c r="BK26" s="38">
        <f>BK21*Inputs!BK12</f>
        <v>8958.3333333333339</v>
      </c>
      <c r="BL26" s="38">
        <f>BL21*Inputs!BL12</f>
        <v>8958.3333333333339</v>
      </c>
      <c r="BM26" s="38">
        <f>BM21*Inputs!BM12</f>
        <v>8958.3333333333339</v>
      </c>
      <c r="BN26" s="38">
        <f>BN21*Inputs!BN12</f>
        <v>8958.3333333333339</v>
      </c>
      <c r="BO26" s="38">
        <f>BO21*Inputs!BO12</f>
        <v>8958.3333333333339</v>
      </c>
      <c r="BP26" s="38">
        <f>BP21*Inputs!BP12</f>
        <v>8958.3333333333339</v>
      </c>
      <c r="BQ26" s="38">
        <f>BQ21*Inputs!BQ12</f>
        <v>8958.3333333333339</v>
      </c>
    </row>
    <row r="27" spans="2:69">
      <c r="B27" t="s">
        <v>194</v>
      </c>
      <c r="J27" s="38">
        <f>J21*Inputs!J13</f>
        <v>0</v>
      </c>
      <c r="K27" s="38">
        <f>K21*Inputs!K13</f>
        <v>0</v>
      </c>
      <c r="L27" s="38">
        <f>L21*Inputs!L13</f>
        <v>0</v>
      </c>
      <c r="M27" s="38">
        <f>M21*Inputs!M13</f>
        <v>0</v>
      </c>
      <c r="N27" s="38">
        <f>N21*Inputs!N13</f>
        <v>0</v>
      </c>
      <c r="O27" s="38">
        <f>O21*Inputs!O13</f>
        <v>0</v>
      </c>
      <c r="P27" s="38">
        <f>P21*Inputs!P13</f>
        <v>0</v>
      </c>
      <c r="Q27" s="38">
        <f>Q21*Inputs!Q13</f>
        <v>0</v>
      </c>
      <c r="R27" s="38">
        <f>R21*Inputs!R13</f>
        <v>0</v>
      </c>
      <c r="S27" s="38">
        <f>S21*Inputs!S13</f>
        <v>320.83333333333331</v>
      </c>
      <c r="T27" s="38">
        <f>T21*Inputs!T13</f>
        <v>1008.3333333333333</v>
      </c>
      <c r="U27" s="38">
        <f>U21*Inputs!U13</f>
        <v>1008.3333333333333</v>
      </c>
      <c r="V27" s="38">
        <f>V21*Inputs!V13</f>
        <v>1008.3333333333333</v>
      </c>
      <c r="W27" s="38">
        <f>W21*Inputs!W13</f>
        <v>2383.3333333333335</v>
      </c>
      <c r="X27" s="38">
        <f>X21*Inputs!X13</f>
        <v>2383.3333333333335</v>
      </c>
      <c r="Y27" s="38">
        <f>Y21*Inputs!Y13</f>
        <v>2383.3333333333335</v>
      </c>
      <c r="Z27" s="38">
        <f>Z21*Inputs!Z13</f>
        <v>2383.3333333333335</v>
      </c>
      <c r="AA27" s="38">
        <f>AA21*Inputs!AA13</f>
        <v>2383.3333333333335</v>
      </c>
      <c r="AB27" s="38">
        <f>AB21*Inputs!AB13</f>
        <v>2383.3333333333335</v>
      </c>
      <c r="AC27" s="38">
        <f>AC21*Inputs!AC13</f>
        <v>2383.3333333333335</v>
      </c>
      <c r="AD27" s="38">
        <f>AD21*Inputs!AD13</f>
        <v>2383.3333333333335</v>
      </c>
      <c r="AE27" s="38">
        <f>AE21*Inputs!AE13</f>
        <v>2383.3333333333335</v>
      </c>
      <c r="AF27" s="38">
        <f>AF21*Inputs!AF13</f>
        <v>2383.3333333333335</v>
      </c>
      <c r="AG27" s="38">
        <f>AG21*Inputs!AG13</f>
        <v>2383.3333333333335</v>
      </c>
      <c r="AH27" s="38">
        <f>AH21*Inputs!AH13</f>
        <v>2750</v>
      </c>
      <c r="AI27" s="38">
        <f>AI21*Inputs!AI13</f>
        <v>2750</v>
      </c>
      <c r="AJ27" s="38">
        <f>AJ21*Inputs!AJ13</f>
        <v>2750</v>
      </c>
      <c r="AK27" s="38">
        <f>AK21*Inputs!AK13</f>
        <v>2750</v>
      </c>
      <c r="AL27" s="38">
        <f>AL21*Inputs!AL13</f>
        <v>2750</v>
      </c>
      <c r="AM27" s="38">
        <f>AM21*Inputs!AM13</f>
        <v>2750</v>
      </c>
      <c r="AN27" s="38">
        <f>AN21*Inputs!AN13</f>
        <v>2750</v>
      </c>
      <c r="AO27" s="38">
        <f>AO21*Inputs!AO13</f>
        <v>2750</v>
      </c>
      <c r="AP27" s="38">
        <f>AP21*Inputs!AP13</f>
        <v>2750</v>
      </c>
      <c r="AQ27" s="38">
        <f>AQ21*Inputs!AQ13</f>
        <v>2750</v>
      </c>
      <c r="AR27" s="38">
        <f>AR21*Inputs!AR13</f>
        <v>2750</v>
      </c>
      <c r="AS27" s="38">
        <f>AS21*Inputs!AS13</f>
        <v>3116.666666666667</v>
      </c>
      <c r="AT27" s="38">
        <f>AT21*Inputs!AT13</f>
        <v>3529.166666666667</v>
      </c>
      <c r="AU27" s="38">
        <f>AU21*Inputs!AU13</f>
        <v>3529.166666666667</v>
      </c>
      <c r="AV27" s="38">
        <f>AV21*Inputs!AV13</f>
        <v>3529.166666666667</v>
      </c>
      <c r="AW27" s="38">
        <f>AW21*Inputs!AW13</f>
        <v>3529.166666666667</v>
      </c>
      <c r="AX27" s="38">
        <f>AX21*Inputs!AX13</f>
        <v>3529.166666666667</v>
      </c>
      <c r="AY27" s="38">
        <f>AY21*Inputs!AY13</f>
        <v>3529.166666666667</v>
      </c>
      <c r="AZ27" s="38">
        <f>AZ21*Inputs!AZ13</f>
        <v>3529.166666666667</v>
      </c>
      <c r="BA27" s="38">
        <f>BA21*Inputs!BA13</f>
        <v>3529.166666666667</v>
      </c>
      <c r="BB27" s="38">
        <f>BB21*Inputs!BB13</f>
        <v>3529.166666666667</v>
      </c>
      <c r="BC27" s="38">
        <f>BC21*Inputs!BC13</f>
        <v>3529.166666666667</v>
      </c>
      <c r="BD27" s="38">
        <f>BD21*Inputs!BD13</f>
        <v>3529.166666666667</v>
      </c>
      <c r="BE27" s="38">
        <f>BE21*Inputs!BE13</f>
        <v>3529.166666666667</v>
      </c>
      <c r="BF27" s="38">
        <f>BF21*Inputs!BF13</f>
        <v>3941.666666666667</v>
      </c>
      <c r="BG27" s="38">
        <f>BG21*Inputs!BG13</f>
        <v>3941.666666666667</v>
      </c>
      <c r="BH27" s="38">
        <f>BH21*Inputs!BH13</f>
        <v>3941.666666666667</v>
      </c>
      <c r="BI27" s="38">
        <f>BI21*Inputs!BI13</f>
        <v>3941.666666666667</v>
      </c>
      <c r="BJ27" s="38">
        <f>BJ21*Inputs!BJ13</f>
        <v>3941.666666666667</v>
      </c>
      <c r="BK27" s="38">
        <f>BK21*Inputs!BK13</f>
        <v>3941.666666666667</v>
      </c>
      <c r="BL27" s="38">
        <f>BL21*Inputs!BL13</f>
        <v>3941.666666666667</v>
      </c>
      <c r="BM27" s="38">
        <f>BM21*Inputs!BM13</f>
        <v>3941.666666666667</v>
      </c>
      <c r="BN27" s="38">
        <f>BN21*Inputs!BN13</f>
        <v>3941.666666666667</v>
      </c>
      <c r="BO27" s="38">
        <f>BO21*Inputs!BO13</f>
        <v>3941.666666666667</v>
      </c>
      <c r="BP27" s="38">
        <f>BP21*Inputs!BP13</f>
        <v>3941.666666666667</v>
      </c>
      <c r="BQ27" s="38">
        <f>BQ21*Inputs!BQ13</f>
        <v>3941.666666666667</v>
      </c>
    </row>
    <row r="28" spans="2:69" s="89" customFormat="1">
      <c r="B28" s="112" t="s">
        <v>6</v>
      </c>
      <c r="J28" s="114">
        <f>SUM(J24:J27)</f>
        <v>0</v>
      </c>
      <c r="K28" s="114">
        <f t="shared" ref="K28:BE28" si="10">SUM(K24:K27)</f>
        <v>0</v>
      </c>
      <c r="L28" s="114">
        <f t="shared" si="10"/>
        <v>0</v>
      </c>
      <c r="M28" s="114">
        <f t="shared" si="10"/>
        <v>0</v>
      </c>
      <c r="N28" s="114">
        <f t="shared" si="10"/>
        <v>0</v>
      </c>
      <c r="O28" s="114">
        <f t="shared" si="10"/>
        <v>0</v>
      </c>
      <c r="P28" s="114">
        <f t="shared" si="10"/>
        <v>0</v>
      </c>
      <c r="Q28" s="114">
        <f t="shared" si="10"/>
        <v>0</v>
      </c>
      <c r="R28" s="114">
        <f t="shared" si="10"/>
        <v>0</v>
      </c>
      <c r="S28" s="114">
        <f t="shared" si="10"/>
        <v>1574.9999999999998</v>
      </c>
      <c r="T28" s="114">
        <f t="shared" si="10"/>
        <v>4949.9999999999991</v>
      </c>
      <c r="U28" s="114">
        <f t="shared" si="10"/>
        <v>4949.9999999999991</v>
      </c>
      <c r="V28" s="114">
        <f t="shared" si="10"/>
        <v>4949.9999999999991</v>
      </c>
      <c r="W28" s="114">
        <f t="shared" si="10"/>
        <v>11700.000000000002</v>
      </c>
      <c r="X28" s="114">
        <f t="shared" si="10"/>
        <v>11700.000000000002</v>
      </c>
      <c r="Y28" s="114">
        <f t="shared" si="10"/>
        <v>11700.000000000002</v>
      </c>
      <c r="Z28" s="114">
        <f t="shared" si="10"/>
        <v>11700.000000000002</v>
      </c>
      <c r="AA28" s="114">
        <f t="shared" si="10"/>
        <v>11700.000000000002</v>
      </c>
      <c r="AB28" s="114">
        <f t="shared" si="10"/>
        <v>11700.000000000002</v>
      </c>
      <c r="AC28" s="114">
        <f t="shared" si="10"/>
        <v>11700.000000000002</v>
      </c>
      <c r="AD28" s="114">
        <f t="shared" si="10"/>
        <v>11700.000000000002</v>
      </c>
      <c r="AE28" s="114">
        <f t="shared" si="10"/>
        <v>11700.000000000002</v>
      </c>
      <c r="AF28" s="114">
        <f t="shared" si="10"/>
        <v>11700.000000000002</v>
      </c>
      <c r="AG28" s="114">
        <f t="shared" si="10"/>
        <v>11700.000000000002</v>
      </c>
      <c r="AH28" s="114">
        <f t="shared" si="10"/>
        <v>13500</v>
      </c>
      <c r="AI28" s="114">
        <f t="shared" si="10"/>
        <v>13500</v>
      </c>
      <c r="AJ28" s="114">
        <f t="shared" si="10"/>
        <v>13500</v>
      </c>
      <c r="AK28" s="114">
        <f t="shared" si="10"/>
        <v>13500</v>
      </c>
      <c r="AL28" s="114">
        <f t="shared" si="10"/>
        <v>13500</v>
      </c>
      <c r="AM28" s="114">
        <f t="shared" si="10"/>
        <v>13500</v>
      </c>
      <c r="AN28" s="114">
        <f t="shared" si="10"/>
        <v>13500</v>
      </c>
      <c r="AO28" s="114">
        <f t="shared" si="10"/>
        <v>13500</v>
      </c>
      <c r="AP28" s="114">
        <f t="shared" si="10"/>
        <v>13500</v>
      </c>
      <c r="AQ28" s="114">
        <f t="shared" si="10"/>
        <v>13500</v>
      </c>
      <c r="AR28" s="114">
        <f t="shared" si="10"/>
        <v>13500</v>
      </c>
      <c r="AS28" s="114">
        <f t="shared" si="10"/>
        <v>15300</v>
      </c>
      <c r="AT28" s="114">
        <f t="shared" si="10"/>
        <v>17325</v>
      </c>
      <c r="AU28" s="114">
        <f t="shared" si="10"/>
        <v>17325</v>
      </c>
      <c r="AV28" s="114">
        <f t="shared" si="10"/>
        <v>17325</v>
      </c>
      <c r="AW28" s="114">
        <f t="shared" si="10"/>
        <v>17325</v>
      </c>
      <c r="AX28" s="114">
        <f t="shared" si="10"/>
        <v>17325</v>
      </c>
      <c r="AY28" s="114">
        <f t="shared" si="10"/>
        <v>17325</v>
      </c>
      <c r="AZ28" s="114">
        <f t="shared" si="10"/>
        <v>17325</v>
      </c>
      <c r="BA28" s="114">
        <f t="shared" si="10"/>
        <v>17325</v>
      </c>
      <c r="BB28" s="114">
        <f t="shared" si="10"/>
        <v>17325</v>
      </c>
      <c r="BC28" s="114">
        <f t="shared" si="10"/>
        <v>17325</v>
      </c>
      <c r="BD28" s="114">
        <f t="shared" si="10"/>
        <v>17325</v>
      </c>
      <c r="BE28" s="114">
        <f t="shared" si="10"/>
        <v>17325</v>
      </c>
      <c r="BF28" s="114">
        <f t="shared" ref="BF28:BQ28" si="11">SUM(BF24:BF27)</f>
        <v>19350</v>
      </c>
      <c r="BG28" s="114">
        <f t="shared" si="11"/>
        <v>19350</v>
      </c>
      <c r="BH28" s="114">
        <f t="shared" si="11"/>
        <v>19350</v>
      </c>
      <c r="BI28" s="114">
        <f t="shared" si="11"/>
        <v>19350</v>
      </c>
      <c r="BJ28" s="114">
        <f t="shared" si="11"/>
        <v>19350</v>
      </c>
      <c r="BK28" s="114">
        <f t="shared" si="11"/>
        <v>19350</v>
      </c>
      <c r="BL28" s="114">
        <f t="shared" si="11"/>
        <v>19350</v>
      </c>
      <c r="BM28" s="114">
        <f t="shared" si="11"/>
        <v>19350</v>
      </c>
      <c r="BN28" s="114">
        <f t="shared" si="11"/>
        <v>19350</v>
      </c>
      <c r="BO28" s="114">
        <f t="shared" si="11"/>
        <v>19350</v>
      </c>
      <c r="BP28" s="114">
        <f t="shared" si="11"/>
        <v>19350</v>
      </c>
      <c r="BQ28" s="114">
        <f t="shared" si="11"/>
        <v>19350</v>
      </c>
    </row>
    <row r="31" spans="2:69">
      <c r="B31" s="2" t="s">
        <v>184</v>
      </c>
    </row>
    <row r="32" spans="2:69">
      <c r="B32" t="s">
        <v>299</v>
      </c>
      <c r="J32">
        <v>0</v>
      </c>
      <c r="K32">
        <v>0</v>
      </c>
      <c r="L32">
        <v>0</v>
      </c>
      <c r="M32">
        <v>0</v>
      </c>
      <c r="N32">
        <v>0</v>
      </c>
      <c r="O32">
        <v>0</v>
      </c>
      <c r="P32">
        <v>0</v>
      </c>
      <c r="Q32">
        <v>0</v>
      </c>
      <c r="R32">
        <v>0</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c r="BJ32">
        <v>1</v>
      </c>
      <c r="BK32">
        <v>1</v>
      </c>
      <c r="BL32">
        <v>1</v>
      </c>
      <c r="BM32">
        <v>1</v>
      </c>
      <c r="BN32">
        <v>1</v>
      </c>
      <c r="BO32">
        <v>1</v>
      </c>
      <c r="BP32">
        <v>1</v>
      </c>
      <c r="BQ32">
        <v>1</v>
      </c>
    </row>
    <row r="33" spans="2:69">
      <c r="B33" t="s">
        <v>300</v>
      </c>
      <c r="J33">
        <v>0</v>
      </c>
      <c r="K33">
        <v>0</v>
      </c>
      <c r="L33">
        <v>0</v>
      </c>
      <c r="M33">
        <v>0</v>
      </c>
      <c r="N33">
        <v>0</v>
      </c>
      <c r="O33">
        <v>0</v>
      </c>
      <c r="P33">
        <v>0</v>
      </c>
      <c r="Q33">
        <v>0</v>
      </c>
      <c r="R33">
        <v>0</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c r="BJ33">
        <v>1</v>
      </c>
      <c r="BK33">
        <v>1</v>
      </c>
      <c r="BL33">
        <v>1</v>
      </c>
      <c r="BM33">
        <v>1</v>
      </c>
      <c r="BN33">
        <v>1</v>
      </c>
      <c r="BO33">
        <v>1</v>
      </c>
      <c r="BP33">
        <v>1</v>
      </c>
      <c r="BQ33">
        <v>1</v>
      </c>
    </row>
    <row r="34" spans="2:69">
      <c r="B34" t="s">
        <v>359</v>
      </c>
      <c r="J34">
        <v>0</v>
      </c>
      <c r="K34">
        <v>0</v>
      </c>
      <c r="L34">
        <v>0</v>
      </c>
      <c r="M34">
        <v>0</v>
      </c>
      <c r="N34">
        <v>0</v>
      </c>
      <c r="O34">
        <v>0</v>
      </c>
      <c r="P34">
        <v>0</v>
      </c>
      <c r="Q34">
        <v>0</v>
      </c>
      <c r="R34">
        <v>0</v>
      </c>
      <c r="S34">
        <v>0</v>
      </c>
      <c r="T34">
        <v>0</v>
      </c>
      <c r="U34">
        <v>0</v>
      </c>
      <c r="V34">
        <v>0</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c r="BJ34">
        <v>1</v>
      </c>
      <c r="BK34">
        <v>1</v>
      </c>
      <c r="BL34">
        <v>1</v>
      </c>
      <c r="BM34">
        <v>1</v>
      </c>
      <c r="BN34">
        <v>1</v>
      </c>
      <c r="BO34">
        <v>1</v>
      </c>
      <c r="BP34">
        <v>1</v>
      </c>
      <c r="BQ34">
        <v>1</v>
      </c>
    </row>
    <row r="35" spans="2:69">
      <c r="B35" t="s">
        <v>185</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c r="BJ35">
        <v>1</v>
      </c>
      <c r="BK35">
        <v>1</v>
      </c>
      <c r="BL35">
        <v>1</v>
      </c>
      <c r="BM35">
        <v>1</v>
      </c>
      <c r="BN35">
        <v>1</v>
      </c>
      <c r="BO35">
        <v>1</v>
      </c>
      <c r="BP35">
        <v>1</v>
      </c>
      <c r="BQ35">
        <v>1</v>
      </c>
    </row>
    <row r="36" spans="2:69">
      <c r="B36" t="s">
        <v>186</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1</v>
      </c>
      <c r="BO36">
        <v>1</v>
      </c>
      <c r="BP36">
        <v>1</v>
      </c>
      <c r="BQ36">
        <v>1</v>
      </c>
    </row>
    <row r="37" spans="2:69">
      <c r="B37" t="s">
        <v>187</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1</v>
      </c>
      <c r="BG37">
        <v>1</v>
      </c>
      <c r="BH37">
        <v>1</v>
      </c>
      <c r="BI37">
        <v>1</v>
      </c>
      <c r="BJ37">
        <v>1</v>
      </c>
      <c r="BK37">
        <v>1</v>
      </c>
      <c r="BL37">
        <v>1</v>
      </c>
      <c r="BM37">
        <v>1</v>
      </c>
      <c r="BN37">
        <v>1</v>
      </c>
      <c r="BO37">
        <v>1</v>
      </c>
      <c r="BP37">
        <v>1</v>
      </c>
      <c r="BQ37">
        <v>1</v>
      </c>
    </row>
    <row r="38" spans="2:69" s="89" customFormat="1">
      <c r="B38" s="89" t="s">
        <v>188</v>
      </c>
      <c r="J38" s="89">
        <f>SUM(J32:J37)</f>
        <v>0</v>
      </c>
      <c r="K38" s="89">
        <f t="shared" ref="K38" si="12">SUM(K32:K37)</f>
        <v>0</v>
      </c>
      <c r="L38" s="89">
        <f t="shared" ref="L38" si="13">SUM(L32:L37)</f>
        <v>0</v>
      </c>
      <c r="M38" s="89">
        <f t="shared" ref="M38" si="14">SUM(M32:M37)</f>
        <v>0</v>
      </c>
      <c r="N38" s="89">
        <f t="shared" ref="N38" si="15">SUM(N32:N37)</f>
        <v>0</v>
      </c>
      <c r="O38" s="89">
        <f t="shared" ref="O38" si="16">SUM(O32:O37)</f>
        <v>0</v>
      </c>
      <c r="P38" s="89">
        <f t="shared" ref="P38" si="17">SUM(P32:P37)</f>
        <v>0</v>
      </c>
      <c r="Q38" s="89">
        <f t="shared" ref="Q38" si="18">SUM(Q32:Q37)</f>
        <v>0</v>
      </c>
      <c r="R38" s="89">
        <f t="shared" ref="R38" si="19">SUM(R32:R37)</f>
        <v>0</v>
      </c>
      <c r="S38" s="89">
        <f t="shared" ref="S38" si="20">SUM(S32:S37)</f>
        <v>2</v>
      </c>
      <c r="T38" s="89">
        <f t="shared" ref="T38" si="21">SUM(T32:T37)</f>
        <v>2</v>
      </c>
      <c r="U38" s="89">
        <f t="shared" ref="U38" si="22">SUM(U32:U37)</f>
        <v>2</v>
      </c>
      <c r="V38" s="89">
        <f t="shared" ref="V38" si="23">SUM(V32:V37)</f>
        <v>2</v>
      </c>
      <c r="W38" s="89">
        <f t="shared" ref="W38" si="24">SUM(W32:W37)</f>
        <v>3</v>
      </c>
      <c r="X38" s="89">
        <f t="shared" ref="X38" si="25">SUM(X32:X37)</f>
        <v>3</v>
      </c>
      <c r="Y38" s="89">
        <f t="shared" ref="Y38" si="26">SUM(Y32:Y37)</f>
        <v>3</v>
      </c>
      <c r="Z38" s="89">
        <f t="shared" ref="Z38" si="27">SUM(Z32:Z37)</f>
        <v>3</v>
      </c>
      <c r="AA38" s="89">
        <f t="shared" ref="AA38" si="28">SUM(AA32:AA37)</f>
        <v>3</v>
      </c>
      <c r="AB38" s="89">
        <f t="shared" ref="AB38" si="29">SUM(AB32:AB37)</f>
        <v>3</v>
      </c>
      <c r="AC38" s="89">
        <f t="shared" ref="AC38" si="30">SUM(AC32:AC37)</f>
        <v>3</v>
      </c>
      <c r="AD38" s="89">
        <f t="shared" ref="AD38" si="31">SUM(AD32:AD37)</f>
        <v>3</v>
      </c>
      <c r="AE38" s="89">
        <f t="shared" ref="AE38" si="32">SUM(AE32:AE37)</f>
        <v>3</v>
      </c>
      <c r="AF38" s="89">
        <f t="shared" ref="AF38" si="33">SUM(AF32:AF37)</f>
        <v>3</v>
      </c>
      <c r="AG38" s="89">
        <f t="shared" ref="AG38" si="34">SUM(AG32:AG37)</f>
        <v>3</v>
      </c>
      <c r="AH38" s="89">
        <f t="shared" ref="AH38" si="35">SUM(AH32:AH37)</f>
        <v>4</v>
      </c>
      <c r="AI38" s="89">
        <f t="shared" ref="AI38" si="36">SUM(AI32:AI37)</f>
        <v>4</v>
      </c>
      <c r="AJ38" s="89">
        <f t="shared" ref="AJ38" si="37">SUM(AJ32:AJ37)</f>
        <v>4</v>
      </c>
      <c r="AK38" s="89">
        <f t="shared" ref="AK38" si="38">SUM(AK32:AK37)</f>
        <v>4</v>
      </c>
      <c r="AL38" s="89">
        <f t="shared" ref="AL38" si="39">SUM(AL32:AL37)</f>
        <v>4</v>
      </c>
      <c r="AM38" s="89">
        <f t="shared" ref="AM38" si="40">SUM(AM32:AM37)</f>
        <v>4</v>
      </c>
      <c r="AN38" s="89">
        <f t="shared" ref="AN38" si="41">SUM(AN32:AN37)</f>
        <v>4</v>
      </c>
      <c r="AO38" s="89">
        <f t="shared" ref="AO38" si="42">SUM(AO32:AO37)</f>
        <v>4</v>
      </c>
      <c r="AP38" s="89">
        <f t="shared" ref="AP38" si="43">SUM(AP32:AP37)</f>
        <v>4</v>
      </c>
      <c r="AQ38" s="89">
        <f t="shared" ref="AQ38" si="44">SUM(AQ32:AQ37)</f>
        <v>4</v>
      </c>
      <c r="AR38" s="89">
        <f t="shared" ref="AR38" si="45">SUM(AR32:AR37)</f>
        <v>4</v>
      </c>
      <c r="AS38" s="89">
        <f t="shared" ref="AS38" si="46">SUM(AS32:AS37)</f>
        <v>4</v>
      </c>
      <c r="AT38" s="89">
        <f t="shared" ref="AT38" si="47">SUM(AT32:AT37)</f>
        <v>5</v>
      </c>
      <c r="AU38" s="89">
        <f t="shared" ref="AU38" si="48">SUM(AU32:AU37)</f>
        <v>5</v>
      </c>
      <c r="AV38" s="89">
        <f t="shared" ref="AV38" si="49">SUM(AV32:AV37)</f>
        <v>5</v>
      </c>
      <c r="AW38" s="89">
        <f t="shared" ref="AW38" si="50">SUM(AW32:AW37)</f>
        <v>5</v>
      </c>
      <c r="AX38" s="89">
        <f t="shared" ref="AX38" si="51">SUM(AX32:AX37)</f>
        <v>5</v>
      </c>
      <c r="AY38" s="89">
        <f t="shared" ref="AY38" si="52">SUM(AY32:AY37)</f>
        <v>5</v>
      </c>
      <c r="AZ38" s="89">
        <f t="shared" ref="AZ38" si="53">SUM(AZ32:AZ37)</f>
        <v>5</v>
      </c>
      <c r="BA38" s="89">
        <f t="shared" ref="BA38" si="54">SUM(BA32:BA37)</f>
        <v>5</v>
      </c>
      <c r="BB38" s="89">
        <f t="shared" ref="BB38" si="55">SUM(BB32:BB37)</f>
        <v>5</v>
      </c>
      <c r="BC38" s="89">
        <f t="shared" ref="BC38" si="56">SUM(BC32:BC37)</f>
        <v>5</v>
      </c>
      <c r="BD38" s="89">
        <f t="shared" ref="BD38" si="57">SUM(BD32:BD37)</f>
        <v>5</v>
      </c>
      <c r="BE38" s="89">
        <f t="shared" ref="BE38:BQ38" si="58">SUM(BE32:BE37)</f>
        <v>5</v>
      </c>
      <c r="BF38" s="89">
        <f t="shared" si="58"/>
        <v>6</v>
      </c>
      <c r="BG38" s="89">
        <f t="shared" si="58"/>
        <v>6</v>
      </c>
      <c r="BH38" s="89">
        <f t="shared" si="58"/>
        <v>6</v>
      </c>
      <c r="BI38" s="89">
        <f t="shared" si="58"/>
        <v>6</v>
      </c>
      <c r="BJ38" s="89">
        <f t="shared" si="58"/>
        <v>6</v>
      </c>
      <c r="BK38" s="89">
        <f t="shared" si="58"/>
        <v>6</v>
      </c>
      <c r="BL38" s="89">
        <f t="shared" si="58"/>
        <v>6</v>
      </c>
      <c r="BM38" s="89">
        <f t="shared" si="58"/>
        <v>6</v>
      </c>
      <c r="BN38" s="89">
        <f t="shared" si="58"/>
        <v>6</v>
      </c>
      <c r="BO38" s="89">
        <f t="shared" si="58"/>
        <v>6</v>
      </c>
      <c r="BP38" s="89">
        <f t="shared" si="58"/>
        <v>6</v>
      </c>
      <c r="BQ38" s="89">
        <f t="shared" si="58"/>
        <v>6</v>
      </c>
    </row>
    <row r="40" spans="2:69">
      <c r="B40" s="2" t="s">
        <v>184</v>
      </c>
      <c r="C40" t="s">
        <v>189</v>
      </c>
    </row>
    <row r="41" spans="2:69">
      <c r="B41" t="str">
        <f>B32</f>
        <v>Administrator</v>
      </c>
      <c r="C41" s="38">
        <v>25000</v>
      </c>
      <c r="J41" s="38">
        <v>5000</v>
      </c>
      <c r="K41" s="38">
        <v>0</v>
      </c>
      <c r="L41" s="38">
        <v>5000</v>
      </c>
      <c r="M41" s="38">
        <v>5000</v>
      </c>
      <c r="N41" s="38">
        <v>5000</v>
      </c>
      <c r="O41" s="38">
        <v>5000</v>
      </c>
      <c r="P41" s="38">
        <f t="shared" ref="K41:BE46" si="59">($C41/12)*P32</f>
        <v>0</v>
      </c>
      <c r="Q41" s="38">
        <f t="shared" si="59"/>
        <v>0</v>
      </c>
      <c r="R41" s="38">
        <f t="shared" si="59"/>
        <v>0</v>
      </c>
      <c r="S41" s="38">
        <f t="shared" si="59"/>
        <v>2083.3333333333335</v>
      </c>
      <c r="T41" s="38">
        <f t="shared" si="59"/>
        <v>2083.3333333333335</v>
      </c>
      <c r="U41" s="38">
        <f t="shared" si="59"/>
        <v>2083.3333333333335</v>
      </c>
      <c r="V41" s="38">
        <f t="shared" si="59"/>
        <v>2083.3333333333335</v>
      </c>
      <c r="W41" s="38">
        <f t="shared" si="59"/>
        <v>2083.3333333333335</v>
      </c>
      <c r="X41" s="38">
        <f t="shared" si="59"/>
        <v>2083.3333333333335</v>
      </c>
      <c r="Y41" s="38">
        <f t="shared" si="59"/>
        <v>2083.3333333333335</v>
      </c>
      <c r="Z41" s="38">
        <f t="shared" si="59"/>
        <v>2083.3333333333335</v>
      </c>
      <c r="AA41" s="38">
        <f t="shared" si="59"/>
        <v>2083.3333333333335</v>
      </c>
      <c r="AB41" s="38">
        <f t="shared" si="59"/>
        <v>2083.3333333333335</v>
      </c>
      <c r="AC41" s="38">
        <f t="shared" si="59"/>
        <v>2083.3333333333335</v>
      </c>
      <c r="AD41" s="38">
        <f t="shared" si="59"/>
        <v>2083.3333333333335</v>
      </c>
      <c r="AE41" s="38">
        <f t="shared" si="59"/>
        <v>2083.3333333333335</v>
      </c>
      <c r="AF41" s="38">
        <f t="shared" si="59"/>
        <v>2083.3333333333335</v>
      </c>
      <c r="AG41" s="38">
        <f t="shared" si="59"/>
        <v>2083.3333333333335</v>
      </c>
      <c r="AH41" s="38">
        <f t="shared" si="59"/>
        <v>2083.3333333333335</v>
      </c>
      <c r="AI41" s="38">
        <f t="shared" si="59"/>
        <v>2083.3333333333335</v>
      </c>
      <c r="AJ41" s="38">
        <f t="shared" si="59"/>
        <v>2083.3333333333335</v>
      </c>
      <c r="AK41" s="38">
        <f t="shared" si="59"/>
        <v>2083.3333333333335</v>
      </c>
      <c r="AL41" s="38">
        <f t="shared" si="59"/>
        <v>2083.3333333333335</v>
      </c>
      <c r="AM41" s="38">
        <f t="shared" si="59"/>
        <v>2083.3333333333335</v>
      </c>
      <c r="AN41" s="38">
        <f t="shared" si="59"/>
        <v>2083.3333333333335</v>
      </c>
      <c r="AO41" s="38">
        <f t="shared" si="59"/>
        <v>2083.3333333333335</v>
      </c>
      <c r="AP41" s="38">
        <f t="shared" si="59"/>
        <v>2083.3333333333335</v>
      </c>
      <c r="AQ41" s="38">
        <f t="shared" si="59"/>
        <v>2083.3333333333335</v>
      </c>
      <c r="AR41" s="38">
        <f t="shared" si="59"/>
        <v>2083.3333333333335</v>
      </c>
      <c r="AS41" s="38">
        <f t="shared" si="59"/>
        <v>2083.3333333333335</v>
      </c>
      <c r="AT41" s="38">
        <f t="shared" si="59"/>
        <v>2083.3333333333335</v>
      </c>
      <c r="AU41" s="38">
        <f t="shared" si="59"/>
        <v>2083.3333333333335</v>
      </c>
      <c r="AV41" s="38">
        <f t="shared" si="59"/>
        <v>2083.3333333333335</v>
      </c>
      <c r="AW41" s="38">
        <f t="shared" si="59"/>
        <v>2083.3333333333335</v>
      </c>
      <c r="AX41" s="38">
        <f t="shared" si="59"/>
        <v>2083.3333333333335</v>
      </c>
      <c r="AY41" s="38">
        <f t="shared" si="59"/>
        <v>2083.3333333333335</v>
      </c>
      <c r="AZ41" s="38">
        <f t="shared" si="59"/>
        <v>2083.3333333333335</v>
      </c>
      <c r="BA41" s="38">
        <f t="shared" si="59"/>
        <v>2083.3333333333335</v>
      </c>
      <c r="BB41" s="38">
        <f t="shared" si="59"/>
        <v>2083.3333333333335</v>
      </c>
      <c r="BC41" s="38">
        <f t="shared" si="59"/>
        <v>2083.3333333333335</v>
      </c>
      <c r="BD41" s="38">
        <f t="shared" si="59"/>
        <v>2083.3333333333335</v>
      </c>
      <c r="BE41" s="38">
        <f t="shared" si="59"/>
        <v>2083.3333333333335</v>
      </c>
      <c r="BF41" s="38">
        <f t="shared" ref="BF41:BQ41" si="60">($C41/12)*BF32</f>
        <v>2083.3333333333335</v>
      </c>
      <c r="BG41" s="38">
        <f t="shared" si="60"/>
        <v>2083.3333333333335</v>
      </c>
      <c r="BH41" s="38">
        <f t="shared" si="60"/>
        <v>2083.3333333333335</v>
      </c>
      <c r="BI41" s="38">
        <f t="shared" si="60"/>
        <v>2083.3333333333335</v>
      </c>
      <c r="BJ41" s="38">
        <f t="shared" si="60"/>
        <v>2083.3333333333335</v>
      </c>
      <c r="BK41" s="38">
        <f t="shared" si="60"/>
        <v>2083.3333333333335</v>
      </c>
      <c r="BL41" s="38">
        <f t="shared" si="60"/>
        <v>2083.3333333333335</v>
      </c>
      <c r="BM41" s="38">
        <f t="shared" si="60"/>
        <v>2083.3333333333335</v>
      </c>
      <c r="BN41" s="38">
        <f t="shared" si="60"/>
        <v>2083.3333333333335</v>
      </c>
      <c r="BO41" s="38">
        <f t="shared" si="60"/>
        <v>2083.3333333333335</v>
      </c>
      <c r="BP41" s="38">
        <f t="shared" si="60"/>
        <v>2083.3333333333335</v>
      </c>
      <c r="BQ41" s="38">
        <f t="shared" si="60"/>
        <v>2083.3333333333335</v>
      </c>
    </row>
    <row r="42" spans="2:69">
      <c r="B42" t="str">
        <f>B33</f>
        <v>Software Admin</v>
      </c>
      <c r="C42" s="38">
        <v>25000</v>
      </c>
      <c r="J42" s="38">
        <f t="shared" ref="J42:Y42" si="61">($C42/12)*J33</f>
        <v>0</v>
      </c>
      <c r="K42" s="38">
        <f t="shared" si="61"/>
        <v>0</v>
      </c>
      <c r="L42" s="38">
        <f t="shared" si="61"/>
        <v>0</v>
      </c>
      <c r="M42" s="38">
        <f t="shared" si="61"/>
        <v>0</v>
      </c>
      <c r="N42" s="38">
        <f t="shared" si="61"/>
        <v>0</v>
      </c>
      <c r="O42" s="38">
        <f t="shared" si="61"/>
        <v>0</v>
      </c>
      <c r="P42" s="38">
        <f t="shared" si="61"/>
        <v>0</v>
      </c>
      <c r="Q42" s="38">
        <f t="shared" si="61"/>
        <v>0</v>
      </c>
      <c r="R42" s="38">
        <f t="shared" si="61"/>
        <v>0</v>
      </c>
      <c r="S42" s="38">
        <f t="shared" si="61"/>
        <v>2083.3333333333335</v>
      </c>
      <c r="T42" s="38">
        <f t="shared" si="61"/>
        <v>2083.3333333333335</v>
      </c>
      <c r="U42" s="38">
        <f t="shared" si="61"/>
        <v>2083.3333333333335</v>
      </c>
      <c r="V42" s="38">
        <f t="shared" si="61"/>
        <v>2083.3333333333335</v>
      </c>
      <c r="W42" s="38">
        <f t="shared" si="61"/>
        <v>2083.3333333333335</v>
      </c>
      <c r="X42" s="38">
        <f t="shared" si="61"/>
        <v>2083.3333333333335</v>
      </c>
      <c r="Y42" s="38">
        <f t="shared" si="61"/>
        <v>2083.3333333333335</v>
      </c>
      <c r="Z42" s="38">
        <f t="shared" si="59"/>
        <v>2083.3333333333335</v>
      </c>
      <c r="AA42" s="38">
        <f t="shared" si="59"/>
        <v>2083.3333333333335</v>
      </c>
      <c r="AB42" s="38">
        <f t="shared" si="59"/>
        <v>2083.3333333333335</v>
      </c>
      <c r="AC42" s="38">
        <f t="shared" si="59"/>
        <v>2083.3333333333335</v>
      </c>
      <c r="AD42" s="38">
        <f t="shared" si="59"/>
        <v>2083.3333333333335</v>
      </c>
      <c r="AE42" s="38">
        <f t="shared" si="59"/>
        <v>2083.3333333333335</v>
      </c>
      <c r="AF42" s="38">
        <f t="shared" si="59"/>
        <v>2083.3333333333335</v>
      </c>
      <c r="AG42" s="38">
        <f t="shared" si="59"/>
        <v>2083.3333333333335</v>
      </c>
      <c r="AH42" s="38">
        <f t="shared" si="59"/>
        <v>2083.3333333333335</v>
      </c>
      <c r="AI42" s="38">
        <f t="shared" si="59"/>
        <v>2083.3333333333335</v>
      </c>
      <c r="AJ42" s="38">
        <f t="shared" si="59"/>
        <v>2083.3333333333335</v>
      </c>
      <c r="AK42" s="38">
        <f t="shared" si="59"/>
        <v>2083.3333333333335</v>
      </c>
      <c r="AL42" s="38">
        <f t="shared" si="59"/>
        <v>2083.3333333333335</v>
      </c>
      <c r="AM42" s="38">
        <f t="shared" si="59"/>
        <v>2083.3333333333335</v>
      </c>
      <c r="AN42" s="38">
        <f t="shared" si="59"/>
        <v>2083.3333333333335</v>
      </c>
      <c r="AO42" s="38">
        <f t="shared" si="59"/>
        <v>2083.3333333333335</v>
      </c>
      <c r="AP42" s="38">
        <f t="shared" si="59"/>
        <v>2083.3333333333335</v>
      </c>
      <c r="AQ42" s="38">
        <f t="shared" si="59"/>
        <v>2083.3333333333335</v>
      </c>
      <c r="AR42" s="38">
        <f t="shared" si="59"/>
        <v>2083.3333333333335</v>
      </c>
      <c r="AS42" s="38">
        <f t="shared" si="59"/>
        <v>2083.3333333333335</v>
      </c>
      <c r="AT42" s="38">
        <f t="shared" si="59"/>
        <v>2083.3333333333335</v>
      </c>
      <c r="AU42" s="38">
        <f t="shared" si="59"/>
        <v>2083.3333333333335</v>
      </c>
      <c r="AV42" s="38">
        <f t="shared" si="59"/>
        <v>2083.3333333333335</v>
      </c>
      <c r="AW42" s="38">
        <f t="shared" si="59"/>
        <v>2083.3333333333335</v>
      </c>
      <c r="AX42" s="38">
        <f t="shared" si="59"/>
        <v>2083.3333333333335</v>
      </c>
      <c r="AY42" s="38">
        <f t="shared" si="59"/>
        <v>2083.3333333333335</v>
      </c>
      <c r="AZ42" s="38">
        <f t="shared" si="59"/>
        <v>2083.3333333333335</v>
      </c>
      <c r="BA42" s="38">
        <f t="shared" si="59"/>
        <v>2083.3333333333335</v>
      </c>
      <c r="BB42" s="38">
        <f t="shared" si="59"/>
        <v>2083.3333333333335</v>
      </c>
      <c r="BC42" s="38">
        <f t="shared" si="59"/>
        <v>2083.3333333333335</v>
      </c>
      <c r="BD42" s="38">
        <f t="shared" si="59"/>
        <v>2083.3333333333335</v>
      </c>
      <c r="BE42" s="38">
        <f t="shared" si="59"/>
        <v>2083.3333333333335</v>
      </c>
      <c r="BF42" s="38">
        <f t="shared" ref="BF42:BQ42" si="62">($C42/12)*BF33</f>
        <v>2083.3333333333335</v>
      </c>
      <c r="BG42" s="38">
        <f t="shared" si="62"/>
        <v>2083.3333333333335</v>
      </c>
      <c r="BH42" s="38">
        <f t="shared" si="62"/>
        <v>2083.3333333333335</v>
      </c>
      <c r="BI42" s="38">
        <f t="shared" si="62"/>
        <v>2083.3333333333335</v>
      </c>
      <c r="BJ42" s="38">
        <f t="shared" si="62"/>
        <v>2083.3333333333335</v>
      </c>
      <c r="BK42" s="38">
        <f t="shared" si="62"/>
        <v>2083.3333333333335</v>
      </c>
      <c r="BL42" s="38">
        <f t="shared" si="62"/>
        <v>2083.3333333333335</v>
      </c>
      <c r="BM42" s="38">
        <f t="shared" si="62"/>
        <v>2083.3333333333335</v>
      </c>
      <c r="BN42" s="38">
        <f t="shared" si="62"/>
        <v>2083.3333333333335</v>
      </c>
      <c r="BO42" s="38">
        <f t="shared" si="62"/>
        <v>2083.3333333333335</v>
      </c>
      <c r="BP42" s="38">
        <f t="shared" si="62"/>
        <v>2083.3333333333335</v>
      </c>
      <c r="BQ42" s="38">
        <f t="shared" si="62"/>
        <v>2083.3333333333335</v>
      </c>
    </row>
    <row r="43" spans="2:69">
      <c r="B43" t="str">
        <f t="shared" ref="B43:B46" si="63">B34</f>
        <v>Accountant</v>
      </c>
      <c r="C43" s="38">
        <v>45000</v>
      </c>
      <c r="J43" s="38">
        <f t="shared" ref="J43" si="64">($C43/12)*J34</f>
        <v>0</v>
      </c>
      <c r="K43" s="38">
        <f t="shared" si="59"/>
        <v>0</v>
      </c>
      <c r="L43" s="38">
        <f t="shared" si="59"/>
        <v>0</v>
      </c>
      <c r="M43" s="38">
        <f t="shared" si="59"/>
        <v>0</v>
      </c>
      <c r="N43" s="38">
        <f t="shared" si="59"/>
        <v>0</v>
      </c>
      <c r="O43" s="38">
        <f t="shared" si="59"/>
        <v>0</v>
      </c>
      <c r="P43" s="38">
        <f t="shared" si="59"/>
        <v>0</v>
      </c>
      <c r="Q43" s="38">
        <f t="shared" si="59"/>
        <v>0</v>
      </c>
      <c r="R43" s="38">
        <f t="shared" si="59"/>
        <v>0</v>
      </c>
      <c r="S43" s="38">
        <f t="shared" si="59"/>
        <v>0</v>
      </c>
      <c r="T43" s="38">
        <f t="shared" si="59"/>
        <v>0</v>
      </c>
      <c r="U43" s="38">
        <f t="shared" si="59"/>
        <v>0</v>
      </c>
      <c r="V43" s="38">
        <f t="shared" si="59"/>
        <v>0</v>
      </c>
      <c r="W43" s="38">
        <f t="shared" si="59"/>
        <v>3750</v>
      </c>
      <c r="X43" s="38">
        <f t="shared" si="59"/>
        <v>3750</v>
      </c>
      <c r="Y43" s="38">
        <f t="shared" si="59"/>
        <v>3750</v>
      </c>
      <c r="Z43" s="38">
        <f t="shared" si="59"/>
        <v>3750</v>
      </c>
      <c r="AA43" s="38">
        <f t="shared" si="59"/>
        <v>3750</v>
      </c>
      <c r="AB43" s="38">
        <f t="shared" si="59"/>
        <v>3750</v>
      </c>
      <c r="AC43" s="38">
        <f t="shared" si="59"/>
        <v>3750</v>
      </c>
      <c r="AD43" s="38">
        <f t="shared" si="59"/>
        <v>3750</v>
      </c>
      <c r="AE43" s="38">
        <f t="shared" si="59"/>
        <v>3750</v>
      </c>
      <c r="AF43" s="38">
        <f t="shared" si="59"/>
        <v>3750</v>
      </c>
      <c r="AG43" s="38">
        <f t="shared" si="59"/>
        <v>3750</v>
      </c>
      <c r="AH43" s="38">
        <f t="shared" si="59"/>
        <v>3750</v>
      </c>
      <c r="AI43" s="38">
        <f t="shared" si="59"/>
        <v>3750</v>
      </c>
      <c r="AJ43" s="38">
        <f t="shared" si="59"/>
        <v>3750</v>
      </c>
      <c r="AK43" s="38">
        <f t="shared" si="59"/>
        <v>3750</v>
      </c>
      <c r="AL43" s="38">
        <f t="shared" si="59"/>
        <v>3750</v>
      </c>
      <c r="AM43" s="38">
        <f t="shared" si="59"/>
        <v>3750</v>
      </c>
      <c r="AN43" s="38">
        <f t="shared" si="59"/>
        <v>3750</v>
      </c>
      <c r="AO43" s="38">
        <f t="shared" si="59"/>
        <v>3750</v>
      </c>
      <c r="AP43" s="38">
        <f t="shared" si="59"/>
        <v>3750</v>
      </c>
      <c r="AQ43" s="38">
        <f t="shared" si="59"/>
        <v>3750</v>
      </c>
      <c r="AR43" s="38">
        <f t="shared" si="59"/>
        <v>3750</v>
      </c>
      <c r="AS43" s="38">
        <f t="shared" si="59"/>
        <v>3750</v>
      </c>
      <c r="AT43" s="38">
        <f t="shared" si="59"/>
        <v>3750</v>
      </c>
      <c r="AU43" s="38">
        <f t="shared" si="59"/>
        <v>3750</v>
      </c>
      <c r="AV43" s="38">
        <f t="shared" si="59"/>
        <v>3750</v>
      </c>
      <c r="AW43" s="38">
        <f t="shared" si="59"/>
        <v>3750</v>
      </c>
      <c r="AX43" s="38">
        <f t="shared" si="59"/>
        <v>3750</v>
      </c>
      <c r="AY43" s="38">
        <f t="shared" si="59"/>
        <v>3750</v>
      </c>
      <c r="AZ43" s="38">
        <f t="shared" si="59"/>
        <v>3750</v>
      </c>
      <c r="BA43" s="38">
        <f t="shared" si="59"/>
        <v>3750</v>
      </c>
      <c r="BB43" s="38">
        <f t="shared" si="59"/>
        <v>3750</v>
      </c>
      <c r="BC43" s="38">
        <f t="shared" si="59"/>
        <v>3750</v>
      </c>
      <c r="BD43" s="38">
        <f t="shared" si="59"/>
        <v>3750</v>
      </c>
      <c r="BE43" s="38">
        <f t="shared" si="59"/>
        <v>3750</v>
      </c>
      <c r="BF43" s="38">
        <f t="shared" ref="BF43:BQ43" si="65">($C43/12)*BF34</f>
        <v>3750</v>
      </c>
      <c r="BG43" s="38">
        <f t="shared" si="65"/>
        <v>3750</v>
      </c>
      <c r="BH43" s="38">
        <f t="shared" si="65"/>
        <v>3750</v>
      </c>
      <c r="BI43" s="38">
        <f t="shared" si="65"/>
        <v>3750</v>
      </c>
      <c r="BJ43" s="38">
        <f t="shared" si="65"/>
        <v>3750</v>
      </c>
      <c r="BK43" s="38">
        <f t="shared" si="65"/>
        <v>3750</v>
      </c>
      <c r="BL43" s="38">
        <f t="shared" si="65"/>
        <v>3750</v>
      </c>
      <c r="BM43" s="38">
        <f t="shared" si="65"/>
        <v>3750</v>
      </c>
      <c r="BN43" s="38">
        <f t="shared" si="65"/>
        <v>3750</v>
      </c>
      <c r="BO43" s="38">
        <f t="shared" si="65"/>
        <v>3750</v>
      </c>
      <c r="BP43" s="38">
        <f t="shared" si="65"/>
        <v>3750</v>
      </c>
      <c r="BQ43" s="38">
        <f t="shared" si="65"/>
        <v>3750</v>
      </c>
    </row>
    <row r="44" spans="2:69">
      <c r="B44" t="str">
        <f t="shared" si="63"/>
        <v>Role 4</v>
      </c>
      <c r="C44" s="38">
        <v>30000</v>
      </c>
      <c r="J44" s="38">
        <f t="shared" ref="J44" si="66">($C44/12)*J35</f>
        <v>0</v>
      </c>
      <c r="K44" s="38">
        <f t="shared" si="59"/>
        <v>0</v>
      </c>
      <c r="L44" s="38">
        <f t="shared" si="59"/>
        <v>0</v>
      </c>
      <c r="M44" s="38">
        <f t="shared" si="59"/>
        <v>0</v>
      </c>
      <c r="N44" s="38">
        <f t="shared" si="59"/>
        <v>0</v>
      </c>
      <c r="O44" s="38">
        <f t="shared" si="59"/>
        <v>0</v>
      </c>
      <c r="P44" s="38">
        <f t="shared" si="59"/>
        <v>0</v>
      </c>
      <c r="Q44" s="38">
        <f t="shared" si="59"/>
        <v>0</v>
      </c>
      <c r="R44" s="38">
        <f t="shared" si="59"/>
        <v>0</v>
      </c>
      <c r="S44" s="38">
        <f t="shared" si="59"/>
        <v>0</v>
      </c>
      <c r="T44" s="38">
        <f t="shared" si="59"/>
        <v>0</v>
      </c>
      <c r="U44" s="38">
        <f t="shared" si="59"/>
        <v>0</v>
      </c>
      <c r="V44" s="38">
        <f t="shared" si="59"/>
        <v>0</v>
      </c>
      <c r="W44" s="38">
        <f t="shared" si="59"/>
        <v>0</v>
      </c>
      <c r="X44" s="38">
        <f t="shared" si="59"/>
        <v>0</v>
      </c>
      <c r="Y44" s="38">
        <f t="shared" si="59"/>
        <v>0</v>
      </c>
      <c r="Z44" s="38">
        <f t="shared" si="59"/>
        <v>0</v>
      </c>
      <c r="AA44" s="38">
        <f t="shared" si="59"/>
        <v>0</v>
      </c>
      <c r="AB44" s="38">
        <f t="shared" si="59"/>
        <v>0</v>
      </c>
      <c r="AC44" s="38">
        <f t="shared" si="59"/>
        <v>0</v>
      </c>
      <c r="AD44" s="38">
        <f t="shared" si="59"/>
        <v>0</v>
      </c>
      <c r="AE44" s="38">
        <f t="shared" si="59"/>
        <v>0</v>
      </c>
      <c r="AF44" s="38">
        <f t="shared" si="59"/>
        <v>0</v>
      </c>
      <c r="AG44" s="38">
        <f t="shared" si="59"/>
        <v>0</v>
      </c>
      <c r="AH44" s="38">
        <f t="shared" si="59"/>
        <v>2500</v>
      </c>
      <c r="AI44" s="38">
        <f t="shared" si="59"/>
        <v>2500</v>
      </c>
      <c r="AJ44" s="38">
        <f t="shared" si="59"/>
        <v>2500</v>
      </c>
      <c r="AK44" s="38">
        <f t="shared" si="59"/>
        <v>2500</v>
      </c>
      <c r="AL44" s="38">
        <f t="shared" si="59"/>
        <v>2500</v>
      </c>
      <c r="AM44" s="38">
        <f t="shared" si="59"/>
        <v>2500</v>
      </c>
      <c r="AN44" s="38">
        <f t="shared" si="59"/>
        <v>2500</v>
      </c>
      <c r="AO44" s="38">
        <f t="shared" si="59"/>
        <v>2500</v>
      </c>
      <c r="AP44" s="38">
        <f t="shared" si="59"/>
        <v>2500</v>
      </c>
      <c r="AQ44" s="38">
        <f t="shared" si="59"/>
        <v>2500</v>
      </c>
      <c r="AR44" s="38">
        <f t="shared" si="59"/>
        <v>2500</v>
      </c>
      <c r="AS44" s="38">
        <f t="shared" si="59"/>
        <v>2500</v>
      </c>
      <c r="AT44" s="38">
        <f t="shared" si="59"/>
        <v>2500</v>
      </c>
      <c r="AU44" s="38">
        <f t="shared" si="59"/>
        <v>2500</v>
      </c>
      <c r="AV44" s="38">
        <f t="shared" si="59"/>
        <v>2500</v>
      </c>
      <c r="AW44" s="38">
        <f t="shared" si="59"/>
        <v>2500</v>
      </c>
      <c r="AX44" s="38">
        <f t="shared" si="59"/>
        <v>2500</v>
      </c>
      <c r="AY44" s="38">
        <f t="shared" si="59"/>
        <v>2500</v>
      </c>
      <c r="AZ44" s="38">
        <f t="shared" si="59"/>
        <v>2500</v>
      </c>
      <c r="BA44" s="38">
        <f t="shared" si="59"/>
        <v>2500</v>
      </c>
      <c r="BB44" s="38">
        <f t="shared" si="59"/>
        <v>2500</v>
      </c>
      <c r="BC44" s="38">
        <f t="shared" si="59"/>
        <v>2500</v>
      </c>
      <c r="BD44" s="38">
        <f t="shared" si="59"/>
        <v>2500</v>
      </c>
      <c r="BE44" s="38">
        <f t="shared" si="59"/>
        <v>2500</v>
      </c>
      <c r="BF44" s="38">
        <f t="shared" ref="BF44:BQ44" si="67">($C44/12)*BF35</f>
        <v>2500</v>
      </c>
      <c r="BG44" s="38">
        <f t="shared" si="67"/>
        <v>2500</v>
      </c>
      <c r="BH44" s="38">
        <f t="shared" si="67"/>
        <v>2500</v>
      </c>
      <c r="BI44" s="38">
        <f t="shared" si="67"/>
        <v>2500</v>
      </c>
      <c r="BJ44" s="38">
        <f t="shared" si="67"/>
        <v>2500</v>
      </c>
      <c r="BK44" s="38">
        <f t="shared" si="67"/>
        <v>2500</v>
      </c>
      <c r="BL44" s="38">
        <f t="shared" si="67"/>
        <v>2500</v>
      </c>
      <c r="BM44" s="38">
        <f t="shared" si="67"/>
        <v>2500</v>
      </c>
      <c r="BN44" s="38">
        <f t="shared" si="67"/>
        <v>2500</v>
      </c>
      <c r="BO44" s="38">
        <f t="shared" si="67"/>
        <v>2500</v>
      </c>
      <c r="BP44" s="38">
        <f t="shared" si="67"/>
        <v>2500</v>
      </c>
      <c r="BQ44" s="38">
        <f t="shared" si="67"/>
        <v>2500</v>
      </c>
    </row>
    <row r="45" spans="2:69">
      <c r="B45" t="str">
        <f t="shared" si="63"/>
        <v>Role 5</v>
      </c>
      <c r="C45" s="38">
        <v>35000</v>
      </c>
      <c r="J45" s="38">
        <f t="shared" ref="J45" si="68">($C45/12)*J36</f>
        <v>0</v>
      </c>
      <c r="K45" s="38">
        <f t="shared" si="59"/>
        <v>0</v>
      </c>
      <c r="L45" s="38">
        <f t="shared" si="59"/>
        <v>0</v>
      </c>
      <c r="M45" s="38">
        <f t="shared" si="59"/>
        <v>0</v>
      </c>
      <c r="N45" s="38">
        <f t="shared" si="59"/>
        <v>0</v>
      </c>
      <c r="O45" s="38">
        <f t="shared" si="59"/>
        <v>0</v>
      </c>
      <c r="P45" s="38">
        <f t="shared" si="59"/>
        <v>0</v>
      </c>
      <c r="Q45" s="38">
        <f t="shared" si="59"/>
        <v>0</v>
      </c>
      <c r="R45" s="38">
        <f t="shared" si="59"/>
        <v>0</v>
      </c>
      <c r="S45" s="38">
        <f t="shared" si="59"/>
        <v>0</v>
      </c>
      <c r="T45" s="38">
        <f t="shared" si="59"/>
        <v>0</v>
      </c>
      <c r="U45" s="38">
        <f t="shared" si="59"/>
        <v>0</v>
      </c>
      <c r="V45" s="38">
        <f t="shared" si="59"/>
        <v>0</v>
      </c>
      <c r="W45" s="38">
        <f t="shared" si="59"/>
        <v>0</v>
      </c>
      <c r="X45" s="38">
        <f t="shared" si="59"/>
        <v>0</v>
      </c>
      <c r="Y45" s="38">
        <f t="shared" si="59"/>
        <v>0</v>
      </c>
      <c r="Z45" s="38">
        <f t="shared" si="59"/>
        <v>0</v>
      </c>
      <c r="AA45" s="38">
        <f t="shared" si="59"/>
        <v>0</v>
      </c>
      <c r="AB45" s="38">
        <f t="shared" si="59"/>
        <v>0</v>
      </c>
      <c r="AC45" s="38">
        <f t="shared" si="59"/>
        <v>0</v>
      </c>
      <c r="AD45" s="38">
        <f t="shared" si="59"/>
        <v>0</v>
      </c>
      <c r="AE45" s="38">
        <f t="shared" si="59"/>
        <v>0</v>
      </c>
      <c r="AF45" s="38">
        <f t="shared" si="59"/>
        <v>0</v>
      </c>
      <c r="AG45" s="38">
        <f t="shared" si="59"/>
        <v>0</v>
      </c>
      <c r="AH45" s="38">
        <f t="shared" si="59"/>
        <v>0</v>
      </c>
      <c r="AI45" s="38">
        <f t="shared" si="59"/>
        <v>0</v>
      </c>
      <c r="AJ45" s="38">
        <f t="shared" si="59"/>
        <v>0</v>
      </c>
      <c r="AK45" s="38">
        <f t="shared" si="59"/>
        <v>0</v>
      </c>
      <c r="AL45" s="38">
        <f t="shared" si="59"/>
        <v>0</v>
      </c>
      <c r="AM45" s="38">
        <f t="shared" si="59"/>
        <v>0</v>
      </c>
      <c r="AN45" s="38">
        <f t="shared" si="59"/>
        <v>0</v>
      </c>
      <c r="AO45" s="38">
        <f t="shared" si="59"/>
        <v>0</v>
      </c>
      <c r="AP45" s="38">
        <f t="shared" si="59"/>
        <v>0</v>
      </c>
      <c r="AQ45" s="38">
        <f t="shared" si="59"/>
        <v>0</v>
      </c>
      <c r="AR45" s="38">
        <f t="shared" si="59"/>
        <v>0</v>
      </c>
      <c r="AS45" s="38">
        <f t="shared" si="59"/>
        <v>0</v>
      </c>
      <c r="AT45" s="38">
        <f t="shared" si="59"/>
        <v>2916.6666666666665</v>
      </c>
      <c r="AU45" s="38">
        <f t="shared" si="59"/>
        <v>2916.6666666666665</v>
      </c>
      <c r="AV45" s="38">
        <f t="shared" si="59"/>
        <v>2916.6666666666665</v>
      </c>
      <c r="AW45" s="38">
        <f t="shared" si="59"/>
        <v>2916.6666666666665</v>
      </c>
      <c r="AX45" s="38">
        <f t="shared" si="59"/>
        <v>2916.6666666666665</v>
      </c>
      <c r="AY45" s="38">
        <f t="shared" si="59"/>
        <v>2916.6666666666665</v>
      </c>
      <c r="AZ45" s="38">
        <f t="shared" si="59"/>
        <v>2916.6666666666665</v>
      </c>
      <c r="BA45" s="38">
        <f t="shared" si="59"/>
        <v>2916.6666666666665</v>
      </c>
      <c r="BB45" s="38">
        <f t="shared" si="59"/>
        <v>2916.6666666666665</v>
      </c>
      <c r="BC45" s="38">
        <f t="shared" si="59"/>
        <v>2916.6666666666665</v>
      </c>
      <c r="BD45" s="38">
        <f t="shared" si="59"/>
        <v>2916.6666666666665</v>
      </c>
      <c r="BE45" s="38">
        <f t="shared" si="59"/>
        <v>2916.6666666666665</v>
      </c>
      <c r="BF45" s="38">
        <f t="shared" ref="BF45:BQ45" si="69">($C45/12)*BF36</f>
        <v>2916.6666666666665</v>
      </c>
      <c r="BG45" s="38">
        <f t="shared" si="69"/>
        <v>2916.6666666666665</v>
      </c>
      <c r="BH45" s="38">
        <f t="shared" si="69"/>
        <v>2916.6666666666665</v>
      </c>
      <c r="BI45" s="38">
        <f t="shared" si="69"/>
        <v>2916.6666666666665</v>
      </c>
      <c r="BJ45" s="38">
        <f t="shared" si="69"/>
        <v>2916.6666666666665</v>
      </c>
      <c r="BK45" s="38">
        <f t="shared" si="69"/>
        <v>2916.6666666666665</v>
      </c>
      <c r="BL45" s="38">
        <f t="shared" si="69"/>
        <v>2916.6666666666665</v>
      </c>
      <c r="BM45" s="38">
        <f t="shared" si="69"/>
        <v>2916.6666666666665</v>
      </c>
      <c r="BN45" s="38">
        <f t="shared" si="69"/>
        <v>2916.6666666666665</v>
      </c>
      <c r="BO45" s="38">
        <f t="shared" si="69"/>
        <v>2916.6666666666665</v>
      </c>
      <c r="BP45" s="38">
        <f t="shared" si="69"/>
        <v>2916.6666666666665</v>
      </c>
      <c r="BQ45" s="38">
        <f t="shared" si="69"/>
        <v>2916.6666666666665</v>
      </c>
    </row>
    <row r="46" spans="2:69">
      <c r="B46" t="str">
        <f t="shared" si="63"/>
        <v>Role 6</v>
      </c>
      <c r="C46" s="83">
        <v>35000</v>
      </c>
      <c r="J46" s="83">
        <f t="shared" ref="J46" si="70">($C46/12)*J37</f>
        <v>0</v>
      </c>
      <c r="K46" s="83">
        <f t="shared" si="59"/>
        <v>0</v>
      </c>
      <c r="L46" s="83">
        <f t="shared" si="59"/>
        <v>0</v>
      </c>
      <c r="M46" s="83">
        <f t="shared" si="59"/>
        <v>0</v>
      </c>
      <c r="N46" s="83">
        <f t="shared" si="59"/>
        <v>0</v>
      </c>
      <c r="O46" s="83">
        <f t="shared" si="59"/>
        <v>0</v>
      </c>
      <c r="P46" s="83">
        <f t="shared" si="59"/>
        <v>0</v>
      </c>
      <c r="Q46" s="83">
        <f t="shared" si="59"/>
        <v>0</v>
      </c>
      <c r="R46" s="83">
        <f t="shared" si="59"/>
        <v>0</v>
      </c>
      <c r="S46" s="83">
        <f t="shared" si="59"/>
        <v>0</v>
      </c>
      <c r="T46" s="83">
        <f t="shared" si="59"/>
        <v>0</v>
      </c>
      <c r="U46" s="83">
        <f t="shared" si="59"/>
        <v>0</v>
      </c>
      <c r="V46" s="83">
        <f t="shared" si="59"/>
        <v>0</v>
      </c>
      <c r="W46" s="83">
        <f t="shared" si="59"/>
        <v>0</v>
      </c>
      <c r="X46" s="83">
        <f t="shared" si="59"/>
        <v>0</v>
      </c>
      <c r="Y46" s="83">
        <f t="shared" si="59"/>
        <v>0</v>
      </c>
      <c r="Z46" s="83">
        <f t="shared" si="59"/>
        <v>0</v>
      </c>
      <c r="AA46" s="83">
        <f t="shared" si="59"/>
        <v>0</v>
      </c>
      <c r="AB46" s="83">
        <f t="shared" si="59"/>
        <v>0</v>
      </c>
      <c r="AC46" s="83">
        <f t="shared" si="59"/>
        <v>0</v>
      </c>
      <c r="AD46" s="83">
        <f t="shared" si="59"/>
        <v>0</v>
      </c>
      <c r="AE46" s="83">
        <f t="shared" si="59"/>
        <v>0</v>
      </c>
      <c r="AF46" s="83">
        <f t="shared" si="59"/>
        <v>0</v>
      </c>
      <c r="AG46" s="83">
        <f t="shared" si="59"/>
        <v>0</v>
      </c>
      <c r="AH46" s="83">
        <f t="shared" si="59"/>
        <v>0</v>
      </c>
      <c r="AI46" s="83">
        <f t="shared" si="59"/>
        <v>0</v>
      </c>
      <c r="AJ46" s="83">
        <f t="shared" si="59"/>
        <v>0</v>
      </c>
      <c r="AK46" s="83">
        <f t="shared" si="59"/>
        <v>0</v>
      </c>
      <c r="AL46" s="83">
        <f t="shared" si="59"/>
        <v>0</v>
      </c>
      <c r="AM46" s="83">
        <f t="shared" si="59"/>
        <v>0</v>
      </c>
      <c r="AN46" s="83">
        <f t="shared" si="59"/>
        <v>0</v>
      </c>
      <c r="AO46" s="83">
        <f t="shared" si="59"/>
        <v>0</v>
      </c>
      <c r="AP46" s="83">
        <f t="shared" si="59"/>
        <v>0</v>
      </c>
      <c r="AQ46" s="83">
        <f t="shared" si="59"/>
        <v>0</v>
      </c>
      <c r="AR46" s="83">
        <f t="shared" si="59"/>
        <v>0</v>
      </c>
      <c r="AS46" s="83">
        <f t="shared" si="59"/>
        <v>0</v>
      </c>
      <c r="AT46" s="83">
        <f t="shared" ref="AT46:BE46" si="71">($C46/12)*AT37</f>
        <v>0</v>
      </c>
      <c r="AU46" s="83">
        <f t="shared" si="71"/>
        <v>0</v>
      </c>
      <c r="AV46" s="83">
        <f t="shared" si="71"/>
        <v>0</v>
      </c>
      <c r="AW46" s="83">
        <f t="shared" si="71"/>
        <v>0</v>
      </c>
      <c r="AX46" s="83">
        <f t="shared" si="71"/>
        <v>0</v>
      </c>
      <c r="AY46" s="83">
        <f t="shared" si="71"/>
        <v>0</v>
      </c>
      <c r="AZ46" s="83">
        <f t="shared" si="71"/>
        <v>0</v>
      </c>
      <c r="BA46" s="83">
        <f t="shared" si="71"/>
        <v>0</v>
      </c>
      <c r="BB46" s="83">
        <f t="shared" si="71"/>
        <v>0</v>
      </c>
      <c r="BC46" s="83">
        <f t="shared" si="71"/>
        <v>0</v>
      </c>
      <c r="BD46" s="83">
        <f t="shared" si="71"/>
        <v>0</v>
      </c>
      <c r="BE46" s="83">
        <f t="shared" si="71"/>
        <v>0</v>
      </c>
      <c r="BF46" s="83">
        <f t="shared" ref="BF46:BQ46" si="72">($C46/12)*BF37</f>
        <v>2916.6666666666665</v>
      </c>
      <c r="BG46" s="83">
        <f t="shared" si="72"/>
        <v>2916.6666666666665</v>
      </c>
      <c r="BH46" s="83">
        <f t="shared" si="72"/>
        <v>2916.6666666666665</v>
      </c>
      <c r="BI46" s="83">
        <f t="shared" si="72"/>
        <v>2916.6666666666665</v>
      </c>
      <c r="BJ46" s="83">
        <f t="shared" si="72"/>
        <v>2916.6666666666665</v>
      </c>
      <c r="BK46" s="83">
        <f t="shared" si="72"/>
        <v>2916.6666666666665</v>
      </c>
      <c r="BL46" s="83">
        <f t="shared" si="72"/>
        <v>2916.6666666666665</v>
      </c>
      <c r="BM46" s="83">
        <f t="shared" si="72"/>
        <v>2916.6666666666665</v>
      </c>
      <c r="BN46" s="83">
        <f t="shared" si="72"/>
        <v>2916.6666666666665</v>
      </c>
      <c r="BO46" s="83">
        <f t="shared" si="72"/>
        <v>2916.6666666666665</v>
      </c>
      <c r="BP46" s="83">
        <f t="shared" si="72"/>
        <v>2916.6666666666665</v>
      </c>
      <c r="BQ46" s="83">
        <f t="shared" si="72"/>
        <v>2916.6666666666665</v>
      </c>
    </row>
    <row r="47" spans="2:69" s="89" customFormat="1">
      <c r="B47" s="112" t="s">
        <v>195</v>
      </c>
      <c r="J47" s="113">
        <f>SUM(J41:J46)</f>
        <v>5000</v>
      </c>
      <c r="K47" s="113">
        <f t="shared" ref="K47" si="73">SUM(K41:K46)</f>
        <v>0</v>
      </c>
      <c r="L47" s="113">
        <f t="shared" ref="L47" si="74">SUM(L41:L46)</f>
        <v>5000</v>
      </c>
      <c r="M47" s="113">
        <f t="shared" ref="M47" si="75">SUM(M41:M46)</f>
        <v>5000</v>
      </c>
      <c r="N47" s="113">
        <f t="shared" ref="N47" si="76">SUM(N41:N46)</f>
        <v>5000</v>
      </c>
      <c r="O47" s="113">
        <f t="shared" ref="O47" si="77">SUM(O41:O46)</f>
        <v>5000</v>
      </c>
      <c r="P47" s="113">
        <f t="shared" ref="P47" si="78">SUM(P41:P46)</f>
        <v>0</v>
      </c>
      <c r="Q47" s="113">
        <f t="shared" ref="Q47" si="79">SUM(Q41:Q46)</f>
        <v>0</v>
      </c>
      <c r="R47" s="113">
        <f t="shared" ref="R47" si="80">SUM(R41:R46)</f>
        <v>0</v>
      </c>
      <c r="S47" s="113">
        <f t="shared" ref="S47" si="81">SUM(S41:S46)</f>
        <v>4166.666666666667</v>
      </c>
      <c r="T47" s="113">
        <f t="shared" ref="T47" si="82">SUM(T41:T46)</f>
        <v>4166.666666666667</v>
      </c>
      <c r="U47" s="113">
        <f t="shared" ref="U47" si="83">SUM(U41:U46)</f>
        <v>4166.666666666667</v>
      </c>
      <c r="V47" s="113">
        <f t="shared" ref="V47" si="84">SUM(V41:V46)</f>
        <v>4166.666666666667</v>
      </c>
      <c r="W47" s="113">
        <f t="shared" ref="W47" si="85">SUM(W41:W46)</f>
        <v>7916.666666666667</v>
      </c>
      <c r="X47" s="113">
        <f t="shared" ref="X47" si="86">SUM(X41:X46)</f>
        <v>7916.666666666667</v>
      </c>
      <c r="Y47" s="113">
        <f t="shared" ref="Y47" si="87">SUM(Y41:Y46)</f>
        <v>7916.666666666667</v>
      </c>
      <c r="Z47" s="113">
        <f t="shared" ref="Z47" si="88">SUM(Z41:Z46)</f>
        <v>7916.666666666667</v>
      </c>
      <c r="AA47" s="113">
        <f t="shared" ref="AA47" si="89">SUM(AA41:AA46)</f>
        <v>7916.666666666667</v>
      </c>
      <c r="AB47" s="113">
        <f t="shared" ref="AB47" si="90">SUM(AB41:AB46)</f>
        <v>7916.666666666667</v>
      </c>
      <c r="AC47" s="113">
        <f t="shared" ref="AC47" si="91">SUM(AC41:AC46)</f>
        <v>7916.666666666667</v>
      </c>
      <c r="AD47" s="113">
        <f t="shared" ref="AD47" si="92">SUM(AD41:AD46)</f>
        <v>7916.666666666667</v>
      </c>
      <c r="AE47" s="113">
        <f t="shared" ref="AE47" si="93">SUM(AE41:AE46)</f>
        <v>7916.666666666667</v>
      </c>
      <c r="AF47" s="113">
        <f t="shared" ref="AF47" si="94">SUM(AF41:AF46)</f>
        <v>7916.666666666667</v>
      </c>
      <c r="AG47" s="113">
        <f t="shared" ref="AG47" si="95">SUM(AG41:AG46)</f>
        <v>7916.666666666667</v>
      </c>
      <c r="AH47" s="113">
        <f t="shared" ref="AH47" si="96">SUM(AH41:AH46)</f>
        <v>10416.666666666668</v>
      </c>
      <c r="AI47" s="113">
        <f t="shared" ref="AI47" si="97">SUM(AI41:AI46)</f>
        <v>10416.666666666668</v>
      </c>
      <c r="AJ47" s="113">
        <f t="shared" ref="AJ47" si="98">SUM(AJ41:AJ46)</f>
        <v>10416.666666666668</v>
      </c>
      <c r="AK47" s="113">
        <f t="shared" ref="AK47" si="99">SUM(AK41:AK46)</f>
        <v>10416.666666666668</v>
      </c>
      <c r="AL47" s="113">
        <f t="shared" ref="AL47" si="100">SUM(AL41:AL46)</f>
        <v>10416.666666666668</v>
      </c>
      <c r="AM47" s="113">
        <f t="shared" ref="AM47" si="101">SUM(AM41:AM46)</f>
        <v>10416.666666666668</v>
      </c>
      <c r="AN47" s="113">
        <f t="shared" ref="AN47" si="102">SUM(AN41:AN46)</f>
        <v>10416.666666666668</v>
      </c>
      <c r="AO47" s="113">
        <f t="shared" ref="AO47" si="103">SUM(AO41:AO46)</f>
        <v>10416.666666666668</v>
      </c>
      <c r="AP47" s="113">
        <f t="shared" ref="AP47" si="104">SUM(AP41:AP46)</f>
        <v>10416.666666666668</v>
      </c>
      <c r="AQ47" s="113">
        <f t="shared" ref="AQ47" si="105">SUM(AQ41:AQ46)</f>
        <v>10416.666666666668</v>
      </c>
      <c r="AR47" s="113">
        <f t="shared" ref="AR47" si="106">SUM(AR41:AR46)</f>
        <v>10416.666666666668</v>
      </c>
      <c r="AS47" s="113">
        <f t="shared" ref="AS47" si="107">SUM(AS41:AS46)</f>
        <v>10416.666666666668</v>
      </c>
      <c r="AT47" s="113">
        <f t="shared" ref="AT47" si="108">SUM(AT41:AT46)</f>
        <v>13333.333333333334</v>
      </c>
      <c r="AU47" s="113">
        <f t="shared" ref="AU47" si="109">SUM(AU41:AU46)</f>
        <v>13333.333333333334</v>
      </c>
      <c r="AV47" s="113">
        <f t="shared" ref="AV47" si="110">SUM(AV41:AV46)</f>
        <v>13333.333333333334</v>
      </c>
      <c r="AW47" s="113">
        <f t="shared" ref="AW47" si="111">SUM(AW41:AW46)</f>
        <v>13333.333333333334</v>
      </c>
      <c r="AX47" s="113">
        <f t="shared" ref="AX47" si="112">SUM(AX41:AX46)</f>
        <v>13333.333333333334</v>
      </c>
      <c r="AY47" s="113">
        <f t="shared" ref="AY47" si="113">SUM(AY41:AY46)</f>
        <v>13333.333333333334</v>
      </c>
      <c r="AZ47" s="113">
        <f t="shared" ref="AZ47" si="114">SUM(AZ41:AZ46)</f>
        <v>13333.333333333334</v>
      </c>
      <c r="BA47" s="113">
        <f t="shared" ref="BA47" si="115">SUM(BA41:BA46)</f>
        <v>13333.333333333334</v>
      </c>
      <c r="BB47" s="113">
        <f t="shared" ref="BB47" si="116">SUM(BB41:BB46)</f>
        <v>13333.333333333334</v>
      </c>
      <c r="BC47" s="113">
        <f t="shared" ref="BC47" si="117">SUM(BC41:BC46)</f>
        <v>13333.333333333334</v>
      </c>
      <c r="BD47" s="113">
        <f t="shared" ref="BD47" si="118">SUM(BD41:BD46)</f>
        <v>13333.333333333334</v>
      </c>
      <c r="BE47" s="113">
        <f t="shared" ref="BE47:BQ47" si="119">SUM(BE41:BE46)</f>
        <v>13333.333333333334</v>
      </c>
      <c r="BF47" s="113">
        <f t="shared" si="119"/>
        <v>16250</v>
      </c>
      <c r="BG47" s="113">
        <f t="shared" si="119"/>
        <v>16250</v>
      </c>
      <c r="BH47" s="113">
        <f t="shared" si="119"/>
        <v>16250</v>
      </c>
      <c r="BI47" s="113">
        <f t="shared" si="119"/>
        <v>16250</v>
      </c>
      <c r="BJ47" s="113">
        <f t="shared" si="119"/>
        <v>16250</v>
      </c>
      <c r="BK47" s="113">
        <f t="shared" si="119"/>
        <v>16250</v>
      </c>
      <c r="BL47" s="113">
        <f t="shared" si="119"/>
        <v>16250</v>
      </c>
      <c r="BM47" s="113">
        <f t="shared" si="119"/>
        <v>16250</v>
      </c>
      <c r="BN47" s="113">
        <f t="shared" si="119"/>
        <v>16250</v>
      </c>
      <c r="BO47" s="113">
        <f t="shared" si="119"/>
        <v>16250</v>
      </c>
      <c r="BP47" s="113">
        <f t="shared" si="119"/>
        <v>16250</v>
      </c>
      <c r="BQ47" s="113">
        <f t="shared" si="119"/>
        <v>16250</v>
      </c>
    </row>
    <row r="50" spans="2:69">
      <c r="B50" t="s">
        <v>191</v>
      </c>
      <c r="J50" s="38">
        <v>0</v>
      </c>
      <c r="K50" s="38">
        <v>0</v>
      </c>
      <c r="L50" s="38">
        <v>0</v>
      </c>
      <c r="M50" s="38">
        <v>0</v>
      </c>
      <c r="N50" s="38">
        <v>0</v>
      </c>
      <c r="O50" s="38">
        <v>0</v>
      </c>
      <c r="P50" s="38">
        <f>P47*Inputs!P14</f>
        <v>0</v>
      </c>
      <c r="Q50" s="38">
        <f>Q47*Inputs!Q14</f>
        <v>0</v>
      </c>
      <c r="R50" s="38">
        <f>R47*Inputs!R14</f>
        <v>0</v>
      </c>
      <c r="S50" s="38">
        <f>S47*Inputs!S14</f>
        <v>625</v>
      </c>
      <c r="T50" s="38">
        <f>T47*Inputs!T14</f>
        <v>625</v>
      </c>
      <c r="U50" s="38">
        <f>U47*Inputs!U14</f>
        <v>625</v>
      </c>
      <c r="V50" s="38">
        <f>V47*Inputs!V14</f>
        <v>625</v>
      </c>
      <c r="W50" s="38">
        <f>W47*Inputs!W14</f>
        <v>1187.5</v>
      </c>
      <c r="X50" s="38">
        <f>X47*Inputs!X14</f>
        <v>1187.5</v>
      </c>
      <c r="Y50" s="38">
        <f>Y47*Inputs!Y14</f>
        <v>1187.5</v>
      </c>
      <c r="Z50" s="38">
        <f>Z47*Inputs!Z14</f>
        <v>1187.5</v>
      </c>
      <c r="AA50" s="38">
        <f>AA47*Inputs!AA14</f>
        <v>1187.5</v>
      </c>
      <c r="AB50" s="38">
        <f>AB47*Inputs!AB14</f>
        <v>1187.5</v>
      </c>
      <c r="AC50" s="38">
        <f>AC47*Inputs!AC14</f>
        <v>1187.5</v>
      </c>
      <c r="AD50" s="38">
        <f>AD47*Inputs!AD14</f>
        <v>1187.5</v>
      </c>
      <c r="AE50" s="38">
        <f>AE47*Inputs!AE14</f>
        <v>1187.5</v>
      </c>
      <c r="AF50" s="38">
        <f>AF47*Inputs!AF14</f>
        <v>1187.5</v>
      </c>
      <c r="AG50" s="38">
        <f>AG47*Inputs!AG14</f>
        <v>1187.5</v>
      </c>
      <c r="AH50" s="38">
        <f>AH47*Inputs!AH14</f>
        <v>1562.5000000000002</v>
      </c>
      <c r="AI50" s="38">
        <f>AI47*Inputs!AI14</f>
        <v>1562.5000000000002</v>
      </c>
      <c r="AJ50" s="38">
        <f>AJ47*Inputs!AJ14</f>
        <v>1562.5000000000002</v>
      </c>
      <c r="AK50" s="38">
        <f>AK47*Inputs!AK14</f>
        <v>1562.5000000000002</v>
      </c>
      <c r="AL50" s="38">
        <f>AL47*Inputs!AL14</f>
        <v>1562.5000000000002</v>
      </c>
      <c r="AM50" s="38">
        <f>AM47*Inputs!AM14</f>
        <v>1562.5000000000002</v>
      </c>
      <c r="AN50" s="38">
        <f>AN47*Inputs!AN14</f>
        <v>1562.5000000000002</v>
      </c>
      <c r="AO50" s="38">
        <f>AO47*Inputs!AO14</f>
        <v>1562.5000000000002</v>
      </c>
      <c r="AP50" s="38">
        <f>AP47*Inputs!AP14</f>
        <v>1562.5000000000002</v>
      </c>
      <c r="AQ50" s="38">
        <f>AQ47*Inputs!AQ14</f>
        <v>1562.5000000000002</v>
      </c>
      <c r="AR50" s="38">
        <f>AR47*Inputs!AR14</f>
        <v>1562.5000000000002</v>
      </c>
      <c r="AS50" s="38">
        <f>AS47*Inputs!AS14</f>
        <v>1562.5000000000002</v>
      </c>
      <c r="AT50" s="38">
        <f>AT47*Inputs!AT14</f>
        <v>2000</v>
      </c>
      <c r="AU50" s="38">
        <f>AU47*Inputs!AU14</f>
        <v>2000</v>
      </c>
      <c r="AV50" s="38">
        <f>AV47*Inputs!AV14</f>
        <v>2000</v>
      </c>
      <c r="AW50" s="38">
        <f>AW47*Inputs!AW14</f>
        <v>2000</v>
      </c>
      <c r="AX50" s="38">
        <f>AX47*Inputs!AX14</f>
        <v>2000</v>
      </c>
      <c r="AY50" s="38">
        <f>AY47*Inputs!AY14</f>
        <v>2000</v>
      </c>
      <c r="AZ50" s="38">
        <f>AZ47*Inputs!AZ14</f>
        <v>2000</v>
      </c>
      <c r="BA50" s="38">
        <f>BA47*Inputs!BA14</f>
        <v>2000</v>
      </c>
      <c r="BB50" s="38">
        <f>BB47*Inputs!BB14</f>
        <v>2000</v>
      </c>
      <c r="BC50" s="38">
        <f>BC47*Inputs!BC14</f>
        <v>2000</v>
      </c>
      <c r="BD50" s="38">
        <f>BD47*Inputs!BD14</f>
        <v>2000</v>
      </c>
      <c r="BE50" s="38">
        <f>BE47*Inputs!BE14</f>
        <v>2000</v>
      </c>
      <c r="BF50" s="38">
        <f>BF47*Inputs!BF14</f>
        <v>2437.5</v>
      </c>
      <c r="BG50" s="38">
        <f>BG47*Inputs!BG14</f>
        <v>2437.5</v>
      </c>
      <c r="BH50" s="38">
        <f>BH47*Inputs!BH14</f>
        <v>2437.5</v>
      </c>
      <c r="BI50" s="38">
        <f>BI47*Inputs!BI14</f>
        <v>2437.5</v>
      </c>
      <c r="BJ50" s="38">
        <f>BJ47*Inputs!BJ14</f>
        <v>2437.5</v>
      </c>
      <c r="BK50" s="38">
        <f>BK47*Inputs!BK14</f>
        <v>2437.5</v>
      </c>
      <c r="BL50" s="38">
        <f>BL47*Inputs!BL14</f>
        <v>2437.5</v>
      </c>
      <c r="BM50" s="38">
        <f>BM47*Inputs!BM14</f>
        <v>2437.5</v>
      </c>
      <c r="BN50" s="38">
        <f>BN47*Inputs!BN14</f>
        <v>2437.5</v>
      </c>
      <c r="BO50" s="38">
        <f>BO47*Inputs!BO14</f>
        <v>2437.5</v>
      </c>
      <c r="BP50" s="38">
        <f>BP47*Inputs!BP14</f>
        <v>2437.5</v>
      </c>
      <c r="BQ50" s="38">
        <f>BQ47*Inputs!BQ14</f>
        <v>2437.5</v>
      </c>
    </row>
    <row r="51" spans="2:69">
      <c r="B51" t="s">
        <v>192</v>
      </c>
      <c r="J51" s="38">
        <v>0</v>
      </c>
      <c r="K51" s="38">
        <v>0</v>
      </c>
      <c r="L51" s="38">
        <v>0</v>
      </c>
      <c r="M51" s="38">
        <v>0</v>
      </c>
      <c r="N51" s="38">
        <v>0</v>
      </c>
      <c r="O51" s="38">
        <v>0</v>
      </c>
      <c r="P51" s="38">
        <f>P47*Inputs!P15</f>
        <v>0</v>
      </c>
      <c r="Q51" s="38">
        <f>Q47*Inputs!Q15</f>
        <v>0</v>
      </c>
      <c r="R51" s="38">
        <f>R47*Inputs!R15</f>
        <v>0</v>
      </c>
      <c r="S51" s="38">
        <f>S47*Inputs!S15</f>
        <v>125</v>
      </c>
      <c r="T51" s="38">
        <f>T47*Inputs!T15</f>
        <v>125</v>
      </c>
      <c r="U51" s="38">
        <f>U47*Inputs!U15</f>
        <v>125</v>
      </c>
      <c r="V51" s="38">
        <f>V47*Inputs!V15</f>
        <v>125</v>
      </c>
      <c r="W51" s="38">
        <f>W47*Inputs!W15</f>
        <v>237.5</v>
      </c>
      <c r="X51" s="38">
        <f>X47*Inputs!X15</f>
        <v>237.5</v>
      </c>
      <c r="Y51" s="38">
        <f>Y47*Inputs!Y15</f>
        <v>237.5</v>
      </c>
      <c r="Z51" s="38">
        <f>Z47*Inputs!Z15</f>
        <v>237.5</v>
      </c>
      <c r="AA51" s="38">
        <f>AA47*Inputs!AA15</f>
        <v>237.5</v>
      </c>
      <c r="AB51" s="38">
        <f>AB47*Inputs!AB15</f>
        <v>237.5</v>
      </c>
      <c r="AC51" s="38">
        <f>AC47*Inputs!AC15</f>
        <v>237.5</v>
      </c>
      <c r="AD51" s="38">
        <f>AD47*Inputs!AD15</f>
        <v>237.5</v>
      </c>
      <c r="AE51" s="38">
        <f>AE47*Inputs!AE15</f>
        <v>237.5</v>
      </c>
      <c r="AF51" s="38">
        <f>AF47*Inputs!AF15</f>
        <v>237.5</v>
      </c>
      <c r="AG51" s="38">
        <f>AG47*Inputs!AG15</f>
        <v>237.5</v>
      </c>
      <c r="AH51" s="38">
        <f>AH47*Inputs!AH15</f>
        <v>312.5</v>
      </c>
      <c r="AI51" s="38">
        <f>AI47*Inputs!AI15</f>
        <v>312.5</v>
      </c>
      <c r="AJ51" s="38">
        <f>AJ47*Inputs!AJ15</f>
        <v>312.5</v>
      </c>
      <c r="AK51" s="38">
        <f>AK47*Inputs!AK15</f>
        <v>312.5</v>
      </c>
      <c r="AL51" s="38">
        <f>AL47*Inputs!AL15</f>
        <v>312.5</v>
      </c>
      <c r="AM51" s="38">
        <f>AM47*Inputs!AM15</f>
        <v>312.5</v>
      </c>
      <c r="AN51" s="38">
        <f>AN47*Inputs!AN15</f>
        <v>312.5</v>
      </c>
      <c r="AO51" s="38">
        <f>AO47*Inputs!AO15</f>
        <v>312.5</v>
      </c>
      <c r="AP51" s="38">
        <f>AP47*Inputs!AP15</f>
        <v>312.5</v>
      </c>
      <c r="AQ51" s="38">
        <f>AQ47*Inputs!AQ15</f>
        <v>312.5</v>
      </c>
      <c r="AR51" s="38">
        <f>AR47*Inputs!AR15</f>
        <v>312.5</v>
      </c>
      <c r="AS51" s="38">
        <f>AS47*Inputs!AS15</f>
        <v>312.5</v>
      </c>
      <c r="AT51" s="38">
        <f>AT47*Inputs!AT15</f>
        <v>400</v>
      </c>
      <c r="AU51" s="38">
        <f>AU47*Inputs!AU15</f>
        <v>400</v>
      </c>
      <c r="AV51" s="38">
        <f>AV47*Inputs!AV15</f>
        <v>400</v>
      </c>
      <c r="AW51" s="38">
        <f>AW47*Inputs!AW15</f>
        <v>400</v>
      </c>
      <c r="AX51" s="38">
        <f>AX47*Inputs!AX15</f>
        <v>400</v>
      </c>
      <c r="AY51" s="38">
        <f>AY47*Inputs!AY15</f>
        <v>400</v>
      </c>
      <c r="AZ51" s="38">
        <f>AZ47*Inputs!AZ15</f>
        <v>400</v>
      </c>
      <c r="BA51" s="38">
        <f>BA47*Inputs!BA15</f>
        <v>400</v>
      </c>
      <c r="BB51" s="38">
        <f>BB47*Inputs!BB15</f>
        <v>400</v>
      </c>
      <c r="BC51" s="38">
        <f>BC47*Inputs!BC15</f>
        <v>400</v>
      </c>
      <c r="BD51" s="38">
        <f>BD47*Inputs!BD15</f>
        <v>400</v>
      </c>
      <c r="BE51" s="38">
        <f>BE47*Inputs!BE15</f>
        <v>400</v>
      </c>
      <c r="BF51" s="38">
        <f>BF47*Inputs!BF15</f>
        <v>487.5</v>
      </c>
      <c r="BG51" s="38">
        <f>BG47*Inputs!BG15</f>
        <v>487.5</v>
      </c>
      <c r="BH51" s="38">
        <f>BH47*Inputs!BH15</f>
        <v>487.5</v>
      </c>
      <c r="BI51" s="38">
        <f>BI47*Inputs!BI15</f>
        <v>487.5</v>
      </c>
      <c r="BJ51" s="38">
        <f>BJ47*Inputs!BJ15</f>
        <v>487.5</v>
      </c>
      <c r="BK51" s="38">
        <f>BK47*Inputs!BK15</f>
        <v>487.5</v>
      </c>
      <c r="BL51" s="38">
        <f>BL47*Inputs!BL15</f>
        <v>487.5</v>
      </c>
      <c r="BM51" s="38">
        <f>BM47*Inputs!BM15</f>
        <v>487.5</v>
      </c>
      <c r="BN51" s="38">
        <f>BN47*Inputs!BN15</f>
        <v>487.5</v>
      </c>
      <c r="BO51" s="38">
        <f>BO47*Inputs!BO15</f>
        <v>487.5</v>
      </c>
      <c r="BP51" s="38">
        <f>BP47*Inputs!BP15</f>
        <v>487.5</v>
      </c>
      <c r="BQ51" s="38">
        <f>BQ47*Inputs!BQ15</f>
        <v>487.5</v>
      </c>
    </row>
    <row r="52" spans="2:69">
      <c r="B52" t="s">
        <v>193</v>
      </c>
      <c r="J52" s="38">
        <v>0</v>
      </c>
      <c r="K52" s="38">
        <v>0</v>
      </c>
      <c r="L52" s="38">
        <v>0</v>
      </c>
      <c r="M52" s="38">
        <v>0</v>
      </c>
      <c r="N52" s="38">
        <v>0</v>
      </c>
      <c r="O52" s="38">
        <v>0</v>
      </c>
      <c r="P52" s="38">
        <f>P47*Inputs!P12</f>
        <v>0</v>
      </c>
      <c r="Q52" s="38">
        <f>Q47*Inputs!Q12</f>
        <v>0</v>
      </c>
      <c r="R52" s="38">
        <f>R47*Inputs!R12</f>
        <v>0</v>
      </c>
      <c r="S52" s="38">
        <f>S47*Inputs!S12</f>
        <v>1041.6666666666667</v>
      </c>
      <c r="T52" s="38">
        <f>T47*Inputs!T12</f>
        <v>1041.6666666666667</v>
      </c>
      <c r="U52" s="38">
        <f>U47*Inputs!U12</f>
        <v>1041.6666666666667</v>
      </c>
      <c r="V52" s="38">
        <f>V47*Inputs!V12</f>
        <v>1041.6666666666667</v>
      </c>
      <c r="W52" s="38">
        <f>W47*Inputs!W12</f>
        <v>1979.1666666666667</v>
      </c>
      <c r="X52" s="38">
        <f>X47*Inputs!X12</f>
        <v>1979.1666666666667</v>
      </c>
      <c r="Y52" s="38">
        <f>Y47*Inputs!Y12</f>
        <v>1979.1666666666667</v>
      </c>
      <c r="Z52" s="38">
        <f>Z47*Inputs!Z12</f>
        <v>1979.1666666666667</v>
      </c>
      <c r="AA52" s="38">
        <f>AA47*Inputs!AA12</f>
        <v>1979.1666666666667</v>
      </c>
      <c r="AB52" s="38">
        <f>AB47*Inputs!AB12</f>
        <v>1979.1666666666667</v>
      </c>
      <c r="AC52" s="38">
        <f>AC47*Inputs!AC12</f>
        <v>1979.1666666666667</v>
      </c>
      <c r="AD52" s="38">
        <f>AD47*Inputs!AD12</f>
        <v>1979.1666666666667</v>
      </c>
      <c r="AE52" s="38">
        <f>AE47*Inputs!AE12</f>
        <v>1979.1666666666667</v>
      </c>
      <c r="AF52" s="38">
        <f>AF47*Inputs!AF12</f>
        <v>1979.1666666666667</v>
      </c>
      <c r="AG52" s="38">
        <f>AG47*Inputs!AG12</f>
        <v>1979.1666666666667</v>
      </c>
      <c r="AH52" s="38">
        <f>AH47*Inputs!AH12</f>
        <v>2604.166666666667</v>
      </c>
      <c r="AI52" s="38">
        <f>AI47*Inputs!AI12</f>
        <v>2604.166666666667</v>
      </c>
      <c r="AJ52" s="38">
        <f>AJ47*Inputs!AJ12</f>
        <v>2604.166666666667</v>
      </c>
      <c r="AK52" s="38">
        <f>AK47*Inputs!AK12</f>
        <v>2604.166666666667</v>
      </c>
      <c r="AL52" s="38">
        <f>AL47*Inputs!AL12</f>
        <v>2604.166666666667</v>
      </c>
      <c r="AM52" s="38">
        <f>AM47*Inputs!AM12</f>
        <v>2604.166666666667</v>
      </c>
      <c r="AN52" s="38">
        <f>AN47*Inputs!AN12</f>
        <v>2604.166666666667</v>
      </c>
      <c r="AO52" s="38">
        <f>AO47*Inputs!AO12</f>
        <v>2604.166666666667</v>
      </c>
      <c r="AP52" s="38">
        <f>AP47*Inputs!AP12</f>
        <v>2604.166666666667</v>
      </c>
      <c r="AQ52" s="38">
        <f>AQ47*Inputs!AQ12</f>
        <v>2604.166666666667</v>
      </c>
      <c r="AR52" s="38">
        <f>AR47*Inputs!AR12</f>
        <v>2604.166666666667</v>
      </c>
      <c r="AS52" s="38">
        <f>AS47*Inputs!AS12</f>
        <v>2604.166666666667</v>
      </c>
      <c r="AT52" s="38">
        <f>AT47*Inputs!AT12</f>
        <v>3333.3333333333335</v>
      </c>
      <c r="AU52" s="38">
        <f>AU47*Inputs!AU12</f>
        <v>3333.3333333333335</v>
      </c>
      <c r="AV52" s="38">
        <f>AV47*Inputs!AV12</f>
        <v>3333.3333333333335</v>
      </c>
      <c r="AW52" s="38">
        <f>AW47*Inputs!AW12</f>
        <v>3333.3333333333335</v>
      </c>
      <c r="AX52" s="38">
        <f>AX47*Inputs!AX12</f>
        <v>3333.3333333333335</v>
      </c>
      <c r="AY52" s="38">
        <f>AY47*Inputs!AY12</f>
        <v>3333.3333333333335</v>
      </c>
      <c r="AZ52" s="38">
        <f>AZ47*Inputs!AZ12</f>
        <v>3333.3333333333335</v>
      </c>
      <c r="BA52" s="38">
        <f>BA47*Inputs!BA12</f>
        <v>3333.3333333333335</v>
      </c>
      <c r="BB52" s="38">
        <f>BB47*Inputs!BB12</f>
        <v>3333.3333333333335</v>
      </c>
      <c r="BC52" s="38">
        <f>BC47*Inputs!BC12</f>
        <v>3333.3333333333335</v>
      </c>
      <c r="BD52" s="38">
        <f>BD47*Inputs!BD12</f>
        <v>3333.3333333333335</v>
      </c>
      <c r="BE52" s="38">
        <f>BE47*Inputs!BE12</f>
        <v>3333.3333333333335</v>
      </c>
      <c r="BF52" s="38">
        <f>BF47*Inputs!BF12</f>
        <v>4062.5</v>
      </c>
      <c r="BG52" s="38">
        <f>BG47*Inputs!BG12</f>
        <v>4062.5</v>
      </c>
      <c r="BH52" s="38">
        <f>BH47*Inputs!BH12</f>
        <v>4062.5</v>
      </c>
      <c r="BI52" s="38">
        <f>BI47*Inputs!BI12</f>
        <v>4062.5</v>
      </c>
      <c r="BJ52" s="38">
        <f>BJ47*Inputs!BJ12</f>
        <v>4062.5</v>
      </c>
      <c r="BK52" s="38">
        <f>BK47*Inputs!BK12</f>
        <v>4062.5</v>
      </c>
      <c r="BL52" s="38">
        <f>BL47*Inputs!BL12</f>
        <v>4062.5</v>
      </c>
      <c r="BM52" s="38">
        <f>BM47*Inputs!BM12</f>
        <v>4062.5</v>
      </c>
      <c r="BN52" s="38">
        <f>BN47*Inputs!BN12</f>
        <v>4062.5</v>
      </c>
      <c r="BO52" s="38">
        <f>BO47*Inputs!BO12</f>
        <v>4062.5</v>
      </c>
      <c r="BP52" s="38">
        <f>BP47*Inputs!BP12</f>
        <v>4062.5</v>
      </c>
      <c r="BQ52" s="38">
        <f>BQ47*Inputs!BQ12</f>
        <v>4062.5</v>
      </c>
    </row>
    <row r="53" spans="2:69">
      <c r="B53" t="s">
        <v>194</v>
      </c>
      <c r="J53" s="83">
        <v>0</v>
      </c>
      <c r="K53" s="83">
        <v>0</v>
      </c>
      <c r="L53" s="83">
        <v>0</v>
      </c>
      <c r="M53" s="83">
        <v>0</v>
      </c>
      <c r="N53" s="83">
        <v>0</v>
      </c>
      <c r="O53" s="83">
        <v>0</v>
      </c>
      <c r="P53" s="83">
        <f>P47*Inputs!P13</f>
        <v>0</v>
      </c>
      <c r="Q53" s="83">
        <f>Q47*Inputs!Q13</f>
        <v>0</v>
      </c>
      <c r="R53" s="83">
        <f>R47*Inputs!R13</f>
        <v>0</v>
      </c>
      <c r="S53" s="83">
        <f>S47*Inputs!S13</f>
        <v>458.33333333333337</v>
      </c>
      <c r="T53" s="83">
        <f>T47*Inputs!T13</f>
        <v>458.33333333333337</v>
      </c>
      <c r="U53" s="83">
        <f>U47*Inputs!U13</f>
        <v>458.33333333333337</v>
      </c>
      <c r="V53" s="83">
        <f>V47*Inputs!V13</f>
        <v>458.33333333333337</v>
      </c>
      <c r="W53" s="83">
        <f>W47*Inputs!W13</f>
        <v>870.83333333333337</v>
      </c>
      <c r="X53" s="83">
        <f>X47*Inputs!X13</f>
        <v>870.83333333333337</v>
      </c>
      <c r="Y53" s="83">
        <f>Y47*Inputs!Y13</f>
        <v>870.83333333333337</v>
      </c>
      <c r="Z53" s="83">
        <f>Z47*Inputs!Z13</f>
        <v>870.83333333333337</v>
      </c>
      <c r="AA53" s="83">
        <f>AA47*Inputs!AA13</f>
        <v>870.83333333333337</v>
      </c>
      <c r="AB53" s="83">
        <f>AB47*Inputs!AB13</f>
        <v>870.83333333333337</v>
      </c>
      <c r="AC53" s="83">
        <f>AC47*Inputs!AC13</f>
        <v>870.83333333333337</v>
      </c>
      <c r="AD53" s="83">
        <f>AD47*Inputs!AD13</f>
        <v>870.83333333333337</v>
      </c>
      <c r="AE53" s="83">
        <f>AE47*Inputs!AE13</f>
        <v>870.83333333333337</v>
      </c>
      <c r="AF53" s="83">
        <f>AF47*Inputs!AF13</f>
        <v>870.83333333333337</v>
      </c>
      <c r="AG53" s="83">
        <f>AG47*Inputs!AG13</f>
        <v>870.83333333333337</v>
      </c>
      <c r="AH53" s="83">
        <f>AH47*Inputs!AH13</f>
        <v>1145.8333333333335</v>
      </c>
      <c r="AI53" s="83">
        <f>AI47*Inputs!AI13</f>
        <v>1145.8333333333335</v>
      </c>
      <c r="AJ53" s="83">
        <f>AJ47*Inputs!AJ13</f>
        <v>1145.8333333333335</v>
      </c>
      <c r="AK53" s="83">
        <f>AK47*Inputs!AK13</f>
        <v>1145.8333333333335</v>
      </c>
      <c r="AL53" s="83">
        <f>AL47*Inputs!AL13</f>
        <v>1145.8333333333335</v>
      </c>
      <c r="AM53" s="83">
        <f>AM47*Inputs!AM13</f>
        <v>1145.8333333333335</v>
      </c>
      <c r="AN53" s="83">
        <f>AN47*Inputs!AN13</f>
        <v>1145.8333333333335</v>
      </c>
      <c r="AO53" s="83">
        <f>AO47*Inputs!AO13</f>
        <v>1145.8333333333335</v>
      </c>
      <c r="AP53" s="83">
        <f>AP47*Inputs!AP13</f>
        <v>1145.8333333333335</v>
      </c>
      <c r="AQ53" s="83">
        <f>AQ47*Inputs!AQ13</f>
        <v>1145.8333333333335</v>
      </c>
      <c r="AR53" s="83">
        <f>AR47*Inputs!AR13</f>
        <v>1145.8333333333335</v>
      </c>
      <c r="AS53" s="83">
        <f>AS47*Inputs!AS13</f>
        <v>1145.8333333333335</v>
      </c>
      <c r="AT53" s="83">
        <f>AT47*Inputs!AT13</f>
        <v>1466.6666666666667</v>
      </c>
      <c r="AU53" s="83">
        <f>AU47*Inputs!AU13</f>
        <v>1466.6666666666667</v>
      </c>
      <c r="AV53" s="83">
        <f>AV47*Inputs!AV13</f>
        <v>1466.6666666666667</v>
      </c>
      <c r="AW53" s="83">
        <f>AW47*Inputs!AW13</f>
        <v>1466.6666666666667</v>
      </c>
      <c r="AX53" s="83">
        <f>AX47*Inputs!AX13</f>
        <v>1466.6666666666667</v>
      </c>
      <c r="AY53" s="83">
        <f>AY47*Inputs!AY13</f>
        <v>1466.6666666666667</v>
      </c>
      <c r="AZ53" s="83">
        <f>AZ47*Inputs!AZ13</f>
        <v>1466.6666666666667</v>
      </c>
      <c r="BA53" s="83">
        <f>BA47*Inputs!BA13</f>
        <v>1466.6666666666667</v>
      </c>
      <c r="BB53" s="83">
        <f>BB47*Inputs!BB13</f>
        <v>1466.6666666666667</v>
      </c>
      <c r="BC53" s="83">
        <f>BC47*Inputs!BC13</f>
        <v>1466.6666666666667</v>
      </c>
      <c r="BD53" s="83">
        <f>BD47*Inputs!BD13</f>
        <v>1466.6666666666667</v>
      </c>
      <c r="BE53" s="83">
        <f>BE47*Inputs!BE13</f>
        <v>1466.6666666666667</v>
      </c>
      <c r="BF53" s="83">
        <f>BF47*Inputs!BF13</f>
        <v>1787.5</v>
      </c>
      <c r="BG53" s="83">
        <f>BG47*Inputs!BG13</f>
        <v>1787.5</v>
      </c>
      <c r="BH53" s="83">
        <f>BH47*Inputs!BH13</f>
        <v>1787.5</v>
      </c>
      <c r="BI53" s="83">
        <f>BI47*Inputs!BI13</f>
        <v>1787.5</v>
      </c>
      <c r="BJ53" s="83">
        <f>BJ47*Inputs!BJ13</f>
        <v>1787.5</v>
      </c>
      <c r="BK53" s="83">
        <f>BK47*Inputs!BK13</f>
        <v>1787.5</v>
      </c>
      <c r="BL53" s="83">
        <f>BL47*Inputs!BL13</f>
        <v>1787.5</v>
      </c>
      <c r="BM53" s="83">
        <f>BM47*Inputs!BM13</f>
        <v>1787.5</v>
      </c>
      <c r="BN53" s="83">
        <f>BN47*Inputs!BN13</f>
        <v>1787.5</v>
      </c>
      <c r="BO53" s="83">
        <f>BO47*Inputs!BO13</f>
        <v>1787.5</v>
      </c>
      <c r="BP53" s="83">
        <f>BP47*Inputs!BP13</f>
        <v>1787.5</v>
      </c>
      <c r="BQ53" s="83">
        <f>BQ47*Inputs!BQ13</f>
        <v>1787.5</v>
      </c>
    </row>
    <row r="54" spans="2:69" s="89" customFormat="1">
      <c r="B54" s="112" t="s">
        <v>6</v>
      </c>
      <c r="J54" s="114">
        <f>SUM(J50:J53)</f>
        <v>0</v>
      </c>
      <c r="K54" s="114">
        <f t="shared" ref="K54:BE54" si="120">SUM(K50:K53)</f>
        <v>0</v>
      </c>
      <c r="L54" s="114">
        <f t="shared" si="120"/>
        <v>0</v>
      </c>
      <c r="M54" s="114">
        <f t="shared" si="120"/>
        <v>0</v>
      </c>
      <c r="N54" s="114">
        <f t="shared" si="120"/>
        <v>0</v>
      </c>
      <c r="O54" s="114">
        <f t="shared" si="120"/>
        <v>0</v>
      </c>
      <c r="P54" s="114">
        <f t="shared" si="120"/>
        <v>0</v>
      </c>
      <c r="Q54" s="114">
        <f t="shared" si="120"/>
        <v>0</v>
      </c>
      <c r="R54" s="114">
        <f t="shared" si="120"/>
        <v>0</v>
      </c>
      <c r="S54" s="114">
        <f t="shared" si="120"/>
        <v>2250</v>
      </c>
      <c r="T54" s="114">
        <f t="shared" si="120"/>
        <v>2250</v>
      </c>
      <c r="U54" s="114">
        <f t="shared" si="120"/>
        <v>2250</v>
      </c>
      <c r="V54" s="114">
        <f t="shared" si="120"/>
        <v>2250</v>
      </c>
      <c r="W54" s="114">
        <f t="shared" si="120"/>
        <v>4275</v>
      </c>
      <c r="X54" s="114">
        <f t="shared" si="120"/>
        <v>4275</v>
      </c>
      <c r="Y54" s="114">
        <f t="shared" si="120"/>
        <v>4275</v>
      </c>
      <c r="Z54" s="114">
        <f t="shared" si="120"/>
        <v>4275</v>
      </c>
      <c r="AA54" s="114">
        <f t="shared" si="120"/>
        <v>4275</v>
      </c>
      <c r="AB54" s="114">
        <f t="shared" si="120"/>
        <v>4275</v>
      </c>
      <c r="AC54" s="114">
        <f t="shared" si="120"/>
        <v>4275</v>
      </c>
      <c r="AD54" s="114">
        <f t="shared" si="120"/>
        <v>4275</v>
      </c>
      <c r="AE54" s="114">
        <f t="shared" si="120"/>
        <v>4275</v>
      </c>
      <c r="AF54" s="114">
        <f t="shared" si="120"/>
        <v>4275</v>
      </c>
      <c r="AG54" s="114">
        <f t="shared" si="120"/>
        <v>4275</v>
      </c>
      <c r="AH54" s="114">
        <f t="shared" si="120"/>
        <v>5625</v>
      </c>
      <c r="AI54" s="114">
        <f t="shared" si="120"/>
        <v>5625</v>
      </c>
      <c r="AJ54" s="114">
        <f t="shared" si="120"/>
        <v>5625</v>
      </c>
      <c r="AK54" s="114">
        <f t="shared" si="120"/>
        <v>5625</v>
      </c>
      <c r="AL54" s="114">
        <f t="shared" si="120"/>
        <v>5625</v>
      </c>
      <c r="AM54" s="114">
        <f t="shared" si="120"/>
        <v>5625</v>
      </c>
      <c r="AN54" s="114">
        <f t="shared" si="120"/>
        <v>5625</v>
      </c>
      <c r="AO54" s="114">
        <f t="shared" si="120"/>
        <v>5625</v>
      </c>
      <c r="AP54" s="114">
        <f t="shared" si="120"/>
        <v>5625</v>
      </c>
      <c r="AQ54" s="114">
        <f t="shared" si="120"/>
        <v>5625</v>
      </c>
      <c r="AR54" s="114">
        <f t="shared" si="120"/>
        <v>5625</v>
      </c>
      <c r="AS54" s="114">
        <f t="shared" si="120"/>
        <v>5625</v>
      </c>
      <c r="AT54" s="114">
        <f t="shared" si="120"/>
        <v>7200.0000000000009</v>
      </c>
      <c r="AU54" s="114">
        <f t="shared" si="120"/>
        <v>7200.0000000000009</v>
      </c>
      <c r="AV54" s="114">
        <f t="shared" si="120"/>
        <v>7200.0000000000009</v>
      </c>
      <c r="AW54" s="114">
        <f t="shared" si="120"/>
        <v>7200.0000000000009</v>
      </c>
      <c r="AX54" s="114">
        <f t="shared" si="120"/>
        <v>7200.0000000000009</v>
      </c>
      <c r="AY54" s="114">
        <f t="shared" si="120"/>
        <v>7200.0000000000009</v>
      </c>
      <c r="AZ54" s="114">
        <f t="shared" si="120"/>
        <v>7200.0000000000009</v>
      </c>
      <c r="BA54" s="114">
        <f t="shared" si="120"/>
        <v>7200.0000000000009</v>
      </c>
      <c r="BB54" s="114">
        <f t="shared" si="120"/>
        <v>7200.0000000000009</v>
      </c>
      <c r="BC54" s="114">
        <f t="shared" si="120"/>
        <v>7200.0000000000009</v>
      </c>
      <c r="BD54" s="114">
        <f t="shared" si="120"/>
        <v>7200.0000000000009</v>
      </c>
      <c r="BE54" s="114">
        <f t="shared" si="120"/>
        <v>7200.0000000000009</v>
      </c>
      <c r="BF54" s="114">
        <f t="shared" ref="BF54:BQ54" si="121">SUM(BF50:BF53)</f>
        <v>8775</v>
      </c>
      <c r="BG54" s="114">
        <f t="shared" si="121"/>
        <v>8775</v>
      </c>
      <c r="BH54" s="114">
        <f t="shared" si="121"/>
        <v>8775</v>
      </c>
      <c r="BI54" s="114">
        <f t="shared" si="121"/>
        <v>8775</v>
      </c>
      <c r="BJ54" s="114">
        <f t="shared" si="121"/>
        <v>8775</v>
      </c>
      <c r="BK54" s="114">
        <f t="shared" si="121"/>
        <v>8775</v>
      </c>
      <c r="BL54" s="114">
        <f t="shared" si="121"/>
        <v>8775</v>
      </c>
      <c r="BM54" s="114">
        <f t="shared" si="121"/>
        <v>8775</v>
      </c>
      <c r="BN54" s="114">
        <f t="shared" si="121"/>
        <v>8775</v>
      </c>
      <c r="BO54" s="114">
        <f t="shared" si="121"/>
        <v>8775</v>
      </c>
      <c r="BP54" s="114">
        <f t="shared" si="121"/>
        <v>8775</v>
      </c>
      <c r="BQ54" s="114">
        <f t="shared" si="121"/>
        <v>8775</v>
      </c>
    </row>
    <row r="57" spans="2:69">
      <c r="B57" s="2" t="s">
        <v>196</v>
      </c>
    </row>
    <row r="58" spans="2:69">
      <c r="B58" t="s">
        <v>301</v>
      </c>
      <c r="J58">
        <v>0</v>
      </c>
      <c r="K58">
        <v>0</v>
      </c>
      <c r="L58">
        <v>0</v>
      </c>
      <c r="M58">
        <v>0</v>
      </c>
      <c r="N58">
        <v>0</v>
      </c>
      <c r="O58">
        <v>0</v>
      </c>
      <c r="P58">
        <v>0</v>
      </c>
      <c r="Q58">
        <v>0</v>
      </c>
      <c r="R58">
        <v>0</v>
      </c>
      <c r="S58">
        <v>0</v>
      </c>
      <c r="T58">
        <v>0</v>
      </c>
      <c r="U58">
        <v>0</v>
      </c>
      <c r="V58">
        <v>0</v>
      </c>
      <c r="W58">
        <v>0</v>
      </c>
      <c r="X58">
        <v>1</v>
      </c>
      <c r="Y58">
        <v>1</v>
      </c>
      <c r="Z58">
        <v>1</v>
      </c>
      <c r="AA58">
        <v>1</v>
      </c>
      <c r="AB58">
        <v>1</v>
      </c>
      <c r="AC58">
        <v>1</v>
      </c>
      <c r="AD58">
        <v>1</v>
      </c>
      <c r="AE58">
        <v>1</v>
      </c>
      <c r="AF58">
        <v>1</v>
      </c>
      <c r="AG58">
        <v>1</v>
      </c>
      <c r="AH58">
        <v>1</v>
      </c>
      <c r="AI58">
        <v>1</v>
      </c>
      <c r="AJ58">
        <v>1</v>
      </c>
      <c r="AK58">
        <v>1</v>
      </c>
      <c r="AL58">
        <v>1</v>
      </c>
      <c r="AM58">
        <v>1</v>
      </c>
      <c r="AN58">
        <v>1</v>
      </c>
      <c r="AO58">
        <v>1</v>
      </c>
      <c r="AP58">
        <v>1</v>
      </c>
      <c r="AQ58">
        <v>1</v>
      </c>
      <c r="AR58">
        <v>1</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row>
    <row r="59" spans="2:69">
      <c r="B59" t="s">
        <v>302</v>
      </c>
      <c r="J59">
        <v>0</v>
      </c>
      <c r="K59">
        <v>0</v>
      </c>
      <c r="L59">
        <v>0</v>
      </c>
      <c r="M59">
        <v>0</v>
      </c>
      <c r="N59">
        <v>0</v>
      </c>
      <c r="O59">
        <v>0</v>
      </c>
      <c r="P59">
        <v>0</v>
      </c>
      <c r="Q59">
        <v>0</v>
      </c>
      <c r="R59">
        <v>0</v>
      </c>
      <c r="S59">
        <v>0</v>
      </c>
      <c r="T59">
        <v>0</v>
      </c>
      <c r="U59">
        <v>0</v>
      </c>
      <c r="V59">
        <v>0</v>
      </c>
      <c r="W59">
        <v>0</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v>1</v>
      </c>
      <c r="BJ59">
        <v>1</v>
      </c>
      <c r="BK59">
        <v>1</v>
      </c>
      <c r="BL59">
        <v>1</v>
      </c>
      <c r="BM59">
        <v>1</v>
      </c>
      <c r="BN59">
        <v>1</v>
      </c>
      <c r="BO59">
        <v>1</v>
      </c>
      <c r="BP59">
        <v>1</v>
      </c>
      <c r="BQ59">
        <v>1</v>
      </c>
    </row>
    <row r="60" spans="2:69">
      <c r="B60" t="s">
        <v>360</v>
      </c>
      <c r="J60">
        <v>0</v>
      </c>
      <c r="K60">
        <v>0</v>
      </c>
      <c r="L60">
        <v>0</v>
      </c>
      <c r="M60">
        <v>0</v>
      </c>
      <c r="N60">
        <v>0</v>
      </c>
      <c r="O60">
        <v>0</v>
      </c>
      <c r="P60">
        <v>0</v>
      </c>
      <c r="Q60">
        <v>0</v>
      </c>
      <c r="R60">
        <v>0</v>
      </c>
      <c r="S60">
        <v>0</v>
      </c>
      <c r="T60">
        <v>0</v>
      </c>
      <c r="U60">
        <v>0</v>
      </c>
      <c r="V60">
        <v>0</v>
      </c>
      <c r="W60">
        <v>1</v>
      </c>
      <c r="X60">
        <v>1</v>
      </c>
      <c r="Y60">
        <v>1</v>
      </c>
      <c r="Z60">
        <v>1</v>
      </c>
      <c r="AA60">
        <v>1</v>
      </c>
      <c r="AB60">
        <v>1</v>
      </c>
      <c r="AC60">
        <v>1</v>
      </c>
      <c r="AD60">
        <v>1</v>
      </c>
      <c r="AE60">
        <v>1</v>
      </c>
      <c r="AF60">
        <v>1</v>
      </c>
      <c r="AG60">
        <v>1</v>
      </c>
      <c r="AH60">
        <v>1</v>
      </c>
      <c r="AI60">
        <v>1</v>
      </c>
      <c r="AJ60">
        <v>1</v>
      </c>
      <c r="AK60">
        <v>1</v>
      </c>
      <c r="AL60">
        <v>1</v>
      </c>
      <c r="AM60">
        <v>1</v>
      </c>
      <c r="AN60">
        <v>1</v>
      </c>
      <c r="AO60">
        <v>1</v>
      </c>
      <c r="AP60">
        <v>1</v>
      </c>
      <c r="AQ60">
        <v>1</v>
      </c>
      <c r="AR60">
        <v>1</v>
      </c>
      <c r="AS60">
        <v>1</v>
      </c>
      <c r="AT60">
        <v>1</v>
      </c>
      <c r="AU60">
        <v>1</v>
      </c>
      <c r="AV60">
        <v>1</v>
      </c>
      <c r="AW60">
        <v>1</v>
      </c>
      <c r="AX60">
        <v>1</v>
      </c>
      <c r="AY60">
        <v>1</v>
      </c>
      <c r="AZ60">
        <v>1</v>
      </c>
      <c r="BA60">
        <v>1</v>
      </c>
      <c r="BB60">
        <v>1</v>
      </c>
      <c r="BC60">
        <v>1</v>
      </c>
      <c r="BD60">
        <v>1</v>
      </c>
      <c r="BE60">
        <v>1</v>
      </c>
      <c r="BF60">
        <v>1</v>
      </c>
      <c r="BG60">
        <v>1</v>
      </c>
      <c r="BH60">
        <v>1</v>
      </c>
      <c r="BI60">
        <v>1</v>
      </c>
      <c r="BJ60">
        <v>1</v>
      </c>
      <c r="BK60">
        <v>1</v>
      </c>
      <c r="BL60">
        <v>1</v>
      </c>
      <c r="BM60">
        <v>1</v>
      </c>
      <c r="BN60">
        <v>1</v>
      </c>
      <c r="BO60">
        <v>1</v>
      </c>
      <c r="BP60">
        <v>1</v>
      </c>
      <c r="BQ60">
        <v>1</v>
      </c>
    </row>
    <row r="61" spans="2:69">
      <c r="B61" t="s">
        <v>185</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row>
    <row r="62" spans="2:69">
      <c r="B62" t="s">
        <v>186</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row>
    <row r="63" spans="2:69">
      <c r="B63" t="s">
        <v>187</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row>
    <row r="64" spans="2:69" s="89" customFormat="1">
      <c r="B64" s="89" t="s">
        <v>188</v>
      </c>
      <c r="J64" s="89">
        <f>SUM(J58:J63)</f>
        <v>0</v>
      </c>
      <c r="K64" s="89">
        <f t="shared" ref="K64" si="122">SUM(K58:K63)</f>
        <v>0</v>
      </c>
      <c r="L64" s="89">
        <f t="shared" ref="L64" si="123">SUM(L58:L63)</f>
        <v>0</v>
      </c>
      <c r="M64" s="89">
        <f t="shared" ref="M64" si="124">SUM(M58:M63)</f>
        <v>0</v>
      </c>
      <c r="N64" s="89">
        <f t="shared" ref="N64" si="125">SUM(N58:N63)</f>
        <v>0</v>
      </c>
      <c r="O64" s="89">
        <f t="shared" ref="O64" si="126">SUM(O58:O63)</f>
        <v>0</v>
      </c>
      <c r="P64" s="89">
        <f t="shared" ref="P64" si="127">SUM(P58:P63)</f>
        <v>0</v>
      </c>
      <c r="Q64" s="89">
        <f t="shared" ref="Q64" si="128">SUM(Q58:Q63)</f>
        <v>0</v>
      </c>
      <c r="R64" s="89">
        <f t="shared" ref="R64" si="129">SUM(R58:R63)</f>
        <v>0</v>
      </c>
      <c r="S64" s="89">
        <f t="shared" ref="S64" si="130">SUM(S58:S63)</f>
        <v>0</v>
      </c>
      <c r="T64" s="89">
        <f t="shared" ref="T64" si="131">SUM(T58:T63)</f>
        <v>0</v>
      </c>
      <c r="U64" s="89">
        <f t="shared" ref="U64" si="132">SUM(U58:U63)</f>
        <v>0</v>
      </c>
      <c r="V64" s="89">
        <f t="shared" ref="V64" si="133">SUM(V58:V63)</f>
        <v>0</v>
      </c>
      <c r="W64" s="89">
        <f t="shared" ref="W64" si="134">SUM(W58:W63)</f>
        <v>1</v>
      </c>
      <c r="X64" s="89">
        <f t="shared" ref="X64" si="135">SUM(X58:X63)</f>
        <v>3</v>
      </c>
      <c r="Y64" s="89">
        <f t="shared" ref="Y64" si="136">SUM(Y58:Y63)</f>
        <v>3</v>
      </c>
      <c r="Z64" s="89">
        <f t="shared" ref="Z64" si="137">SUM(Z58:Z63)</f>
        <v>3</v>
      </c>
      <c r="AA64" s="89">
        <f t="shared" ref="AA64" si="138">SUM(AA58:AA63)</f>
        <v>3</v>
      </c>
      <c r="AB64" s="89">
        <f t="shared" ref="AB64" si="139">SUM(AB58:AB63)</f>
        <v>3</v>
      </c>
      <c r="AC64" s="89">
        <f t="shared" ref="AC64" si="140">SUM(AC58:AC63)</f>
        <v>3</v>
      </c>
      <c r="AD64" s="89">
        <f t="shared" ref="AD64" si="141">SUM(AD58:AD63)</f>
        <v>3</v>
      </c>
      <c r="AE64" s="89">
        <f t="shared" ref="AE64" si="142">SUM(AE58:AE63)</f>
        <v>3</v>
      </c>
      <c r="AF64" s="89">
        <f t="shared" ref="AF64" si="143">SUM(AF58:AF63)</f>
        <v>3</v>
      </c>
      <c r="AG64" s="89">
        <f t="shared" ref="AG64" si="144">SUM(AG58:AG63)</f>
        <v>3</v>
      </c>
      <c r="AH64" s="89">
        <f t="shared" ref="AH64" si="145">SUM(AH58:AH63)</f>
        <v>3</v>
      </c>
      <c r="AI64" s="89">
        <f t="shared" ref="AI64" si="146">SUM(AI58:AI63)</f>
        <v>3</v>
      </c>
      <c r="AJ64" s="89">
        <f t="shared" ref="AJ64" si="147">SUM(AJ58:AJ63)</f>
        <v>3</v>
      </c>
      <c r="AK64" s="89">
        <f t="shared" ref="AK64" si="148">SUM(AK58:AK63)</f>
        <v>3</v>
      </c>
      <c r="AL64" s="89">
        <f t="shared" ref="AL64" si="149">SUM(AL58:AL63)</f>
        <v>3</v>
      </c>
      <c r="AM64" s="89">
        <f t="shared" ref="AM64" si="150">SUM(AM58:AM63)</f>
        <v>3</v>
      </c>
      <c r="AN64" s="89">
        <f t="shared" ref="AN64" si="151">SUM(AN58:AN63)</f>
        <v>3</v>
      </c>
      <c r="AO64" s="89">
        <f t="shared" ref="AO64" si="152">SUM(AO58:AO63)</f>
        <v>3</v>
      </c>
      <c r="AP64" s="89">
        <f t="shared" ref="AP64" si="153">SUM(AP58:AP63)</f>
        <v>3</v>
      </c>
      <c r="AQ64" s="89">
        <f t="shared" ref="AQ64" si="154">SUM(AQ58:AQ63)</f>
        <v>3</v>
      </c>
      <c r="AR64" s="89">
        <f t="shared" ref="AR64" si="155">SUM(AR58:AR63)</f>
        <v>3</v>
      </c>
      <c r="AS64" s="89">
        <f t="shared" ref="AS64" si="156">SUM(AS58:AS63)</f>
        <v>3</v>
      </c>
      <c r="AT64" s="89">
        <f t="shared" ref="AT64" si="157">SUM(AT58:AT63)</f>
        <v>3</v>
      </c>
      <c r="AU64" s="89">
        <f t="shared" ref="AU64" si="158">SUM(AU58:AU63)</f>
        <v>3</v>
      </c>
      <c r="AV64" s="89">
        <f t="shared" ref="AV64" si="159">SUM(AV58:AV63)</f>
        <v>3</v>
      </c>
      <c r="AW64" s="89">
        <f t="shared" ref="AW64" si="160">SUM(AW58:AW63)</f>
        <v>3</v>
      </c>
      <c r="AX64" s="89">
        <f t="shared" ref="AX64" si="161">SUM(AX58:AX63)</f>
        <v>3</v>
      </c>
      <c r="AY64" s="89">
        <f t="shared" ref="AY64" si="162">SUM(AY58:AY63)</f>
        <v>3</v>
      </c>
      <c r="AZ64" s="89">
        <f t="shared" ref="AZ64" si="163">SUM(AZ58:AZ63)</f>
        <v>3</v>
      </c>
      <c r="BA64" s="89">
        <f t="shared" ref="BA64" si="164">SUM(BA58:BA63)</f>
        <v>3</v>
      </c>
      <c r="BB64" s="89">
        <f t="shared" ref="BB64" si="165">SUM(BB58:BB63)</f>
        <v>3</v>
      </c>
      <c r="BC64" s="89">
        <f t="shared" ref="BC64" si="166">SUM(BC58:BC63)</f>
        <v>3</v>
      </c>
      <c r="BD64" s="89">
        <f t="shared" ref="BD64" si="167">SUM(BD58:BD63)</f>
        <v>3</v>
      </c>
      <c r="BE64" s="89">
        <f t="shared" ref="BE64:BQ64" si="168">SUM(BE58:BE63)</f>
        <v>3</v>
      </c>
      <c r="BF64" s="89">
        <f t="shared" si="168"/>
        <v>3</v>
      </c>
      <c r="BG64" s="89">
        <f t="shared" si="168"/>
        <v>3</v>
      </c>
      <c r="BH64" s="89">
        <f t="shared" si="168"/>
        <v>3</v>
      </c>
      <c r="BI64" s="89">
        <f t="shared" si="168"/>
        <v>3</v>
      </c>
      <c r="BJ64" s="89">
        <f t="shared" si="168"/>
        <v>3</v>
      </c>
      <c r="BK64" s="89">
        <f t="shared" si="168"/>
        <v>3</v>
      </c>
      <c r="BL64" s="89">
        <f t="shared" si="168"/>
        <v>3</v>
      </c>
      <c r="BM64" s="89">
        <f t="shared" si="168"/>
        <v>3</v>
      </c>
      <c r="BN64" s="89">
        <f t="shared" si="168"/>
        <v>3</v>
      </c>
      <c r="BO64" s="89">
        <f t="shared" si="168"/>
        <v>3</v>
      </c>
      <c r="BP64" s="89">
        <f t="shared" si="168"/>
        <v>3</v>
      </c>
      <c r="BQ64" s="89">
        <f t="shared" si="168"/>
        <v>3</v>
      </c>
    </row>
    <row r="66" spans="2:69">
      <c r="B66" s="2" t="s">
        <v>196</v>
      </c>
      <c r="C66" t="s">
        <v>189</v>
      </c>
    </row>
    <row r="67" spans="2:69">
      <c r="B67" t="str">
        <f>B58</f>
        <v>CEO - TH</v>
      </c>
      <c r="C67" s="38">
        <v>180000</v>
      </c>
      <c r="J67" s="38">
        <v>0</v>
      </c>
      <c r="K67" s="38">
        <v>0</v>
      </c>
      <c r="L67" s="38">
        <v>0</v>
      </c>
      <c r="M67" s="38">
        <v>0</v>
      </c>
      <c r="N67" s="38">
        <v>0</v>
      </c>
      <c r="O67" s="38">
        <v>0</v>
      </c>
      <c r="P67" s="38">
        <f t="shared" ref="P67:X67" si="169">($C67/12)*P58</f>
        <v>0</v>
      </c>
      <c r="Q67" s="38">
        <f t="shared" si="169"/>
        <v>0</v>
      </c>
      <c r="R67" s="38">
        <f t="shared" si="169"/>
        <v>0</v>
      </c>
      <c r="S67" s="38">
        <f t="shared" si="169"/>
        <v>0</v>
      </c>
      <c r="T67" s="38">
        <f t="shared" si="169"/>
        <v>0</v>
      </c>
      <c r="U67" s="38">
        <f t="shared" si="169"/>
        <v>0</v>
      </c>
      <c r="V67" s="38">
        <f t="shared" si="169"/>
        <v>0</v>
      </c>
      <c r="W67" s="38">
        <f t="shared" si="169"/>
        <v>0</v>
      </c>
      <c r="X67" s="38">
        <f t="shared" si="169"/>
        <v>15000</v>
      </c>
      <c r="Y67" s="38">
        <f t="shared" ref="Y67:AP67" si="170">($C67/12)*Y58</f>
        <v>15000</v>
      </c>
      <c r="Z67" s="38">
        <f t="shared" si="170"/>
        <v>15000</v>
      </c>
      <c r="AA67" s="38">
        <f t="shared" si="170"/>
        <v>15000</v>
      </c>
      <c r="AB67" s="38">
        <f t="shared" si="170"/>
        <v>15000</v>
      </c>
      <c r="AC67" s="38">
        <f t="shared" si="170"/>
        <v>15000</v>
      </c>
      <c r="AD67" s="38">
        <f t="shared" si="170"/>
        <v>15000</v>
      </c>
      <c r="AE67" s="38">
        <f t="shared" si="170"/>
        <v>15000</v>
      </c>
      <c r="AF67" s="38">
        <f t="shared" si="170"/>
        <v>15000</v>
      </c>
      <c r="AG67" s="38">
        <f t="shared" si="170"/>
        <v>15000</v>
      </c>
      <c r="AH67" s="38">
        <f t="shared" si="170"/>
        <v>15000</v>
      </c>
      <c r="AI67" s="38">
        <f t="shared" si="170"/>
        <v>15000</v>
      </c>
      <c r="AJ67" s="38">
        <f t="shared" si="170"/>
        <v>15000</v>
      </c>
      <c r="AK67" s="38">
        <f t="shared" si="170"/>
        <v>15000</v>
      </c>
      <c r="AL67" s="38">
        <f t="shared" si="170"/>
        <v>15000</v>
      </c>
      <c r="AM67" s="38">
        <f t="shared" si="170"/>
        <v>15000</v>
      </c>
      <c r="AN67" s="38">
        <f t="shared" si="170"/>
        <v>15000</v>
      </c>
      <c r="AO67" s="38">
        <f t="shared" si="170"/>
        <v>15000</v>
      </c>
      <c r="AP67" s="38">
        <f t="shared" si="170"/>
        <v>15000</v>
      </c>
      <c r="AQ67" s="38">
        <f t="shared" ref="J67:BE72" si="171">($C67/12)*AQ58</f>
        <v>15000</v>
      </c>
      <c r="AR67" s="38">
        <f t="shared" si="171"/>
        <v>15000</v>
      </c>
      <c r="AS67" s="38">
        <f t="shared" si="171"/>
        <v>15000</v>
      </c>
      <c r="AT67" s="38">
        <f t="shared" si="171"/>
        <v>15000</v>
      </c>
      <c r="AU67" s="38">
        <f t="shared" si="171"/>
        <v>15000</v>
      </c>
      <c r="AV67" s="38">
        <f t="shared" si="171"/>
        <v>15000</v>
      </c>
      <c r="AW67" s="38">
        <f t="shared" si="171"/>
        <v>15000</v>
      </c>
      <c r="AX67" s="38">
        <f t="shared" si="171"/>
        <v>15000</v>
      </c>
      <c r="AY67" s="38">
        <f t="shared" si="171"/>
        <v>15000</v>
      </c>
      <c r="AZ67" s="38">
        <f t="shared" si="171"/>
        <v>15000</v>
      </c>
      <c r="BA67" s="38">
        <f t="shared" si="171"/>
        <v>15000</v>
      </c>
      <c r="BB67" s="38">
        <f t="shared" si="171"/>
        <v>15000</v>
      </c>
      <c r="BC67" s="38">
        <f t="shared" si="171"/>
        <v>15000</v>
      </c>
      <c r="BD67" s="38">
        <f t="shared" si="171"/>
        <v>15000</v>
      </c>
      <c r="BE67" s="38">
        <f t="shared" si="171"/>
        <v>15000</v>
      </c>
      <c r="BF67" s="38">
        <f t="shared" ref="BF67:BQ72" si="172">($C67/12)*BF58</f>
        <v>15000</v>
      </c>
      <c r="BG67" s="38">
        <f t="shared" si="172"/>
        <v>15000</v>
      </c>
      <c r="BH67" s="38">
        <f t="shared" si="172"/>
        <v>15000</v>
      </c>
      <c r="BI67" s="38">
        <f t="shared" si="172"/>
        <v>15000</v>
      </c>
      <c r="BJ67" s="38">
        <f t="shared" si="172"/>
        <v>15000</v>
      </c>
      <c r="BK67" s="38">
        <f t="shared" si="172"/>
        <v>15000</v>
      </c>
      <c r="BL67" s="38">
        <f t="shared" si="172"/>
        <v>15000</v>
      </c>
      <c r="BM67" s="38">
        <f t="shared" si="172"/>
        <v>15000</v>
      </c>
      <c r="BN67" s="38">
        <f t="shared" si="172"/>
        <v>15000</v>
      </c>
      <c r="BO67" s="38">
        <f t="shared" si="172"/>
        <v>15000</v>
      </c>
      <c r="BP67" s="38">
        <f t="shared" si="172"/>
        <v>15000</v>
      </c>
      <c r="BQ67" s="38">
        <f t="shared" si="172"/>
        <v>15000</v>
      </c>
    </row>
    <row r="68" spans="2:69">
      <c r="B68" t="str">
        <f>B59</f>
        <v>Owen</v>
      </c>
      <c r="C68" s="38">
        <v>120000</v>
      </c>
      <c r="J68" s="38">
        <f t="shared" si="171"/>
        <v>0</v>
      </c>
      <c r="K68" s="38">
        <f t="shared" si="171"/>
        <v>0</v>
      </c>
      <c r="L68" s="38">
        <f t="shared" si="171"/>
        <v>0</v>
      </c>
      <c r="M68" s="38">
        <f t="shared" si="171"/>
        <v>0</v>
      </c>
      <c r="N68" s="38">
        <f t="shared" si="171"/>
        <v>0</v>
      </c>
      <c r="O68" s="38">
        <f t="shared" si="171"/>
        <v>0</v>
      </c>
      <c r="P68" s="38">
        <f t="shared" si="171"/>
        <v>0</v>
      </c>
      <c r="Q68" s="38">
        <f t="shared" si="171"/>
        <v>0</v>
      </c>
      <c r="R68" s="38">
        <f t="shared" si="171"/>
        <v>0</v>
      </c>
      <c r="S68" s="38">
        <f t="shared" si="171"/>
        <v>0</v>
      </c>
      <c r="T68" s="38">
        <f t="shared" si="171"/>
        <v>0</v>
      </c>
      <c r="U68" s="38">
        <f t="shared" si="171"/>
        <v>0</v>
      </c>
      <c r="V68" s="38">
        <f t="shared" si="171"/>
        <v>0</v>
      </c>
      <c r="W68" s="38">
        <f t="shared" si="171"/>
        <v>0</v>
      </c>
      <c r="X68" s="38">
        <f t="shared" si="171"/>
        <v>10000</v>
      </c>
      <c r="Y68" s="38">
        <f t="shared" si="171"/>
        <v>10000</v>
      </c>
      <c r="Z68" s="38">
        <f t="shared" si="171"/>
        <v>10000</v>
      </c>
      <c r="AA68" s="38">
        <f t="shared" si="171"/>
        <v>10000</v>
      </c>
      <c r="AB68" s="38">
        <f t="shared" si="171"/>
        <v>10000</v>
      </c>
      <c r="AC68" s="38">
        <f t="shared" si="171"/>
        <v>10000</v>
      </c>
      <c r="AD68" s="38">
        <f t="shared" si="171"/>
        <v>10000</v>
      </c>
      <c r="AE68" s="38">
        <f t="shared" si="171"/>
        <v>10000</v>
      </c>
      <c r="AF68" s="38">
        <f t="shared" si="171"/>
        <v>10000</v>
      </c>
      <c r="AG68" s="38">
        <f t="shared" si="171"/>
        <v>10000</v>
      </c>
      <c r="AH68" s="38">
        <f t="shared" si="171"/>
        <v>10000</v>
      </c>
      <c r="AI68" s="38">
        <f t="shared" si="171"/>
        <v>10000</v>
      </c>
      <c r="AJ68" s="38">
        <f t="shared" si="171"/>
        <v>10000</v>
      </c>
      <c r="AK68" s="38">
        <f t="shared" si="171"/>
        <v>10000</v>
      </c>
      <c r="AL68" s="38">
        <f t="shared" si="171"/>
        <v>10000</v>
      </c>
      <c r="AM68" s="38">
        <f t="shared" si="171"/>
        <v>10000</v>
      </c>
      <c r="AN68" s="38">
        <f t="shared" si="171"/>
        <v>10000</v>
      </c>
      <c r="AO68" s="38">
        <f t="shared" si="171"/>
        <v>10000</v>
      </c>
      <c r="AP68" s="38">
        <f t="shared" si="171"/>
        <v>10000</v>
      </c>
      <c r="AQ68" s="38">
        <f t="shared" si="171"/>
        <v>10000</v>
      </c>
      <c r="AR68" s="38">
        <f t="shared" si="171"/>
        <v>10000</v>
      </c>
      <c r="AS68" s="38">
        <f t="shared" si="171"/>
        <v>10000</v>
      </c>
      <c r="AT68" s="38">
        <f t="shared" si="171"/>
        <v>10000</v>
      </c>
      <c r="AU68" s="38">
        <f t="shared" si="171"/>
        <v>10000</v>
      </c>
      <c r="AV68" s="38">
        <f t="shared" si="171"/>
        <v>10000</v>
      </c>
      <c r="AW68" s="38">
        <f t="shared" si="171"/>
        <v>10000</v>
      </c>
      <c r="AX68" s="38">
        <f t="shared" si="171"/>
        <v>10000</v>
      </c>
      <c r="AY68" s="38">
        <f t="shared" si="171"/>
        <v>10000</v>
      </c>
      <c r="AZ68" s="38">
        <f t="shared" si="171"/>
        <v>10000</v>
      </c>
      <c r="BA68" s="38">
        <f t="shared" si="171"/>
        <v>10000</v>
      </c>
      <c r="BB68" s="38">
        <f t="shared" si="171"/>
        <v>10000</v>
      </c>
      <c r="BC68" s="38">
        <f t="shared" si="171"/>
        <v>10000</v>
      </c>
      <c r="BD68" s="38">
        <f t="shared" si="171"/>
        <v>10000</v>
      </c>
      <c r="BE68" s="38">
        <f t="shared" si="171"/>
        <v>10000</v>
      </c>
      <c r="BF68" s="38">
        <f t="shared" si="172"/>
        <v>10000</v>
      </c>
      <c r="BG68" s="38">
        <f t="shared" si="172"/>
        <v>10000</v>
      </c>
      <c r="BH68" s="38">
        <f t="shared" si="172"/>
        <v>10000</v>
      </c>
      <c r="BI68" s="38">
        <f t="shared" si="172"/>
        <v>10000</v>
      </c>
      <c r="BJ68" s="38">
        <f t="shared" si="172"/>
        <v>10000</v>
      </c>
      <c r="BK68" s="38">
        <f t="shared" si="172"/>
        <v>10000</v>
      </c>
      <c r="BL68" s="38">
        <f t="shared" si="172"/>
        <v>10000</v>
      </c>
      <c r="BM68" s="38">
        <f t="shared" si="172"/>
        <v>10000</v>
      </c>
      <c r="BN68" s="38">
        <f t="shared" si="172"/>
        <v>10000</v>
      </c>
      <c r="BO68" s="38">
        <f t="shared" si="172"/>
        <v>10000</v>
      </c>
      <c r="BP68" s="38">
        <f t="shared" si="172"/>
        <v>10000</v>
      </c>
      <c r="BQ68" s="38">
        <f t="shared" si="172"/>
        <v>10000</v>
      </c>
    </row>
    <row r="69" spans="2:69">
      <c r="B69" t="str">
        <f t="shared" ref="B69:B72" si="173">B60</f>
        <v>FD</v>
      </c>
      <c r="C69" s="38">
        <v>150000</v>
      </c>
      <c r="J69" s="38">
        <f t="shared" si="171"/>
        <v>0</v>
      </c>
      <c r="K69" s="38">
        <f t="shared" si="171"/>
        <v>0</v>
      </c>
      <c r="L69" s="38">
        <f t="shared" si="171"/>
        <v>0</v>
      </c>
      <c r="M69" s="38">
        <f t="shared" si="171"/>
        <v>0</v>
      </c>
      <c r="N69" s="38">
        <f t="shared" si="171"/>
        <v>0</v>
      </c>
      <c r="O69" s="38">
        <f t="shared" si="171"/>
        <v>0</v>
      </c>
      <c r="P69" s="38">
        <f t="shared" si="171"/>
        <v>0</v>
      </c>
      <c r="Q69" s="38">
        <f t="shared" si="171"/>
        <v>0</v>
      </c>
      <c r="R69" s="38">
        <f t="shared" si="171"/>
        <v>0</v>
      </c>
      <c r="S69" s="38">
        <f t="shared" si="171"/>
        <v>0</v>
      </c>
      <c r="T69" s="38">
        <f t="shared" si="171"/>
        <v>0</v>
      </c>
      <c r="U69" s="38">
        <f t="shared" si="171"/>
        <v>0</v>
      </c>
      <c r="V69" s="38">
        <f t="shared" si="171"/>
        <v>0</v>
      </c>
      <c r="W69" s="38">
        <f t="shared" si="171"/>
        <v>12500</v>
      </c>
      <c r="X69" s="38">
        <f t="shared" si="171"/>
        <v>12500</v>
      </c>
      <c r="Y69" s="38">
        <f t="shared" si="171"/>
        <v>12500</v>
      </c>
      <c r="Z69" s="38">
        <f t="shared" si="171"/>
        <v>12500</v>
      </c>
      <c r="AA69" s="38">
        <f t="shared" si="171"/>
        <v>12500</v>
      </c>
      <c r="AB69" s="38">
        <f t="shared" si="171"/>
        <v>12500</v>
      </c>
      <c r="AC69" s="38">
        <f t="shared" si="171"/>
        <v>12500</v>
      </c>
      <c r="AD69" s="38">
        <f t="shared" si="171"/>
        <v>12500</v>
      </c>
      <c r="AE69" s="38">
        <f t="shared" si="171"/>
        <v>12500</v>
      </c>
      <c r="AF69" s="38">
        <f t="shared" si="171"/>
        <v>12500</v>
      </c>
      <c r="AG69" s="38">
        <f t="shared" si="171"/>
        <v>12500</v>
      </c>
      <c r="AH69" s="38">
        <f t="shared" si="171"/>
        <v>12500</v>
      </c>
      <c r="AI69" s="38">
        <f t="shared" si="171"/>
        <v>12500</v>
      </c>
      <c r="AJ69" s="38">
        <f t="shared" si="171"/>
        <v>12500</v>
      </c>
      <c r="AK69" s="38">
        <f t="shared" si="171"/>
        <v>12500</v>
      </c>
      <c r="AL69" s="38">
        <f t="shared" si="171"/>
        <v>12500</v>
      </c>
      <c r="AM69" s="38">
        <f t="shared" si="171"/>
        <v>12500</v>
      </c>
      <c r="AN69" s="38">
        <f t="shared" si="171"/>
        <v>12500</v>
      </c>
      <c r="AO69" s="38">
        <f t="shared" si="171"/>
        <v>12500</v>
      </c>
      <c r="AP69" s="38">
        <f t="shared" si="171"/>
        <v>12500</v>
      </c>
      <c r="AQ69" s="38">
        <f t="shared" si="171"/>
        <v>12500</v>
      </c>
      <c r="AR69" s="38">
        <f t="shared" si="171"/>
        <v>12500</v>
      </c>
      <c r="AS69" s="38">
        <f t="shared" si="171"/>
        <v>12500</v>
      </c>
      <c r="AT69" s="38">
        <f t="shared" si="171"/>
        <v>12500</v>
      </c>
      <c r="AU69" s="38">
        <f t="shared" si="171"/>
        <v>12500</v>
      </c>
      <c r="AV69" s="38">
        <f t="shared" si="171"/>
        <v>12500</v>
      </c>
      <c r="AW69" s="38">
        <f t="shared" si="171"/>
        <v>12500</v>
      </c>
      <c r="AX69" s="38">
        <f t="shared" si="171"/>
        <v>12500</v>
      </c>
      <c r="AY69" s="38">
        <f t="shared" si="171"/>
        <v>12500</v>
      </c>
      <c r="AZ69" s="38">
        <f t="shared" si="171"/>
        <v>12500</v>
      </c>
      <c r="BA69" s="38">
        <f t="shared" si="171"/>
        <v>12500</v>
      </c>
      <c r="BB69" s="38">
        <f t="shared" si="171"/>
        <v>12500</v>
      </c>
      <c r="BC69" s="38">
        <f t="shared" si="171"/>
        <v>12500</v>
      </c>
      <c r="BD69" s="38">
        <f t="shared" si="171"/>
        <v>12500</v>
      </c>
      <c r="BE69" s="38">
        <f t="shared" si="171"/>
        <v>12500</v>
      </c>
      <c r="BF69" s="38">
        <f t="shared" si="172"/>
        <v>12500</v>
      </c>
      <c r="BG69" s="38">
        <f t="shared" si="172"/>
        <v>12500</v>
      </c>
      <c r="BH69" s="38">
        <f t="shared" si="172"/>
        <v>12500</v>
      </c>
      <c r="BI69" s="38">
        <f t="shared" si="172"/>
        <v>12500</v>
      </c>
      <c r="BJ69" s="38">
        <f t="shared" si="172"/>
        <v>12500</v>
      </c>
      <c r="BK69" s="38">
        <f t="shared" si="172"/>
        <v>12500</v>
      </c>
      <c r="BL69" s="38">
        <f t="shared" si="172"/>
        <v>12500</v>
      </c>
      <c r="BM69" s="38">
        <f t="shared" si="172"/>
        <v>12500</v>
      </c>
      <c r="BN69" s="38">
        <f t="shared" si="172"/>
        <v>12500</v>
      </c>
      <c r="BO69" s="38">
        <f t="shared" si="172"/>
        <v>12500</v>
      </c>
      <c r="BP69" s="38">
        <f t="shared" si="172"/>
        <v>12500</v>
      </c>
      <c r="BQ69" s="38">
        <f t="shared" si="172"/>
        <v>12500</v>
      </c>
    </row>
    <row r="70" spans="2:69">
      <c r="B70" t="str">
        <f t="shared" si="173"/>
        <v>Role 4</v>
      </c>
      <c r="J70" s="38">
        <f t="shared" si="171"/>
        <v>0</v>
      </c>
      <c r="K70" s="38">
        <f t="shared" si="171"/>
        <v>0</v>
      </c>
      <c r="L70" s="38">
        <f t="shared" si="171"/>
        <v>0</v>
      </c>
      <c r="M70" s="38">
        <f t="shared" si="171"/>
        <v>0</v>
      </c>
      <c r="N70" s="38">
        <f t="shared" si="171"/>
        <v>0</v>
      </c>
      <c r="O70" s="38">
        <f t="shared" si="171"/>
        <v>0</v>
      </c>
      <c r="P70" s="38">
        <f t="shared" si="171"/>
        <v>0</v>
      </c>
      <c r="Q70" s="38">
        <f t="shared" si="171"/>
        <v>0</v>
      </c>
      <c r="R70" s="38">
        <f t="shared" si="171"/>
        <v>0</v>
      </c>
      <c r="S70" s="38">
        <f t="shared" si="171"/>
        <v>0</v>
      </c>
      <c r="T70" s="38">
        <f t="shared" si="171"/>
        <v>0</v>
      </c>
      <c r="U70" s="38">
        <f t="shared" si="171"/>
        <v>0</v>
      </c>
      <c r="V70" s="38">
        <f t="shared" si="171"/>
        <v>0</v>
      </c>
      <c r="W70" s="38">
        <f t="shared" si="171"/>
        <v>0</v>
      </c>
      <c r="X70" s="38">
        <f t="shared" si="171"/>
        <v>0</v>
      </c>
      <c r="Y70" s="38">
        <f t="shared" si="171"/>
        <v>0</v>
      </c>
      <c r="Z70" s="38">
        <f t="shared" si="171"/>
        <v>0</v>
      </c>
      <c r="AA70" s="38">
        <f t="shared" si="171"/>
        <v>0</v>
      </c>
      <c r="AB70" s="38">
        <f t="shared" si="171"/>
        <v>0</v>
      </c>
      <c r="AC70" s="38">
        <f t="shared" si="171"/>
        <v>0</v>
      </c>
      <c r="AD70" s="38">
        <f t="shared" si="171"/>
        <v>0</v>
      </c>
      <c r="AE70" s="38">
        <f t="shared" si="171"/>
        <v>0</v>
      </c>
      <c r="AF70" s="38">
        <f t="shared" si="171"/>
        <v>0</v>
      </c>
      <c r="AG70" s="38">
        <f t="shared" si="171"/>
        <v>0</v>
      </c>
      <c r="AH70" s="38">
        <f t="shared" si="171"/>
        <v>0</v>
      </c>
      <c r="AI70" s="38">
        <f t="shared" si="171"/>
        <v>0</v>
      </c>
      <c r="AJ70" s="38">
        <f t="shared" si="171"/>
        <v>0</v>
      </c>
      <c r="AK70" s="38">
        <f t="shared" si="171"/>
        <v>0</v>
      </c>
      <c r="AL70" s="38">
        <f t="shared" si="171"/>
        <v>0</v>
      </c>
      <c r="AM70" s="38">
        <f t="shared" si="171"/>
        <v>0</v>
      </c>
      <c r="AN70" s="38">
        <f t="shared" si="171"/>
        <v>0</v>
      </c>
      <c r="AO70" s="38">
        <f t="shared" si="171"/>
        <v>0</v>
      </c>
      <c r="AP70" s="38">
        <f t="shared" si="171"/>
        <v>0</v>
      </c>
      <c r="AQ70" s="38">
        <f t="shared" si="171"/>
        <v>0</v>
      </c>
      <c r="AR70" s="38">
        <f t="shared" si="171"/>
        <v>0</v>
      </c>
      <c r="AS70" s="38">
        <f t="shared" si="171"/>
        <v>0</v>
      </c>
      <c r="AT70" s="38">
        <f t="shared" si="171"/>
        <v>0</v>
      </c>
      <c r="AU70" s="38">
        <f t="shared" si="171"/>
        <v>0</v>
      </c>
      <c r="AV70" s="38">
        <f t="shared" si="171"/>
        <v>0</v>
      </c>
      <c r="AW70" s="38">
        <f t="shared" si="171"/>
        <v>0</v>
      </c>
      <c r="AX70" s="38">
        <f t="shared" si="171"/>
        <v>0</v>
      </c>
      <c r="AY70" s="38">
        <f t="shared" si="171"/>
        <v>0</v>
      </c>
      <c r="AZ70" s="38">
        <f t="shared" si="171"/>
        <v>0</v>
      </c>
      <c r="BA70" s="38">
        <f t="shared" si="171"/>
        <v>0</v>
      </c>
      <c r="BB70" s="38">
        <f t="shared" si="171"/>
        <v>0</v>
      </c>
      <c r="BC70" s="38">
        <f t="shared" si="171"/>
        <v>0</v>
      </c>
      <c r="BD70" s="38">
        <f t="shared" si="171"/>
        <v>0</v>
      </c>
      <c r="BE70" s="38">
        <f t="shared" si="171"/>
        <v>0</v>
      </c>
      <c r="BF70" s="38">
        <f t="shared" si="172"/>
        <v>0</v>
      </c>
      <c r="BG70" s="38">
        <f t="shared" si="172"/>
        <v>0</v>
      </c>
      <c r="BH70" s="38">
        <f t="shared" si="172"/>
        <v>0</v>
      </c>
      <c r="BI70" s="38">
        <f t="shared" si="172"/>
        <v>0</v>
      </c>
      <c r="BJ70" s="38">
        <f t="shared" si="172"/>
        <v>0</v>
      </c>
      <c r="BK70" s="38">
        <f t="shared" si="172"/>
        <v>0</v>
      </c>
      <c r="BL70" s="38">
        <f t="shared" si="172"/>
        <v>0</v>
      </c>
      <c r="BM70" s="38">
        <f t="shared" si="172"/>
        <v>0</v>
      </c>
      <c r="BN70" s="38">
        <f t="shared" si="172"/>
        <v>0</v>
      </c>
      <c r="BO70" s="38">
        <f t="shared" si="172"/>
        <v>0</v>
      </c>
      <c r="BP70" s="38">
        <f t="shared" si="172"/>
        <v>0</v>
      </c>
      <c r="BQ70" s="38">
        <f t="shared" si="172"/>
        <v>0</v>
      </c>
    </row>
    <row r="71" spans="2:69">
      <c r="B71" t="str">
        <f t="shared" si="173"/>
        <v>Role 5</v>
      </c>
      <c r="J71" s="38">
        <f t="shared" si="171"/>
        <v>0</v>
      </c>
      <c r="K71" s="38">
        <f t="shared" si="171"/>
        <v>0</v>
      </c>
      <c r="L71" s="38">
        <f t="shared" si="171"/>
        <v>0</v>
      </c>
      <c r="M71" s="38">
        <f t="shared" si="171"/>
        <v>0</v>
      </c>
      <c r="N71" s="38">
        <f t="shared" si="171"/>
        <v>0</v>
      </c>
      <c r="O71" s="38">
        <f t="shared" si="171"/>
        <v>0</v>
      </c>
      <c r="P71" s="38">
        <f t="shared" si="171"/>
        <v>0</v>
      </c>
      <c r="Q71" s="38">
        <f t="shared" si="171"/>
        <v>0</v>
      </c>
      <c r="R71" s="38">
        <f t="shared" si="171"/>
        <v>0</v>
      </c>
      <c r="S71" s="38">
        <f t="shared" si="171"/>
        <v>0</v>
      </c>
      <c r="T71" s="38">
        <f t="shared" si="171"/>
        <v>0</v>
      </c>
      <c r="U71" s="38">
        <f t="shared" si="171"/>
        <v>0</v>
      </c>
      <c r="V71" s="38">
        <f t="shared" si="171"/>
        <v>0</v>
      </c>
      <c r="W71" s="38">
        <f t="shared" si="171"/>
        <v>0</v>
      </c>
      <c r="X71" s="38">
        <f t="shared" si="171"/>
        <v>0</v>
      </c>
      <c r="Y71" s="38">
        <f t="shared" si="171"/>
        <v>0</v>
      </c>
      <c r="Z71" s="38">
        <f t="shared" si="171"/>
        <v>0</v>
      </c>
      <c r="AA71" s="38">
        <f t="shared" si="171"/>
        <v>0</v>
      </c>
      <c r="AB71" s="38">
        <f t="shared" si="171"/>
        <v>0</v>
      </c>
      <c r="AC71" s="38">
        <f t="shared" si="171"/>
        <v>0</v>
      </c>
      <c r="AD71" s="38">
        <f t="shared" si="171"/>
        <v>0</v>
      </c>
      <c r="AE71" s="38">
        <f t="shared" si="171"/>
        <v>0</v>
      </c>
      <c r="AF71" s="38">
        <f t="shared" si="171"/>
        <v>0</v>
      </c>
      <c r="AG71" s="38">
        <f t="shared" si="171"/>
        <v>0</v>
      </c>
      <c r="AH71" s="38">
        <f t="shared" si="171"/>
        <v>0</v>
      </c>
      <c r="AI71" s="38">
        <f t="shared" si="171"/>
        <v>0</v>
      </c>
      <c r="AJ71" s="38">
        <f t="shared" si="171"/>
        <v>0</v>
      </c>
      <c r="AK71" s="38">
        <f t="shared" si="171"/>
        <v>0</v>
      </c>
      <c r="AL71" s="38">
        <f t="shared" si="171"/>
        <v>0</v>
      </c>
      <c r="AM71" s="38">
        <f t="shared" si="171"/>
        <v>0</v>
      </c>
      <c r="AN71" s="38">
        <f t="shared" si="171"/>
        <v>0</v>
      </c>
      <c r="AO71" s="38">
        <f t="shared" si="171"/>
        <v>0</v>
      </c>
      <c r="AP71" s="38">
        <f t="shared" si="171"/>
        <v>0</v>
      </c>
      <c r="AQ71" s="38">
        <f t="shared" si="171"/>
        <v>0</v>
      </c>
      <c r="AR71" s="38">
        <f t="shared" si="171"/>
        <v>0</v>
      </c>
      <c r="AS71" s="38">
        <f t="shared" si="171"/>
        <v>0</v>
      </c>
      <c r="AT71" s="38">
        <f t="shared" si="171"/>
        <v>0</v>
      </c>
      <c r="AU71" s="38">
        <f t="shared" si="171"/>
        <v>0</v>
      </c>
      <c r="AV71" s="38">
        <f t="shared" si="171"/>
        <v>0</v>
      </c>
      <c r="AW71" s="38">
        <f t="shared" si="171"/>
        <v>0</v>
      </c>
      <c r="AX71" s="38">
        <f t="shared" si="171"/>
        <v>0</v>
      </c>
      <c r="AY71" s="38">
        <f t="shared" si="171"/>
        <v>0</v>
      </c>
      <c r="AZ71" s="38">
        <f t="shared" si="171"/>
        <v>0</v>
      </c>
      <c r="BA71" s="38">
        <f t="shared" si="171"/>
        <v>0</v>
      </c>
      <c r="BB71" s="38">
        <f t="shared" si="171"/>
        <v>0</v>
      </c>
      <c r="BC71" s="38">
        <f t="shared" si="171"/>
        <v>0</v>
      </c>
      <c r="BD71" s="38">
        <f t="shared" si="171"/>
        <v>0</v>
      </c>
      <c r="BE71" s="38">
        <f t="shared" si="171"/>
        <v>0</v>
      </c>
      <c r="BF71" s="38">
        <f t="shared" si="172"/>
        <v>0</v>
      </c>
      <c r="BG71" s="38">
        <f t="shared" si="172"/>
        <v>0</v>
      </c>
      <c r="BH71" s="38">
        <f t="shared" si="172"/>
        <v>0</v>
      </c>
      <c r="BI71" s="38">
        <f t="shared" si="172"/>
        <v>0</v>
      </c>
      <c r="BJ71" s="38">
        <f t="shared" si="172"/>
        <v>0</v>
      </c>
      <c r="BK71" s="38">
        <f t="shared" si="172"/>
        <v>0</v>
      </c>
      <c r="BL71" s="38">
        <f t="shared" si="172"/>
        <v>0</v>
      </c>
      <c r="BM71" s="38">
        <f t="shared" si="172"/>
        <v>0</v>
      </c>
      <c r="BN71" s="38">
        <f t="shared" si="172"/>
        <v>0</v>
      </c>
      <c r="BO71" s="38">
        <f t="shared" si="172"/>
        <v>0</v>
      </c>
      <c r="BP71" s="38">
        <f t="shared" si="172"/>
        <v>0</v>
      </c>
      <c r="BQ71" s="38">
        <f t="shared" si="172"/>
        <v>0</v>
      </c>
    </row>
    <row r="72" spans="2:69">
      <c r="B72" t="str">
        <f t="shared" si="173"/>
        <v>Role 6</v>
      </c>
      <c r="J72" s="83">
        <f t="shared" si="171"/>
        <v>0</v>
      </c>
      <c r="K72" s="83">
        <f t="shared" si="171"/>
        <v>0</v>
      </c>
      <c r="L72" s="83">
        <f t="shared" si="171"/>
        <v>0</v>
      </c>
      <c r="M72" s="83">
        <f t="shared" si="171"/>
        <v>0</v>
      </c>
      <c r="N72" s="83">
        <f t="shared" si="171"/>
        <v>0</v>
      </c>
      <c r="O72" s="83">
        <f t="shared" si="171"/>
        <v>0</v>
      </c>
      <c r="P72" s="83">
        <f t="shared" si="171"/>
        <v>0</v>
      </c>
      <c r="Q72" s="83">
        <f t="shared" si="171"/>
        <v>0</v>
      </c>
      <c r="R72" s="83">
        <f t="shared" si="171"/>
        <v>0</v>
      </c>
      <c r="S72" s="83">
        <f t="shared" si="171"/>
        <v>0</v>
      </c>
      <c r="T72" s="83">
        <f t="shared" si="171"/>
        <v>0</v>
      </c>
      <c r="U72" s="83">
        <f t="shared" si="171"/>
        <v>0</v>
      </c>
      <c r="V72" s="83">
        <f t="shared" si="171"/>
        <v>0</v>
      </c>
      <c r="W72" s="83">
        <f t="shared" si="171"/>
        <v>0</v>
      </c>
      <c r="X72" s="83">
        <f t="shared" si="171"/>
        <v>0</v>
      </c>
      <c r="Y72" s="83">
        <f t="shared" si="171"/>
        <v>0</v>
      </c>
      <c r="Z72" s="83">
        <f t="shared" si="171"/>
        <v>0</v>
      </c>
      <c r="AA72" s="83">
        <f t="shared" si="171"/>
        <v>0</v>
      </c>
      <c r="AB72" s="83">
        <f t="shared" si="171"/>
        <v>0</v>
      </c>
      <c r="AC72" s="83">
        <f t="shared" si="171"/>
        <v>0</v>
      </c>
      <c r="AD72" s="83">
        <f t="shared" si="171"/>
        <v>0</v>
      </c>
      <c r="AE72" s="83">
        <f t="shared" si="171"/>
        <v>0</v>
      </c>
      <c r="AF72" s="83">
        <f t="shared" si="171"/>
        <v>0</v>
      </c>
      <c r="AG72" s="83">
        <f t="shared" si="171"/>
        <v>0</v>
      </c>
      <c r="AH72" s="83">
        <f t="shared" si="171"/>
        <v>0</v>
      </c>
      <c r="AI72" s="83">
        <f t="shared" si="171"/>
        <v>0</v>
      </c>
      <c r="AJ72" s="83">
        <f t="shared" si="171"/>
        <v>0</v>
      </c>
      <c r="AK72" s="83">
        <f t="shared" si="171"/>
        <v>0</v>
      </c>
      <c r="AL72" s="83">
        <f t="shared" si="171"/>
        <v>0</v>
      </c>
      <c r="AM72" s="83">
        <f t="shared" si="171"/>
        <v>0</v>
      </c>
      <c r="AN72" s="83">
        <f t="shared" si="171"/>
        <v>0</v>
      </c>
      <c r="AO72" s="83">
        <f t="shared" si="171"/>
        <v>0</v>
      </c>
      <c r="AP72" s="83">
        <f t="shared" si="171"/>
        <v>0</v>
      </c>
      <c r="AQ72" s="83">
        <f t="shared" si="171"/>
        <v>0</v>
      </c>
      <c r="AR72" s="83">
        <f t="shared" si="171"/>
        <v>0</v>
      </c>
      <c r="AS72" s="83">
        <f t="shared" si="171"/>
        <v>0</v>
      </c>
      <c r="AT72" s="83">
        <f t="shared" si="171"/>
        <v>0</v>
      </c>
      <c r="AU72" s="83">
        <f t="shared" si="171"/>
        <v>0</v>
      </c>
      <c r="AV72" s="83">
        <f t="shared" si="171"/>
        <v>0</v>
      </c>
      <c r="AW72" s="83">
        <f t="shared" si="171"/>
        <v>0</v>
      </c>
      <c r="AX72" s="83">
        <f t="shared" si="171"/>
        <v>0</v>
      </c>
      <c r="AY72" s="83">
        <f t="shared" si="171"/>
        <v>0</v>
      </c>
      <c r="AZ72" s="83">
        <f t="shared" si="171"/>
        <v>0</v>
      </c>
      <c r="BA72" s="83">
        <f t="shared" si="171"/>
        <v>0</v>
      </c>
      <c r="BB72" s="83">
        <f t="shared" si="171"/>
        <v>0</v>
      </c>
      <c r="BC72" s="83">
        <f t="shared" si="171"/>
        <v>0</v>
      </c>
      <c r="BD72" s="83">
        <f t="shared" si="171"/>
        <v>0</v>
      </c>
      <c r="BE72" s="83">
        <f t="shared" si="171"/>
        <v>0</v>
      </c>
      <c r="BF72" s="83">
        <f t="shared" si="172"/>
        <v>0</v>
      </c>
      <c r="BG72" s="83">
        <f t="shared" si="172"/>
        <v>0</v>
      </c>
      <c r="BH72" s="83">
        <f t="shared" si="172"/>
        <v>0</v>
      </c>
      <c r="BI72" s="83">
        <f t="shared" si="172"/>
        <v>0</v>
      </c>
      <c r="BJ72" s="83">
        <f t="shared" si="172"/>
        <v>0</v>
      </c>
      <c r="BK72" s="83">
        <f t="shared" si="172"/>
        <v>0</v>
      </c>
      <c r="BL72" s="83">
        <f t="shared" si="172"/>
        <v>0</v>
      </c>
      <c r="BM72" s="83">
        <f t="shared" si="172"/>
        <v>0</v>
      </c>
      <c r="BN72" s="83">
        <f t="shared" si="172"/>
        <v>0</v>
      </c>
      <c r="BO72" s="83">
        <f t="shared" si="172"/>
        <v>0</v>
      </c>
      <c r="BP72" s="83">
        <f t="shared" si="172"/>
        <v>0</v>
      </c>
      <c r="BQ72" s="83">
        <f t="shared" si="172"/>
        <v>0</v>
      </c>
    </row>
    <row r="73" spans="2:69" s="89" customFormat="1">
      <c r="B73" s="112" t="s">
        <v>312</v>
      </c>
      <c r="J73" s="113">
        <f>SUM(J67:J72)</f>
        <v>0</v>
      </c>
      <c r="K73" s="113">
        <f t="shared" ref="K73" si="174">SUM(K67:K72)</f>
        <v>0</v>
      </c>
      <c r="L73" s="113">
        <f t="shared" ref="L73" si="175">SUM(L67:L72)</f>
        <v>0</v>
      </c>
      <c r="M73" s="113">
        <f t="shared" ref="M73" si="176">SUM(M67:M72)</f>
        <v>0</v>
      </c>
      <c r="N73" s="113">
        <f t="shared" ref="N73" si="177">SUM(N67:N72)</f>
        <v>0</v>
      </c>
      <c r="O73" s="113">
        <f t="shared" ref="O73" si="178">SUM(O67:O72)</f>
        <v>0</v>
      </c>
      <c r="P73" s="113">
        <f t="shared" ref="P73" si="179">SUM(P67:P72)</f>
        <v>0</v>
      </c>
      <c r="Q73" s="113">
        <f t="shared" ref="Q73" si="180">SUM(Q67:Q72)</f>
        <v>0</v>
      </c>
      <c r="R73" s="113">
        <f t="shared" ref="R73" si="181">SUM(R67:R72)</f>
        <v>0</v>
      </c>
      <c r="S73" s="113">
        <f t="shared" ref="S73" si="182">SUM(S67:S72)</f>
        <v>0</v>
      </c>
      <c r="T73" s="113">
        <f t="shared" ref="T73" si="183">SUM(T67:T72)</f>
        <v>0</v>
      </c>
      <c r="U73" s="113">
        <f t="shared" ref="U73" si="184">SUM(U67:U72)</f>
        <v>0</v>
      </c>
      <c r="V73" s="113">
        <f t="shared" ref="V73" si="185">SUM(V67:V72)</f>
        <v>0</v>
      </c>
      <c r="W73" s="113">
        <f t="shared" ref="W73" si="186">SUM(W67:W72)</f>
        <v>12500</v>
      </c>
      <c r="X73" s="113">
        <f t="shared" ref="X73" si="187">SUM(X67:X72)</f>
        <v>37500</v>
      </c>
      <c r="Y73" s="113">
        <f t="shared" ref="Y73" si="188">SUM(Y67:Y72)</f>
        <v>37500</v>
      </c>
      <c r="Z73" s="113">
        <f t="shared" ref="Z73" si="189">SUM(Z67:Z72)</f>
        <v>37500</v>
      </c>
      <c r="AA73" s="113">
        <f t="shared" ref="AA73" si="190">SUM(AA67:AA72)</f>
        <v>37500</v>
      </c>
      <c r="AB73" s="113">
        <f t="shared" ref="AB73" si="191">SUM(AB67:AB72)</f>
        <v>37500</v>
      </c>
      <c r="AC73" s="113">
        <f t="shared" ref="AC73" si="192">SUM(AC67:AC72)</f>
        <v>37500</v>
      </c>
      <c r="AD73" s="113">
        <f t="shared" ref="AD73" si="193">SUM(AD67:AD72)</f>
        <v>37500</v>
      </c>
      <c r="AE73" s="113">
        <f t="shared" ref="AE73" si="194">SUM(AE67:AE72)</f>
        <v>37500</v>
      </c>
      <c r="AF73" s="113">
        <f t="shared" ref="AF73" si="195">SUM(AF67:AF72)</f>
        <v>37500</v>
      </c>
      <c r="AG73" s="113">
        <f t="shared" ref="AG73" si="196">SUM(AG67:AG72)</f>
        <v>37500</v>
      </c>
      <c r="AH73" s="113">
        <f t="shared" ref="AH73" si="197">SUM(AH67:AH72)</f>
        <v>37500</v>
      </c>
      <c r="AI73" s="113">
        <f t="shared" ref="AI73" si="198">SUM(AI67:AI72)</f>
        <v>37500</v>
      </c>
      <c r="AJ73" s="113">
        <f t="shared" ref="AJ73" si="199">SUM(AJ67:AJ72)</f>
        <v>37500</v>
      </c>
      <c r="AK73" s="113">
        <f t="shared" ref="AK73" si="200">SUM(AK67:AK72)</f>
        <v>37500</v>
      </c>
      <c r="AL73" s="113">
        <f t="shared" ref="AL73" si="201">SUM(AL67:AL72)</f>
        <v>37500</v>
      </c>
      <c r="AM73" s="113">
        <f t="shared" ref="AM73" si="202">SUM(AM67:AM72)</f>
        <v>37500</v>
      </c>
      <c r="AN73" s="113">
        <f t="shared" ref="AN73" si="203">SUM(AN67:AN72)</f>
        <v>37500</v>
      </c>
      <c r="AO73" s="113">
        <f t="shared" ref="AO73" si="204">SUM(AO67:AO72)</f>
        <v>37500</v>
      </c>
      <c r="AP73" s="113">
        <f t="shared" ref="AP73" si="205">SUM(AP67:AP72)</f>
        <v>37500</v>
      </c>
      <c r="AQ73" s="113">
        <f t="shared" ref="AQ73" si="206">SUM(AQ67:AQ72)</f>
        <v>37500</v>
      </c>
      <c r="AR73" s="113">
        <f t="shared" ref="AR73" si="207">SUM(AR67:AR72)</f>
        <v>37500</v>
      </c>
      <c r="AS73" s="113">
        <f t="shared" ref="AS73" si="208">SUM(AS67:AS72)</f>
        <v>37500</v>
      </c>
      <c r="AT73" s="113">
        <f t="shared" ref="AT73" si="209">SUM(AT67:AT72)</f>
        <v>37500</v>
      </c>
      <c r="AU73" s="113">
        <f t="shared" ref="AU73" si="210">SUM(AU67:AU72)</f>
        <v>37500</v>
      </c>
      <c r="AV73" s="113">
        <f t="shared" ref="AV73" si="211">SUM(AV67:AV72)</f>
        <v>37500</v>
      </c>
      <c r="AW73" s="113">
        <f t="shared" ref="AW73" si="212">SUM(AW67:AW72)</f>
        <v>37500</v>
      </c>
      <c r="AX73" s="113">
        <f t="shared" ref="AX73" si="213">SUM(AX67:AX72)</f>
        <v>37500</v>
      </c>
      <c r="AY73" s="113">
        <f t="shared" ref="AY73" si="214">SUM(AY67:AY72)</f>
        <v>37500</v>
      </c>
      <c r="AZ73" s="113">
        <f t="shared" ref="AZ73" si="215">SUM(AZ67:AZ72)</f>
        <v>37500</v>
      </c>
      <c r="BA73" s="113">
        <f t="shared" ref="BA73" si="216">SUM(BA67:BA72)</f>
        <v>37500</v>
      </c>
      <c r="BB73" s="113">
        <f t="shared" ref="BB73" si="217">SUM(BB67:BB72)</f>
        <v>37500</v>
      </c>
      <c r="BC73" s="113">
        <f t="shared" ref="BC73" si="218">SUM(BC67:BC72)</f>
        <v>37500</v>
      </c>
      <c r="BD73" s="113">
        <f t="shared" ref="BD73" si="219">SUM(BD67:BD72)</f>
        <v>37500</v>
      </c>
      <c r="BE73" s="113">
        <f t="shared" ref="BE73:BQ73" si="220">SUM(BE67:BE72)</f>
        <v>37500</v>
      </c>
      <c r="BF73" s="113">
        <f t="shared" si="220"/>
        <v>37500</v>
      </c>
      <c r="BG73" s="113">
        <f t="shared" si="220"/>
        <v>37500</v>
      </c>
      <c r="BH73" s="113">
        <f t="shared" si="220"/>
        <v>37500</v>
      </c>
      <c r="BI73" s="113">
        <f t="shared" si="220"/>
        <v>37500</v>
      </c>
      <c r="BJ73" s="113">
        <f t="shared" si="220"/>
        <v>37500</v>
      </c>
      <c r="BK73" s="113">
        <f t="shared" si="220"/>
        <v>37500</v>
      </c>
      <c r="BL73" s="113">
        <f t="shared" si="220"/>
        <v>37500</v>
      </c>
      <c r="BM73" s="113">
        <f t="shared" si="220"/>
        <v>37500</v>
      </c>
      <c r="BN73" s="113">
        <f t="shared" si="220"/>
        <v>37500</v>
      </c>
      <c r="BO73" s="113">
        <f t="shared" si="220"/>
        <v>37500</v>
      </c>
      <c r="BP73" s="113">
        <f t="shared" si="220"/>
        <v>37500</v>
      </c>
      <c r="BQ73" s="113">
        <f t="shared" si="220"/>
        <v>37500</v>
      </c>
    </row>
    <row r="76" spans="2:69">
      <c r="B76" t="s">
        <v>191</v>
      </c>
      <c r="J76" s="38">
        <v>0</v>
      </c>
      <c r="K76" s="38">
        <v>0</v>
      </c>
      <c r="L76" s="38">
        <v>0</v>
      </c>
      <c r="M76" s="38">
        <v>0</v>
      </c>
      <c r="N76" s="38">
        <v>0</v>
      </c>
      <c r="O76" s="38">
        <v>0</v>
      </c>
      <c r="P76" s="38">
        <f>P73*Inputs!P19</f>
        <v>0</v>
      </c>
      <c r="Q76" s="38">
        <f>Q73*Inputs!Q19</f>
        <v>0</v>
      </c>
      <c r="R76" s="38">
        <f>R73*Inputs!R19</f>
        <v>0</v>
      </c>
      <c r="S76" s="38">
        <f>S73*Inputs!S19</f>
        <v>0</v>
      </c>
      <c r="T76" s="38">
        <f>T73*Inputs!T19</f>
        <v>0</v>
      </c>
      <c r="U76" s="38">
        <f>U73*Inputs!U19</f>
        <v>0</v>
      </c>
      <c r="V76" s="38">
        <f>V73*Inputs!V19</f>
        <v>0</v>
      </c>
      <c r="W76" s="38">
        <f>W73*Inputs!W19</f>
        <v>1750.0000000000002</v>
      </c>
      <c r="X76" s="38">
        <f>X73*Inputs!X19</f>
        <v>5250.0000000000009</v>
      </c>
      <c r="Y76" s="38">
        <f>Y73*Inputs!Y19</f>
        <v>5250.0000000000009</v>
      </c>
      <c r="Z76" s="38">
        <f>Z73*Inputs!Z19</f>
        <v>5250.0000000000009</v>
      </c>
      <c r="AA76" s="38">
        <f>AA73*Inputs!AA19</f>
        <v>5250.0000000000009</v>
      </c>
      <c r="AB76" s="38">
        <f>AB73*Inputs!AB19</f>
        <v>5250.0000000000009</v>
      </c>
      <c r="AC76" s="38">
        <f>AC73*Inputs!AC19</f>
        <v>5250.0000000000009</v>
      </c>
      <c r="AD76" s="38">
        <f>AD73*Inputs!AD19</f>
        <v>5250.0000000000009</v>
      </c>
      <c r="AE76" s="38">
        <f>AE73*Inputs!AE19</f>
        <v>5250.0000000000009</v>
      </c>
      <c r="AF76" s="38">
        <f>AF73*Inputs!AF19</f>
        <v>5250.0000000000009</v>
      </c>
      <c r="AG76" s="38">
        <f>AG73*Inputs!AG19</f>
        <v>5250.0000000000009</v>
      </c>
      <c r="AH76" s="38">
        <f>AH73*Inputs!AH19</f>
        <v>5250.0000000000009</v>
      </c>
      <c r="AI76" s="38">
        <f>AI73*Inputs!AI19</f>
        <v>5250.0000000000009</v>
      </c>
      <c r="AJ76" s="38">
        <f>AJ73*Inputs!AJ19</f>
        <v>5250.0000000000009</v>
      </c>
      <c r="AK76" s="38">
        <f>AK73*Inputs!AK19</f>
        <v>5250.0000000000009</v>
      </c>
      <c r="AL76" s="38">
        <f>AL73*Inputs!AL19</f>
        <v>5250.0000000000009</v>
      </c>
      <c r="AM76" s="38">
        <f>AM73*Inputs!AM19</f>
        <v>5250.0000000000009</v>
      </c>
      <c r="AN76" s="38">
        <f>AN73*Inputs!AN19</f>
        <v>5250.0000000000009</v>
      </c>
      <c r="AO76" s="38">
        <f>AO73*Inputs!AO19</f>
        <v>5250.0000000000009</v>
      </c>
      <c r="AP76" s="38">
        <f>AP73*Inputs!AP19</f>
        <v>5250.0000000000009</v>
      </c>
      <c r="AQ76" s="38">
        <f>AQ73*Inputs!AQ19</f>
        <v>5250.0000000000009</v>
      </c>
      <c r="AR76" s="38">
        <f>AR73*Inputs!AR19</f>
        <v>5250.0000000000009</v>
      </c>
      <c r="AS76" s="38">
        <f>AS73*Inputs!AS19</f>
        <v>5250.0000000000009</v>
      </c>
      <c r="AT76" s="38">
        <f>AT73*Inputs!AT19</f>
        <v>5250.0000000000009</v>
      </c>
      <c r="AU76" s="38">
        <f>AU73*Inputs!AU19</f>
        <v>5250.0000000000009</v>
      </c>
      <c r="AV76" s="38">
        <f>AV73*Inputs!AV19</f>
        <v>5250.0000000000009</v>
      </c>
      <c r="AW76" s="38">
        <f>AW73*Inputs!AW19</f>
        <v>5250.0000000000009</v>
      </c>
      <c r="AX76" s="38">
        <f>AX73*Inputs!AX19</f>
        <v>5250.0000000000009</v>
      </c>
      <c r="AY76" s="38">
        <f>AY73*Inputs!AY19</f>
        <v>5250.0000000000009</v>
      </c>
      <c r="AZ76" s="38">
        <f>AZ73*Inputs!AZ19</f>
        <v>5250.0000000000009</v>
      </c>
      <c r="BA76" s="38">
        <f>BA73*Inputs!BA19</f>
        <v>5250.0000000000009</v>
      </c>
      <c r="BB76" s="38">
        <f>BB73*Inputs!BB19</f>
        <v>5250.0000000000009</v>
      </c>
      <c r="BC76" s="38">
        <f>BC73*Inputs!BC19</f>
        <v>5250.0000000000009</v>
      </c>
      <c r="BD76" s="38">
        <f>BD73*Inputs!BD19</f>
        <v>5250.0000000000009</v>
      </c>
      <c r="BE76" s="38">
        <f>BE73*Inputs!BE19</f>
        <v>5250.0000000000009</v>
      </c>
      <c r="BF76" s="38">
        <f>BF73*Inputs!BF19</f>
        <v>5250.0000000000009</v>
      </c>
      <c r="BG76" s="38">
        <f>BG73*Inputs!BG19</f>
        <v>5250.0000000000009</v>
      </c>
      <c r="BH76" s="38">
        <f>BH73*Inputs!BH19</f>
        <v>5250.0000000000009</v>
      </c>
      <c r="BI76" s="38">
        <f>BI73*Inputs!BI19</f>
        <v>5250.0000000000009</v>
      </c>
      <c r="BJ76" s="38">
        <f>BJ73*Inputs!BJ19</f>
        <v>5250.0000000000009</v>
      </c>
      <c r="BK76" s="38">
        <f>BK73*Inputs!BK19</f>
        <v>5250.0000000000009</v>
      </c>
      <c r="BL76" s="38">
        <f>BL73*Inputs!BL19</f>
        <v>5250.0000000000009</v>
      </c>
      <c r="BM76" s="38">
        <f>BM73*Inputs!BM19</f>
        <v>5250.0000000000009</v>
      </c>
      <c r="BN76" s="38">
        <f>BN73*Inputs!BN19</f>
        <v>5250.0000000000009</v>
      </c>
      <c r="BO76" s="38">
        <f>BO73*Inputs!BO19</f>
        <v>5250.0000000000009</v>
      </c>
      <c r="BP76" s="38">
        <f>BP73*Inputs!BP19</f>
        <v>5250.0000000000009</v>
      </c>
      <c r="BQ76" s="38">
        <f>BQ73*Inputs!BQ19</f>
        <v>5250.0000000000009</v>
      </c>
    </row>
    <row r="77" spans="2:69">
      <c r="B77" t="s">
        <v>192</v>
      </c>
      <c r="J77" s="38">
        <v>0</v>
      </c>
      <c r="K77" s="38">
        <v>0</v>
      </c>
      <c r="L77" s="38">
        <v>0</v>
      </c>
      <c r="M77" s="38">
        <v>0</v>
      </c>
      <c r="N77" s="38">
        <v>0</v>
      </c>
      <c r="O77" s="38">
        <v>0</v>
      </c>
      <c r="P77" s="38">
        <f>P73*Inputs!P20</f>
        <v>0</v>
      </c>
      <c r="Q77" s="38">
        <f>Q73*Inputs!Q20</f>
        <v>0</v>
      </c>
      <c r="R77" s="38">
        <f>R73*Inputs!R20</f>
        <v>0</v>
      </c>
      <c r="S77" s="38">
        <f>S73*Inputs!S20</f>
        <v>0</v>
      </c>
      <c r="T77" s="38">
        <f>T73*Inputs!T20</f>
        <v>0</v>
      </c>
      <c r="U77" s="38">
        <f>U73*Inputs!U20</f>
        <v>0</v>
      </c>
      <c r="V77" s="38">
        <f>V73*Inputs!V20</f>
        <v>0</v>
      </c>
      <c r="W77" s="38">
        <f>W73*Inputs!W20</f>
        <v>375</v>
      </c>
      <c r="X77" s="38">
        <f>X73*Inputs!X20</f>
        <v>1125</v>
      </c>
      <c r="Y77" s="38">
        <f>Y73*Inputs!Y20</f>
        <v>1125</v>
      </c>
      <c r="Z77" s="38">
        <f>Z73*Inputs!Z20</f>
        <v>1125</v>
      </c>
      <c r="AA77" s="38">
        <f>AA73*Inputs!AA20</f>
        <v>1125</v>
      </c>
      <c r="AB77" s="38">
        <f>AB73*Inputs!AB20</f>
        <v>1125</v>
      </c>
      <c r="AC77" s="38">
        <f>AC73*Inputs!AC20</f>
        <v>1125</v>
      </c>
      <c r="AD77" s="38">
        <f>AD73*Inputs!AD20</f>
        <v>1125</v>
      </c>
      <c r="AE77" s="38">
        <f>AE73*Inputs!AE20</f>
        <v>1125</v>
      </c>
      <c r="AF77" s="38">
        <f>AF73*Inputs!AF20</f>
        <v>1125</v>
      </c>
      <c r="AG77" s="38">
        <f>AG73*Inputs!AG20</f>
        <v>1125</v>
      </c>
      <c r="AH77" s="38">
        <f>AH73*Inputs!AH20</f>
        <v>1125</v>
      </c>
      <c r="AI77" s="38">
        <f>AI73*Inputs!AI20</f>
        <v>1125</v>
      </c>
      <c r="AJ77" s="38">
        <f>AJ73*Inputs!AJ20</f>
        <v>1125</v>
      </c>
      <c r="AK77" s="38">
        <f>AK73*Inputs!AK20</f>
        <v>1125</v>
      </c>
      <c r="AL77" s="38">
        <f>AL73*Inputs!AL20</f>
        <v>1125</v>
      </c>
      <c r="AM77" s="38">
        <f>AM73*Inputs!AM20</f>
        <v>1125</v>
      </c>
      <c r="AN77" s="38">
        <f>AN73*Inputs!AN20</f>
        <v>1125</v>
      </c>
      <c r="AO77" s="38">
        <f>AO73*Inputs!AO20</f>
        <v>1125</v>
      </c>
      <c r="AP77" s="38">
        <f>AP73*Inputs!AP20</f>
        <v>1125</v>
      </c>
      <c r="AQ77" s="38">
        <f>AQ73*Inputs!AQ20</f>
        <v>1125</v>
      </c>
      <c r="AR77" s="38">
        <f>AR73*Inputs!AR20</f>
        <v>1125</v>
      </c>
      <c r="AS77" s="38">
        <f>AS73*Inputs!AS20</f>
        <v>1125</v>
      </c>
      <c r="AT77" s="38">
        <f>AT73*Inputs!AT20</f>
        <v>1125</v>
      </c>
      <c r="AU77" s="38">
        <f>AU73*Inputs!AU20</f>
        <v>1125</v>
      </c>
      <c r="AV77" s="38">
        <f>AV73*Inputs!AV20</f>
        <v>1125</v>
      </c>
      <c r="AW77" s="38">
        <f>AW73*Inputs!AW20</f>
        <v>1125</v>
      </c>
      <c r="AX77" s="38">
        <f>AX73*Inputs!AX20</f>
        <v>1125</v>
      </c>
      <c r="AY77" s="38">
        <f>AY73*Inputs!AY20</f>
        <v>1125</v>
      </c>
      <c r="AZ77" s="38">
        <f>AZ73*Inputs!AZ20</f>
        <v>1125</v>
      </c>
      <c r="BA77" s="38">
        <f>BA73*Inputs!BA20</f>
        <v>1125</v>
      </c>
      <c r="BB77" s="38">
        <f>BB73*Inputs!BB20</f>
        <v>1125</v>
      </c>
      <c r="BC77" s="38">
        <f>BC73*Inputs!BC20</f>
        <v>1125</v>
      </c>
      <c r="BD77" s="38">
        <f>BD73*Inputs!BD20</f>
        <v>1125</v>
      </c>
      <c r="BE77" s="38">
        <f>BE73*Inputs!BE20</f>
        <v>1125</v>
      </c>
      <c r="BF77" s="38">
        <f>BF73*Inputs!BF20</f>
        <v>1125</v>
      </c>
      <c r="BG77" s="38">
        <f>BG73*Inputs!BG20</f>
        <v>1125</v>
      </c>
      <c r="BH77" s="38">
        <f>BH73*Inputs!BH20</f>
        <v>1125</v>
      </c>
      <c r="BI77" s="38">
        <f>BI73*Inputs!BI20</f>
        <v>1125</v>
      </c>
      <c r="BJ77" s="38">
        <f>BJ73*Inputs!BJ20</f>
        <v>1125</v>
      </c>
      <c r="BK77" s="38">
        <f>BK73*Inputs!BK20</f>
        <v>1125</v>
      </c>
      <c r="BL77" s="38">
        <f>BL73*Inputs!BL20</f>
        <v>1125</v>
      </c>
      <c r="BM77" s="38">
        <f>BM73*Inputs!BM20</f>
        <v>1125</v>
      </c>
      <c r="BN77" s="38">
        <f>BN73*Inputs!BN20</f>
        <v>1125</v>
      </c>
      <c r="BO77" s="38">
        <f>BO73*Inputs!BO20</f>
        <v>1125</v>
      </c>
      <c r="BP77" s="38">
        <f>BP73*Inputs!BP20</f>
        <v>1125</v>
      </c>
      <c r="BQ77" s="38">
        <f>BQ73*Inputs!BQ20</f>
        <v>1125</v>
      </c>
    </row>
    <row r="78" spans="2:69">
      <c r="B78" t="s">
        <v>193</v>
      </c>
      <c r="J78" s="38">
        <v>0</v>
      </c>
      <c r="K78" s="38">
        <v>0</v>
      </c>
      <c r="L78" s="38">
        <v>0</v>
      </c>
      <c r="M78" s="38">
        <v>0</v>
      </c>
      <c r="N78" s="38">
        <v>0</v>
      </c>
      <c r="O78" s="38">
        <v>0</v>
      </c>
      <c r="P78" s="38">
        <f>P73*Inputs!P17</f>
        <v>0</v>
      </c>
      <c r="Q78" s="38">
        <f>Q73*Inputs!Q17</f>
        <v>0</v>
      </c>
      <c r="R78" s="38">
        <f>R73*Inputs!R17</f>
        <v>0</v>
      </c>
      <c r="S78" s="38">
        <f>S73*Inputs!S17</f>
        <v>0</v>
      </c>
      <c r="T78" s="38">
        <f>T73*Inputs!T17</f>
        <v>0</v>
      </c>
      <c r="U78" s="38">
        <f>U73*Inputs!U17</f>
        <v>0</v>
      </c>
      <c r="V78" s="38">
        <f>V73*Inputs!V17</f>
        <v>0</v>
      </c>
      <c r="W78" s="38">
        <f>W73*Inputs!W17</f>
        <v>4375</v>
      </c>
      <c r="X78" s="38">
        <f>X73*Inputs!X17</f>
        <v>13125</v>
      </c>
      <c r="Y78" s="38">
        <f>Y73*Inputs!Y17</f>
        <v>13125</v>
      </c>
      <c r="Z78" s="38">
        <f>Z73*Inputs!Z17</f>
        <v>13125</v>
      </c>
      <c r="AA78" s="38">
        <f>AA73*Inputs!AA17</f>
        <v>13125</v>
      </c>
      <c r="AB78" s="38">
        <f>AB73*Inputs!AB17</f>
        <v>13125</v>
      </c>
      <c r="AC78" s="38">
        <f>AC73*Inputs!AC17</f>
        <v>13125</v>
      </c>
      <c r="AD78" s="38">
        <f>AD73*Inputs!AD17</f>
        <v>13125</v>
      </c>
      <c r="AE78" s="38">
        <f>AE73*Inputs!AE17</f>
        <v>13125</v>
      </c>
      <c r="AF78" s="38">
        <f>AF73*Inputs!AF17</f>
        <v>13125</v>
      </c>
      <c r="AG78" s="38">
        <f>AG73*Inputs!AG17</f>
        <v>13125</v>
      </c>
      <c r="AH78" s="38">
        <f>AH73*Inputs!AH17</f>
        <v>13125</v>
      </c>
      <c r="AI78" s="38">
        <f>AI73*Inputs!AI17</f>
        <v>13125</v>
      </c>
      <c r="AJ78" s="38">
        <f>AJ73*Inputs!AJ17</f>
        <v>13125</v>
      </c>
      <c r="AK78" s="38">
        <f>AK73*Inputs!AK17</f>
        <v>13125</v>
      </c>
      <c r="AL78" s="38">
        <f>AL73*Inputs!AL17</f>
        <v>13125</v>
      </c>
      <c r="AM78" s="38">
        <f>AM73*Inputs!AM17</f>
        <v>13125</v>
      </c>
      <c r="AN78" s="38">
        <f>AN73*Inputs!AN17</f>
        <v>13125</v>
      </c>
      <c r="AO78" s="38">
        <f>AO73*Inputs!AO17</f>
        <v>13125</v>
      </c>
      <c r="AP78" s="38">
        <f>AP73*Inputs!AP17</f>
        <v>13125</v>
      </c>
      <c r="AQ78" s="38">
        <f>AQ73*Inputs!AQ17</f>
        <v>13125</v>
      </c>
      <c r="AR78" s="38">
        <f>AR73*Inputs!AR17</f>
        <v>13125</v>
      </c>
      <c r="AS78" s="38">
        <f>AS73*Inputs!AS17</f>
        <v>13125</v>
      </c>
      <c r="AT78" s="38">
        <f>AT73*Inputs!AT17</f>
        <v>13125</v>
      </c>
      <c r="AU78" s="38">
        <f>AU73*Inputs!AU17</f>
        <v>13125</v>
      </c>
      <c r="AV78" s="38">
        <f>AV73*Inputs!AV17</f>
        <v>13125</v>
      </c>
      <c r="AW78" s="38">
        <f>AW73*Inputs!AW17</f>
        <v>13125</v>
      </c>
      <c r="AX78" s="38">
        <f>AX73*Inputs!AX17</f>
        <v>13125</v>
      </c>
      <c r="AY78" s="38">
        <f>AY73*Inputs!AY17</f>
        <v>13125</v>
      </c>
      <c r="AZ78" s="38">
        <f>AZ73*Inputs!AZ17</f>
        <v>13125</v>
      </c>
      <c r="BA78" s="38">
        <f>BA73*Inputs!BA17</f>
        <v>13125</v>
      </c>
      <c r="BB78" s="38">
        <f>BB73*Inputs!BB17</f>
        <v>13125</v>
      </c>
      <c r="BC78" s="38">
        <f>BC73*Inputs!BC17</f>
        <v>13125</v>
      </c>
      <c r="BD78" s="38">
        <f>BD73*Inputs!BD17</f>
        <v>13125</v>
      </c>
      <c r="BE78" s="38">
        <f>BE73*Inputs!BE17</f>
        <v>13125</v>
      </c>
      <c r="BF78" s="38">
        <f>BF73*Inputs!BF17</f>
        <v>13125</v>
      </c>
      <c r="BG78" s="38">
        <f>BG73*Inputs!BG17</f>
        <v>13125</v>
      </c>
      <c r="BH78" s="38">
        <f>BH73*Inputs!BH17</f>
        <v>13125</v>
      </c>
      <c r="BI78" s="38">
        <f>BI73*Inputs!BI17</f>
        <v>13125</v>
      </c>
      <c r="BJ78" s="38">
        <f>BJ73*Inputs!BJ17</f>
        <v>13125</v>
      </c>
      <c r="BK78" s="38">
        <f>BK73*Inputs!BK17</f>
        <v>13125</v>
      </c>
      <c r="BL78" s="38">
        <f>BL73*Inputs!BL17</f>
        <v>13125</v>
      </c>
      <c r="BM78" s="38">
        <f>BM73*Inputs!BM17</f>
        <v>13125</v>
      </c>
      <c r="BN78" s="38">
        <f>BN73*Inputs!BN17</f>
        <v>13125</v>
      </c>
      <c r="BO78" s="38">
        <f>BO73*Inputs!BO17</f>
        <v>13125</v>
      </c>
      <c r="BP78" s="38">
        <f>BP73*Inputs!BP17</f>
        <v>13125</v>
      </c>
      <c r="BQ78" s="38">
        <f>BQ73*Inputs!BQ17</f>
        <v>13125</v>
      </c>
    </row>
    <row r="79" spans="2:69">
      <c r="B79" t="s">
        <v>194</v>
      </c>
      <c r="J79" s="83">
        <v>0</v>
      </c>
      <c r="K79" s="83">
        <v>0</v>
      </c>
      <c r="L79" s="83">
        <v>0</v>
      </c>
      <c r="M79" s="83">
        <v>0</v>
      </c>
      <c r="N79" s="83">
        <v>0</v>
      </c>
      <c r="O79" s="83">
        <v>0</v>
      </c>
      <c r="P79" s="83">
        <f>P73*Inputs!P18</f>
        <v>0</v>
      </c>
      <c r="Q79" s="83">
        <f>Q73*Inputs!Q18</f>
        <v>0</v>
      </c>
      <c r="R79" s="83">
        <f>R73*Inputs!R18</f>
        <v>0</v>
      </c>
      <c r="S79" s="83">
        <f>S73*Inputs!S18</f>
        <v>0</v>
      </c>
      <c r="T79" s="83">
        <f>T73*Inputs!T18</f>
        <v>0</v>
      </c>
      <c r="U79" s="83">
        <f>U73*Inputs!U18</f>
        <v>0</v>
      </c>
      <c r="V79" s="83">
        <f>V73*Inputs!V18</f>
        <v>0</v>
      </c>
      <c r="W79" s="83">
        <f>W73*Inputs!W18</f>
        <v>625</v>
      </c>
      <c r="X79" s="83">
        <f>X73*Inputs!X18</f>
        <v>1875</v>
      </c>
      <c r="Y79" s="83">
        <f>Y73*Inputs!Y18</f>
        <v>1875</v>
      </c>
      <c r="Z79" s="83">
        <f>Z73*Inputs!Z18</f>
        <v>1875</v>
      </c>
      <c r="AA79" s="83">
        <f>AA73*Inputs!AA18</f>
        <v>1875</v>
      </c>
      <c r="AB79" s="83">
        <f>AB73*Inputs!AB18</f>
        <v>1875</v>
      </c>
      <c r="AC79" s="83">
        <f>AC73*Inputs!AC18</f>
        <v>1875</v>
      </c>
      <c r="AD79" s="83">
        <f>AD73*Inputs!AD18</f>
        <v>1875</v>
      </c>
      <c r="AE79" s="83">
        <f>AE73*Inputs!AE18</f>
        <v>1875</v>
      </c>
      <c r="AF79" s="83">
        <f>AF73*Inputs!AF18</f>
        <v>1875</v>
      </c>
      <c r="AG79" s="83">
        <f>AG73*Inputs!AG18</f>
        <v>1875</v>
      </c>
      <c r="AH79" s="83">
        <f>AH73*Inputs!AH18</f>
        <v>1875</v>
      </c>
      <c r="AI79" s="83">
        <f>AI73*Inputs!AI18</f>
        <v>1875</v>
      </c>
      <c r="AJ79" s="83">
        <f>AJ73*Inputs!AJ18</f>
        <v>1875</v>
      </c>
      <c r="AK79" s="83">
        <f>AK73*Inputs!AK18</f>
        <v>1875</v>
      </c>
      <c r="AL79" s="83">
        <f>AL73*Inputs!AL18</f>
        <v>1875</v>
      </c>
      <c r="AM79" s="83">
        <f>AM73*Inputs!AM18</f>
        <v>1875</v>
      </c>
      <c r="AN79" s="83">
        <f>AN73*Inputs!AN18</f>
        <v>1875</v>
      </c>
      <c r="AO79" s="83">
        <f>AO73*Inputs!AO18</f>
        <v>1875</v>
      </c>
      <c r="AP79" s="83">
        <f>AP73*Inputs!AP18</f>
        <v>1875</v>
      </c>
      <c r="AQ79" s="83">
        <f>AQ73*Inputs!AQ18</f>
        <v>1875</v>
      </c>
      <c r="AR79" s="83">
        <f>AR73*Inputs!AR18</f>
        <v>1875</v>
      </c>
      <c r="AS79" s="83">
        <f>AS73*Inputs!AS18</f>
        <v>1875</v>
      </c>
      <c r="AT79" s="83">
        <f>AT73*Inputs!AT18</f>
        <v>1875</v>
      </c>
      <c r="AU79" s="83">
        <f>AU73*Inputs!AU18</f>
        <v>1875</v>
      </c>
      <c r="AV79" s="83">
        <f>AV73*Inputs!AV18</f>
        <v>1875</v>
      </c>
      <c r="AW79" s="83">
        <f>AW73*Inputs!AW18</f>
        <v>1875</v>
      </c>
      <c r="AX79" s="83">
        <f>AX73*Inputs!AX18</f>
        <v>1875</v>
      </c>
      <c r="AY79" s="83">
        <f>AY73*Inputs!AY18</f>
        <v>1875</v>
      </c>
      <c r="AZ79" s="83">
        <f>AZ73*Inputs!AZ18</f>
        <v>1875</v>
      </c>
      <c r="BA79" s="83">
        <f>BA73*Inputs!BA18</f>
        <v>1875</v>
      </c>
      <c r="BB79" s="83">
        <f>BB73*Inputs!BB18</f>
        <v>1875</v>
      </c>
      <c r="BC79" s="83">
        <f>BC73*Inputs!BC18</f>
        <v>1875</v>
      </c>
      <c r="BD79" s="83">
        <f>BD73*Inputs!BD18</f>
        <v>1875</v>
      </c>
      <c r="BE79" s="83">
        <f>BE73*Inputs!BE18</f>
        <v>1875</v>
      </c>
      <c r="BF79" s="83">
        <f>BF73*Inputs!BF18</f>
        <v>1875</v>
      </c>
      <c r="BG79" s="83">
        <f>BG73*Inputs!BG18</f>
        <v>1875</v>
      </c>
      <c r="BH79" s="83">
        <f>BH73*Inputs!BH18</f>
        <v>1875</v>
      </c>
      <c r="BI79" s="83">
        <f>BI73*Inputs!BI18</f>
        <v>1875</v>
      </c>
      <c r="BJ79" s="83">
        <f>BJ73*Inputs!BJ18</f>
        <v>1875</v>
      </c>
      <c r="BK79" s="83">
        <f>BK73*Inputs!BK18</f>
        <v>1875</v>
      </c>
      <c r="BL79" s="83">
        <f>BL73*Inputs!BL18</f>
        <v>1875</v>
      </c>
      <c r="BM79" s="83">
        <f>BM73*Inputs!BM18</f>
        <v>1875</v>
      </c>
      <c r="BN79" s="83">
        <f>BN73*Inputs!BN18</f>
        <v>1875</v>
      </c>
      <c r="BO79" s="83">
        <f>BO73*Inputs!BO18</f>
        <v>1875</v>
      </c>
      <c r="BP79" s="83">
        <f>BP73*Inputs!BP18</f>
        <v>1875</v>
      </c>
      <c r="BQ79" s="83">
        <f>BQ73*Inputs!BQ18</f>
        <v>1875</v>
      </c>
    </row>
    <row r="80" spans="2:69" s="89" customFormat="1">
      <c r="B80" s="112" t="s">
        <v>6</v>
      </c>
      <c r="J80" s="114">
        <f>SUM(J76:J79)</f>
        <v>0</v>
      </c>
      <c r="K80" s="114">
        <f t="shared" ref="K80:BE80" si="221">SUM(K76:K79)</f>
        <v>0</v>
      </c>
      <c r="L80" s="114">
        <f t="shared" si="221"/>
        <v>0</v>
      </c>
      <c r="M80" s="114">
        <f t="shared" si="221"/>
        <v>0</v>
      </c>
      <c r="N80" s="114">
        <f t="shared" si="221"/>
        <v>0</v>
      </c>
      <c r="O80" s="114">
        <f t="shared" si="221"/>
        <v>0</v>
      </c>
      <c r="P80" s="114">
        <f t="shared" si="221"/>
        <v>0</v>
      </c>
      <c r="Q80" s="114">
        <f t="shared" si="221"/>
        <v>0</v>
      </c>
      <c r="R80" s="114">
        <f t="shared" si="221"/>
        <v>0</v>
      </c>
      <c r="S80" s="114">
        <f t="shared" si="221"/>
        <v>0</v>
      </c>
      <c r="T80" s="114">
        <f t="shared" si="221"/>
        <v>0</v>
      </c>
      <c r="U80" s="114">
        <f t="shared" si="221"/>
        <v>0</v>
      </c>
      <c r="V80" s="114">
        <f t="shared" si="221"/>
        <v>0</v>
      </c>
      <c r="W80" s="114">
        <f t="shared" si="221"/>
        <v>7125</v>
      </c>
      <c r="X80" s="114">
        <f t="shared" si="221"/>
        <v>21375</v>
      </c>
      <c r="Y80" s="114">
        <f t="shared" si="221"/>
        <v>21375</v>
      </c>
      <c r="Z80" s="114">
        <f t="shared" si="221"/>
        <v>21375</v>
      </c>
      <c r="AA80" s="114">
        <f t="shared" si="221"/>
        <v>21375</v>
      </c>
      <c r="AB80" s="114">
        <f t="shared" si="221"/>
        <v>21375</v>
      </c>
      <c r="AC80" s="114">
        <f t="shared" si="221"/>
        <v>21375</v>
      </c>
      <c r="AD80" s="114">
        <f t="shared" si="221"/>
        <v>21375</v>
      </c>
      <c r="AE80" s="114">
        <f t="shared" si="221"/>
        <v>21375</v>
      </c>
      <c r="AF80" s="114">
        <f t="shared" si="221"/>
        <v>21375</v>
      </c>
      <c r="AG80" s="114">
        <f t="shared" si="221"/>
        <v>21375</v>
      </c>
      <c r="AH80" s="114">
        <f t="shared" si="221"/>
        <v>21375</v>
      </c>
      <c r="AI80" s="114">
        <f t="shared" si="221"/>
        <v>21375</v>
      </c>
      <c r="AJ80" s="114">
        <f t="shared" si="221"/>
        <v>21375</v>
      </c>
      <c r="AK80" s="114">
        <f t="shared" si="221"/>
        <v>21375</v>
      </c>
      <c r="AL80" s="114">
        <f t="shared" si="221"/>
        <v>21375</v>
      </c>
      <c r="AM80" s="114">
        <f t="shared" si="221"/>
        <v>21375</v>
      </c>
      <c r="AN80" s="114">
        <f t="shared" si="221"/>
        <v>21375</v>
      </c>
      <c r="AO80" s="114">
        <f t="shared" si="221"/>
        <v>21375</v>
      </c>
      <c r="AP80" s="114">
        <f t="shared" si="221"/>
        <v>21375</v>
      </c>
      <c r="AQ80" s="114">
        <f t="shared" si="221"/>
        <v>21375</v>
      </c>
      <c r="AR80" s="114">
        <f t="shared" si="221"/>
        <v>21375</v>
      </c>
      <c r="AS80" s="114">
        <f t="shared" si="221"/>
        <v>21375</v>
      </c>
      <c r="AT80" s="114">
        <f t="shared" si="221"/>
        <v>21375</v>
      </c>
      <c r="AU80" s="114">
        <f t="shared" si="221"/>
        <v>21375</v>
      </c>
      <c r="AV80" s="114">
        <f t="shared" si="221"/>
        <v>21375</v>
      </c>
      <c r="AW80" s="114">
        <f t="shared" si="221"/>
        <v>21375</v>
      </c>
      <c r="AX80" s="114">
        <f t="shared" si="221"/>
        <v>21375</v>
      </c>
      <c r="AY80" s="114">
        <f t="shared" si="221"/>
        <v>21375</v>
      </c>
      <c r="AZ80" s="114">
        <f t="shared" si="221"/>
        <v>21375</v>
      </c>
      <c r="BA80" s="114">
        <f t="shared" si="221"/>
        <v>21375</v>
      </c>
      <c r="BB80" s="114">
        <f t="shared" si="221"/>
        <v>21375</v>
      </c>
      <c r="BC80" s="114">
        <f t="shared" si="221"/>
        <v>21375</v>
      </c>
      <c r="BD80" s="114">
        <f t="shared" si="221"/>
        <v>21375</v>
      </c>
      <c r="BE80" s="114">
        <f t="shared" si="221"/>
        <v>21375</v>
      </c>
      <c r="BF80" s="114">
        <f t="shared" ref="BF80:BQ80" si="222">SUM(BF76:BF79)</f>
        <v>21375</v>
      </c>
      <c r="BG80" s="114">
        <f t="shared" si="222"/>
        <v>21375</v>
      </c>
      <c r="BH80" s="114">
        <f t="shared" si="222"/>
        <v>21375</v>
      </c>
      <c r="BI80" s="114">
        <f t="shared" si="222"/>
        <v>21375</v>
      </c>
      <c r="BJ80" s="114">
        <f t="shared" si="222"/>
        <v>21375</v>
      </c>
      <c r="BK80" s="114">
        <f t="shared" si="222"/>
        <v>21375</v>
      </c>
      <c r="BL80" s="114">
        <f t="shared" si="222"/>
        <v>21375</v>
      </c>
      <c r="BM80" s="114">
        <f t="shared" si="222"/>
        <v>21375</v>
      </c>
      <c r="BN80" s="114">
        <f t="shared" si="222"/>
        <v>21375</v>
      </c>
      <c r="BO80" s="114">
        <f t="shared" si="222"/>
        <v>21375</v>
      </c>
      <c r="BP80" s="114">
        <f t="shared" si="222"/>
        <v>21375</v>
      </c>
      <c r="BQ80" s="114">
        <f t="shared" si="222"/>
        <v>21375</v>
      </c>
    </row>
    <row r="84" spans="2:69">
      <c r="B84" t="s">
        <v>197</v>
      </c>
    </row>
    <row r="85" spans="2:69">
      <c r="B85" t="s">
        <v>104</v>
      </c>
      <c r="J85" s="48">
        <f>J28</f>
        <v>0</v>
      </c>
      <c r="K85" s="48">
        <f t="shared" ref="K85:BE85" si="223">K28</f>
        <v>0</v>
      </c>
      <c r="L85" s="48">
        <f t="shared" si="223"/>
        <v>0</v>
      </c>
      <c r="M85" s="48">
        <f t="shared" si="223"/>
        <v>0</v>
      </c>
      <c r="N85" s="48">
        <f t="shared" si="223"/>
        <v>0</v>
      </c>
      <c r="O85" s="48">
        <f t="shared" si="223"/>
        <v>0</v>
      </c>
      <c r="P85" s="48">
        <f t="shared" si="223"/>
        <v>0</v>
      </c>
      <c r="Q85" s="48">
        <f t="shared" si="223"/>
        <v>0</v>
      </c>
      <c r="R85" s="48">
        <f t="shared" si="223"/>
        <v>0</v>
      </c>
      <c r="S85" s="48">
        <f t="shared" si="223"/>
        <v>1574.9999999999998</v>
      </c>
      <c r="T85" s="48">
        <f t="shared" si="223"/>
        <v>4949.9999999999991</v>
      </c>
      <c r="U85" s="48">
        <f t="shared" si="223"/>
        <v>4949.9999999999991</v>
      </c>
      <c r="V85" s="48">
        <f t="shared" si="223"/>
        <v>4949.9999999999991</v>
      </c>
      <c r="W85" s="48">
        <f t="shared" si="223"/>
        <v>11700.000000000002</v>
      </c>
      <c r="X85" s="48">
        <f t="shared" si="223"/>
        <v>11700.000000000002</v>
      </c>
      <c r="Y85" s="48">
        <f t="shared" si="223"/>
        <v>11700.000000000002</v>
      </c>
      <c r="Z85" s="48">
        <f t="shared" si="223"/>
        <v>11700.000000000002</v>
      </c>
      <c r="AA85" s="48">
        <f t="shared" si="223"/>
        <v>11700.000000000002</v>
      </c>
      <c r="AB85" s="48">
        <f t="shared" si="223"/>
        <v>11700.000000000002</v>
      </c>
      <c r="AC85" s="48">
        <f t="shared" si="223"/>
        <v>11700.000000000002</v>
      </c>
      <c r="AD85" s="48">
        <f t="shared" si="223"/>
        <v>11700.000000000002</v>
      </c>
      <c r="AE85" s="48">
        <f t="shared" si="223"/>
        <v>11700.000000000002</v>
      </c>
      <c r="AF85" s="48">
        <f t="shared" si="223"/>
        <v>11700.000000000002</v>
      </c>
      <c r="AG85" s="48">
        <f t="shared" si="223"/>
        <v>11700.000000000002</v>
      </c>
      <c r="AH85" s="48">
        <f t="shared" si="223"/>
        <v>13500</v>
      </c>
      <c r="AI85" s="48">
        <f t="shared" si="223"/>
        <v>13500</v>
      </c>
      <c r="AJ85" s="48">
        <f t="shared" si="223"/>
        <v>13500</v>
      </c>
      <c r="AK85" s="48">
        <f t="shared" si="223"/>
        <v>13500</v>
      </c>
      <c r="AL85" s="48">
        <f t="shared" si="223"/>
        <v>13500</v>
      </c>
      <c r="AM85" s="48">
        <f t="shared" si="223"/>
        <v>13500</v>
      </c>
      <c r="AN85" s="48">
        <f t="shared" si="223"/>
        <v>13500</v>
      </c>
      <c r="AO85" s="48">
        <f t="shared" si="223"/>
        <v>13500</v>
      </c>
      <c r="AP85" s="48">
        <f t="shared" si="223"/>
        <v>13500</v>
      </c>
      <c r="AQ85" s="48">
        <f t="shared" si="223"/>
        <v>13500</v>
      </c>
      <c r="AR85" s="48">
        <f t="shared" si="223"/>
        <v>13500</v>
      </c>
      <c r="AS85" s="48">
        <f t="shared" si="223"/>
        <v>15300</v>
      </c>
      <c r="AT85" s="48">
        <f t="shared" si="223"/>
        <v>17325</v>
      </c>
      <c r="AU85" s="48">
        <f t="shared" si="223"/>
        <v>17325</v>
      </c>
      <c r="AV85" s="48">
        <f t="shared" si="223"/>
        <v>17325</v>
      </c>
      <c r="AW85" s="48">
        <f t="shared" si="223"/>
        <v>17325</v>
      </c>
      <c r="AX85" s="48">
        <f t="shared" si="223"/>
        <v>17325</v>
      </c>
      <c r="AY85" s="48">
        <f t="shared" si="223"/>
        <v>17325</v>
      </c>
      <c r="AZ85" s="48">
        <f t="shared" si="223"/>
        <v>17325</v>
      </c>
      <c r="BA85" s="48">
        <f t="shared" si="223"/>
        <v>17325</v>
      </c>
      <c r="BB85" s="48">
        <f t="shared" si="223"/>
        <v>17325</v>
      </c>
      <c r="BC85" s="48">
        <f t="shared" si="223"/>
        <v>17325</v>
      </c>
      <c r="BD85" s="48">
        <f t="shared" si="223"/>
        <v>17325</v>
      </c>
      <c r="BE85" s="48">
        <f t="shared" si="223"/>
        <v>17325</v>
      </c>
      <c r="BF85" s="48">
        <f t="shared" ref="BF85:BQ85" si="224">BF28</f>
        <v>19350</v>
      </c>
      <c r="BG85" s="48">
        <f t="shared" si="224"/>
        <v>19350</v>
      </c>
      <c r="BH85" s="48">
        <f t="shared" si="224"/>
        <v>19350</v>
      </c>
      <c r="BI85" s="48">
        <f t="shared" si="224"/>
        <v>19350</v>
      </c>
      <c r="BJ85" s="48">
        <f t="shared" si="224"/>
        <v>19350</v>
      </c>
      <c r="BK85" s="48">
        <f t="shared" si="224"/>
        <v>19350</v>
      </c>
      <c r="BL85" s="48">
        <f t="shared" si="224"/>
        <v>19350</v>
      </c>
      <c r="BM85" s="48">
        <f t="shared" si="224"/>
        <v>19350</v>
      </c>
      <c r="BN85" s="48">
        <f t="shared" si="224"/>
        <v>19350</v>
      </c>
      <c r="BO85" s="48">
        <f t="shared" si="224"/>
        <v>19350</v>
      </c>
      <c r="BP85" s="48">
        <f t="shared" si="224"/>
        <v>19350</v>
      </c>
      <c r="BQ85" s="48">
        <f t="shared" si="224"/>
        <v>19350</v>
      </c>
    </row>
    <row r="86" spans="2:69">
      <c r="B86" t="s">
        <v>184</v>
      </c>
      <c r="J86" s="48">
        <f>J54</f>
        <v>0</v>
      </c>
      <c r="K86" s="48">
        <f t="shared" ref="K86:BE86" si="225">K54</f>
        <v>0</v>
      </c>
      <c r="L86" s="48">
        <f t="shared" si="225"/>
        <v>0</v>
      </c>
      <c r="M86" s="48">
        <f t="shared" si="225"/>
        <v>0</v>
      </c>
      <c r="N86" s="48">
        <f t="shared" si="225"/>
        <v>0</v>
      </c>
      <c r="O86" s="48">
        <f t="shared" si="225"/>
        <v>0</v>
      </c>
      <c r="P86" s="48">
        <f t="shared" si="225"/>
        <v>0</v>
      </c>
      <c r="Q86" s="48">
        <f t="shared" si="225"/>
        <v>0</v>
      </c>
      <c r="R86" s="48">
        <f t="shared" si="225"/>
        <v>0</v>
      </c>
      <c r="S86" s="48">
        <f t="shared" si="225"/>
        <v>2250</v>
      </c>
      <c r="T86" s="48">
        <f t="shared" si="225"/>
        <v>2250</v>
      </c>
      <c r="U86" s="48">
        <f t="shared" si="225"/>
        <v>2250</v>
      </c>
      <c r="V86" s="48">
        <f t="shared" si="225"/>
        <v>2250</v>
      </c>
      <c r="W86" s="48">
        <f t="shared" si="225"/>
        <v>4275</v>
      </c>
      <c r="X86" s="48">
        <f t="shared" si="225"/>
        <v>4275</v>
      </c>
      <c r="Y86" s="48">
        <f t="shared" si="225"/>
        <v>4275</v>
      </c>
      <c r="Z86" s="48">
        <f t="shared" si="225"/>
        <v>4275</v>
      </c>
      <c r="AA86" s="48">
        <f t="shared" si="225"/>
        <v>4275</v>
      </c>
      <c r="AB86" s="48">
        <f t="shared" si="225"/>
        <v>4275</v>
      </c>
      <c r="AC86" s="48">
        <f t="shared" si="225"/>
        <v>4275</v>
      </c>
      <c r="AD86" s="48">
        <f t="shared" si="225"/>
        <v>4275</v>
      </c>
      <c r="AE86" s="48">
        <f t="shared" si="225"/>
        <v>4275</v>
      </c>
      <c r="AF86" s="48">
        <f t="shared" si="225"/>
        <v>4275</v>
      </c>
      <c r="AG86" s="48">
        <f t="shared" si="225"/>
        <v>4275</v>
      </c>
      <c r="AH86" s="48">
        <f t="shared" si="225"/>
        <v>5625</v>
      </c>
      <c r="AI86" s="48">
        <f t="shared" si="225"/>
        <v>5625</v>
      </c>
      <c r="AJ86" s="48">
        <f t="shared" si="225"/>
        <v>5625</v>
      </c>
      <c r="AK86" s="48">
        <f t="shared" si="225"/>
        <v>5625</v>
      </c>
      <c r="AL86" s="48">
        <f t="shared" si="225"/>
        <v>5625</v>
      </c>
      <c r="AM86" s="48">
        <f t="shared" si="225"/>
        <v>5625</v>
      </c>
      <c r="AN86" s="48">
        <f t="shared" si="225"/>
        <v>5625</v>
      </c>
      <c r="AO86" s="48">
        <f t="shared" si="225"/>
        <v>5625</v>
      </c>
      <c r="AP86" s="48">
        <f t="shared" si="225"/>
        <v>5625</v>
      </c>
      <c r="AQ86" s="48">
        <f t="shared" si="225"/>
        <v>5625</v>
      </c>
      <c r="AR86" s="48">
        <f t="shared" si="225"/>
        <v>5625</v>
      </c>
      <c r="AS86" s="48">
        <f t="shared" si="225"/>
        <v>5625</v>
      </c>
      <c r="AT86" s="48">
        <f t="shared" si="225"/>
        <v>7200.0000000000009</v>
      </c>
      <c r="AU86" s="48">
        <f t="shared" si="225"/>
        <v>7200.0000000000009</v>
      </c>
      <c r="AV86" s="48">
        <f t="shared" si="225"/>
        <v>7200.0000000000009</v>
      </c>
      <c r="AW86" s="48">
        <f t="shared" si="225"/>
        <v>7200.0000000000009</v>
      </c>
      <c r="AX86" s="48">
        <f t="shared" si="225"/>
        <v>7200.0000000000009</v>
      </c>
      <c r="AY86" s="48">
        <f t="shared" si="225"/>
        <v>7200.0000000000009</v>
      </c>
      <c r="AZ86" s="48">
        <f t="shared" si="225"/>
        <v>7200.0000000000009</v>
      </c>
      <c r="BA86" s="48">
        <f t="shared" si="225"/>
        <v>7200.0000000000009</v>
      </c>
      <c r="BB86" s="48">
        <f t="shared" si="225"/>
        <v>7200.0000000000009</v>
      </c>
      <c r="BC86" s="48">
        <f t="shared" si="225"/>
        <v>7200.0000000000009</v>
      </c>
      <c r="BD86" s="48">
        <f t="shared" si="225"/>
        <v>7200.0000000000009</v>
      </c>
      <c r="BE86" s="48">
        <f t="shared" si="225"/>
        <v>7200.0000000000009</v>
      </c>
      <c r="BF86" s="48">
        <f t="shared" ref="BF86:BQ86" si="226">BF54</f>
        <v>8775</v>
      </c>
      <c r="BG86" s="48">
        <f t="shared" si="226"/>
        <v>8775</v>
      </c>
      <c r="BH86" s="48">
        <f t="shared" si="226"/>
        <v>8775</v>
      </c>
      <c r="BI86" s="48">
        <f t="shared" si="226"/>
        <v>8775</v>
      </c>
      <c r="BJ86" s="48">
        <f t="shared" si="226"/>
        <v>8775</v>
      </c>
      <c r="BK86" s="48">
        <f t="shared" si="226"/>
        <v>8775</v>
      </c>
      <c r="BL86" s="48">
        <f t="shared" si="226"/>
        <v>8775</v>
      </c>
      <c r="BM86" s="48">
        <f t="shared" si="226"/>
        <v>8775</v>
      </c>
      <c r="BN86" s="48">
        <f t="shared" si="226"/>
        <v>8775</v>
      </c>
      <c r="BO86" s="48">
        <f t="shared" si="226"/>
        <v>8775</v>
      </c>
      <c r="BP86" s="48">
        <f t="shared" si="226"/>
        <v>8775</v>
      </c>
      <c r="BQ86" s="48">
        <f t="shared" si="226"/>
        <v>8775</v>
      </c>
    </row>
    <row r="87" spans="2:69">
      <c r="B87" t="s">
        <v>196</v>
      </c>
      <c r="J87" s="48">
        <f>J80</f>
        <v>0</v>
      </c>
      <c r="K87" s="48">
        <f t="shared" ref="K87:BE87" si="227">K80</f>
        <v>0</v>
      </c>
      <c r="L87" s="48">
        <f t="shared" si="227"/>
        <v>0</v>
      </c>
      <c r="M87" s="48">
        <f t="shared" si="227"/>
        <v>0</v>
      </c>
      <c r="N87" s="48">
        <f t="shared" si="227"/>
        <v>0</v>
      </c>
      <c r="O87" s="48">
        <f t="shared" si="227"/>
        <v>0</v>
      </c>
      <c r="P87" s="48">
        <f t="shared" si="227"/>
        <v>0</v>
      </c>
      <c r="Q87" s="48">
        <f t="shared" si="227"/>
        <v>0</v>
      </c>
      <c r="R87" s="48">
        <f t="shared" si="227"/>
        <v>0</v>
      </c>
      <c r="S87" s="48">
        <f t="shared" si="227"/>
        <v>0</v>
      </c>
      <c r="T87" s="48">
        <f t="shared" si="227"/>
        <v>0</v>
      </c>
      <c r="U87" s="48">
        <f t="shared" si="227"/>
        <v>0</v>
      </c>
      <c r="V87" s="48">
        <f t="shared" si="227"/>
        <v>0</v>
      </c>
      <c r="W87" s="48">
        <f t="shared" si="227"/>
        <v>7125</v>
      </c>
      <c r="X87" s="48">
        <f t="shared" si="227"/>
        <v>21375</v>
      </c>
      <c r="Y87" s="48">
        <f t="shared" si="227"/>
        <v>21375</v>
      </c>
      <c r="Z87" s="48">
        <f t="shared" si="227"/>
        <v>21375</v>
      </c>
      <c r="AA87" s="48">
        <f t="shared" si="227"/>
        <v>21375</v>
      </c>
      <c r="AB87" s="48">
        <f t="shared" si="227"/>
        <v>21375</v>
      </c>
      <c r="AC87" s="48">
        <f t="shared" si="227"/>
        <v>21375</v>
      </c>
      <c r="AD87" s="48">
        <f t="shared" si="227"/>
        <v>21375</v>
      </c>
      <c r="AE87" s="48">
        <f t="shared" si="227"/>
        <v>21375</v>
      </c>
      <c r="AF87" s="48">
        <f t="shared" si="227"/>
        <v>21375</v>
      </c>
      <c r="AG87" s="48">
        <f t="shared" si="227"/>
        <v>21375</v>
      </c>
      <c r="AH87" s="48">
        <f t="shared" si="227"/>
        <v>21375</v>
      </c>
      <c r="AI87" s="48">
        <f t="shared" si="227"/>
        <v>21375</v>
      </c>
      <c r="AJ87" s="48">
        <f t="shared" si="227"/>
        <v>21375</v>
      </c>
      <c r="AK87" s="48">
        <f t="shared" si="227"/>
        <v>21375</v>
      </c>
      <c r="AL87" s="48">
        <f t="shared" si="227"/>
        <v>21375</v>
      </c>
      <c r="AM87" s="48">
        <f t="shared" si="227"/>
        <v>21375</v>
      </c>
      <c r="AN87" s="48">
        <f t="shared" si="227"/>
        <v>21375</v>
      </c>
      <c r="AO87" s="48">
        <f t="shared" si="227"/>
        <v>21375</v>
      </c>
      <c r="AP87" s="48">
        <f t="shared" si="227"/>
        <v>21375</v>
      </c>
      <c r="AQ87" s="48">
        <f t="shared" si="227"/>
        <v>21375</v>
      </c>
      <c r="AR87" s="48">
        <f t="shared" si="227"/>
        <v>21375</v>
      </c>
      <c r="AS87" s="48">
        <f t="shared" si="227"/>
        <v>21375</v>
      </c>
      <c r="AT87" s="48">
        <f t="shared" si="227"/>
        <v>21375</v>
      </c>
      <c r="AU87" s="48">
        <f t="shared" si="227"/>
        <v>21375</v>
      </c>
      <c r="AV87" s="48">
        <f t="shared" si="227"/>
        <v>21375</v>
      </c>
      <c r="AW87" s="48">
        <f t="shared" si="227"/>
        <v>21375</v>
      </c>
      <c r="AX87" s="48">
        <f t="shared" si="227"/>
        <v>21375</v>
      </c>
      <c r="AY87" s="48">
        <f t="shared" si="227"/>
        <v>21375</v>
      </c>
      <c r="AZ87" s="48">
        <f t="shared" si="227"/>
        <v>21375</v>
      </c>
      <c r="BA87" s="48">
        <f t="shared" si="227"/>
        <v>21375</v>
      </c>
      <c r="BB87" s="48">
        <f t="shared" si="227"/>
        <v>21375</v>
      </c>
      <c r="BC87" s="48">
        <f t="shared" si="227"/>
        <v>21375</v>
      </c>
      <c r="BD87" s="48">
        <f t="shared" si="227"/>
        <v>21375</v>
      </c>
      <c r="BE87" s="48">
        <f t="shared" si="227"/>
        <v>21375</v>
      </c>
      <c r="BF87" s="48">
        <f t="shared" ref="BF87:BQ87" si="228">BF80</f>
        <v>21375</v>
      </c>
      <c r="BG87" s="48">
        <f t="shared" si="228"/>
        <v>21375</v>
      </c>
      <c r="BH87" s="48">
        <f t="shared" si="228"/>
        <v>21375</v>
      </c>
      <c r="BI87" s="48">
        <f t="shared" si="228"/>
        <v>21375</v>
      </c>
      <c r="BJ87" s="48">
        <f t="shared" si="228"/>
        <v>21375</v>
      </c>
      <c r="BK87" s="48">
        <f t="shared" si="228"/>
        <v>21375</v>
      </c>
      <c r="BL87" s="48">
        <f t="shared" si="228"/>
        <v>21375</v>
      </c>
      <c r="BM87" s="48">
        <f t="shared" si="228"/>
        <v>21375</v>
      </c>
      <c r="BN87" s="48">
        <f t="shared" si="228"/>
        <v>21375</v>
      </c>
      <c r="BO87" s="48">
        <f t="shared" si="228"/>
        <v>21375</v>
      </c>
      <c r="BP87" s="48">
        <f t="shared" si="228"/>
        <v>21375</v>
      </c>
      <c r="BQ87" s="48">
        <f t="shared" si="228"/>
        <v>21375</v>
      </c>
    </row>
    <row r="88" spans="2:69" s="89" customFormat="1">
      <c r="B88" s="89" t="s">
        <v>6</v>
      </c>
      <c r="J88" s="113">
        <f>SUM(J85:J87)</f>
        <v>0</v>
      </c>
      <c r="K88" s="113">
        <f t="shared" ref="K88:BE88" si="229">SUM(K85:K87)</f>
        <v>0</v>
      </c>
      <c r="L88" s="113">
        <f t="shared" si="229"/>
        <v>0</v>
      </c>
      <c r="M88" s="113">
        <f t="shared" si="229"/>
        <v>0</v>
      </c>
      <c r="N88" s="113">
        <f t="shared" si="229"/>
        <v>0</v>
      </c>
      <c r="O88" s="113">
        <f t="shared" si="229"/>
        <v>0</v>
      </c>
      <c r="P88" s="113">
        <f t="shared" si="229"/>
        <v>0</v>
      </c>
      <c r="Q88" s="113">
        <f t="shared" si="229"/>
        <v>0</v>
      </c>
      <c r="R88" s="113">
        <f t="shared" si="229"/>
        <v>0</v>
      </c>
      <c r="S88" s="113">
        <f t="shared" si="229"/>
        <v>3825</v>
      </c>
      <c r="T88" s="113">
        <f t="shared" si="229"/>
        <v>7199.9999999999991</v>
      </c>
      <c r="U88" s="113">
        <f t="shared" si="229"/>
        <v>7199.9999999999991</v>
      </c>
      <c r="V88" s="113">
        <f t="shared" si="229"/>
        <v>7199.9999999999991</v>
      </c>
      <c r="W88" s="113">
        <f t="shared" si="229"/>
        <v>23100</v>
      </c>
      <c r="X88" s="113">
        <f t="shared" si="229"/>
        <v>37350</v>
      </c>
      <c r="Y88" s="113">
        <f t="shared" si="229"/>
        <v>37350</v>
      </c>
      <c r="Z88" s="113">
        <f t="shared" si="229"/>
        <v>37350</v>
      </c>
      <c r="AA88" s="113">
        <f t="shared" si="229"/>
        <v>37350</v>
      </c>
      <c r="AB88" s="113">
        <f t="shared" si="229"/>
        <v>37350</v>
      </c>
      <c r="AC88" s="113">
        <f t="shared" si="229"/>
        <v>37350</v>
      </c>
      <c r="AD88" s="113">
        <f t="shared" si="229"/>
        <v>37350</v>
      </c>
      <c r="AE88" s="113">
        <f t="shared" si="229"/>
        <v>37350</v>
      </c>
      <c r="AF88" s="113">
        <f t="shared" si="229"/>
        <v>37350</v>
      </c>
      <c r="AG88" s="113">
        <f t="shared" si="229"/>
        <v>37350</v>
      </c>
      <c r="AH88" s="113">
        <f t="shared" si="229"/>
        <v>40500</v>
      </c>
      <c r="AI88" s="113">
        <f t="shared" si="229"/>
        <v>40500</v>
      </c>
      <c r="AJ88" s="113">
        <f t="shared" si="229"/>
        <v>40500</v>
      </c>
      <c r="AK88" s="113">
        <f t="shared" si="229"/>
        <v>40500</v>
      </c>
      <c r="AL88" s="113">
        <f t="shared" si="229"/>
        <v>40500</v>
      </c>
      <c r="AM88" s="113">
        <f t="shared" si="229"/>
        <v>40500</v>
      </c>
      <c r="AN88" s="113">
        <f t="shared" si="229"/>
        <v>40500</v>
      </c>
      <c r="AO88" s="113">
        <f t="shared" si="229"/>
        <v>40500</v>
      </c>
      <c r="AP88" s="113">
        <f t="shared" si="229"/>
        <v>40500</v>
      </c>
      <c r="AQ88" s="113">
        <f t="shared" si="229"/>
        <v>40500</v>
      </c>
      <c r="AR88" s="113">
        <f t="shared" si="229"/>
        <v>40500</v>
      </c>
      <c r="AS88" s="113">
        <f t="shared" si="229"/>
        <v>42300</v>
      </c>
      <c r="AT88" s="113">
        <f t="shared" si="229"/>
        <v>45900</v>
      </c>
      <c r="AU88" s="113">
        <f t="shared" si="229"/>
        <v>45900</v>
      </c>
      <c r="AV88" s="113">
        <f t="shared" si="229"/>
        <v>45900</v>
      </c>
      <c r="AW88" s="113">
        <f t="shared" si="229"/>
        <v>45900</v>
      </c>
      <c r="AX88" s="113">
        <f t="shared" si="229"/>
        <v>45900</v>
      </c>
      <c r="AY88" s="113">
        <f t="shared" si="229"/>
        <v>45900</v>
      </c>
      <c r="AZ88" s="113">
        <f t="shared" si="229"/>
        <v>45900</v>
      </c>
      <c r="BA88" s="113">
        <f t="shared" si="229"/>
        <v>45900</v>
      </c>
      <c r="BB88" s="113">
        <f t="shared" si="229"/>
        <v>45900</v>
      </c>
      <c r="BC88" s="113">
        <f t="shared" si="229"/>
        <v>45900</v>
      </c>
      <c r="BD88" s="113">
        <f t="shared" si="229"/>
        <v>45900</v>
      </c>
      <c r="BE88" s="113">
        <f t="shared" si="229"/>
        <v>45900</v>
      </c>
      <c r="BF88" s="113">
        <f t="shared" ref="BF88:BQ88" si="230">SUM(BF85:BF87)</f>
        <v>49500</v>
      </c>
      <c r="BG88" s="113">
        <f t="shared" si="230"/>
        <v>49500</v>
      </c>
      <c r="BH88" s="113">
        <f t="shared" si="230"/>
        <v>49500</v>
      </c>
      <c r="BI88" s="113">
        <f t="shared" si="230"/>
        <v>49500</v>
      </c>
      <c r="BJ88" s="113">
        <f t="shared" si="230"/>
        <v>49500</v>
      </c>
      <c r="BK88" s="113">
        <f t="shared" si="230"/>
        <v>49500</v>
      </c>
      <c r="BL88" s="113">
        <f t="shared" si="230"/>
        <v>49500</v>
      </c>
      <c r="BM88" s="113">
        <f t="shared" si="230"/>
        <v>49500</v>
      </c>
      <c r="BN88" s="113">
        <f t="shared" si="230"/>
        <v>49500</v>
      </c>
      <c r="BO88" s="113">
        <f t="shared" si="230"/>
        <v>49500</v>
      </c>
      <c r="BP88" s="113">
        <f t="shared" si="230"/>
        <v>49500</v>
      </c>
      <c r="BQ88" s="113">
        <f t="shared" si="230"/>
        <v>49500</v>
      </c>
    </row>
  </sheetData>
  <phoneticPr fontId="15" type="noConversion"/>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Q252"/>
  <sheetViews>
    <sheetView workbookViewId="0">
      <pane xSplit="4" ySplit="5" topLeftCell="AY6" activePane="bottomRight" state="frozen"/>
      <selection pane="topRight" activeCell="E1" sqref="E1"/>
      <selection pane="bottomLeft" activeCell="A6" sqref="A6"/>
      <selection pane="bottomRight" activeCell="BF20" sqref="BF20"/>
    </sheetView>
  </sheetViews>
  <sheetFormatPr defaultColWidth="8.77734375" defaultRowHeight="14.4"/>
  <cols>
    <col min="10" max="10" width="9.33203125" bestFit="1" customWidth="1"/>
    <col min="11" max="11" width="9.109375" bestFit="1" customWidth="1"/>
    <col min="12" max="12" width="9.44140625" bestFit="1" customWidth="1"/>
    <col min="13" max="37" width="9.77734375" bestFit="1" customWidth="1"/>
    <col min="38" max="57" width="10.77734375" bestFit="1" customWidth="1"/>
    <col min="58" max="69" width="10.109375" bestFit="1" customWidth="1"/>
  </cols>
  <sheetData>
    <row r="1" spans="1:69">
      <c r="A1" s="3" t="s">
        <v>80</v>
      </c>
    </row>
    <row r="2" spans="1:69">
      <c r="A2" s="2" t="s">
        <v>25</v>
      </c>
      <c r="J2" s="1">
        <f>Timing!J2</f>
        <v>44986</v>
      </c>
      <c r="K2" s="1">
        <f>Timing!K2</f>
        <v>45017</v>
      </c>
      <c r="L2" s="1">
        <f>Timing!L2</f>
        <v>45047</v>
      </c>
      <c r="M2" s="1">
        <f>Timing!M2</f>
        <v>45078</v>
      </c>
      <c r="N2" s="1">
        <f>Timing!N2</f>
        <v>45108</v>
      </c>
      <c r="O2" s="1">
        <f>Timing!O2</f>
        <v>45139</v>
      </c>
      <c r="P2" s="1">
        <f>Timing!P2</f>
        <v>45170</v>
      </c>
      <c r="Q2" s="1">
        <f>Timing!Q2</f>
        <v>45200</v>
      </c>
      <c r="R2" s="1">
        <f>Timing!R2</f>
        <v>45231</v>
      </c>
      <c r="S2" s="1">
        <f>Timing!S2</f>
        <v>45261</v>
      </c>
      <c r="T2" s="1">
        <f>Timing!T2</f>
        <v>45292</v>
      </c>
      <c r="U2" s="1">
        <f>Timing!U2</f>
        <v>45323</v>
      </c>
      <c r="V2" s="1">
        <f>Timing!V2</f>
        <v>45352</v>
      </c>
      <c r="W2" s="1">
        <f>Timing!W2</f>
        <v>45383</v>
      </c>
      <c r="X2" s="1">
        <f>Timing!X2</f>
        <v>45413</v>
      </c>
      <c r="Y2" s="1">
        <f>Timing!Y2</f>
        <v>45444</v>
      </c>
      <c r="Z2" s="1">
        <f>Timing!Z2</f>
        <v>45474</v>
      </c>
      <c r="AA2" s="1">
        <f>Timing!AA2</f>
        <v>45505</v>
      </c>
      <c r="AB2" s="1">
        <f>Timing!AB2</f>
        <v>45536</v>
      </c>
      <c r="AC2" s="1">
        <f>Timing!AC2</f>
        <v>45566</v>
      </c>
      <c r="AD2" s="1">
        <f>Timing!AD2</f>
        <v>45597</v>
      </c>
      <c r="AE2" s="1">
        <f>Timing!AE2</f>
        <v>45627</v>
      </c>
      <c r="AF2" s="1">
        <f>Timing!AF2</f>
        <v>45658</v>
      </c>
      <c r="AG2" s="1">
        <f>Timing!AG2</f>
        <v>45689</v>
      </c>
      <c r="AH2" s="1">
        <f>Timing!AH2</f>
        <v>45717</v>
      </c>
      <c r="AI2" s="1">
        <f>Timing!AI2</f>
        <v>45748</v>
      </c>
      <c r="AJ2" s="1">
        <f>Timing!AJ2</f>
        <v>45778</v>
      </c>
      <c r="AK2" s="1">
        <f>Timing!AK2</f>
        <v>45809</v>
      </c>
      <c r="AL2" s="1">
        <f>Timing!AL2</f>
        <v>45839</v>
      </c>
      <c r="AM2" s="1">
        <f>Timing!AM2</f>
        <v>45870</v>
      </c>
      <c r="AN2" s="1">
        <f>Timing!AN2</f>
        <v>45901</v>
      </c>
      <c r="AO2" s="1">
        <f>Timing!AO2</f>
        <v>45931</v>
      </c>
      <c r="AP2" s="1">
        <f>Timing!AP2</f>
        <v>45962</v>
      </c>
      <c r="AQ2" s="1">
        <f>Timing!AQ2</f>
        <v>45992</v>
      </c>
      <c r="AR2" s="1">
        <f>Timing!AR2</f>
        <v>46023</v>
      </c>
      <c r="AS2" s="1">
        <f>Timing!AS2</f>
        <v>46054</v>
      </c>
      <c r="AT2" s="1">
        <f>Timing!AT2</f>
        <v>46082</v>
      </c>
      <c r="AU2" s="1">
        <f>Timing!AU2</f>
        <v>46113</v>
      </c>
      <c r="AV2" s="1">
        <f>Timing!AV2</f>
        <v>46143</v>
      </c>
      <c r="AW2" s="1">
        <f>Timing!AW2</f>
        <v>46174</v>
      </c>
      <c r="AX2" s="1">
        <f>Timing!AX2</f>
        <v>46204</v>
      </c>
      <c r="AY2" s="1">
        <f>Timing!AY2</f>
        <v>46235</v>
      </c>
      <c r="AZ2" s="1">
        <f>Timing!AZ2</f>
        <v>46266</v>
      </c>
      <c r="BA2" s="1">
        <f>Timing!BA2</f>
        <v>46296</v>
      </c>
      <c r="BB2" s="1">
        <f>Timing!BB2</f>
        <v>46327</v>
      </c>
      <c r="BC2" s="1">
        <f>Timing!BC2</f>
        <v>46357</v>
      </c>
      <c r="BD2" s="1">
        <f>Timing!BD2</f>
        <v>46388</v>
      </c>
      <c r="BE2" s="1">
        <f>Timing!BE2</f>
        <v>46419</v>
      </c>
      <c r="BF2" s="1">
        <f>Timing!BF2</f>
        <v>46447</v>
      </c>
      <c r="BG2" s="1">
        <f>Timing!BG2</f>
        <v>46478</v>
      </c>
      <c r="BH2" s="1">
        <f>Timing!BH2</f>
        <v>46508</v>
      </c>
      <c r="BI2" s="1">
        <f>Timing!BI2</f>
        <v>46539</v>
      </c>
      <c r="BJ2" s="1">
        <f>Timing!BJ2</f>
        <v>46569</v>
      </c>
      <c r="BK2" s="1">
        <f>Timing!BK2</f>
        <v>46600</v>
      </c>
      <c r="BL2" s="1">
        <f>Timing!BL2</f>
        <v>46631</v>
      </c>
      <c r="BM2" s="1">
        <f>Timing!BM2</f>
        <v>46661</v>
      </c>
      <c r="BN2" s="1">
        <f>Timing!BN2</f>
        <v>46692</v>
      </c>
      <c r="BO2" s="1">
        <f>Timing!BO2</f>
        <v>46722</v>
      </c>
      <c r="BP2" s="1">
        <f>Timing!BP2</f>
        <v>46753</v>
      </c>
      <c r="BQ2" s="1">
        <f>Timing!BQ2</f>
        <v>46784</v>
      </c>
    </row>
    <row r="3" spans="1:69">
      <c r="J3" s="1">
        <f>Timing!J3</f>
        <v>45016</v>
      </c>
      <c r="K3" s="1">
        <f>Timing!K3</f>
        <v>45046</v>
      </c>
      <c r="L3" s="1">
        <f>Timing!L3</f>
        <v>45077</v>
      </c>
      <c r="M3" s="1">
        <f>Timing!M3</f>
        <v>45107</v>
      </c>
      <c r="N3" s="1">
        <f>Timing!N3</f>
        <v>45138</v>
      </c>
      <c r="O3" s="1">
        <f>Timing!O3</f>
        <v>45169</v>
      </c>
      <c r="P3" s="1">
        <f>Timing!P3</f>
        <v>45199</v>
      </c>
      <c r="Q3" s="1">
        <f>Timing!Q3</f>
        <v>45230</v>
      </c>
      <c r="R3" s="1">
        <f>Timing!R3</f>
        <v>45260</v>
      </c>
      <c r="S3" s="1">
        <f>Timing!S3</f>
        <v>45291</v>
      </c>
      <c r="T3" s="1">
        <f>Timing!T3</f>
        <v>45322</v>
      </c>
      <c r="U3" s="1">
        <f>Timing!U3</f>
        <v>45351</v>
      </c>
      <c r="V3" s="1">
        <f>Timing!V3</f>
        <v>45382</v>
      </c>
      <c r="W3" s="1">
        <f>Timing!W3</f>
        <v>45412</v>
      </c>
      <c r="X3" s="1">
        <f>Timing!X3</f>
        <v>45443</v>
      </c>
      <c r="Y3" s="1">
        <f>Timing!Y3</f>
        <v>45473</v>
      </c>
      <c r="Z3" s="1">
        <f>Timing!Z3</f>
        <v>45504</v>
      </c>
      <c r="AA3" s="1">
        <f>Timing!AA3</f>
        <v>45535</v>
      </c>
      <c r="AB3" s="1">
        <f>Timing!AB3</f>
        <v>45565</v>
      </c>
      <c r="AC3" s="1">
        <f>Timing!AC3</f>
        <v>45596</v>
      </c>
      <c r="AD3" s="1">
        <f>Timing!AD3</f>
        <v>45626</v>
      </c>
      <c r="AE3" s="1">
        <f>Timing!AE3</f>
        <v>45657</v>
      </c>
      <c r="AF3" s="1">
        <f>Timing!AF3</f>
        <v>45688</v>
      </c>
      <c r="AG3" s="1">
        <f>Timing!AG3</f>
        <v>45716</v>
      </c>
      <c r="AH3" s="1">
        <f>Timing!AH3</f>
        <v>45747</v>
      </c>
      <c r="AI3" s="1">
        <f>Timing!AI3</f>
        <v>45777</v>
      </c>
      <c r="AJ3" s="1">
        <f>Timing!AJ3</f>
        <v>45808</v>
      </c>
      <c r="AK3" s="1">
        <f>Timing!AK3</f>
        <v>45838</v>
      </c>
      <c r="AL3" s="1">
        <f>Timing!AL3</f>
        <v>45869</v>
      </c>
      <c r="AM3" s="1">
        <f>Timing!AM3</f>
        <v>45900</v>
      </c>
      <c r="AN3" s="1">
        <f>Timing!AN3</f>
        <v>45930</v>
      </c>
      <c r="AO3" s="1">
        <f>Timing!AO3</f>
        <v>45961</v>
      </c>
      <c r="AP3" s="1">
        <f>Timing!AP3</f>
        <v>45991</v>
      </c>
      <c r="AQ3" s="1">
        <f>Timing!AQ3</f>
        <v>46022</v>
      </c>
      <c r="AR3" s="1">
        <f>Timing!AR3</f>
        <v>46053</v>
      </c>
      <c r="AS3" s="1">
        <f>Timing!AS3</f>
        <v>46081</v>
      </c>
      <c r="AT3" s="1">
        <f>Timing!AT3</f>
        <v>46112</v>
      </c>
      <c r="AU3" s="1">
        <f>Timing!AU3</f>
        <v>46142</v>
      </c>
      <c r="AV3" s="1">
        <f>Timing!AV3</f>
        <v>46173</v>
      </c>
      <c r="AW3" s="1">
        <f>Timing!AW3</f>
        <v>46203</v>
      </c>
      <c r="AX3" s="1">
        <f>Timing!AX3</f>
        <v>46234</v>
      </c>
      <c r="AY3" s="1">
        <f>Timing!AY3</f>
        <v>46265</v>
      </c>
      <c r="AZ3" s="1">
        <f>Timing!AZ3</f>
        <v>46295</v>
      </c>
      <c r="BA3" s="1">
        <f>Timing!BA3</f>
        <v>46326</v>
      </c>
      <c r="BB3" s="1">
        <f>Timing!BB3</f>
        <v>46356</v>
      </c>
      <c r="BC3" s="1">
        <f>Timing!BC3</f>
        <v>46387</v>
      </c>
      <c r="BD3" s="1">
        <f>Timing!BD3</f>
        <v>46418</v>
      </c>
      <c r="BE3" s="1">
        <f>Timing!BE3</f>
        <v>46446</v>
      </c>
      <c r="BF3" s="1">
        <f>Timing!BF3</f>
        <v>46477</v>
      </c>
      <c r="BG3" s="1">
        <f>Timing!BG3</f>
        <v>46507</v>
      </c>
      <c r="BH3" s="1">
        <f>Timing!BH3</f>
        <v>46538</v>
      </c>
      <c r="BI3" s="1">
        <f>Timing!BI3</f>
        <v>46568</v>
      </c>
      <c r="BJ3" s="1">
        <f>Timing!BJ3</f>
        <v>46599</v>
      </c>
      <c r="BK3" s="1">
        <f>Timing!BK3</f>
        <v>46630</v>
      </c>
      <c r="BL3" s="1">
        <f>Timing!BL3</f>
        <v>46660</v>
      </c>
      <c r="BM3" s="1">
        <f>Timing!BM3</f>
        <v>46691</v>
      </c>
      <c r="BN3" s="1">
        <f>Timing!BN3</f>
        <v>46721</v>
      </c>
      <c r="BO3" s="1">
        <f>Timing!BO3</f>
        <v>46752</v>
      </c>
      <c r="BP3" s="1">
        <f>Timing!BP3</f>
        <v>46783</v>
      </c>
      <c r="BQ3" s="1">
        <f>Timing!BQ3</f>
        <v>46812</v>
      </c>
    </row>
    <row r="6" spans="1:69">
      <c r="B6" s="2" t="s">
        <v>216</v>
      </c>
    </row>
    <row r="7" spans="1:69">
      <c r="B7" s="2"/>
    </row>
    <row r="8" spans="1:69">
      <c r="B8" s="2" t="s">
        <v>198</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8"/>
      <c r="BK8" s="38"/>
      <c r="BL8" s="38"/>
      <c r="BM8" s="38"/>
      <c r="BN8" s="38"/>
      <c r="BO8" s="38"/>
      <c r="BP8" s="38"/>
      <c r="BQ8" s="38"/>
    </row>
    <row r="9" spans="1:69">
      <c r="B9" t="s">
        <v>199</v>
      </c>
      <c r="J9" s="38">
        <v>0</v>
      </c>
      <c r="K9" s="38">
        <f>J12</f>
        <v>0</v>
      </c>
      <c r="L9" s="38">
        <f t="shared" ref="L9:BD9" si="0">K12</f>
        <v>0</v>
      </c>
      <c r="M9" s="38">
        <f t="shared" si="0"/>
        <v>0</v>
      </c>
      <c r="N9" s="38">
        <f t="shared" si="0"/>
        <v>0</v>
      </c>
      <c r="O9" s="38">
        <f t="shared" si="0"/>
        <v>0</v>
      </c>
      <c r="P9" s="38">
        <f t="shared" si="0"/>
        <v>0</v>
      </c>
      <c r="Q9" s="38">
        <f t="shared" si="0"/>
        <v>0</v>
      </c>
      <c r="R9" s="38">
        <f t="shared" si="0"/>
        <v>0</v>
      </c>
      <c r="S9" s="38">
        <f t="shared" si="0"/>
        <v>0</v>
      </c>
      <c r="T9" s="38">
        <f t="shared" si="0"/>
        <v>0</v>
      </c>
      <c r="U9" s="38">
        <f t="shared" si="0"/>
        <v>35000</v>
      </c>
      <c r="V9" s="38">
        <f t="shared" si="0"/>
        <v>70000</v>
      </c>
      <c r="W9" s="38">
        <f t="shared" si="0"/>
        <v>105000</v>
      </c>
      <c r="X9" s="38">
        <f t="shared" si="0"/>
        <v>140000</v>
      </c>
      <c r="Y9" s="38">
        <f t="shared" si="0"/>
        <v>140000</v>
      </c>
      <c r="Z9" s="38">
        <f t="shared" si="0"/>
        <v>140000</v>
      </c>
      <c r="AA9" s="38">
        <f t="shared" si="0"/>
        <v>140000</v>
      </c>
      <c r="AB9" s="38">
        <f t="shared" si="0"/>
        <v>140000</v>
      </c>
      <c r="AC9" s="38">
        <f t="shared" si="0"/>
        <v>140000</v>
      </c>
      <c r="AD9" s="38">
        <f t="shared" si="0"/>
        <v>140000</v>
      </c>
      <c r="AE9" s="38">
        <f t="shared" si="0"/>
        <v>140000</v>
      </c>
      <c r="AF9" s="38">
        <f t="shared" si="0"/>
        <v>140000</v>
      </c>
      <c r="AG9" s="38">
        <f t="shared" si="0"/>
        <v>140000</v>
      </c>
      <c r="AH9" s="38">
        <f t="shared" si="0"/>
        <v>140000</v>
      </c>
      <c r="AI9" s="38">
        <f t="shared" si="0"/>
        <v>140000</v>
      </c>
      <c r="AJ9" s="38">
        <f t="shared" si="0"/>
        <v>140000</v>
      </c>
      <c r="AK9" s="38">
        <f t="shared" si="0"/>
        <v>140000</v>
      </c>
      <c r="AL9" s="38">
        <f t="shared" si="0"/>
        <v>140000</v>
      </c>
      <c r="AM9" s="38">
        <f t="shared" si="0"/>
        <v>140000</v>
      </c>
      <c r="AN9" s="38">
        <f t="shared" si="0"/>
        <v>140000</v>
      </c>
      <c r="AO9" s="38">
        <f t="shared" si="0"/>
        <v>140000</v>
      </c>
      <c r="AP9" s="38">
        <f t="shared" si="0"/>
        <v>140000</v>
      </c>
      <c r="AQ9" s="38">
        <f t="shared" si="0"/>
        <v>140000</v>
      </c>
      <c r="AR9" s="38">
        <f t="shared" si="0"/>
        <v>140000</v>
      </c>
      <c r="AS9" s="38">
        <f t="shared" si="0"/>
        <v>140000</v>
      </c>
      <c r="AT9" s="38">
        <f t="shared" si="0"/>
        <v>140000</v>
      </c>
      <c r="AU9" s="38">
        <f t="shared" si="0"/>
        <v>140000</v>
      </c>
      <c r="AV9" s="38">
        <f t="shared" si="0"/>
        <v>140000</v>
      </c>
      <c r="AW9" s="38">
        <f t="shared" si="0"/>
        <v>140000</v>
      </c>
      <c r="AX9" s="38">
        <f t="shared" si="0"/>
        <v>140000</v>
      </c>
      <c r="AY9" s="38">
        <f t="shared" si="0"/>
        <v>140000</v>
      </c>
      <c r="AZ9" s="38">
        <f t="shared" si="0"/>
        <v>140000</v>
      </c>
      <c r="BA9" s="38">
        <f t="shared" si="0"/>
        <v>140000</v>
      </c>
      <c r="BB9" s="38">
        <f t="shared" si="0"/>
        <v>140000</v>
      </c>
      <c r="BC9" s="38">
        <f t="shared" si="0"/>
        <v>140000</v>
      </c>
      <c r="BD9" s="38">
        <f t="shared" si="0"/>
        <v>140000</v>
      </c>
      <c r="BE9" s="38">
        <f>BD12</f>
        <v>140000</v>
      </c>
      <c r="BF9" s="38">
        <f t="shared" ref="BF9:BQ9" si="1">BE12</f>
        <v>140000</v>
      </c>
      <c r="BG9" s="38">
        <f t="shared" si="1"/>
        <v>140000</v>
      </c>
      <c r="BH9" s="38">
        <f t="shared" si="1"/>
        <v>140000</v>
      </c>
      <c r="BI9" s="38">
        <f t="shared" si="1"/>
        <v>140000</v>
      </c>
      <c r="BJ9" s="38">
        <f t="shared" si="1"/>
        <v>140000</v>
      </c>
      <c r="BK9" s="38">
        <f t="shared" si="1"/>
        <v>140000</v>
      </c>
      <c r="BL9" s="38">
        <f t="shared" si="1"/>
        <v>140000</v>
      </c>
      <c r="BM9" s="38">
        <f t="shared" si="1"/>
        <v>140000</v>
      </c>
      <c r="BN9" s="38">
        <f t="shared" si="1"/>
        <v>140000</v>
      </c>
      <c r="BO9" s="38">
        <f t="shared" si="1"/>
        <v>140000</v>
      </c>
      <c r="BP9" s="38">
        <f t="shared" si="1"/>
        <v>140000</v>
      </c>
      <c r="BQ9" s="38">
        <f t="shared" si="1"/>
        <v>140000</v>
      </c>
    </row>
    <row r="10" spans="1:69">
      <c r="B10" t="s">
        <v>200</v>
      </c>
      <c r="J10" s="38">
        <v>0</v>
      </c>
      <c r="K10" s="38">
        <v>0</v>
      </c>
      <c r="L10" s="38">
        <v>0</v>
      </c>
      <c r="M10" s="38">
        <v>0</v>
      </c>
      <c r="N10" s="38">
        <v>0</v>
      </c>
      <c r="O10" s="38">
        <v>0</v>
      </c>
      <c r="P10" s="38">
        <v>0</v>
      </c>
      <c r="Q10" s="38">
        <v>0</v>
      </c>
      <c r="R10" s="38">
        <v>0</v>
      </c>
      <c r="S10" s="38">
        <v>0</v>
      </c>
      <c r="T10" s="38">
        <v>35000</v>
      </c>
      <c r="U10" s="38">
        <v>35000</v>
      </c>
      <c r="V10" s="38">
        <v>35000</v>
      </c>
      <c r="W10" s="38">
        <v>35000</v>
      </c>
      <c r="X10" s="38">
        <v>0</v>
      </c>
      <c r="Y10" s="38">
        <v>0</v>
      </c>
      <c r="Z10" s="38">
        <v>0</v>
      </c>
      <c r="AA10" s="38">
        <v>0</v>
      </c>
      <c r="AB10" s="38">
        <v>0</v>
      </c>
      <c r="AC10" s="38">
        <v>0</v>
      </c>
      <c r="AD10" s="38">
        <v>0</v>
      </c>
      <c r="AE10" s="38">
        <v>0</v>
      </c>
      <c r="AF10" s="38">
        <v>0</v>
      </c>
      <c r="AG10" s="38">
        <v>0</v>
      </c>
      <c r="AH10" s="38">
        <v>0</v>
      </c>
      <c r="AI10" s="38">
        <v>0</v>
      </c>
      <c r="AJ10" s="38">
        <v>0</v>
      </c>
      <c r="AK10" s="38">
        <v>0</v>
      </c>
      <c r="AL10" s="38">
        <v>0</v>
      </c>
      <c r="AM10" s="38">
        <v>0</v>
      </c>
      <c r="AN10" s="38">
        <v>0</v>
      </c>
      <c r="AO10" s="38">
        <v>0</v>
      </c>
      <c r="AP10" s="38">
        <v>0</v>
      </c>
      <c r="AQ10" s="38">
        <v>0</v>
      </c>
      <c r="AR10" s="38">
        <v>0</v>
      </c>
      <c r="AS10" s="38">
        <v>0</v>
      </c>
      <c r="AT10" s="38">
        <v>0</v>
      </c>
      <c r="AU10" s="38">
        <v>0</v>
      </c>
      <c r="AV10" s="38">
        <v>0</v>
      </c>
      <c r="AW10" s="38">
        <v>0</v>
      </c>
      <c r="AX10" s="38">
        <v>0</v>
      </c>
      <c r="AY10" s="38">
        <v>0</v>
      </c>
      <c r="AZ10" s="38">
        <v>0</v>
      </c>
      <c r="BA10" s="38">
        <v>0</v>
      </c>
      <c r="BB10" s="38">
        <v>0</v>
      </c>
      <c r="BC10" s="38">
        <v>0</v>
      </c>
      <c r="BD10" s="38">
        <v>0</v>
      </c>
      <c r="BE10" s="38">
        <v>0</v>
      </c>
      <c r="BF10" s="38">
        <v>0</v>
      </c>
      <c r="BG10" s="38">
        <v>0</v>
      </c>
      <c r="BH10" s="38">
        <v>0</v>
      </c>
      <c r="BI10" s="38">
        <v>0</v>
      </c>
      <c r="BJ10" s="38">
        <v>0</v>
      </c>
      <c r="BK10" s="38">
        <v>0</v>
      </c>
      <c r="BL10" s="38">
        <v>0</v>
      </c>
      <c r="BM10" s="38">
        <v>0</v>
      </c>
      <c r="BN10" s="38">
        <v>0</v>
      </c>
      <c r="BO10" s="38">
        <v>0</v>
      </c>
      <c r="BP10" s="38">
        <v>0</v>
      </c>
      <c r="BQ10" s="38">
        <v>0</v>
      </c>
    </row>
    <row r="11" spans="1:69">
      <c r="B11" t="s">
        <v>201</v>
      </c>
      <c r="J11" s="38">
        <v>0</v>
      </c>
      <c r="K11" s="38">
        <v>0</v>
      </c>
      <c r="L11" s="38">
        <v>0</v>
      </c>
      <c r="M11" s="38">
        <v>0</v>
      </c>
      <c r="N11" s="38">
        <v>0</v>
      </c>
      <c r="O11" s="38">
        <v>0</v>
      </c>
      <c r="P11" s="38">
        <v>0</v>
      </c>
      <c r="Q11" s="38">
        <v>0</v>
      </c>
      <c r="R11" s="38">
        <v>0</v>
      </c>
      <c r="S11" s="38">
        <v>0</v>
      </c>
      <c r="T11" s="38">
        <v>0</v>
      </c>
      <c r="U11" s="38">
        <v>0</v>
      </c>
      <c r="V11" s="38">
        <v>0</v>
      </c>
      <c r="W11" s="38">
        <v>0</v>
      </c>
      <c r="X11" s="38">
        <v>0</v>
      </c>
      <c r="Y11" s="38">
        <v>0</v>
      </c>
      <c r="Z11" s="38">
        <v>0</v>
      </c>
      <c r="AA11" s="38">
        <v>0</v>
      </c>
      <c r="AB11" s="38">
        <v>0</v>
      </c>
      <c r="AC11" s="38">
        <v>0</v>
      </c>
      <c r="AD11" s="38">
        <v>0</v>
      </c>
      <c r="AE11" s="38">
        <v>0</v>
      </c>
      <c r="AF11" s="38">
        <v>0</v>
      </c>
      <c r="AG11" s="38">
        <v>0</v>
      </c>
      <c r="AH11" s="38">
        <v>0</v>
      </c>
      <c r="AI11" s="38">
        <v>0</v>
      </c>
      <c r="AJ11" s="38">
        <v>0</v>
      </c>
      <c r="AK11" s="38">
        <v>0</v>
      </c>
      <c r="AL11" s="38">
        <v>0</v>
      </c>
      <c r="AM11" s="38">
        <v>0</v>
      </c>
      <c r="AN11" s="38">
        <v>0</v>
      </c>
      <c r="AO11" s="38">
        <v>0</v>
      </c>
      <c r="AP11" s="38">
        <v>0</v>
      </c>
      <c r="AQ11" s="38">
        <v>0</v>
      </c>
      <c r="AR11" s="38">
        <v>0</v>
      </c>
      <c r="AS11" s="38">
        <v>0</v>
      </c>
      <c r="AT11" s="38">
        <v>0</v>
      </c>
      <c r="AU11" s="38">
        <v>0</v>
      </c>
      <c r="AV11" s="38">
        <v>0</v>
      </c>
      <c r="AW11" s="38">
        <v>0</v>
      </c>
      <c r="AX11" s="38">
        <v>0</v>
      </c>
      <c r="AY11" s="38">
        <v>0</v>
      </c>
      <c r="AZ11" s="38">
        <v>0</v>
      </c>
      <c r="BA11" s="38">
        <v>0</v>
      </c>
      <c r="BB11" s="38">
        <v>0</v>
      </c>
      <c r="BC11" s="38">
        <v>0</v>
      </c>
      <c r="BD11" s="38">
        <v>0</v>
      </c>
      <c r="BE11" s="38">
        <v>0</v>
      </c>
      <c r="BF11" s="38">
        <v>0</v>
      </c>
      <c r="BG11" s="38">
        <v>0</v>
      </c>
      <c r="BH11" s="38">
        <v>0</v>
      </c>
      <c r="BI11" s="38">
        <v>0</v>
      </c>
      <c r="BJ11" s="38">
        <v>0</v>
      </c>
      <c r="BK11" s="38">
        <v>0</v>
      </c>
      <c r="BL11" s="38">
        <v>0</v>
      </c>
      <c r="BM11" s="38">
        <v>0</v>
      </c>
      <c r="BN11" s="38">
        <v>0</v>
      </c>
      <c r="BO11" s="38">
        <v>0</v>
      </c>
      <c r="BP11" s="38">
        <v>0</v>
      </c>
      <c r="BQ11" s="38">
        <v>0</v>
      </c>
    </row>
    <row r="12" spans="1:69">
      <c r="B12" s="2" t="s">
        <v>202</v>
      </c>
      <c r="J12" s="38">
        <f>SUM(J9:J11)</f>
        <v>0</v>
      </c>
      <c r="K12" s="38">
        <f>SUM(K9:K11)</f>
        <v>0</v>
      </c>
      <c r="L12" s="38">
        <f t="shared" ref="L12:BE12" si="2">SUM(L9:L11)</f>
        <v>0</v>
      </c>
      <c r="M12" s="38">
        <f t="shared" si="2"/>
        <v>0</v>
      </c>
      <c r="N12" s="38">
        <f t="shared" si="2"/>
        <v>0</v>
      </c>
      <c r="O12" s="38">
        <f t="shared" si="2"/>
        <v>0</v>
      </c>
      <c r="P12" s="38">
        <f t="shared" si="2"/>
        <v>0</v>
      </c>
      <c r="Q12" s="38">
        <f t="shared" si="2"/>
        <v>0</v>
      </c>
      <c r="R12" s="38">
        <f t="shared" si="2"/>
        <v>0</v>
      </c>
      <c r="S12" s="38">
        <f t="shared" si="2"/>
        <v>0</v>
      </c>
      <c r="T12" s="38">
        <f t="shared" si="2"/>
        <v>35000</v>
      </c>
      <c r="U12" s="38">
        <f t="shared" si="2"/>
        <v>70000</v>
      </c>
      <c r="V12" s="38">
        <f t="shared" si="2"/>
        <v>105000</v>
      </c>
      <c r="W12" s="38">
        <f t="shared" si="2"/>
        <v>140000</v>
      </c>
      <c r="X12" s="38">
        <f t="shared" si="2"/>
        <v>140000</v>
      </c>
      <c r="Y12" s="38">
        <f t="shared" si="2"/>
        <v>140000</v>
      </c>
      <c r="Z12" s="38">
        <f t="shared" si="2"/>
        <v>140000</v>
      </c>
      <c r="AA12" s="38">
        <f t="shared" si="2"/>
        <v>140000</v>
      </c>
      <c r="AB12" s="38">
        <f t="shared" si="2"/>
        <v>140000</v>
      </c>
      <c r="AC12" s="38">
        <f t="shared" si="2"/>
        <v>140000</v>
      </c>
      <c r="AD12" s="38">
        <f t="shared" si="2"/>
        <v>140000</v>
      </c>
      <c r="AE12" s="38">
        <f t="shared" si="2"/>
        <v>140000</v>
      </c>
      <c r="AF12" s="38">
        <f t="shared" si="2"/>
        <v>140000</v>
      </c>
      <c r="AG12" s="38">
        <f t="shared" si="2"/>
        <v>140000</v>
      </c>
      <c r="AH12" s="38">
        <f t="shared" si="2"/>
        <v>140000</v>
      </c>
      <c r="AI12" s="38">
        <f t="shared" si="2"/>
        <v>140000</v>
      </c>
      <c r="AJ12" s="38">
        <f t="shared" si="2"/>
        <v>140000</v>
      </c>
      <c r="AK12" s="38">
        <f t="shared" si="2"/>
        <v>140000</v>
      </c>
      <c r="AL12" s="38">
        <f t="shared" si="2"/>
        <v>140000</v>
      </c>
      <c r="AM12" s="38">
        <f t="shared" si="2"/>
        <v>140000</v>
      </c>
      <c r="AN12" s="38">
        <f t="shared" si="2"/>
        <v>140000</v>
      </c>
      <c r="AO12" s="38">
        <f t="shared" si="2"/>
        <v>140000</v>
      </c>
      <c r="AP12" s="38">
        <f t="shared" si="2"/>
        <v>140000</v>
      </c>
      <c r="AQ12" s="38">
        <f t="shared" si="2"/>
        <v>140000</v>
      </c>
      <c r="AR12" s="38">
        <f t="shared" si="2"/>
        <v>140000</v>
      </c>
      <c r="AS12" s="38">
        <f t="shared" si="2"/>
        <v>140000</v>
      </c>
      <c r="AT12" s="38">
        <f t="shared" si="2"/>
        <v>140000</v>
      </c>
      <c r="AU12" s="38">
        <f t="shared" si="2"/>
        <v>140000</v>
      </c>
      <c r="AV12" s="38">
        <f t="shared" si="2"/>
        <v>140000</v>
      </c>
      <c r="AW12" s="38">
        <f t="shared" si="2"/>
        <v>140000</v>
      </c>
      <c r="AX12" s="38">
        <f t="shared" si="2"/>
        <v>140000</v>
      </c>
      <c r="AY12" s="38">
        <f t="shared" si="2"/>
        <v>140000</v>
      </c>
      <c r="AZ12" s="38">
        <f t="shared" si="2"/>
        <v>140000</v>
      </c>
      <c r="BA12" s="38">
        <f t="shared" si="2"/>
        <v>140000</v>
      </c>
      <c r="BB12" s="38">
        <f t="shared" si="2"/>
        <v>140000</v>
      </c>
      <c r="BC12" s="38">
        <f t="shared" si="2"/>
        <v>140000</v>
      </c>
      <c r="BD12" s="38">
        <f t="shared" si="2"/>
        <v>140000</v>
      </c>
      <c r="BE12" s="38">
        <f t="shared" si="2"/>
        <v>140000</v>
      </c>
      <c r="BF12" s="38">
        <f t="shared" ref="BF12:BQ12" si="3">SUM(BF9:BF11)</f>
        <v>140000</v>
      </c>
      <c r="BG12" s="38">
        <f t="shared" si="3"/>
        <v>140000</v>
      </c>
      <c r="BH12" s="38">
        <f t="shared" si="3"/>
        <v>140000</v>
      </c>
      <c r="BI12" s="38">
        <f t="shared" si="3"/>
        <v>140000</v>
      </c>
      <c r="BJ12" s="38">
        <f t="shared" si="3"/>
        <v>140000</v>
      </c>
      <c r="BK12" s="38">
        <f t="shared" si="3"/>
        <v>140000</v>
      </c>
      <c r="BL12" s="38">
        <f t="shared" si="3"/>
        <v>140000</v>
      </c>
      <c r="BM12" s="38">
        <f t="shared" si="3"/>
        <v>140000</v>
      </c>
      <c r="BN12" s="38">
        <f t="shared" si="3"/>
        <v>140000</v>
      </c>
      <c r="BO12" s="38">
        <f t="shared" si="3"/>
        <v>140000</v>
      </c>
      <c r="BP12" s="38">
        <f t="shared" si="3"/>
        <v>140000</v>
      </c>
      <c r="BQ12" s="38">
        <f t="shared" si="3"/>
        <v>140000</v>
      </c>
    </row>
    <row r="13" spans="1:69">
      <c r="J13" s="38"/>
      <c r="K13" s="38"/>
      <c r="L13" s="38"/>
      <c r="M13" s="38"/>
      <c r="N13" s="38"/>
      <c r="O13" s="38"/>
      <c r="P13" s="38"/>
      <c r="Q13" s="38"/>
      <c r="R13" s="38"/>
      <c r="S13" s="38"/>
      <c r="T13" s="38"/>
      <c r="U13" s="38"/>
      <c r="V13" s="38"/>
      <c r="W13" s="38"/>
      <c r="X13" s="38"/>
      <c r="Y13" s="38"/>
      <c r="Z13" s="38"/>
      <c r="AA13" s="38"/>
      <c r="AB13" s="38"/>
      <c r="AC13" s="38"/>
      <c r="AD13" s="38"/>
      <c r="AE13" s="38"/>
      <c r="AF13" s="38"/>
      <c r="AG13" s="38"/>
      <c r="AH13" s="38"/>
      <c r="AI13" s="38"/>
      <c r="AJ13" s="38"/>
      <c r="AK13" s="38"/>
      <c r="AL13" s="38"/>
      <c r="AM13" s="38"/>
      <c r="AN13" s="38"/>
      <c r="AO13" s="38"/>
      <c r="AP13" s="38"/>
      <c r="AQ13" s="38"/>
      <c r="AR13" s="38"/>
      <c r="AS13" s="38"/>
      <c r="AT13" s="38"/>
      <c r="AU13" s="38"/>
      <c r="AV13" s="38"/>
      <c r="AW13" s="38"/>
      <c r="AX13" s="38"/>
      <c r="AY13" s="38"/>
      <c r="AZ13" s="38"/>
      <c r="BA13" s="38"/>
      <c r="BB13" s="38"/>
      <c r="BC13" s="38"/>
      <c r="BD13" s="38"/>
      <c r="BE13" s="38"/>
      <c r="BF13" s="38"/>
      <c r="BG13" s="38"/>
      <c r="BH13" s="38"/>
      <c r="BI13" s="38"/>
      <c r="BJ13" s="38"/>
      <c r="BK13" s="38"/>
      <c r="BL13" s="38"/>
      <c r="BM13" s="38"/>
      <c r="BN13" s="38"/>
      <c r="BO13" s="38"/>
      <c r="BP13" s="38"/>
      <c r="BQ13" s="38"/>
    </row>
    <row r="14" spans="1:69">
      <c r="B14" t="s">
        <v>203</v>
      </c>
      <c r="J14" s="38">
        <v>0</v>
      </c>
      <c r="K14" s="38">
        <f>J17</f>
        <v>0</v>
      </c>
      <c r="L14" s="38">
        <f t="shared" ref="L14:BE14" si="4">K17</f>
        <v>0</v>
      </c>
      <c r="M14" s="38">
        <f t="shared" si="4"/>
        <v>0</v>
      </c>
      <c r="N14" s="38">
        <f t="shared" si="4"/>
        <v>0</v>
      </c>
      <c r="O14" s="38">
        <f t="shared" si="4"/>
        <v>0</v>
      </c>
      <c r="P14" s="38">
        <f t="shared" si="4"/>
        <v>0</v>
      </c>
      <c r="Q14" s="38">
        <f t="shared" si="4"/>
        <v>0</v>
      </c>
      <c r="R14" s="38">
        <f t="shared" si="4"/>
        <v>0</v>
      </c>
      <c r="S14" s="38">
        <f t="shared" si="4"/>
        <v>0</v>
      </c>
      <c r="T14" s="38">
        <f t="shared" si="4"/>
        <v>0</v>
      </c>
      <c r="U14" s="38">
        <f t="shared" si="4"/>
        <v>364.58333333333331</v>
      </c>
      <c r="V14" s="38">
        <f t="shared" si="4"/>
        <v>1093.75</v>
      </c>
      <c r="W14" s="38">
        <f t="shared" si="4"/>
        <v>2187.5</v>
      </c>
      <c r="X14" s="38">
        <f t="shared" si="4"/>
        <v>3645.833333333333</v>
      </c>
      <c r="Y14" s="38">
        <f t="shared" si="4"/>
        <v>5104.1666666666661</v>
      </c>
      <c r="Z14" s="38">
        <f t="shared" si="4"/>
        <v>6562.4999999999991</v>
      </c>
      <c r="AA14" s="38">
        <f t="shared" si="4"/>
        <v>8020.8333333333321</v>
      </c>
      <c r="AB14" s="38">
        <f t="shared" si="4"/>
        <v>9479.1666666666661</v>
      </c>
      <c r="AC14" s="38">
        <f t="shared" si="4"/>
        <v>10937.5</v>
      </c>
      <c r="AD14" s="38">
        <f t="shared" si="4"/>
        <v>12395.833333333334</v>
      </c>
      <c r="AE14" s="38">
        <f t="shared" si="4"/>
        <v>13854.166666666668</v>
      </c>
      <c r="AF14" s="38">
        <f t="shared" si="4"/>
        <v>15312.500000000002</v>
      </c>
      <c r="AG14" s="38">
        <f t="shared" si="4"/>
        <v>16770.833333333336</v>
      </c>
      <c r="AH14" s="38">
        <f t="shared" si="4"/>
        <v>18229.166666666668</v>
      </c>
      <c r="AI14" s="38">
        <f t="shared" si="4"/>
        <v>19687.5</v>
      </c>
      <c r="AJ14" s="38">
        <f t="shared" si="4"/>
        <v>21145.833333333332</v>
      </c>
      <c r="AK14" s="38">
        <f t="shared" si="4"/>
        <v>22604.166666666664</v>
      </c>
      <c r="AL14" s="38">
        <f t="shared" si="4"/>
        <v>24062.499999999996</v>
      </c>
      <c r="AM14" s="38">
        <f t="shared" si="4"/>
        <v>25520.833333333328</v>
      </c>
      <c r="AN14" s="38">
        <f t="shared" si="4"/>
        <v>26979.166666666661</v>
      </c>
      <c r="AO14" s="38">
        <f t="shared" si="4"/>
        <v>28437.499999999993</v>
      </c>
      <c r="AP14" s="38">
        <f t="shared" si="4"/>
        <v>29895.833333333325</v>
      </c>
      <c r="AQ14" s="38">
        <f t="shared" si="4"/>
        <v>31354.166666666657</v>
      </c>
      <c r="AR14" s="38">
        <f t="shared" si="4"/>
        <v>32812.499999999993</v>
      </c>
      <c r="AS14" s="38">
        <f t="shared" si="4"/>
        <v>34270.833333333328</v>
      </c>
      <c r="AT14" s="38">
        <f t="shared" si="4"/>
        <v>35729.166666666664</v>
      </c>
      <c r="AU14" s="38">
        <f t="shared" si="4"/>
        <v>37187.5</v>
      </c>
      <c r="AV14" s="38">
        <f t="shared" si="4"/>
        <v>38645.833333333336</v>
      </c>
      <c r="AW14" s="38">
        <f t="shared" si="4"/>
        <v>40104.166666666672</v>
      </c>
      <c r="AX14" s="38">
        <f t="shared" si="4"/>
        <v>41562.500000000007</v>
      </c>
      <c r="AY14" s="38">
        <f t="shared" si="4"/>
        <v>43020.833333333343</v>
      </c>
      <c r="AZ14" s="38">
        <f t="shared" si="4"/>
        <v>44479.166666666679</v>
      </c>
      <c r="BA14" s="38">
        <f t="shared" si="4"/>
        <v>45937.500000000015</v>
      </c>
      <c r="BB14" s="38">
        <f t="shared" si="4"/>
        <v>47395.83333333335</v>
      </c>
      <c r="BC14" s="38">
        <f t="shared" si="4"/>
        <v>48854.166666666686</v>
      </c>
      <c r="BD14" s="38">
        <f t="shared" si="4"/>
        <v>50312.500000000022</v>
      </c>
      <c r="BE14" s="38">
        <f t="shared" si="4"/>
        <v>51770.833333333358</v>
      </c>
      <c r="BF14" s="38">
        <f t="shared" ref="BF14" si="5">BE17</f>
        <v>53229.166666666693</v>
      </c>
      <c r="BG14" s="38">
        <f t="shared" ref="BG14" si="6">BF17</f>
        <v>54687.500000000029</v>
      </c>
      <c r="BH14" s="38">
        <f t="shared" ref="BH14" si="7">BG17</f>
        <v>56145.833333333365</v>
      </c>
      <c r="BI14" s="38">
        <f t="shared" ref="BI14" si="8">BH17</f>
        <v>57604.166666666701</v>
      </c>
      <c r="BJ14" s="38">
        <f t="shared" ref="BJ14" si="9">BI17</f>
        <v>59062.500000000036</v>
      </c>
      <c r="BK14" s="38">
        <f t="shared" ref="BK14" si="10">BJ17</f>
        <v>60520.833333333372</v>
      </c>
      <c r="BL14" s="38">
        <f t="shared" ref="BL14" si="11">BK17</f>
        <v>61979.166666666708</v>
      </c>
      <c r="BM14" s="38">
        <f t="shared" ref="BM14" si="12">BL17</f>
        <v>63437.500000000044</v>
      </c>
      <c r="BN14" s="38">
        <f t="shared" ref="BN14" si="13">BM17</f>
        <v>64895.833333333379</v>
      </c>
      <c r="BO14" s="38">
        <f t="shared" ref="BO14" si="14">BN17</f>
        <v>66354.166666666715</v>
      </c>
      <c r="BP14" s="38">
        <f t="shared" ref="BP14" si="15">BO17</f>
        <v>67812.500000000044</v>
      </c>
      <c r="BQ14" s="38">
        <f t="shared" ref="BQ14" si="16">BP17</f>
        <v>69270.833333333372</v>
      </c>
    </row>
    <row r="15" spans="1:69">
      <c r="B15" t="s">
        <v>204</v>
      </c>
      <c r="J15" s="38">
        <f>(J12*Inputs!J23)/12</f>
        <v>0</v>
      </c>
      <c r="K15" s="38">
        <f>(K12*Inputs!K23)/12</f>
        <v>0</v>
      </c>
      <c r="L15" s="38">
        <f>(L12*Inputs!L23)/12</f>
        <v>0</v>
      </c>
      <c r="M15" s="38">
        <f>(M12*Inputs!M23)/12</f>
        <v>0</v>
      </c>
      <c r="N15" s="38">
        <f>(N12*Inputs!N23)/12</f>
        <v>0</v>
      </c>
      <c r="O15" s="38">
        <f>(O12*Inputs!O23)/12</f>
        <v>0</v>
      </c>
      <c r="P15" s="38">
        <f>(P12*Inputs!P23)/12</f>
        <v>0</v>
      </c>
      <c r="Q15" s="38">
        <f>(Q12*Inputs!Q23)/12</f>
        <v>0</v>
      </c>
      <c r="R15" s="38">
        <f>(R12*Inputs!R23)/12</f>
        <v>0</v>
      </c>
      <c r="S15" s="38">
        <f>(S12*Inputs!S23)/12</f>
        <v>0</v>
      </c>
      <c r="T15" s="38">
        <f>(T12*Inputs!T23)/12</f>
        <v>364.58333333333331</v>
      </c>
      <c r="U15" s="38">
        <f>(U12*Inputs!U23)/12</f>
        <v>729.16666666666663</v>
      </c>
      <c r="V15" s="38">
        <f>(V12*Inputs!V23)/12</f>
        <v>1093.75</v>
      </c>
      <c r="W15" s="38">
        <f>(W12*Inputs!W23)/12</f>
        <v>1458.3333333333333</v>
      </c>
      <c r="X15" s="38">
        <f>(X12*Inputs!X23)/12</f>
        <v>1458.3333333333333</v>
      </c>
      <c r="Y15" s="38">
        <f>(Y12*Inputs!Y23)/12</f>
        <v>1458.3333333333333</v>
      </c>
      <c r="Z15" s="38">
        <f>(Z12*Inputs!Z23)/12</f>
        <v>1458.3333333333333</v>
      </c>
      <c r="AA15" s="38">
        <f>(AA12*Inputs!AA23)/12</f>
        <v>1458.3333333333333</v>
      </c>
      <c r="AB15" s="38">
        <f>(AB12*Inputs!AB23)/12</f>
        <v>1458.3333333333333</v>
      </c>
      <c r="AC15" s="38">
        <f>(AC12*Inputs!AC23)/12</f>
        <v>1458.3333333333333</v>
      </c>
      <c r="AD15" s="38">
        <f>(AD12*Inputs!AD23)/12</f>
        <v>1458.3333333333333</v>
      </c>
      <c r="AE15" s="38">
        <f>(AE12*Inputs!AE23)/12</f>
        <v>1458.3333333333333</v>
      </c>
      <c r="AF15" s="38">
        <f>(AF12*Inputs!AF23)/12</f>
        <v>1458.3333333333333</v>
      </c>
      <c r="AG15" s="38">
        <f>(AG12*Inputs!AG23)/12</f>
        <v>1458.3333333333333</v>
      </c>
      <c r="AH15" s="38">
        <f>(AH12*Inputs!AH23)/12</f>
        <v>1458.3333333333333</v>
      </c>
      <c r="AI15" s="38">
        <f>(AI12*Inputs!AI23)/12</f>
        <v>1458.3333333333333</v>
      </c>
      <c r="AJ15" s="38">
        <f>(AJ12*Inputs!AJ23)/12</f>
        <v>1458.3333333333333</v>
      </c>
      <c r="AK15" s="38">
        <f>(AK12*Inputs!AK23)/12</f>
        <v>1458.3333333333333</v>
      </c>
      <c r="AL15" s="38">
        <f>(AL12*Inputs!AL23)/12</f>
        <v>1458.3333333333333</v>
      </c>
      <c r="AM15" s="38">
        <f>(AM12*Inputs!AM23)/12</f>
        <v>1458.3333333333333</v>
      </c>
      <c r="AN15" s="38">
        <f>(AN12*Inputs!AN23)/12</f>
        <v>1458.3333333333333</v>
      </c>
      <c r="AO15" s="38">
        <f>(AO12*Inputs!AO23)/12</f>
        <v>1458.3333333333333</v>
      </c>
      <c r="AP15" s="38">
        <f>(AP12*Inputs!AP23)/12</f>
        <v>1458.3333333333333</v>
      </c>
      <c r="AQ15" s="38">
        <f>(AQ12*Inputs!AQ23)/12</f>
        <v>1458.3333333333333</v>
      </c>
      <c r="AR15" s="38">
        <f>(AR12*Inputs!AR23)/12</f>
        <v>1458.3333333333333</v>
      </c>
      <c r="AS15" s="38">
        <f>(AS12*Inputs!AS23)/12</f>
        <v>1458.3333333333333</v>
      </c>
      <c r="AT15" s="38">
        <f>(AT12*Inputs!AT23)/12</f>
        <v>1458.3333333333333</v>
      </c>
      <c r="AU15" s="38">
        <f>(AU12*Inputs!AU23)/12</f>
        <v>1458.3333333333333</v>
      </c>
      <c r="AV15" s="38">
        <f>(AV12*Inputs!AV23)/12</f>
        <v>1458.3333333333333</v>
      </c>
      <c r="AW15" s="38">
        <f>(AW12*Inputs!AW23)/12</f>
        <v>1458.3333333333333</v>
      </c>
      <c r="AX15" s="38">
        <f>(AX12*Inputs!AX23)/12</f>
        <v>1458.3333333333333</v>
      </c>
      <c r="AY15" s="38">
        <f>(AY12*Inputs!AY23)/12</f>
        <v>1458.3333333333333</v>
      </c>
      <c r="AZ15" s="38">
        <f>(AZ12*Inputs!AZ23)/12</f>
        <v>1458.3333333333333</v>
      </c>
      <c r="BA15" s="38">
        <f>(BA12*Inputs!BA23)/12</f>
        <v>1458.3333333333333</v>
      </c>
      <c r="BB15" s="38">
        <f>(BB12*Inputs!BB23)/12</f>
        <v>1458.3333333333333</v>
      </c>
      <c r="BC15" s="38">
        <f>(BC12*Inputs!BC23)/12</f>
        <v>1458.3333333333333</v>
      </c>
      <c r="BD15" s="38">
        <f>(BD12*Inputs!BD23)/12</f>
        <v>1458.3333333333333</v>
      </c>
      <c r="BE15" s="38">
        <f>(BE12*Inputs!BE23)/12</f>
        <v>1458.3333333333333</v>
      </c>
      <c r="BF15" s="38">
        <f>(BF12*Inputs!BF23)/12</f>
        <v>1458.3333333333333</v>
      </c>
      <c r="BG15" s="38">
        <f>(BG12*Inputs!BG23)/12</f>
        <v>1458.3333333333333</v>
      </c>
      <c r="BH15" s="38">
        <f>(BH12*Inputs!BH23)/12</f>
        <v>1458.3333333333333</v>
      </c>
      <c r="BI15" s="38">
        <f>(BI12*Inputs!BI23)/12</f>
        <v>1458.3333333333333</v>
      </c>
      <c r="BJ15" s="38">
        <f>(BJ12*Inputs!BJ23)/12</f>
        <v>1458.3333333333333</v>
      </c>
      <c r="BK15" s="38">
        <f>(BK12*Inputs!BK23)/12</f>
        <v>1458.3333333333333</v>
      </c>
      <c r="BL15" s="38">
        <f>(BL12*Inputs!BL23)/12</f>
        <v>1458.3333333333333</v>
      </c>
      <c r="BM15" s="38">
        <f>(BM12*Inputs!BM23)/12</f>
        <v>1458.3333333333333</v>
      </c>
      <c r="BN15" s="38">
        <f>(BN12*Inputs!BN23)/12</f>
        <v>1458.3333333333333</v>
      </c>
      <c r="BO15" s="38">
        <f>(BO12*Inputs!BO23)/12</f>
        <v>1458.3333333333333</v>
      </c>
      <c r="BP15" s="38">
        <f>(BP12*Inputs!BP23)/12</f>
        <v>1458.3333333333333</v>
      </c>
      <c r="BQ15" s="38">
        <f>(BQ12*Inputs!BQ23)/12</f>
        <v>1458.3333333333333</v>
      </c>
    </row>
    <row r="16" spans="1:69">
      <c r="B16" t="s">
        <v>205</v>
      </c>
      <c r="J16" s="38">
        <v>0</v>
      </c>
      <c r="K16" s="38">
        <v>0</v>
      </c>
      <c r="L16" s="38">
        <v>0</v>
      </c>
      <c r="M16" s="38">
        <v>0</v>
      </c>
      <c r="N16" s="38">
        <v>0</v>
      </c>
      <c r="O16" s="38">
        <v>0</v>
      </c>
      <c r="P16" s="38">
        <v>0</v>
      </c>
      <c r="Q16" s="38">
        <v>0</v>
      </c>
      <c r="R16" s="38">
        <v>0</v>
      </c>
      <c r="S16" s="38">
        <v>0</v>
      </c>
      <c r="T16" s="38">
        <v>0</v>
      </c>
      <c r="U16" s="38">
        <v>0</v>
      </c>
      <c r="V16" s="38">
        <v>0</v>
      </c>
      <c r="W16" s="38">
        <v>0</v>
      </c>
      <c r="X16" s="38">
        <v>0</v>
      </c>
      <c r="Y16" s="38">
        <v>0</v>
      </c>
      <c r="Z16" s="38">
        <v>0</v>
      </c>
      <c r="AA16" s="38">
        <v>0</v>
      </c>
      <c r="AB16" s="38">
        <v>0</v>
      </c>
      <c r="AC16" s="38">
        <v>0</v>
      </c>
      <c r="AD16" s="38">
        <v>0</v>
      </c>
      <c r="AE16" s="38">
        <v>0</v>
      </c>
      <c r="AF16" s="38">
        <v>0</v>
      </c>
      <c r="AG16" s="38">
        <v>0</v>
      </c>
      <c r="AH16" s="38">
        <v>0</v>
      </c>
      <c r="AI16" s="38">
        <v>0</v>
      </c>
      <c r="AJ16" s="38">
        <v>0</v>
      </c>
      <c r="AK16" s="38">
        <v>0</v>
      </c>
      <c r="AL16" s="38">
        <v>0</v>
      </c>
      <c r="AM16" s="38">
        <v>0</v>
      </c>
      <c r="AN16" s="38">
        <v>0</v>
      </c>
      <c r="AO16" s="38">
        <v>0</v>
      </c>
      <c r="AP16" s="38">
        <v>0</v>
      </c>
      <c r="AQ16" s="38">
        <v>0</v>
      </c>
      <c r="AR16" s="38">
        <v>0</v>
      </c>
      <c r="AS16" s="38">
        <v>0</v>
      </c>
      <c r="AT16" s="38">
        <v>0</v>
      </c>
      <c r="AU16" s="38">
        <v>0</v>
      </c>
      <c r="AV16" s="38">
        <v>0</v>
      </c>
      <c r="AW16" s="38">
        <v>0</v>
      </c>
      <c r="AX16" s="38">
        <v>0</v>
      </c>
      <c r="AY16" s="38">
        <v>0</v>
      </c>
      <c r="AZ16" s="38">
        <v>0</v>
      </c>
      <c r="BA16" s="38">
        <v>0</v>
      </c>
      <c r="BB16" s="38">
        <v>0</v>
      </c>
      <c r="BC16" s="38">
        <v>0</v>
      </c>
      <c r="BD16" s="38">
        <v>0</v>
      </c>
      <c r="BE16" s="38">
        <v>0</v>
      </c>
      <c r="BF16" s="38">
        <v>0</v>
      </c>
      <c r="BG16" s="38">
        <v>0</v>
      </c>
      <c r="BH16" s="38">
        <v>0</v>
      </c>
      <c r="BI16" s="38">
        <v>0</v>
      </c>
      <c r="BJ16" s="38">
        <v>0</v>
      </c>
      <c r="BK16" s="38">
        <v>0</v>
      </c>
      <c r="BL16" s="38">
        <v>0</v>
      </c>
      <c r="BM16" s="38">
        <v>0</v>
      </c>
      <c r="BN16" s="38">
        <v>0</v>
      </c>
      <c r="BO16" s="38">
        <v>0</v>
      </c>
      <c r="BP16" s="38">
        <v>0</v>
      </c>
      <c r="BQ16" s="38">
        <v>0</v>
      </c>
    </row>
    <row r="17" spans="2:69">
      <c r="B17" s="2" t="s">
        <v>206</v>
      </c>
      <c r="J17" s="38">
        <f>SUM(J14:J16)</f>
        <v>0</v>
      </c>
      <c r="K17" s="38">
        <f>SUM(K14:K16)</f>
        <v>0</v>
      </c>
      <c r="L17" s="38">
        <f t="shared" ref="L17:BE17" si="17">SUM(L14:L16)</f>
        <v>0</v>
      </c>
      <c r="M17" s="38">
        <f t="shared" si="17"/>
        <v>0</v>
      </c>
      <c r="N17" s="38">
        <f t="shared" si="17"/>
        <v>0</v>
      </c>
      <c r="O17" s="38">
        <f t="shared" si="17"/>
        <v>0</v>
      </c>
      <c r="P17" s="38">
        <f t="shared" si="17"/>
        <v>0</v>
      </c>
      <c r="Q17" s="38">
        <f t="shared" si="17"/>
        <v>0</v>
      </c>
      <c r="R17" s="38">
        <f t="shared" si="17"/>
        <v>0</v>
      </c>
      <c r="S17" s="38">
        <f t="shared" si="17"/>
        <v>0</v>
      </c>
      <c r="T17" s="38">
        <f t="shared" si="17"/>
        <v>364.58333333333331</v>
      </c>
      <c r="U17" s="38">
        <f t="shared" si="17"/>
        <v>1093.75</v>
      </c>
      <c r="V17" s="38">
        <f t="shared" si="17"/>
        <v>2187.5</v>
      </c>
      <c r="W17" s="38">
        <f t="shared" si="17"/>
        <v>3645.833333333333</v>
      </c>
      <c r="X17" s="38">
        <f t="shared" si="17"/>
        <v>5104.1666666666661</v>
      </c>
      <c r="Y17" s="38">
        <f t="shared" si="17"/>
        <v>6562.4999999999991</v>
      </c>
      <c r="Z17" s="38">
        <f t="shared" si="17"/>
        <v>8020.8333333333321</v>
      </c>
      <c r="AA17" s="38">
        <f t="shared" si="17"/>
        <v>9479.1666666666661</v>
      </c>
      <c r="AB17" s="38">
        <f t="shared" si="17"/>
        <v>10937.5</v>
      </c>
      <c r="AC17" s="38">
        <f t="shared" si="17"/>
        <v>12395.833333333334</v>
      </c>
      <c r="AD17" s="38">
        <f t="shared" si="17"/>
        <v>13854.166666666668</v>
      </c>
      <c r="AE17" s="38">
        <f t="shared" si="17"/>
        <v>15312.500000000002</v>
      </c>
      <c r="AF17" s="38">
        <f t="shared" si="17"/>
        <v>16770.833333333336</v>
      </c>
      <c r="AG17" s="38">
        <f t="shared" si="17"/>
        <v>18229.166666666668</v>
      </c>
      <c r="AH17" s="38">
        <f t="shared" si="17"/>
        <v>19687.5</v>
      </c>
      <c r="AI17" s="38">
        <f t="shared" si="17"/>
        <v>21145.833333333332</v>
      </c>
      <c r="AJ17" s="38">
        <f t="shared" si="17"/>
        <v>22604.166666666664</v>
      </c>
      <c r="AK17" s="38">
        <f t="shared" si="17"/>
        <v>24062.499999999996</v>
      </c>
      <c r="AL17" s="38">
        <f t="shared" si="17"/>
        <v>25520.833333333328</v>
      </c>
      <c r="AM17" s="38">
        <f t="shared" si="17"/>
        <v>26979.166666666661</v>
      </c>
      <c r="AN17" s="38">
        <f t="shared" si="17"/>
        <v>28437.499999999993</v>
      </c>
      <c r="AO17" s="38">
        <f t="shared" si="17"/>
        <v>29895.833333333325</v>
      </c>
      <c r="AP17" s="38">
        <f t="shared" si="17"/>
        <v>31354.166666666657</v>
      </c>
      <c r="AQ17" s="38">
        <f t="shared" si="17"/>
        <v>32812.499999999993</v>
      </c>
      <c r="AR17" s="38">
        <f t="shared" si="17"/>
        <v>34270.833333333328</v>
      </c>
      <c r="AS17" s="38">
        <f t="shared" si="17"/>
        <v>35729.166666666664</v>
      </c>
      <c r="AT17" s="38">
        <f t="shared" si="17"/>
        <v>37187.5</v>
      </c>
      <c r="AU17" s="38">
        <f t="shared" si="17"/>
        <v>38645.833333333336</v>
      </c>
      <c r="AV17" s="38">
        <f t="shared" si="17"/>
        <v>40104.166666666672</v>
      </c>
      <c r="AW17" s="38">
        <f t="shared" si="17"/>
        <v>41562.500000000007</v>
      </c>
      <c r="AX17" s="38">
        <f t="shared" si="17"/>
        <v>43020.833333333343</v>
      </c>
      <c r="AY17" s="38">
        <f t="shared" si="17"/>
        <v>44479.166666666679</v>
      </c>
      <c r="AZ17" s="38">
        <f t="shared" si="17"/>
        <v>45937.500000000015</v>
      </c>
      <c r="BA17" s="38">
        <f t="shared" si="17"/>
        <v>47395.83333333335</v>
      </c>
      <c r="BB17" s="38">
        <f t="shared" si="17"/>
        <v>48854.166666666686</v>
      </c>
      <c r="BC17" s="38">
        <f t="shared" si="17"/>
        <v>50312.500000000022</v>
      </c>
      <c r="BD17" s="38">
        <f t="shared" si="17"/>
        <v>51770.833333333358</v>
      </c>
      <c r="BE17" s="38">
        <f t="shared" si="17"/>
        <v>53229.166666666693</v>
      </c>
      <c r="BF17" s="38">
        <f t="shared" ref="BF17:BQ17" si="18">SUM(BF14:BF16)</f>
        <v>54687.500000000029</v>
      </c>
      <c r="BG17" s="38">
        <f t="shared" si="18"/>
        <v>56145.833333333365</v>
      </c>
      <c r="BH17" s="38">
        <f t="shared" si="18"/>
        <v>57604.166666666701</v>
      </c>
      <c r="BI17" s="38">
        <f t="shared" si="18"/>
        <v>59062.500000000036</v>
      </c>
      <c r="BJ17" s="38">
        <f t="shared" si="18"/>
        <v>60520.833333333372</v>
      </c>
      <c r="BK17" s="38">
        <f t="shared" si="18"/>
        <v>61979.166666666708</v>
      </c>
      <c r="BL17" s="38">
        <f t="shared" si="18"/>
        <v>63437.500000000044</v>
      </c>
      <c r="BM17" s="38">
        <f t="shared" si="18"/>
        <v>64895.833333333379</v>
      </c>
      <c r="BN17" s="38">
        <f t="shared" si="18"/>
        <v>66354.166666666715</v>
      </c>
      <c r="BO17" s="38">
        <f t="shared" si="18"/>
        <v>67812.500000000044</v>
      </c>
      <c r="BP17" s="38">
        <f t="shared" si="18"/>
        <v>69270.833333333372</v>
      </c>
      <c r="BQ17" s="38">
        <f t="shared" si="18"/>
        <v>70729.166666666701</v>
      </c>
    </row>
    <row r="18" spans="2:69">
      <c r="B18" s="12"/>
      <c r="C18" s="12"/>
      <c r="D18" s="12"/>
      <c r="E18" s="12"/>
      <c r="F18" s="12"/>
      <c r="G18" s="12"/>
      <c r="H18" s="12"/>
      <c r="I18" s="12"/>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s="40"/>
      <c r="BE18" s="40"/>
      <c r="BF18" s="40"/>
      <c r="BG18" s="40"/>
      <c r="BH18" s="40"/>
      <c r="BI18" s="40"/>
      <c r="BJ18" s="40"/>
      <c r="BK18" s="40"/>
      <c r="BL18" s="40"/>
      <c r="BM18" s="40"/>
      <c r="BN18" s="40"/>
      <c r="BO18" s="40"/>
      <c r="BP18" s="40"/>
      <c r="BQ18" s="40"/>
    </row>
    <row r="19" spans="2:69">
      <c r="B19" s="2" t="s">
        <v>207</v>
      </c>
      <c r="J19" s="38">
        <f>J12-J17</f>
        <v>0</v>
      </c>
      <c r="K19" s="38">
        <f>K12-K17</f>
        <v>0</v>
      </c>
      <c r="L19" s="38">
        <f t="shared" ref="L19:BE19" si="19">L12-L17</f>
        <v>0</v>
      </c>
      <c r="M19" s="38">
        <f t="shared" si="19"/>
        <v>0</v>
      </c>
      <c r="N19" s="38">
        <f t="shared" si="19"/>
        <v>0</v>
      </c>
      <c r="O19" s="38">
        <f t="shared" si="19"/>
        <v>0</v>
      </c>
      <c r="P19" s="38">
        <f t="shared" si="19"/>
        <v>0</v>
      </c>
      <c r="Q19" s="38">
        <f t="shared" si="19"/>
        <v>0</v>
      </c>
      <c r="R19" s="38">
        <f t="shared" si="19"/>
        <v>0</v>
      </c>
      <c r="S19" s="38">
        <f t="shared" si="19"/>
        <v>0</v>
      </c>
      <c r="T19" s="38">
        <f>T12-T17</f>
        <v>34635.416666666664</v>
      </c>
      <c r="U19" s="38">
        <f t="shared" si="19"/>
        <v>68906.25</v>
      </c>
      <c r="V19" s="38">
        <f t="shared" si="19"/>
        <v>102812.5</v>
      </c>
      <c r="W19" s="38">
        <f t="shared" si="19"/>
        <v>136354.16666666666</v>
      </c>
      <c r="X19" s="38">
        <f t="shared" si="19"/>
        <v>134895.83333333334</v>
      </c>
      <c r="Y19" s="38">
        <f t="shared" si="19"/>
        <v>133437.5</v>
      </c>
      <c r="Z19" s="38">
        <f t="shared" si="19"/>
        <v>131979.16666666666</v>
      </c>
      <c r="AA19" s="38">
        <f t="shared" si="19"/>
        <v>130520.83333333333</v>
      </c>
      <c r="AB19" s="38">
        <f t="shared" si="19"/>
        <v>129062.5</v>
      </c>
      <c r="AC19" s="38">
        <f t="shared" si="19"/>
        <v>127604.16666666667</v>
      </c>
      <c r="AD19" s="38">
        <f t="shared" si="19"/>
        <v>126145.83333333333</v>
      </c>
      <c r="AE19" s="38">
        <f t="shared" si="19"/>
        <v>124687.5</v>
      </c>
      <c r="AF19" s="38">
        <f t="shared" si="19"/>
        <v>123229.16666666666</v>
      </c>
      <c r="AG19" s="38">
        <f t="shared" si="19"/>
        <v>121770.83333333333</v>
      </c>
      <c r="AH19" s="38">
        <f t="shared" si="19"/>
        <v>120312.5</v>
      </c>
      <c r="AI19" s="38">
        <f t="shared" si="19"/>
        <v>118854.16666666667</v>
      </c>
      <c r="AJ19" s="38">
        <f t="shared" si="19"/>
        <v>117395.83333333334</v>
      </c>
      <c r="AK19" s="38">
        <f t="shared" si="19"/>
        <v>115937.5</v>
      </c>
      <c r="AL19" s="38">
        <f t="shared" si="19"/>
        <v>114479.16666666667</v>
      </c>
      <c r="AM19" s="38">
        <f t="shared" si="19"/>
        <v>113020.83333333334</v>
      </c>
      <c r="AN19" s="38">
        <f t="shared" si="19"/>
        <v>111562.5</v>
      </c>
      <c r="AO19" s="38">
        <f t="shared" si="19"/>
        <v>110104.16666666667</v>
      </c>
      <c r="AP19" s="38">
        <f t="shared" si="19"/>
        <v>108645.83333333334</v>
      </c>
      <c r="AQ19" s="38">
        <f t="shared" si="19"/>
        <v>107187.5</v>
      </c>
      <c r="AR19" s="38">
        <f t="shared" si="19"/>
        <v>105729.16666666667</v>
      </c>
      <c r="AS19" s="38">
        <f t="shared" si="19"/>
        <v>104270.83333333334</v>
      </c>
      <c r="AT19" s="38">
        <f t="shared" si="19"/>
        <v>102812.5</v>
      </c>
      <c r="AU19" s="38">
        <f t="shared" si="19"/>
        <v>101354.16666666666</v>
      </c>
      <c r="AV19" s="38">
        <f t="shared" si="19"/>
        <v>99895.833333333328</v>
      </c>
      <c r="AW19" s="38">
        <f t="shared" si="19"/>
        <v>98437.5</v>
      </c>
      <c r="AX19" s="38">
        <f t="shared" si="19"/>
        <v>96979.166666666657</v>
      </c>
      <c r="AY19" s="38">
        <f t="shared" si="19"/>
        <v>95520.833333333314</v>
      </c>
      <c r="AZ19" s="38">
        <f t="shared" si="19"/>
        <v>94062.499999999985</v>
      </c>
      <c r="BA19" s="38">
        <f t="shared" si="19"/>
        <v>92604.166666666657</v>
      </c>
      <c r="BB19" s="38">
        <f t="shared" si="19"/>
        <v>91145.833333333314</v>
      </c>
      <c r="BC19" s="38">
        <f t="shared" si="19"/>
        <v>89687.499999999971</v>
      </c>
      <c r="BD19" s="38">
        <f t="shared" si="19"/>
        <v>88229.166666666642</v>
      </c>
      <c r="BE19" s="38">
        <f t="shared" si="19"/>
        <v>86770.833333333314</v>
      </c>
      <c r="BF19" s="38">
        <f t="shared" ref="BF19:BQ19" si="20">BF12-BF17</f>
        <v>85312.499999999971</v>
      </c>
      <c r="BG19" s="38">
        <f t="shared" si="20"/>
        <v>83854.166666666628</v>
      </c>
      <c r="BH19" s="38">
        <f t="shared" si="20"/>
        <v>82395.833333333299</v>
      </c>
      <c r="BI19" s="38">
        <f t="shared" si="20"/>
        <v>80937.499999999971</v>
      </c>
      <c r="BJ19" s="38">
        <f t="shared" si="20"/>
        <v>79479.166666666628</v>
      </c>
      <c r="BK19" s="38">
        <f t="shared" si="20"/>
        <v>78020.833333333285</v>
      </c>
      <c r="BL19" s="38">
        <f t="shared" si="20"/>
        <v>76562.499999999956</v>
      </c>
      <c r="BM19" s="38">
        <f t="shared" si="20"/>
        <v>75104.166666666628</v>
      </c>
      <c r="BN19" s="38">
        <f t="shared" si="20"/>
        <v>73645.833333333285</v>
      </c>
      <c r="BO19" s="38">
        <f t="shared" si="20"/>
        <v>72187.499999999956</v>
      </c>
      <c r="BP19" s="38">
        <f t="shared" si="20"/>
        <v>70729.166666666628</v>
      </c>
      <c r="BQ19" s="38">
        <f t="shared" si="20"/>
        <v>69270.833333333299</v>
      </c>
    </row>
    <row r="20" spans="2:69">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c r="AI20" s="38"/>
      <c r="AJ20" s="38"/>
      <c r="AK20" s="38"/>
      <c r="AL20" s="38"/>
      <c r="AM20" s="38"/>
      <c r="AN20" s="38"/>
      <c r="AO20" s="38"/>
      <c r="AP20" s="38"/>
      <c r="AQ20" s="38"/>
      <c r="AR20" s="38"/>
      <c r="AS20" s="38"/>
      <c r="AT20" s="38"/>
      <c r="AU20" s="38"/>
      <c r="AV20" s="38"/>
      <c r="AW20" s="38"/>
      <c r="AX20" s="38"/>
      <c r="AY20" s="38"/>
      <c r="AZ20" s="38"/>
      <c r="BA20" s="38"/>
      <c r="BB20" s="38"/>
      <c r="BC20" s="38"/>
      <c r="BD20" s="38"/>
      <c r="BE20" s="38"/>
      <c r="BF20" s="38"/>
      <c r="BG20" s="38"/>
      <c r="BH20" s="38"/>
      <c r="BI20" s="38"/>
      <c r="BJ20" s="38"/>
      <c r="BK20" s="38"/>
      <c r="BL20" s="38"/>
      <c r="BM20" s="38"/>
      <c r="BN20" s="38"/>
      <c r="BO20" s="38"/>
      <c r="BP20" s="38"/>
      <c r="BQ20" s="38"/>
    </row>
    <row r="21" spans="2:69">
      <c r="J21" s="38"/>
      <c r="K21" s="38"/>
      <c r="L21" s="38"/>
      <c r="M21" s="38"/>
      <c r="N21" s="38"/>
      <c r="O21" s="38"/>
      <c r="P21" s="38"/>
      <c r="Q21" s="38"/>
      <c r="R21" s="38"/>
      <c r="S21" s="38"/>
      <c r="T21" s="38"/>
      <c r="U21" s="38"/>
      <c r="V21" s="38"/>
      <c r="W21" s="38"/>
      <c r="X21" s="38"/>
      <c r="Y21" s="38"/>
      <c r="Z21" s="38"/>
      <c r="AA21" s="38"/>
      <c r="AB21" s="38"/>
      <c r="AC21" s="38"/>
      <c r="AD21" s="38"/>
      <c r="AE21" s="38"/>
      <c r="AF21" s="38"/>
      <c r="AG21" s="38"/>
      <c r="AH21" s="38"/>
      <c r="AI21" s="38"/>
      <c r="AJ21" s="38"/>
      <c r="AK21" s="38"/>
      <c r="AL21" s="38"/>
      <c r="AM21" s="38"/>
      <c r="AN21" s="38"/>
      <c r="AO21" s="38"/>
      <c r="AP21" s="38"/>
      <c r="AQ21" s="38"/>
      <c r="AR21" s="38"/>
      <c r="AS21" s="38"/>
      <c r="AT21" s="38"/>
      <c r="AU21" s="38"/>
      <c r="AV21" s="38"/>
      <c r="AW21" s="38"/>
      <c r="AX21" s="38"/>
      <c r="AY21" s="38"/>
      <c r="AZ21" s="38"/>
      <c r="BA21" s="38"/>
      <c r="BB21" s="38"/>
      <c r="BC21" s="38"/>
      <c r="BD21" s="38"/>
      <c r="BE21" s="38"/>
      <c r="BF21" s="38"/>
      <c r="BG21" s="38"/>
      <c r="BH21" s="38"/>
      <c r="BI21" s="38"/>
      <c r="BJ21" s="38"/>
      <c r="BK21" s="38"/>
      <c r="BL21" s="38"/>
      <c r="BM21" s="38"/>
      <c r="BN21" s="38"/>
      <c r="BO21" s="38"/>
      <c r="BP21" s="38"/>
      <c r="BQ21" s="38"/>
    </row>
    <row r="22" spans="2:69">
      <c r="B22" s="2" t="s">
        <v>208</v>
      </c>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row>
    <row r="23" spans="2:69">
      <c r="B23" s="2"/>
      <c r="J23" s="38"/>
      <c r="K23" s="38"/>
      <c r="L23" s="38"/>
      <c r="M23" s="38"/>
      <c r="N23" s="38"/>
      <c r="O23" s="38"/>
      <c r="P23" s="38"/>
      <c r="Q23" s="38"/>
      <c r="R23" s="38"/>
      <c r="S23" s="38"/>
      <c r="T23" s="38"/>
      <c r="U23" s="38"/>
      <c r="V23" s="38"/>
      <c r="W23" s="38"/>
      <c r="X23" s="38"/>
      <c r="Y23" s="38"/>
      <c r="Z23" s="38"/>
      <c r="AA23" s="38"/>
      <c r="AB23" s="38"/>
      <c r="AC23" s="38"/>
      <c r="AD23" s="38"/>
      <c r="AE23" s="38"/>
      <c r="AF23" s="38"/>
      <c r="AG23" s="38"/>
      <c r="AH23" s="38"/>
      <c r="AI23" s="38"/>
      <c r="AJ23" s="38"/>
      <c r="AK23" s="38"/>
      <c r="AL23" s="38"/>
      <c r="AM23" s="38"/>
      <c r="AN23" s="38"/>
      <c r="AO23" s="38"/>
      <c r="AP23" s="38"/>
      <c r="AQ23" s="38"/>
      <c r="AR23" s="38"/>
      <c r="AS23" s="38"/>
      <c r="AT23" s="38"/>
      <c r="AU23" s="38"/>
      <c r="AV23" s="38"/>
      <c r="AW23" s="38"/>
      <c r="AX23" s="38"/>
      <c r="AY23" s="38"/>
      <c r="AZ23" s="38"/>
      <c r="BA23" s="38"/>
      <c r="BB23" s="38"/>
      <c r="BC23" s="38"/>
      <c r="BD23" s="38"/>
      <c r="BE23" s="38"/>
      <c r="BF23" s="38"/>
      <c r="BG23" s="38"/>
      <c r="BH23" s="38"/>
      <c r="BI23" s="38"/>
      <c r="BJ23" s="38"/>
      <c r="BK23" s="38"/>
      <c r="BL23" s="38"/>
      <c r="BM23" s="38"/>
      <c r="BN23" s="38"/>
      <c r="BO23" s="38"/>
      <c r="BP23" s="38"/>
      <c r="BQ23" s="38"/>
    </row>
    <row r="24" spans="2:69">
      <c r="B24" s="2" t="s">
        <v>217</v>
      </c>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row>
    <row r="25" spans="2:69">
      <c r="B25" t="s">
        <v>199</v>
      </c>
      <c r="J25" s="38">
        <v>0</v>
      </c>
      <c r="K25" s="38">
        <f>J28</f>
        <v>0</v>
      </c>
      <c r="L25" s="38">
        <f t="shared" ref="L25:BE25" si="21">K28</f>
        <v>0</v>
      </c>
      <c r="M25" s="38">
        <f t="shared" si="21"/>
        <v>0</v>
      </c>
      <c r="N25" s="38">
        <f t="shared" si="21"/>
        <v>0</v>
      </c>
      <c r="O25" s="38">
        <f t="shared" si="21"/>
        <v>0</v>
      </c>
      <c r="P25" s="38">
        <f t="shared" si="21"/>
        <v>0</v>
      </c>
      <c r="Q25" s="38">
        <f t="shared" si="21"/>
        <v>0</v>
      </c>
      <c r="R25" s="38">
        <f t="shared" si="21"/>
        <v>0</v>
      </c>
      <c r="S25" s="38">
        <f t="shared" si="21"/>
        <v>0</v>
      </c>
      <c r="T25" s="38">
        <f t="shared" si="21"/>
        <v>2470</v>
      </c>
      <c r="U25" s="38">
        <f t="shared" si="21"/>
        <v>14820</v>
      </c>
      <c r="V25" s="38">
        <f t="shared" si="21"/>
        <v>27170</v>
      </c>
      <c r="W25" s="38">
        <f t="shared" si="21"/>
        <v>39520</v>
      </c>
      <c r="X25" s="38">
        <f t="shared" si="21"/>
        <v>64220</v>
      </c>
      <c r="Y25" s="38">
        <f t="shared" si="21"/>
        <v>88920</v>
      </c>
      <c r="Z25" s="38">
        <f t="shared" si="21"/>
        <v>113620</v>
      </c>
      <c r="AA25" s="38">
        <f t="shared" si="21"/>
        <v>138320</v>
      </c>
      <c r="AB25" s="38">
        <f t="shared" si="21"/>
        <v>163020</v>
      </c>
      <c r="AC25" s="38">
        <f t="shared" si="21"/>
        <v>187720</v>
      </c>
      <c r="AD25" s="38">
        <f t="shared" si="21"/>
        <v>212420</v>
      </c>
      <c r="AE25" s="38">
        <f t="shared" si="21"/>
        <v>237120</v>
      </c>
      <c r="AF25" s="38">
        <f t="shared" si="21"/>
        <v>261820</v>
      </c>
      <c r="AG25" s="38">
        <f t="shared" si="21"/>
        <v>286520</v>
      </c>
      <c r="AH25" s="38">
        <f t="shared" si="21"/>
        <v>311220</v>
      </c>
      <c r="AI25" s="38">
        <f t="shared" si="21"/>
        <v>340860</v>
      </c>
      <c r="AJ25" s="38">
        <f t="shared" si="21"/>
        <v>370500</v>
      </c>
      <c r="AK25" s="38">
        <f t="shared" si="21"/>
        <v>400140</v>
      </c>
      <c r="AL25" s="38">
        <f t="shared" si="21"/>
        <v>429780</v>
      </c>
      <c r="AM25" s="38">
        <f t="shared" si="21"/>
        <v>459420</v>
      </c>
      <c r="AN25" s="38">
        <f t="shared" si="21"/>
        <v>489060</v>
      </c>
      <c r="AO25" s="38">
        <f t="shared" si="21"/>
        <v>518700</v>
      </c>
      <c r="AP25" s="38">
        <f t="shared" si="21"/>
        <v>548340</v>
      </c>
      <c r="AQ25" s="38">
        <f t="shared" si="21"/>
        <v>577980</v>
      </c>
      <c r="AR25" s="38">
        <f t="shared" si="21"/>
        <v>607620</v>
      </c>
      <c r="AS25" s="38">
        <f t="shared" si="21"/>
        <v>637260</v>
      </c>
      <c r="AT25" s="38">
        <f t="shared" si="21"/>
        <v>666900</v>
      </c>
      <c r="AU25" s="38">
        <f t="shared" si="21"/>
        <v>701480</v>
      </c>
      <c r="AV25" s="38">
        <f t="shared" si="21"/>
        <v>736060</v>
      </c>
      <c r="AW25" s="38">
        <f t="shared" si="21"/>
        <v>770640</v>
      </c>
      <c r="AX25" s="38">
        <f t="shared" si="21"/>
        <v>805220</v>
      </c>
      <c r="AY25" s="38">
        <f t="shared" si="21"/>
        <v>839800</v>
      </c>
      <c r="AZ25" s="38">
        <f t="shared" si="21"/>
        <v>874380</v>
      </c>
      <c r="BA25" s="38">
        <f t="shared" si="21"/>
        <v>908960</v>
      </c>
      <c r="BB25" s="38">
        <f t="shared" si="21"/>
        <v>943540</v>
      </c>
      <c r="BC25" s="38">
        <f t="shared" si="21"/>
        <v>978120</v>
      </c>
      <c r="BD25" s="38">
        <f t="shared" si="21"/>
        <v>1012700</v>
      </c>
      <c r="BE25" s="38">
        <f t="shared" si="21"/>
        <v>1047280</v>
      </c>
      <c r="BF25" s="38">
        <f t="shared" ref="BF25" si="22">BE28</f>
        <v>1081860</v>
      </c>
      <c r="BG25" s="38">
        <f t="shared" ref="BG25" si="23">BF28</f>
        <v>1121380</v>
      </c>
      <c r="BH25" s="38">
        <f t="shared" ref="BH25" si="24">BG28</f>
        <v>1160900</v>
      </c>
      <c r="BI25" s="38">
        <f t="shared" ref="BI25" si="25">BH28</f>
        <v>1200420</v>
      </c>
      <c r="BJ25" s="38">
        <f t="shared" ref="BJ25" si="26">BI28</f>
        <v>1239940</v>
      </c>
      <c r="BK25" s="38">
        <f t="shared" ref="BK25" si="27">BJ28</f>
        <v>1279460</v>
      </c>
      <c r="BL25" s="38">
        <f t="shared" ref="BL25" si="28">BK28</f>
        <v>1318980</v>
      </c>
      <c r="BM25" s="38">
        <f t="shared" ref="BM25" si="29">BL28</f>
        <v>1358500</v>
      </c>
      <c r="BN25" s="38">
        <f t="shared" ref="BN25" si="30">BM28</f>
        <v>1398020</v>
      </c>
      <c r="BO25" s="38">
        <f t="shared" ref="BO25" si="31">BN28</f>
        <v>1437540</v>
      </c>
      <c r="BP25" s="38">
        <f t="shared" ref="BP25" si="32">BO28</f>
        <v>1477060</v>
      </c>
      <c r="BQ25" s="38">
        <f t="shared" ref="BQ25" si="33">BP28</f>
        <v>1516580</v>
      </c>
    </row>
    <row r="26" spans="2:69">
      <c r="B26" t="s">
        <v>200</v>
      </c>
      <c r="J26" s="38">
        <f>J88</f>
        <v>0</v>
      </c>
      <c r="K26" s="38">
        <f t="shared" ref="K26:BE26" si="34">K88</f>
        <v>0</v>
      </c>
      <c r="L26" s="38">
        <f t="shared" si="34"/>
        <v>0</v>
      </c>
      <c r="M26" s="38">
        <f t="shared" si="34"/>
        <v>0</v>
      </c>
      <c r="N26" s="38">
        <f t="shared" si="34"/>
        <v>0</v>
      </c>
      <c r="O26" s="38">
        <f t="shared" si="34"/>
        <v>0</v>
      </c>
      <c r="P26" s="38">
        <f t="shared" si="34"/>
        <v>0</v>
      </c>
      <c r="Q26" s="38">
        <f t="shared" si="34"/>
        <v>0</v>
      </c>
      <c r="R26" s="38">
        <f t="shared" si="34"/>
        <v>0</v>
      </c>
      <c r="S26" s="38">
        <f t="shared" si="34"/>
        <v>2470</v>
      </c>
      <c r="T26" s="38">
        <f t="shared" si="34"/>
        <v>12350</v>
      </c>
      <c r="U26" s="38">
        <f t="shared" si="34"/>
        <v>12350</v>
      </c>
      <c r="V26" s="38">
        <f t="shared" si="34"/>
        <v>12350</v>
      </c>
      <c r="W26" s="38">
        <f t="shared" si="34"/>
        <v>24700</v>
      </c>
      <c r="X26" s="38">
        <f t="shared" si="34"/>
        <v>24700</v>
      </c>
      <c r="Y26" s="38">
        <f t="shared" si="34"/>
        <v>24700</v>
      </c>
      <c r="Z26" s="38">
        <f t="shared" si="34"/>
        <v>24700</v>
      </c>
      <c r="AA26" s="38">
        <f t="shared" si="34"/>
        <v>24700</v>
      </c>
      <c r="AB26" s="38">
        <f t="shared" si="34"/>
        <v>24700</v>
      </c>
      <c r="AC26" s="38">
        <f t="shared" si="34"/>
        <v>24700</v>
      </c>
      <c r="AD26" s="38">
        <f t="shared" si="34"/>
        <v>24700</v>
      </c>
      <c r="AE26" s="38">
        <f t="shared" si="34"/>
        <v>24700</v>
      </c>
      <c r="AF26" s="38">
        <f t="shared" si="34"/>
        <v>24700</v>
      </c>
      <c r="AG26" s="38">
        <f t="shared" si="34"/>
        <v>24700</v>
      </c>
      <c r="AH26" s="38">
        <f t="shared" si="34"/>
        <v>29640</v>
      </c>
      <c r="AI26" s="38">
        <f t="shared" si="34"/>
        <v>29640</v>
      </c>
      <c r="AJ26" s="38">
        <f t="shared" si="34"/>
        <v>29640</v>
      </c>
      <c r="AK26" s="38">
        <f t="shared" si="34"/>
        <v>29640</v>
      </c>
      <c r="AL26" s="38">
        <f t="shared" si="34"/>
        <v>29640</v>
      </c>
      <c r="AM26" s="38">
        <f t="shared" si="34"/>
        <v>29640</v>
      </c>
      <c r="AN26" s="38">
        <f t="shared" si="34"/>
        <v>29640</v>
      </c>
      <c r="AO26" s="38">
        <f t="shared" si="34"/>
        <v>29640</v>
      </c>
      <c r="AP26" s="38">
        <f t="shared" si="34"/>
        <v>29640</v>
      </c>
      <c r="AQ26" s="38">
        <f t="shared" si="34"/>
        <v>29640</v>
      </c>
      <c r="AR26" s="38">
        <f t="shared" si="34"/>
        <v>29640</v>
      </c>
      <c r="AS26" s="38">
        <f t="shared" si="34"/>
        <v>29640</v>
      </c>
      <c r="AT26" s="38">
        <f t="shared" si="34"/>
        <v>34580</v>
      </c>
      <c r="AU26" s="38">
        <f t="shared" si="34"/>
        <v>34580</v>
      </c>
      <c r="AV26" s="38">
        <f t="shared" si="34"/>
        <v>34580</v>
      </c>
      <c r="AW26" s="38">
        <f t="shared" si="34"/>
        <v>34580</v>
      </c>
      <c r="AX26" s="38">
        <f t="shared" si="34"/>
        <v>34580</v>
      </c>
      <c r="AY26" s="38">
        <f t="shared" si="34"/>
        <v>34580</v>
      </c>
      <c r="AZ26" s="38">
        <f t="shared" si="34"/>
        <v>34580</v>
      </c>
      <c r="BA26" s="38">
        <f t="shared" si="34"/>
        <v>34580</v>
      </c>
      <c r="BB26" s="38">
        <f t="shared" si="34"/>
        <v>34580</v>
      </c>
      <c r="BC26" s="38">
        <f t="shared" si="34"/>
        <v>34580</v>
      </c>
      <c r="BD26" s="38">
        <f t="shared" si="34"/>
        <v>34580</v>
      </c>
      <c r="BE26" s="38">
        <f t="shared" si="34"/>
        <v>34580</v>
      </c>
      <c r="BF26" s="38">
        <f t="shared" ref="BF26:BQ26" si="35">BF88</f>
        <v>39520</v>
      </c>
      <c r="BG26" s="38">
        <f t="shared" si="35"/>
        <v>39520</v>
      </c>
      <c r="BH26" s="38">
        <f t="shared" si="35"/>
        <v>39520</v>
      </c>
      <c r="BI26" s="38">
        <f t="shared" si="35"/>
        <v>39520</v>
      </c>
      <c r="BJ26" s="38">
        <f t="shared" si="35"/>
        <v>39520</v>
      </c>
      <c r="BK26" s="38">
        <f t="shared" si="35"/>
        <v>39520</v>
      </c>
      <c r="BL26" s="38">
        <f t="shared" si="35"/>
        <v>39520</v>
      </c>
      <c r="BM26" s="38">
        <f t="shared" si="35"/>
        <v>39520</v>
      </c>
      <c r="BN26" s="38">
        <f t="shared" si="35"/>
        <v>39520</v>
      </c>
      <c r="BO26" s="38">
        <f t="shared" si="35"/>
        <v>39520</v>
      </c>
      <c r="BP26" s="38">
        <f t="shared" si="35"/>
        <v>39520</v>
      </c>
      <c r="BQ26" s="38">
        <f t="shared" si="35"/>
        <v>39520</v>
      </c>
    </row>
    <row r="27" spans="2:69">
      <c r="B27" s="12" t="s">
        <v>201</v>
      </c>
      <c r="C27" s="12"/>
      <c r="D27" s="12"/>
      <c r="E27" s="12"/>
      <c r="F27" s="12"/>
      <c r="G27" s="12"/>
      <c r="H27" s="12"/>
      <c r="I27" s="12"/>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s="40"/>
      <c r="BE27" s="40"/>
      <c r="BF27" s="40"/>
      <c r="BG27" s="40"/>
      <c r="BH27" s="40"/>
      <c r="BI27" s="40"/>
      <c r="BJ27" s="40"/>
      <c r="BK27" s="40"/>
      <c r="BL27" s="40"/>
      <c r="BM27" s="40"/>
      <c r="BN27" s="40"/>
      <c r="BO27" s="40"/>
      <c r="BP27" s="40"/>
      <c r="BQ27" s="40"/>
    </row>
    <row r="28" spans="2:69">
      <c r="B28" s="2" t="s">
        <v>202</v>
      </c>
      <c r="J28" s="38">
        <f>SUM(J25:J27)</f>
        <v>0</v>
      </c>
      <c r="K28" s="38">
        <f>SUM(K25:K27)</f>
        <v>0</v>
      </c>
      <c r="L28" s="38">
        <f t="shared" ref="L28:BE28" si="36">SUM(L25:L27)</f>
        <v>0</v>
      </c>
      <c r="M28" s="38">
        <f t="shared" si="36"/>
        <v>0</v>
      </c>
      <c r="N28" s="38">
        <f t="shared" si="36"/>
        <v>0</v>
      </c>
      <c r="O28" s="38">
        <f t="shared" si="36"/>
        <v>0</v>
      </c>
      <c r="P28" s="38">
        <f t="shared" si="36"/>
        <v>0</v>
      </c>
      <c r="Q28" s="38">
        <f t="shared" si="36"/>
        <v>0</v>
      </c>
      <c r="R28" s="38">
        <f t="shared" si="36"/>
        <v>0</v>
      </c>
      <c r="S28" s="38">
        <f t="shared" si="36"/>
        <v>2470</v>
      </c>
      <c r="T28" s="38">
        <f t="shared" si="36"/>
        <v>14820</v>
      </c>
      <c r="U28" s="38">
        <f t="shared" si="36"/>
        <v>27170</v>
      </c>
      <c r="V28" s="38">
        <f t="shared" si="36"/>
        <v>39520</v>
      </c>
      <c r="W28" s="38">
        <f t="shared" si="36"/>
        <v>64220</v>
      </c>
      <c r="X28" s="38">
        <f t="shared" si="36"/>
        <v>88920</v>
      </c>
      <c r="Y28" s="38">
        <f t="shared" si="36"/>
        <v>113620</v>
      </c>
      <c r="Z28" s="38">
        <f t="shared" si="36"/>
        <v>138320</v>
      </c>
      <c r="AA28" s="38">
        <f t="shared" si="36"/>
        <v>163020</v>
      </c>
      <c r="AB28" s="38">
        <f t="shared" si="36"/>
        <v>187720</v>
      </c>
      <c r="AC28" s="38">
        <f t="shared" si="36"/>
        <v>212420</v>
      </c>
      <c r="AD28" s="38">
        <f t="shared" si="36"/>
        <v>237120</v>
      </c>
      <c r="AE28" s="38">
        <f t="shared" si="36"/>
        <v>261820</v>
      </c>
      <c r="AF28" s="38">
        <f t="shared" si="36"/>
        <v>286520</v>
      </c>
      <c r="AG28" s="38">
        <f t="shared" si="36"/>
        <v>311220</v>
      </c>
      <c r="AH28" s="38">
        <f t="shared" si="36"/>
        <v>340860</v>
      </c>
      <c r="AI28" s="38">
        <f t="shared" si="36"/>
        <v>370500</v>
      </c>
      <c r="AJ28" s="38">
        <f t="shared" si="36"/>
        <v>400140</v>
      </c>
      <c r="AK28" s="38">
        <f t="shared" si="36"/>
        <v>429780</v>
      </c>
      <c r="AL28" s="38">
        <f t="shared" si="36"/>
        <v>459420</v>
      </c>
      <c r="AM28" s="38">
        <f t="shared" si="36"/>
        <v>489060</v>
      </c>
      <c r="AN28" s="38">
        <f t="shared" si="36"/>
        <v>518700</v>
      </c>
      <c r="AO28" s="38">
        <f t="shared" si="36"/>
        <v>548340</v>
      </c>
      <c r="AP28" s="38">
        <f t="shared" si="36"/>
        <v>577980</v>
      </c>
      <c r="AQ28" s="38">
        <f t="shared" si="36"/>
        <v>607620</v>
      </c>
      <c r="AR28" s="38">
        <f t="shared" si="36"/>
        <v>637260</v>
      </c>
      <c r="AS28" s="38">
        <f t="shared" si="36"/>
        <v>666900</v>
      </c>
      <c r="AT28" s="38">
        <f t="shared" si="36"/>
        <v>701480</v>
      </c>
      <c r="AU28" s="38">
        <f t="shared" si="36"/>
        <v>736060</v>
      </c>
      <c r="AV28" s="38">
        <f t="shared" si="36"/>
        <v>770640</v>
      </c>
      <c r="AW28" s="38">
        <f t="shared" si="36"/>
        <v>805220</v>
      </c>
      <c r="AX28" s="38">
        <f t="shared" si="36"/>
        <v>839800</v>
      </c>
      <c r="AY28" s="38">
        <f t="shared" si="36"/>
        <v>874380</v>
      </c>
      <c r="AZ28" s="38">
        <f t="shared" si="36"/>
        <v>908960</v>
      </c>
      <c r="BA28" s="38">
        <f t="shared" si="36"/>
        <v>943540</v>
      </c>
      <c r="BB28" s="38">
        <f t="shared" si="36"/>
        <v>978120</v>
      </c>
      <c r="BC28" s="38">
        <f t="shared" si="36"/>
        <v>1012700</v>
      </c>
      <c r="BD28" s="38">
        <f t="shared" si="36"/>
        <v>1047280</v>
      </c>
      <c r="BE28" s="38">
        <f t="shared" si="36"/>
        <v>1081860</v>
      </c>
      <c r="BF28" s="38">
        <f t="shared" ref="BF28:BQ28" si="37">SUM(BF25:BF27)</f>
        <v>1121380</v>
      </c>
      <c r="BG28" s="38">
        <f t="shared" si="37"/>
        <v>1160900</v>
      </c>
      <c r="BH28" s="38">
        <f t="shared" si="37"/>
        <v>1200420</v>
      </c>
      <c r="BI28" s="38">
        <f t="shared" si="37"/>
        <v>1239940</v>
      </c>
      <c r="BJ28" s="38">
        <f t="shared" si="37"/>
        <v>1279460</v>
      </c>
      <c r="BK28" s="38">
        <f t="shared" si="37"/>
        <v>1318980</v>
      </c>
      <c r="BL28" s="38">
        <f t="shared" si="37"/>
        <v>1358500</v>
      </c>
      <c r="BM28" s="38">
        <f t="shared" si="37"/>
        <v>1398020</v>
      </c>
      <c r="BN28" s="38">
        <f t="shared" si="37"/>
        <v>1437540</v>
      </c>
      <c r="BO28" s="38">
        <f t="shared" si="37"/>
        <v>1477060</v>
      </c>
      <c r="BP28" s="38">
        <f t="shared" si="37"/>
        <v>1516580</v>
      </c>
      <c r="BQ28" s="38">
        <f t="shared" si="37"/>
        <v>1556100</v>
      </c>
    </row>
    <row r="29" spans="2:69">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c r="BK29" s="38"/>
      <c r="BL29" s="38"/>
      <c r="BM29" s="38"/>
      <c r="BN29" s="38"/>
      <c r="BO29" s="38"/>
      <c r="BP29" s="38"/>
      <c r="BQ29" s="38"/>
    </row>
    <row r="30" spans="2:69">
      <c r="B30" t="s">
        <v>209</v>
      </c>
      <c r="J30" s="38">
        <v>0</v>
      </c>
      <c r="K30" s="38">
        <f>J33</f>
        <v>0</v>
      </c>
      <c r="L30" s="38">
        <f t="shared" ref="L30:BE30" si="38">K33</f>
        <v>0</v>
      </c>
      <c r="M30" s="38">
        <f t="shared" si="38"/>
        <v>0</v>
      </c>
      <c r="N30" s="38">
        <f t="shared" si="38"/>
        <v>0</v>
      </c>
      <c r="O30" s="38">
        <f t="shared" si="38"/>
        <v>0</v>
      </c>
      <c r="P30" s="38">
        <f t="shared" si="38"/>
        <v>0</v>
      </c>
      <c r="Q30" s="38">
        <f t="shared" si="38"/>
        <v>0</v>
      </c>
      <c r="R30" s="38">
        <f t="shared" si="38"/>
        <v>0</v>
      </c>
      <c r="S30" s="38">
        <f t="shared" si="38"/>
        <v>0</v>
      </c>
      <c r="T30" s="38">
        <f t="shared" si="38"/>
        <v>51.458333333333336</v>
      </c>
      <c r="U30" s="38">
        <f t="shared" si="38"/>
        <v>360.20833333333331</v>
      </c>
      <c r="V30" s="38">
        <f t="shared" si="38"/>
        <v>926.25</v>
      </c>
      <c r="W30" s="38">
        <f t="shared" si="38"/>
        <v>1749.5833333333335</v>
      </c>
      <c r="X30" s="38">
        <f t="shared" si="38"/>
        <v>3087.5</v>
      </c>
      <c r="Y30" s="38">
        <f t="shared" si="38"/>
        <v>4940</v>
      </c>
      <c r="Z30" s="38">
        <f t="shared" si="38"/>
        <v>7307.0833333333339</v>
      </c>
      <c r="AA30" s="38">
        <f t="shared" si="38"/>
        <v>10188.75</v>
      </c>
      <c r="AB30" s="38">
        <f t="shared" si="38"/>
        <v>13585</v>
      </c>
      <c r="AC30" s="38">
        <f t="shared" si="38"/>
        <v>17495.833333333332</v>
      </c>
      <c r="AD30" s="38">
        <f t="shared" si="38"/>
        <v>21921.25</v>
      </c>
      <c r="AE30" s="38">
        <f t="shared" si="38"/>
        <v>26861.25</v>
      </c>
      <c r="AF30" s="38">
        <f t="shared" si="38"/>
        <v>32315.833333333332</v>
      </c>
      <c r="AG30" s="38">
        <f t="shared" si="38"/>
        <v>38285</v>
      </c>
      <c r="AH30" s="38">
        <f t="shared" si="38"/>
        <v>44768.75</v>
      </c>
      <c r="AI30" s="38">
        <f t="shared" si="38"/>
        <v>51870</v>
      </c>
      <c r="AJ30" s="38">
        <f t="shared" si="38"/>
        <v>59588.75</v>
      </c>
      <c r="AK30" s="38">
        <f t="shared" si="38"/>
        <v>67925</v>
      </c>
      <c r="AL30" s="38">
        <f t="shared" si="38"/>
        <v>76878.75</v>
      </c>
      <c r="AM30" s="38">
        <f t="shared" si="38"/>
        <v>86450</v>
      </c>
      <c r="AN30" s="38">
        <f t="shared" si="38"/>
        <v>96638.75</v>
      </c>
      <c r="AO30" s="38">
        <f t="shared" si="38"/>
        <v>107445</v>
      </c>
      <c r="AP30" s="38">
        <f t="shared" si="38"/>
        <v>118868.75</v>
      </c>
      <c r="AQ30" s="38">
        <f t="shared" si="38"/>
        <v>130910</v>
      </c>
      <c r="AR30" s="38">
        <f t="shared" si="38"/>
        <v>143568.75</v>
      </c>
      <c r="AS30" s="38">
        <f t="shared" si="38"/>
        <v>156845</v>
      </c>
      <c r="AT30" s="38">
        <f t="shared" si="38"/>
        <v>170738.75</v>
      </c>
      <c r="AU30" s="38">
        <f t="shared" si="38"/>
        <v>185352.91666666666</v>
      </c>
      <c r="AV30" s="38">
        <f t="shared" si="38"/>
        <v>200687.5</v>
      </c>
      <c r="AW30" s="38">
        <f t="shared" si="38"/>
        <v>216742.5</v>
      </c>
      <c r="AX30" s="38">
        <f t="shared" si="38"/>
        <v>233517.91666666666</v>
      </c>
      <c r="AY30" s="38">
        <f t="shared" si="38"/>
        <v>251013.75</v>
      </c>
      <c r="AZ30" s="38">
        <f t="shared" si="38"/>
        <v>269230</v>
      </c>
      <c r="BA30" s="38">
        <f t="shared" si="38"/>
        <v>288166.66666666669</v>
      </c>
      <c r="BB30" s="38">
        <f t="shared" si="38"/>
        <v>307823.75</v>
      </c>
      <c r="BC30" s="38">
        <f t="shared" si="38"/>
        <v>328201.25</v>
      </c>
      <c r="BD30" s="38">
        <f t="shared" si="38"/>
        <v>349299.16666666669</v>
      </c>
      <c r="BE30" s="38">
        <f t="shared" si="38"/>
        <v>371117.5</v>
      </c>
      <c r="BF30" s="38">
        <f t="shared" ref="BF30" si="39">BE33</f>
        <v>393656.25</v>
      </c>
      <c r="BG30" s="38">
        <f t="shared" ref="BG30" si="40">BF33</f>
        <v>417018.33333333331</v>
      </c>
      <c r="BH30" s="38">
        <f t="shared" ref="BH30" si="41">BG33</f>
        <v>441203.75</v>
      </c>
      <c r="BI30" s="38">
        <f t="shared" ref="BI30" si="42">BH33</f>
        <v>466212.5</v>
      </c>
      <c r="BJ30" s="38">
        <f t="shared" ref="BJ30" si="43">BI33</f>
        <v>492044.58333333331</v>
      </c>
      <c r="BK30" s="38">
        <f t="shared" ref="BK30" si="44">BJ33</f>
        <v>518700</v>
      </c>
      <c r="BL30" s="38">
        <f t="shared" ref="BL30" si="45">BK33</f>
        <v>546178.75</v>
      </c>
      <c r="BM30" s="38">
        <f t="shared" ref="BM30" si="46">BL33</f>
        <v>574480.83333333337</v>
      </c>
      <c r="BN30" s="38">
        <f t="shared" ref="BN30" si="47">BM33</f>
        <v>603606.25</v>
      </c>
      <c r="BO30" s="38">
        <f t="shared" ref="BO30" si="48">BN33</f>
        <v>633555</v>
      </c>
      <c r="BP30" s="38">
        <f t="shared" ref="BP30" si="49">BO33</f>
        <v>664327.08333333337</v>
      </c>
      <c r="BQ30" s="38">
        <f t="shared" ref="BQ30" si="50">BP33</f>
        <v>695922.5</v>
      </c>
    </row>
    <row r="31" spans="2:69">
      <c r="B31" t="s">
        <v>210</v>
      </c>
      <c r="J31" s="38">
        <f>(J28*Inputs!J24)/12</f>
        <v>0</v>
      </c>
      <c r="K31" s="38">
        <f>(K28*Inputs!K24)/12</f>
        <v>0</v>
      </c>
      <c r="L31" s="38">
        <f>(L28*Inputs!L24)/12</f>
        <v>0</v>
      </c>
      <c r="M31" s="38">
        <f>(M28*Inputs!M24)/12</f>
        <v>0</v>
      </c>
      <c r="N31" s="38">
        <f>(N28*Inputs!N24)/12</f>
        <v>0</v>
      </c>
      <c r="O31" s="38">
        <f>(O28*Inputs!O24)/12</f>
        <v>0</v>
      </c>
      <c r="P31" s="38">
        <f>(P28*Inputs!P24)/12</f>
        <v>0</v>
      </c>
      <c r="Q31" s="38">
        <f>(Q28*Inputs!Q24)/12</f>
        <v>0</v>
      </c>
      <c r="R31" s="38">
        <f>(R28*Inputs!R24)/12</f>
        <v>0</v>
      </c>
      <c r="S31" s="38">
        <f>(S28*Inputs!S24)/12</f>
        <v>51.458333333333336</v>
      </c>
      <c r="T31" s="38">
        <f>(T28*Inputs!T24)/12</f>
        <v>308.75</v>
      </c>
      <c r="U31" s="38">
        <f>(U28*Inputs!U24)/12</f>
        <v>566.04166666666663</v>
      </c>
      <c r="V31" s="38">
        <f>(V28*Inputs!V24)/12</f>
        <v>823.33333333333337</v>
      </c>
      <c r="W31" s="38">
        <f>(W28*Inputs!W24)/12</f>
        <v>1337.9166666666667</v>
      </c>
      <c r="X31" s="38">
        <f>(X28*Inputs!X24)/12</f>
        <v>1852.5</v>
      </c>
      <c r="Y31" s="38">
        <f>(Y28*Inputs!Y24)/12</f>
        <v>2367.0833333333335</v>
      </c>
      <c r="Z31" s="38">
        <f>(Z28*Inputs!Z24)/12</f>
        <v>2881.6666666666665</v>
      </c>
      <c r="AA31" s="38">
        <f>(AA28*Inputs!AA24)/12</f>
        <v>3396.25</v>
      </c>
      <c r="AB31" s="38">
        <f>(AB28*Inputs!AB24)/12</f>
        <v>3910.8333333333335</v>
      </c>
      <c r="AC31" s="38">
        <f>(AC28*Inputs!AC24)/12</f>
        <v>4425.416666666667</v>
      </c>
      <c r="AD31" s="38">
        <f>(AD28*Inputs!AD24)/12</f>
        <v>4940</v>
      </c>
      <c r="AE31" s="38">
        <f>(AE28*Inputs!AE24)/12</f>
        <v>5454.583333333333</v>
      </c>
      <c r="AF31" s="38">
        <f>(AF28*Inputs!AF24)/12</f>
        <v>5969.166666666667</v>
      </c>
      <c r="AG31" s="38">
        <f>(AG28*Inputs!AG24)/12</f>
        <v>6483.75</v>
      </c>
      <c r="AH31" s="38">
        <f>(AH28*Inputs!AH24)/12</f>
        <v>7101.25</v>
      </c>
      <c r="AI31" s="38">
        <f>(AI28*Inputs!AI24)/12</f>
        <v>7718.75</v>
      </c>
      <c r="AJ31" s="38">
        <f>(AJ28*Inputs!AJ24)/12</f>
        <v>8336.25</v>
      </c>
      <c r="AK31" s="38">
        <f>(AK28*Inputs!AK24)/12</f>
        <v>8953.75</v>
      </c>
      <c r="AL31" s="38">
        <f>(AL28*Inputs!AL24)/12</f>
        <v>9571.25</v>
      </c>
      <c r="AM31" s="38">
        <f>(AM28*Inputs!AM24)/12</f>
        <v>10188.75</v>
      </c>
      <c r="AN31" s="38">
        <f>(AN28*Inputs!AN24)/12</f>
        <v>10806.25</v>
      </c>
      <c r="AO31" s="38">
        <f>(AO28*Inputs!AO24)/12</f>
        <v>11423.75</v>
      </c>
      <c r="AP31" s="38">
        <f>(AP28*Inputs!AP24)/12</f>
        <v>12041.25</v>
      </c>
      <c r="AQ31" s="38">
        <f>(AQ28*Inputs!AQ24)/12</f>
        <v>12658.75</v>
      </c>
      <c r="AR31" s="38">
        <f>(AR28*Inputs!AR24)/12</f>
        <v>13276.25</v>
      </c>
      <c r="AS31" s="38">
        <f>(AS28*Inputs!AS24)/12</f>
        <v>13893.75</v>
      </c>
      <c r="AT31" s="38">
        <f>(AT28*Inputs!AT24)/12</f>
        <v>14614.166666666666</v>
      </c>
      <c r="AU31" s="38">
        <f>(AU28*Inputs!AU24)/12</f>
        <v>15334.583333333334</v>
      </c>
      <c r="AV31" s="38">
        <f>(AV28*Inputs!AV24)/12</f>
        <v>16055</v>
      </c>
      <c r="AW31" s="38">
        <f>(AW28*Inputs!AW24)/12</f>
        <v>16775.416666666668</v>
      </c>
      <c r="AX31" s="38">
        <f>(AX28*Inputs!AX24)/12</f>
        <v>17495.833333333332</v>
      </c>
      <c r="AY31" s="38">
        <f>(AY28*Inputs!AY24)/12</f>
        <v>18216.25</v>
      </c>
      <c r="AZ31" s="38">
        <f>(AZ28*Inputs!AZ24)/12</f>
        <v>18936.666666666668</v>
      </c>
      <c r="BA31" s="38">
        <f>(BA28*Inputs!BA24)/12</f>
        <v>19657.083333333332</v>
      </c>
      <c r="BB31" s="38">
        <f>(BB28*Inputs!BB24)/12</f>
        <v>20377.5</v>
      </c>
      <c r="BC31" s="38">
        <f>(BC28*Inputs!BC24)/12</f>
        <v>21097.916666666668</v>
      </c>
      <c r="BD31" s="38">
        <f>(BD28*Inputs!BD24)/12</f>
        <v>21818.333333333332</v>
      </c>
      <c r="BE31" s="38">
        <f>(BE28*Inputs!BE24)/12</f>
        <v>22538.75</v>
      </c>
      <c r="BF31" s="38">
        <f>(BF28*Inputs!BF24)/12</f>
        <v>23362.083333333332</v>
      </c>
      <c r="BG31" s="38">
        <f>(BG28*Inputs!BG24)/12</f>
        <v>24185.416666666668</v>
      </c>
      <c r="BH31" s="38">
        <f>(BH28*Inputs!BH24)/12</f>
        <v>25008.75</v>
      </c>
      <c r="BI31" s="38">
        <f>(BI28*Inputs!BI24)/12</f>
        <v>25832.083333333332</v>
      </c>
      <c r="BJ31" s="38">
        <f>(BJ28*Inputs!BJ24)/12</f>
        <v>26655.416666666668</v>
      </c>
      <c r="BK31" s="38">
        <f>(BK28*Inputs!BK24)/12</f>
        <v>27478.75</v>
      </c>
      <c r="BL31" s="38">
        <f>(BL28*Inputs!BL24)/12</f>
        <v>28302.083333333332</v>
      </c>
      <c r="BM31" s="38">
        <f>(BM28*Inputs!BM24)/12</f>
        <v>29125.416666666668</v>
      </c>
      <c r="BN31" s="38">
        <f>(BN28*Inputs!BN24)/12</f>
        <v>29948.75</v>
      </c>
      <c r="BO31" s="38">
        <f>(BO28*Inputs!BO24)/12</f>
        <v>30772.083333333332</v>
      </c>
      <c r="BP31" s="38">
        <f>(BP28*Inputs!BP24)/12</f>
        <v>31595.416666666668</v>
      </c>
      <c r="BQ31" s="38">
        <f>(BQ28*Inputs!BQ24)/12</f>
        <v>32418.75</v>
      </c>
    </row>
    <row r="32" spans="2:69">
      <c r="B32" s="12" t="s">
        <v>211</v>
      </c>
      <c r="C32" s="12"/>
      <c r="D32" s="12"/>
      <c r="E32" s="12"/>
      <c r="F32" s="12"/>
      <c r="G32" s="12"/>
      <c r="H32" s="12"/>
      <c r="I32" s="12"/>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s="40"/>
      <c r="BE32" s="40"/>
      <c r="BF32" s="40"/>
      <c r="BG32" s="40"/>
      <c r="BH32" s="40"/>
      <c r="BI32" s="40"/>
      <c r="BJ32" s="40"/>
      <c r="BK32" s="40"/>
      <c r="BL32" s="40"/>
      <c r="BM32" s="40"/>
      <c r="BN32" s="40"/>
      <c r="BO32" s="40"/>
      <c r="BP32" s="40"/>
      <c r="BQ32" s="40"/>
    </row>
    <row r="33" spans="2:69">
      <c r="B33" s="2" t="s">
        <v>212</v>
      </c>
      <c r="J33" s="38">
        <f>SUM(J30:J32)</f>
        <v>0</v>
      </c>
      <c r="K33" s="38">
        <f>SUM(K30:K32)</f>
        <v>0</v>
      </c>
      <c r="L33" s="38">
        <f t="shared" ref="L33:BE33" si="51">SUM(L30:L32)</f>
        <v>0</v>
      </c>
      <c r="M33" s="38">
        <f t="shared" si="51"/>
        <v>0</v>
      </c>
      <c r="N33" s="38">
        <f t="shared" si="51"/>
        <v>0</v>
      </c>
      <c r="O33" s="38">
        <f t="shared" si="51"/>
        <v>0</v>
      </c>
      <c r="P33" s="38">
        <f t="shared" si="51"/>
        <v>0</v>
      </c>
      <c r="Q33" s="38">
        <f t="shared" si="51"/>
        <v>0</v>
      </c>
      <c r="R33" s="38">
        <f t="shared" si="51"/>
        <v>0</v>
      </c>
      <c r="S33" s="38">
        <f t="shared" si="51"/>
        <v>51.458333333333336</v>
      </c>
      <c r="T33" s="38">
        <f t="shared" si="51"/>
        <v>360.20833333333331</v>
      </c>
      <c r="U33" s="38">
        <f t="shared" si="51"/>
        <v>926.25</v>
      </c>
      <c r="V33" s="38">
        <f t="shared" si="51"/>
        <v>1749.5833333333335</v>
      </c>
      <c r="W33" s="38">
        <f t="shared" si="51"/>
        <v>3087.5</v>
      </c>
      <c r="X33" s="38">
        <f t="shared" si="51"/>
        <v>4940</v>
      </c>
      <c r="Y33" s="38">
        <f t="shared" si="51"/>
        <v>7307.0833333333339</v>
      </c>
      <c r="Z33" s="38">
        <f t="shared" si="51"/>
        <v>10188.75</v>
      </c>
      <c r="AA33" s="38">
        <f t="shared" si="51"/>
        <v>13585</v>
      </c>
      <c r="AB33" s="38">
        <f t="shared" si="51"/>
        <v>17495.833333333332</v>
      </c>
      <c r="AC33" s="38">
        <f t="shared" si="51"/>
        <v>21921.25</v>
      </c>
      <c r="AD33" s="38">
        <f t="shared" si="51"/>
        <v>26861.25</v>
      </c>
      <c r="AE33" s="38">
        <f t="shared" si="51"/>
        <v>32315.833333333332</v>
      </c>
      <c r="AF33" s="38">
        <f t="shared" si="51"/>
        <v>38285</v>
      </c>
      <c r="AG33" s="38">
        <f t="shared" si="51"/>
        <v>44768.75</v>
      </c>
      <c r="AH33" s="38">
        <f t="shared" si="51"/>
        <v>51870</v>
      </c>
      <c r="AI33" s="38">
        <f t="shared" si="51"/>
        <v>59588.75</v>
      </c>
      <c r="AJ33" s="38">
        <f t="shared" si="51"/>
        <v>67925</v>
      </c>
      <c r="AK33" s="38">
        <f t="shared" si="51"/>
        <v>76878.75</v>
      </c>
      <c r="AL33" s="38">
        <f t="shared" si="51"/>
        <v>86450</v>
      </c>
      <c r="AM33" s="38">
        <f t="shared" si="51"/>
        <v>96638.75</v>
      </c>
      <c r="AN33" s="38">
        <f t="shared" si="51"/>
        <v>107445</v>
      </c>
      <c r="AO33" s="38">
        <f t="shared" si="51"/>
        <v>118868.75</v>
      </c>
      <c r="AP33" s="38">
        <f t="shared" si="51"/>
        <v>130910</v>
      </c>
      <c r="AQ33" s="38">
        <f t="shared" si="51"/>
        <v>143568.75</v>
      </c>
      <c r="AR33" s="38">
        <f t="shared" si="51"/>
        <v>156845</v>
      </c>
      <c r="AS33" s="38">
        <f t="shared" si="51"/>
        <v>170738.75</v>
      </c>
      <c r="AT33" s="38">
        <f t="shared" si="51"/>
        <v>185352.91666666666</v>
      </c>
      <c r="AU33" s="38">
        <f t="shared" si="51"/>
        <v>200687.5</v>
      </c>
      <c r="AV33" s="38">
        <f t="shared" si="51"/>
        <v>216742.5</v>
      </c>
      <c r="AW33" s="38">
        <f t="shared" si="51"/>
        <v>233517.91666666666</v>
      </c>
      <c r="AX33" s="38">
        <f t="shared" si="51"/>
        <v>251013.75</v>
      </c>
      <c r="AY33" s="38">
        <f t="shared" si="51"/>
        <v>269230</v>
      </c>
      <c r="AZ33" s="38">
        <f t="shared" si="51"/>
        <v>288166.66666666669</v>
      </c>
      <c r="BA33" s="38">
        <f t="shared" si="51"/>
        <v>307823.75</v>
      </c>
      <c r="BB33" s="38">
        <f t="shared" si="51"/>
        <v>328201.25</v>
      </c>
      <c r="BC33" s="38">
        <f t="shared" si="51"/>
        <v>349299.16666666669</v>
      </c>
      <c r="BD33" s="38">
        <f t="shared" si="51"/>
        <v>371117.5</v>
      </c>
      <c r="BE33" s="38">
        <f t="shared" si="51"/>
        <v>393656.25</v>
      </c>
      <c r="BF33" s="38">
        <f t="shared" ref="BF33:BQ33" si="52">SUM(BF30:BF32)</f>
        <v>417018.33333333331</v>
      </c>
      <c r="BG33" s="38">
        <f t="shared" si="52"/>
        <v>441203.75</v>
      </c>
      <c r="BH33" s="38">
        <f t="shared" si="52"/>
        <v>466212.5</v>
      </c>
      <c r="BI33" s="38">
        <f t="shared" si="52"/>
        <v>492044.58333333331</v>
      </c>
      <c r="BJ33" s="38">
        <f t="shared" si="52"/>
        <v>518700</v>
      </c>
      <c r="BK33" s="38">
        <f t="shared" si="52"/>
        <v>546178.75</v>
      </c>
      <c r="BL33" s="38">
        <f t="shared" si="52"/>
        <v>574480.83333333337</v>
      </c>
      <c r="BM33" s="38">
        <f t="shared" si="52"/>
        <v>603606.25</v>
      </c>
      <c r="BN33" s="38">
        <f t="shared" si="52"/>
        <v>633555</v>
      </c>
      <c r="BO33" s="38">
        <f t="shared" si="52"/>
        <v>664327.08333333337</v>
      </c>
      <c r="BP33" s="38">
        <f t="shared" si="52"/>
        <v>695922.5</v>
      </c>
      <c r="BQ33" s="38">
        <f t="shared" si="52"/>
        <v>728341.25</v>
      </c>
    </row>
    <row r="34" spans="2:69">
      <c r="B34" s="12"/>
      <c r="C34" s="12"/>
      <c r="D34" s="12"/>
      <c r="E34" s="12"/>
      <c r="F34" s="12"/>
      <c r="G34" s="12"/>
      <c r="H34" s="12"/>
      <c r="I34" s="12"/>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40"/>
      <c r="BD34" s="40"/>
      <c r="BE34" s="40"/>
      <c r="BF34" s="40"/>
      <c r="BG34" s="40"/>
      <c r="BH34" s="40"/>
      <c r="BI34" s="40"/>
      <c r="BJ34" s="40"/>
      <c r="BK34" s="40"/>
      <c r="BL34" s="40"/>
      <c r="BM34" s="40"/>
      <c r="BN34" s="40"/>
      <c r="BO34" s="40"/>
      <c r="BP34" s="40"/>
      <c r="BQ34" s="40"/>
    </row>
    <row r="35" spans="2:69">
      <c r="B35" s="2" t="s">
        <v>207</v>
      </c>
      <c r="J35" s="38">
        <f>J28-J33</f>
        <v>0</v>
      </c>
      <c r="K35" s="38">
        <f>K28-K33</f>
        <v>0</v>
      </c>
      <c r="L35" s="38">
        <f t="shared" ref="L35:BE35" si="53">L28-L33</f>
        <v>0</v>
      </c>
      <c r="M35" s="38">
        <f t="shared" si="53"/>
        <v>0</v>
      </c>
      <c r="N35" s="38">
        <f t="shared" si="53"/>
        <v>0</v>
      </c>
      <c r="O35" s="38">
        <f t="shared" si="53"/>
        <v>0</v>
      </c>
      <c r="P35" s="38">
        <f t="shared" si="53"/>
        <v>0</v>
      </c>
      <c r="Q35" s="38">
        <f t="shared" si="53"/>
        <v>0</v>
      </c>
      <c r="R35" s="38">
        <f t="shared" si="53"/>
        <v>0</v>
      </c>
      <c r="S35" s="38">
        <f t="shared" si="53"/>
        <v>2418.5416666666665</v>
      </c>
      <c r="T35" s="38">
        <f t="shared" si="53"/>
        <v>14459.791666666666</v>
      </c>
      <c r="U35" s="38">
        <f t="shared" si="53"/>
        <v>26243.75</v>
      </c>
      <c r="V35" s="38">
        <f t="shared" si="53"/>
        <v>37770.416666666664</v>
      </c>
      <c r="W35" s="38">
        <f t="shared" si="53"/>
        <v>61132.5</v>
      </c>
      <c r="X35" s="38">
        <f t="shared" si="53"/>
        <v>83980</v>
      </c>
      <c r="Y35" s="38">
        <f t="shared" si="53"/>
        <v>106312.91666666667</v>
      </c>
      <c r="Z35" s="38">
        <f t="shared" si="53"/>
        <v>128131.25</v>
      </c>
      <c r="AA35" s="38">
        <f t="shared" si="53"/>
        <v>149435</v>
      </c>
      <c r="AB35" s="38">
        <f t="shared" si="53"/>
        <v>170224.16666666666</v>
      </c>
      <c r="AC35" s="38">
        <f t="shared" si="53"/>
        <v>190498.75</v>
      </c>
      <c r="AD35" s="38">
        <f t="shared" si="53"/>
        <v>210258.75</v>
      </c>
      <c r="AE35" s="38">
        <f t="shared" si="53"/>
        <v>229504.16666666666</v>
      </c>
      <c r="AF35" s="38">
        <f t="shared" si="53"/>
        <v>248235</v>
      </c>
      <c r="AG35" s="38">
        <f t="shared" si="53"/>
        <v>266451.25</v>
      </c>
      <c r="AH35" s="38">
        <f t="shared" si="53"/>
        <v>288990</v>
      </c>
      <c r="AI35" s="38">
        <f t="shared" si="53"/>
        <v>310911.25</v>
      </c>
      <c r="AJ35" s="38">
        <f t="shared" si="53"/>
        <v>332215</v>
      </c>
      <c r="AK35" s="38">
        <f t="shared" si="53"/>
        <v>352901.25</v>
      </c>
      <c r="AL35" s="38">
        <f t="shared" si="53"/>
        <v>372970</v>
      </c>
      <c r="AM35" s="38">
        <f t="shared" si="53"/>
        <v>392421.25</v>
      </c>
      <c r="AN35" s="38">
        <f t="shared" si="53"/>
        <v>411255</v>
      </c>
      <c r="AO35" s="38">
        <f t="shared" si="53"/>
        <v>429471.25</v>
      </c>
      <c r="AP35" s="38">
        <f t="shared" si="53"/>
        <v>447070</v>
      </c>
      <c r="AQ35" s="38">
        <f t="shared" si="53"/>
        <v>464051.25</v>
      </c>
      <c r="AR35" s="38">
        <f t="shared" si="53"/>
        <v>480415</v>
      </c>
      <c r="AS35" s="38">
        <f t="shared" si="53"/>
        <v>496161.25</v>
      </c>
      <c r="AT35" s="38">
        <f t="shared" si="53"/>
        <v>516127.08333333337</v>
      </c>
      <c r="AU35" s="38">
        <f t="shared" si="53"/>
        <v>535372.5</v>
      </c>
      <c r="AV35" s="38">
        <f t="shared" si="53"/>
        <v>553897.5</v>
      </c>
      <c r="AW35" s="38">
        <f t="shared" si="53"/>
        <v>571702.08333333337</v>
      </c>
      <c r="AX35" s="38">
        <f t="shared" si="53"/>
        <v>588786.25</v>
      </c>
      <c r="AY35" s="38">
        <f t="shared" si="53"/>
        <v>605150</v>
      </c>
      <c r="AZ35" s="38">
        <f t="shared" si="53"/>
        <v>620793.33333333326</v>
      </c>
      <c r="BA35" s="38">
        <f t="shared" si="53"/>
        <v>635716.25</v>
      </c>
      <c r="BB35" s="38">
        <f t="shared" si="53"/>
        <v>649918.75</v>
      </c>
      <c r="BC35" s="38">
        <f t="shared" si="53"/>
        <v>663400.83333333326</v>
      </c>
      <c r="BD35" s="38">
        <f t="shared" si="53"/>
        <v>676162.5</v>
      </c>
      <c r="BE35" s="38">
        <f t="shared" si="53"/>
        <v>688203.75</v>
      </c>
      <c r="BF35" s="38">
        <f t="shared" ref="BF35:BQ35" si="54">BF28-BF33</f>
        <v>704361.66666666674</v>
      </c>
      <c r="BG35" s="38">
        <f t="shared" si="54"/>
        <v>719696.25</v>
      </c>
      <c r="BH35" s="38">
        <f t="shared" si="54"/>
        <v>734207.5</v>
      </c>
      <c r="BI35" s="38">
        <f t="shared" si="54"/>
        <v>747895.41666666674</v>
      </c>
      <c r="BJ35" s="38">
        <f t="shared" si="54"/>
        <v>760760</v>
      </c>
      <c r="BK35" s="38">
        <f t="shared" si="54"/>
        <v>772801.25</v>
      </c>
      <c r="BL35" s="38">
        <f t="shared" si="54"/>
        <v>784019.16666666663</v>
      </c>
      <c r="BM35" s="38">
        <f t="shared" si="54"/>
        <v>794413.75</v>
      </c>
      <c r="BN35" s="38">
        <f t="shared" si="54"/>
        <v>803985</v>
      </c>
      <c r="BO35" s="38">
        <f t="shared" si="54"/>
        <v>812732.91666666663</v>
      </c>
      <c r="BP35" s="38">
        <f t="shared" si="54"/>
        <v>820657.5</v>
      </c>
      <c r="BQ35" s="38">
        <f t="shared" si="54"/>
        <v>827758.75</v>
      </c>
    </row>
    <row r="36" spans="2:69">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c r="BK36" s="38"/>
      <c r="BL36" s="38"/>
      <c r="BM36" s="38"/>
      <c r="BN36" s="38"/>
      <c r="BO36" s="38"/>
      <c r="BP36" s="38"/>
      <c r="BQ36" s="38"/>
    </row>
    <row r="37" spans="2:69">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row>
    <row r="38" spans="2:69">
      <c r="B38" s="2" t="s">
        <v>213</v>
      </c>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c r="BK38" s="38"/>
      <c r="BL38" s="38"/>
      <c r="BM38" s="38"/>
      <c r="BN38" s="38"/>
      <c r="BO38" s="38"/>
      <c r="BP38" s="38"/>
      <c r="BQ38" s="38"/>
    </row>
    <row r="39" spans="2:69">
      <c r="B39" t="s">
        <v>199</v>
      </c>
      <c r="J39" s="38">
        <v>0</v>
      </c>
      <c r="K39" s="38">
        <f>J42</f>
        <v>0</v>
      </c>
      <c r="L39" s="38">
        <f t="shared" ref="L39:BE39" si="55">K42</f>
        <v>0</v>
      </c>
      <c r="M39" s="38">
        <f t="shared" si="55"/>
        <v>0</v>
      </c>
      <c r="N39" s="38">
        <f t="shared" si="55"/>
        <v>0</v>
      </c>
      <c r="O39" s="38">
        <f t="shared" si="55"/>
        <v>0</v>
      </c>
      <c r="P39" s="38">
        <f t="shared" si="55"/>
        <v>0</v>
      </c>
      <c r="Q39" s="38">
        <f t="shared" si="55"/>
        <v>0</v>
      </c>
      <c r="R39" s="38">
        <f t="shared" si="55"/>
        <v>0</v>
      </c>
      <c r="S39" s="38">
        <f t="shared" si="55"/>
        <v>0</v>
      </c>
      <c r="T39" s="38">
        <f t="shared" si="55"/>
        <v>0</v>
      </c>
      <c r="U39" s="38">
        <f t="shared" si="55"/>
        <v>1000</v>
      </c>
      <c r="V39" s="38">
        <f t="shared" si="55"/>
        <v>1000</v>
      </c>
      <c r="W39" s="38">
        <f t="shared" si="55"/>
        <v>1000</v>
      </c>
      <c r="X39" s="38">
        <f t="shared" si="55"/>
        <v>1000</v>
      </c>
      <c r="Y39" s="38">
        <f t="shared" si="55"/>
        <v>2000</v>
      </c>
      <c r="Z39" s="38">
        <f t="shared" si="55"/>
        <v>2000</v>
      </c>
      <c r="AA39" s="38">
        <f t="shared" si="55"/>
        <v>2000</v>
      </c>
      <c r="AB39" s="38">
        <f t="shared" si="55"/>
        <v>2000</v>
      </c>
      <c r="AC39" s="38">
        <f t="shared" si="55"/>
        <v>3000</v>
      </c>
      <c r="AD39" s="38">
        <f t="shared" si="55"/>
        <v>3000</v>
      </c>
      <c r="AE39" s="38">
        <f t="shared" si="55"/>
        <v>3000</v>
      </c>
      <c r="AF39" s="38">
        <f t="shared" si="55"/>
        <v>3000</v>
      </c>
      <c r="AG39" s="38">
        <f t="shared" si="55"/>
        <v>4000</v>
      </c>
      <c r="AH39" s="38">
        <f t="shared" si="55"/>
        <v>4000</v>
      </c>
      <c r="AI39" s="38">
        <f t="shared" si="55"/>
        <v>4000</v>
      </c>
      <c r="AJ39" s="38">
        <f t="shared" si="55"/>
        <v>4000</v>
      </c>
      <c r="AK39" s="38">
        <f t="shared" si="55"/>
        <v>5000</v>
      </c>
      <c r="AL39" s="38">
        <f t="shared" si="55"/>
        <v>5000</v>
      </c>
      <c r="AM39" s="38">
        <f t="shared" si="55"/>
        <v>5000</v>
      </c>
      <c r="AN39" s="38">
        <f t="shared" si="55"/>
        <v>5000</v>
      </c>
      <c r="AO39" s="38">
        <f t="shared" si="55"/>
        <v>6000</v>
      </c>
      <c r="AP39" s="38">
        <f t="shared" si="55"/>
        <v>6000</v>
      </c>
      <c r="AQ39" s="38">
        <f t="shared" si="55"/>
        <v>6000</v>
      </c>
      <c r="AR39" s="38">
        <f t="shared" si="55"/>
        <v>6000</v>
      </c>
      <c r="AS39" s="38">
        <f t="shared" si="55"/>
        <v>7000</v>
      </c>
      <c r="AT39" s="38">
        <f t="shared" si="55"/>
        <v>7000</v>
      </c>
      <c r="AU39" s="38">
        <f t="shared" si="55"/>
        <v>7000</v>
      </c>
      <c r="AV39" s="38">
        <f t="shared" si="55"/>
        <v>7000</v>
      </c>
      <c r="AW39" s="38">
        <f t="shared" si="55"/>
        <v>7000</v>
      </c>
      <c r="AX39" s="38">
        <f t="shared" si="55"/>
        <v>7000</v>
      </c>
      <c r="AY39" s="38">
        <f t="shared" si="55"/>
        <v>7000</v>
      </c>
      <c r="AZ39" s="38">
        <f t="shared" si="55"/>
        <v>7000</v>
      </c>
      <c r="BA39" s="38">
        <f t="shared" si="55"/>
        <v>7000</v>
      </c>
      <c r="BB39" s="38">
        <f t="shared" si="55"/>
        <v>7000</v>
      </c>
      <c r="BC39" s="38">
        <f t="shared" si="55"/>
        <v>7000</v>
      </c>
      <c r="BD39" s="38">
        <f t="shared" si="55"/>
        <v>7000</v>
      </c>
      <c r="BE39" s="38">
        <f t="shared" si="55"/>
        <v>7000</v>
      </c>
      <c r="BF39" s="38">
        <f t="shared" ref="BF39" si="56">BE42</f>
        <v>7000</v>
      </c>
      <c r="BG39" s="38">
        <f t="shared" ref="BG39" si="57">BF42</f>
        <v>7000</v>
      </c>
      <c r="BH39" s="38">
        <f t="shared" ref="BH39" si="58">BG42</f>
        <v>7000</v>
      </c>
      <c r="BI39" s="38">
        <f t="shared" ref="BI39" si="59">BH42</f>
        <v>7000</v>
      </c>
      <c r="BJ39" s="38">
        <f t="shared" ref="BJ39" si="60">BI42</f>
        <v>7000</v>
      </c>
      <c r="BK39" s="38">
        <f t="shared" ref="BK39" si="61">BJ42</f>
        <v>7000</v>
      </c>
      <c r="BL39" s="38">
        <f t="shared" ref="BL39" si="62">BK42</f>
        <v>7000</v>
      </c>
      <c r="BM39" s="38">
        <f t="shared" ref="BM39" si="63">BL42</f>
        <v>7000</v>
      </c>
      <c r="BN39" s="38">
        <f t="shared" ref="BN39" si="64">BM42</f>
        <v>7000</v>
      </c>
      <c r="BO39" s="38">
        <f t="shared" ref="BO39" si="65">BN42</f>
        <v>7000</v>
      </c>
      <c r="BP39" s="38">
        <f t="shared" ref="BP39" si="66">BO42</f>
        <v>7000</v>
      </c>
      <c r="BQ39" s="38">
        <f t="shared" ref="BQ39" si="67">BP42</f>
        <v>7000</v>
      </c>
    </row>
    <row r="40" spans="2:69">
      <c r="B40" t="s">
        <v>200</v>
      </c>
      <c r="J40" s="38">
        <v>0</v>
      </c>
      <c r="K40" s="38"/>
      <c r="L40" s="38"/>
      <c r="M40" s="38"/>
      <c r="N40" s="38"/>
      <c r="O40" s="38"/>
      <c r="P40" s="38"/>
      <c r="Q40" s="38"/>
      <c r="R40" s="38"/>
      <c r="S40" s="38"/>
      <c r="T40" s="38">
        <v>1000</v>
      </c>
      <c r="U40" s="38"/>
      <c r="V40" s="38"/>
      <c r="W40" s="38"/>
      <c r="X40" s="38">
        <v>1000</v>
      </c>
      <c r="Y40" s="38"/>
      <c r="Z40" s="38"/>
      <c r="AA40" s="38"/>
      <c r="AB40" s="38">
        <v>1000</v>
      </c>
      <c r="AC40" s="38"/>
      <c r="AD40" s="38"/>
      <c r="AE40" s="38"/>
      <c r="AF40" s="38">
        <v>1000</v>
      </c>
      <c r="AG40" s="38"/>
      <c r="AH40" s="38"/>
      <c r="AI40" s="38"/>
      <c r="AJ40" s="38">
        <v>1000</v>
      </c>
      <c r="AK40" s="38"/>
      <c r="AL40" s="38"/>
      <c r="AM40" s="38"/>
      <c r="AN40" s="38">
        <v>1000</v>
      </c>
      <c r="AO40" s="38"/>
      <c r="AP40" s="38"/>
      <c r="AQ40" s="38"/>
      <c r="AR40" s="38">
        <v>1000</v>
      </c>
      <c r="AS40" s="38"/>
      <c r="AT40" s="38"/>
      <c r="AU40" s="38"/>
      <c r="AV40" s="38"/>
      <c r="AW40" s="38"/>
      <c r="AX40" s="38"/>
      <c r="AY40" s="38"/>
      <c r="AZ40" s="38"/>
      <c r="BA40" s="38"/>
      <c r="BB40" s="38"/>
      <c r="BC40" s="38"/>
      <c r="BD40" s="38"/>
      <c r="BE40" s="38"/>
      <c r="BF40" s="38"/>
      <c r="BG40" s="38"/>
      <c r="BH40" s="38"/>
      <c r="BI40" s="38"/>
      <c r="BJ40" s="38"/>
      <c r="BK40" s="38"/>
      <c r="BL40" s="38"/>
      <c r="BM40" s="38"/>
      <c r="BN40" s="38"/>
      <c r="BO40" s="38"/>
      <c r="BP40" s="38"/>
      <c r="BQ40" s="38"/>
    </row>
    <row r="41" spans="2:69">
      <c r="B41" s="12" t="s">
        <v>201</v>
      </c>
      <c r="C41" s="12"/>
      <c r="D41" s="12"/>
      <c r="E41" s="12"/>
      <c r="F41" s="12"/>
      <c r="G41" s="12"/>
      <c r="H41" s="12"/>
      <c r="I41" s="12"/>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c r="AY41" s="40"/>
      <c r="AZ41" s="40"/>
      <c r="BA41" s="40"/>
      <c r="BB41" s="40"/>
      <c r="BC41" s="40"/>
      <c r="BD41" s="40"/>
      <c r="BE41" s="40"/>
      <c r="BF41" s="40"/>
      <c r="BG41" s="40"/>
      <c r="BH41" s="40"/>
      <c r="BI41" s="40"/>
      <c r="BJ41" s="40"/>
      <c r="BK41" s="40"/>
      <c r="BL41" s="40"/>
      <c r="BM41" s="40"/>
      <c r="BN41" s="40"/>
      <c r="BO41" s="40"/>
      <c r="BP41" s="40"/>
      <c r="BQ41" s="40"/>
    </row>
    <row r="42" spans="2:69">
      <c r="B42" s="2" t="s">
        <v>202</v>
      </c>
      <c r="J42" s="38">
        <f>SUM(J39:J41)</f>
        <v>0</v>
      </c>
      <c r="K42" s="38">
        <f t="shared" ref="K42:BE42" si="68">SUM(K39:K41)</f>
        <v>0</v>
      </c>
      <c r="L42" s="38">
        <f t="shared" si="68"/>
        <v>0</v>
      </c>
      <c r="M42" s="38">
        <f t="shared" si="68"/>
        <v>0</v>
      </c>
      <c r="N42" s="38">
        <f t="shared" si="68"/>
        <v>0</v>
      </c>
      <c r="O42" s="38">
        <f t="shared" si="68"/>
        <v>0</v>
      </c>
      <c r="P42" s="38">
        <f t="shared" si="68"/>
        <v>0</v>
      </c>
      <c r="Q42" s="38">
        <f t="shared" si="68"/>
        <v>0</v>
      </c>
      <c r="R42" s="38">
        <f t="shared" si="68"/>
        <v>0</v>
      </c>
      <c r="S42" s="38">
        <f t="shared" si="68"/>
        <v>0</v>
      </c>
      <c r="T42" s="38">
        <f t="shared" si="68"/>
        <v>1000</v>
      </c>
      <c r="U42" s="38">
        <f t="shared" si="68"/>
        <v>1000</v>
      </c>
      <c r="V42" s="38">
        <f t="shared" si="68"/>
        <v>1000</v>
      </c>
      <c r="W42" s="38">
        <f t="shared" si="68"/>
        <v>1000</v>
      </c>
      <c r="X42" s="38">
        <f t="shared" si="68"/>
        <v>2000</v>
      </c>
      <c r="Y42" s="38">
        <f t="shared" si="68"/>
        <v>2000</v>
      </c>
      <c r="Z42" s="38">
        <f t="shared" si="68"/>
        <v>2000</v>
      </c>
      <c r="AA42" s="38">
        <f t="shared" si="68"/>
        <v>2000</v>
      </c>
      <c r="AB42" s="38">
        <f t="shared" si="68"/>
        <v>3000</v>
      </c>
      <c r="AC42" s="38">
        <f t="shared" si="68"/>
        <v>3000</v>
      </c>
      <c r="AD42" s="38">
        <f t="shared" si="68"/>
        <v>3000</v>
      </c>
      <c r="AE42" s="38">
        <f t="shared" si="68"/>
        <v>3000</v>
      </c>
      <c r="AF42" s="38">
        <f t="shared" si="68"/>
        <v>4000</v>
      </c>
      <c r="AG42" s="38">
        <f t="shared" si="68"/>
        <v>4000</v>
      </c>
      <c r="AH42" s="38">
        <f t="shared" si="68"/>
        <v>4000</v>
      </c>
      <c r="AI42" s="38">
        <f t="shared" si="68"/>
        <v>4000</v>
      </c>
      <c r="AJ42" s="38">
        <f t="shared" si="68"/>
        <v>5000</v>
      </c>
      <c r="AK42" s="38">
        <f t="shared" si="68"/>
        <v>5000</v>
      </c>
      <c r="AL42" s="38">
        <f t="shared" si="68"/>
        <v>5000</v>
      </c>
      <c r="AM42" s="38">
        <f t="shared" si="68"/>
        <v>5000</v>
      </c>
      <c r="AN42" s="38">
        <f t="shared" si="68"/>
        <v>6000</v>
      </c>
      <c r="AO42" s="38">
        <f t="shared" si="68"/>
        <v>6000</v>
      </c>
      <c r="AP42" s="38">
        <f t="shared" si="68"/>
        <v>6000</v>
      </c>
      <c r="AQ42" s="38">
        <f t="shared" si="68"/>
        <v>6000</v>
      </c>
      <c r="AR42" s="38">
        <f t="shared" si="68"/>
        <v>7000</v>
      </c>
      <c r="AS42" s="38">
        <f t="shared" si="68"/>
        <v>7000</v>
      </c>
      <c r="AT42" s="38">
        <f t="shared" si="68"/>
        <v>7000</v>
      </c>
      <c r="AU42" s="38">
        <f t="shared" si="68"/>
        <v>7000</v>
      </c>
      <c r="AV42" s="38">
        <f t="shared" si="68"/>
        <v>7000</v>
      </c>
      <c r="AW42" s="38">
        <f t="shared" si="68"/>
        <v>7000</v>
      </c>
      <c r="AX42" s="38">
        <f t="shared" si="68"/>
        <v>7000</v>
      </c>
      <c r="AY42" s="38">
        <f t="shared" si="68"/>
        <v>7000</v>
      </c>
      <c r="AZ42" s="38">
        <f t="shared" si="68"/>
        <v>7000</v>
      </c>
      <c r="BA42" s="38">
        <f t="shared" si="68"/>
        <v>7000</v>
      </c>
      <c r="BB42" s="38">
        <f t="shared" si="68"/>
        <v>7000</v>
      </c>
      <c r="BC42" s="38">
        <f t="shared" si="68"/>
        <v>7000</v>
      </c>
      <c r="BD42" s="38">
        <f t="shared" si="68"/>
        <v>7000</v>
      </c>
      <c r="BE42" s="38">
        <f t="shared" si="68"/>
        <v>7000</v>
      </c>
      <c r="BF42" s="38">
        <f t="shared" ref="BF42:BQ42" si="69">SUM(BF39:BF41)</f>
        <v>7000</v>
      </c>
      <c r="BG42" s="38">
        <f t="shared" si="69"/>
        <v>7000</v>
      </c>
      <c r="BH42" s="38">
        <f t="shared" si="69"/>
        <v>7000</v>
      </c>
      <c r="BI42" s="38">
        <f t="shared" si="69"/>
        <v>7000</v>
      </c>
      <c r="BJ42" s="38">
        <f t="shared" si="69"/>
        <v>7000</v>
      </c>
      <c r="BK42" s="38">
        <f t="shared" si="69"/>
        <v>7000</v>
      </c>
      <c r="BL42" s="38">
        <f t="shared" si="69"/>
        <v>7000</v>
      </c>
      <c r="BM42" s="38">
        <f t="shared" si="69"/>
        <v>7000</v>
      </c>
      <c r="BN42" s="38">
        <f t="shared" si="69"/>
        <v>7000</v>
      </c>
      <c r="BO42" s="38">
        <f t="shared" si="69"/>
        <v>7000</v>
      </c>
      <c r="BP42" s="38">
        <f t="shared" si="69"/>
        <v>7000</v>
      </c>
      <c r="BQ42" s="38">
        <f t="shared" si="69"/>
        <v>7000</v>
      </c>
    </row>
    <row r="43" spans="2:69">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c r="BK43" s="38"/>
      <c r="BL43" s="38"/>
      <c r="BM43" s="38"/>
      <c r="BN43" s="38"/>
      <c r="BO43" s="38"/>
      <c r="BP43" s="38"/>
      <c r="BQ43" s="38"/>
    </row>
    <row r="44" spans="2:69">
      <c r="B44" t="s">
        <v>209</v>
      </c>
      <c r="J44" s="38">
        <v>0</v>
      </c>
      <c r="K44" s="38">
        <f>J47</f>
        <v>0</v>
      </c>
      <c r="L44" s="38">
        <f t="shared" ref="L44:BE44" si="70">K47</f>
        <v>0</v>
      </c>
      <c r="M44" s="38">
        <f t="shared" si="70"/>
        <v>0</v>
      </c>
      <c r="N44" s="38">
        <f t="shared" si="70"/>
        <v>0</v>
      </c>
      <c r="O44" s="38">
        <f t="shared" si="70"/>
        <v>0</v>
      </c>
      <c r="P44" s="38">
        <f t="shared" si="70"/>
        <v>0</v>
      </c>
      <c r="Q44" s="38">
        <f t="shared" si="70"/>
        <v>0</v>
      </c>
      <c r="R44" s="38">
        <f t="shared" si="70"/>
        <v>0</v>
      </c>
      <c r="S44" s="38">
        <f t="shared" si="70"/>
        <v>0</v>
      </c>
      <c r="T44" s="38">
        <f t="shared" si="70"/>
        <v>0</v>
      </c>
      <c r="U44" s="38">
        <f t="shared" si="70"/>
        <v>20.833333333333332</v>
      </c>
      <c r="V44" s="38">
        <f t="shared" si="70"/>
        <v>41.666666666666664</v>
      </c>
      <c r="W44" s="38">
        <f t="shared" si="70"/>
        <v>62.5</v>
      </c>
      <c r="X44" s="38">
        <f t="shared" si="70"/>
        <v>83.333333333333329</v>
      </c>
      <c r="Y44" s="38">
        <f t="shared" si="70"/>
        <v>125</v>
      </c>
      <c r="Z44" s="38">
        <f t="shared" si="70"/>
        <v>166.66666666666666</v>
      </c>
      <c r="AA44" s="38">
        <f t="shared" si="70"/>
        <v>208.33333333333331</v>
      </c>
      <c r="AB44" s="38">
        <f t="shared" si="70"/>
        <v>249.99999999999997</v>
      </c>
      <c r="AC44" s="38">
        <f t="shared" si="70"/>
        <v>312.5</v>
      </c>
      <c r="AD44" s="38">
        <f t="shared" si="70"/>
        <v>375</v>
      </c>
      <c r="AE44" s="38">
        <f t="shared" si="70"/>
        <v>437.5</v>
      </c>
      <c r="AF44" s="38">
        <f t="shared" si="70"/>
        <v>500</v>
      </c>
      <c r="AG44" s="38">
        <f t="shared" si="70"/>
        <v>583.33333333333337</v>
      </c>
      <c r="AH44" s="38">
        <f t="shared" si="70"/>
        <v>666.66666666666674</v>
      </c>
      <c r="AI44" s="38">
        <f t="shared" si="70"/>
        <v>750.00000000000011</v>
      </c>
      <c r="AJ44" s="38">
        <f t="shared" si="70"/>
        <v>833.33333333333348</v>
      </c>
      <c r="AK44" s="38">
        <f t="shared" si="70"/>
        <v>937.50000000000011</v>
      </c>
      <c r="AL44" s="38">
        <f t="shared" si="70"/>
        <v>1041.6666666666667</v>
      </c>
      <c r="AM44" s="38">
        <f t="shared" si="70"/>
        <v>1145.8333333333335</v>
      </c>
      <c r="AN44" s="38">
        <f t="shared" si="70"/>
        <v>1250.0000000000002</v>
      </c>
      <c r="AO44" s="38">
        <f t="shared" si="70"/>
        <v>1375.0000000000002</v>
      </c>
      <c r="AP44" s="38">
        <f t="shared" si="70"/>
        <v>1500.0000000000002</v>
      </c>
      <c r="AQ44" s="38">
        <f t="shared" si="70"/>
        <v>1625.0000000000002</v>
      </c>
      <c r="AR44" s="38">
        <f t="shared" si="70"/>
        <v>1750.0000000000002</v>
      </c>
      <c r="AS44" s="38">
        <f t="shared" si="70"/>
        <v>1895.8333333333335</v>
      </c>
      <c r="AT44" s="38">
        <f t="shared" si="70"/>
        <v>2041.6666666666667</v>
      </c>
      <c r="AU44" s="38">
        <f t="shared" si="70"/>
        <v>2187.5</v>
      </c>
      <c r="AV44" s="38">
        <f t="shared" si="70"/>
        <v>2333.3333333333335</v>
      </c>
      <c r="AW44" s="38">
        <f t="shared" si="70"/>
        <v>2479.166666666667</v>
      </c>
      <c r="AX44" s="38">
        <f t="shared" si="70"/>
        <v>2625.0000000000005</v>
      </c>
      <c r="AY44" s="38">
        <f t="shared" si="70"/>
        <v>2770.8333333333339</v>
      </c>
      <c r="AZ44" s="38">
        <f t="shared" si="70"/>
        <v>2916.6666666666674</v>
      </c>
      <c r="BA44" s="38">
        <f t="shared" si="70"/>
        <v>3062.5000000000009</v>
      </c>
      <c r="BB44" s="38">
        <f t="shared" si="70"/>
        <v>3208.3333333333344</v>
      </c>
      <c r="BC44" s="38">
        <f t="shared" si="70"/>
        <v>3354.1666666666679</v>
      </c>
      <c r="BD44" s="38">
        <f t="shared" si="70"/>
        <v>3500.0000000000014</v>
      </c>
      <c r="BE44" s="38">
        <f t="shared" si="70"/>
        <v>3645.8333333333348</v>
      </c>
      <c r="BF44" s="38">
        <f t="shared" ref="BF44" si="71">BE47</f>
        <v>3791.6666666666683</v>
      </c>
      <c r="BG44" s="38">
        <f t="shared" ref="BG44" si="72">BF47</f>
        <v>3937.5000000000018</v>
      </c>
      <c r="BH44" s="38">
        <f t="shared" ref="BH44" si="73">BG47</f>
        <v>4083.3333333333353</v>
      </c>
      <c r="BI44" s="38">
        <f t="shared" ref="BI44" si="74">BH47</f>
        <v>4229.1666666666688</v>
      </c>
      <c r="BJ44" s="38">
        <f t="shared" ref="BJ44" si="75">BI47</f>
        <v>4375.0000000000018</v>
      </c>
      <c r="BK44" s="38">
        <f t="shared" ref="BK44" si="76">BJ47</f>
        <v>4520.8333333333348</v>
      </c>
      <c r="BL44" s="38">
        <f t="shared" ref="BL44" si="77">BK47</f>
        <v>4666.6666666666679</v>
      </c>
      <c r="BM44" s="38">
        <f t="shared" ref="BM44" si="78">BL47</f>
        <v>4812.5000000000009</v>
      </c>
      <c r="BN44" s="38">
        <f t="shared" ref="BN44" si="79">BM47</f>
        <v>4958.3333333333339</v>
      </c>
      <c r="BO44" s="38">
        <f t="shared" ref="BO44" si="80">BN47</f>
        <v>5104.166666666667</v>
      </c>
      <c r="BP44" s="38">
        <f t="shared" ref="BP44" si="81">BO47</f>
        <v>5250</v>
      </c>
      <c r="BQ44" s="38">
        <f t="shared" ref="BQ44" si="82">BP47</f>
        <v>5395.833333333333</v>
      </c>
    </row>
    <row r="45" spans="2:69">
      <c r="B45" t="s">
        <v>210</v>
      </c>
      <c r="J45" s="38">
        <f>(J42*Inputs!J25)/12</f>
        <v>0</v>
      </c>
      <c r="K45" s="38">
        <f>(K42*Inputs!K25)/12</f>
        <v>0</v>
      </c>
      <c r="L45" s="38">
        <f>(L42*Inputs!L25)/12</f>
        <v>0</v>
      </c>
      <c r="M45" s="38">
        <f>(M42*Inputs!M25)/12</f>
        <v>0</v>
      </c>
      <c r="N45" s="38">
        <f>(N42*Inputs!N25)/12</f>
        <v>0</v>
      </c>
      <c r="O45" s="38">
        <f>(O42*Inputs!O25)/12</f>
        <v>0</v>
      </c>
      <c r="P45" s="38">
        <f>(P42*Inputs!P25)/12</f>
        <v>0</v>
      </c>
      <c r="Q45" s="38">
        <f>(Q42*Inputs!Q25)/12</f>
        <v>0</v>
      </c>
      <c r="R45" s="38">
        <f>(R42*Inputs!R25)/12</f>
        <v>0</v>
      </c>
      <c r="S45" s="38">
        <f>(S42*Inputs!S25)/12</f>
        <v>0</v>
      </c>
      <c r="T45" s="38">
        <f>(T42*Inputs!T25)/12</f>
        <v>20.833333333333332</v>
      </c>
      <c r="U45" s="38">
        <f>(U42*Inputs!U25)/12</f>
        <v>20.833333333333332</v>
      </c>
      <c r="V45" s="38">
        <f>(V42*Inputs!V25)/12</f>
        <v>20.833333333333332</v>
      </c>
      <c r="W45" s="38">
        <f>(W42*Inputs!W25)/12</f>
        <v>20.833333333333332</v>
      </c>
      <c r="X45" s="38">
        <f>(X42*Inputs!X25)/12</f>
        <v>41.666666666666664</v>
      </c>
      <c r="Y45" s="38">
        <f>(Y42*Inputs!Y25)/12</f>
        <v>41.666666666666664</v>
      </c>
      <c r="Z45" s="38">
        <f>(Z42*Inputs!Z25)/12</f>
        <v>41.666666666666664</v>
      </c>
      <c r="AA45" s="38">
        <f>(AA42*Inputs!AA25)/12</f>
        <v>41.666666666666664</v>
      </c>
      <c r="AB45" s="38">
        <f>(AB42*Inputs!AB25)/12</f>
        <v>62.5</v>
      </c>
      <c r="AC45" s="38">
        <f>(AC42*Inputs!AC25)/12</f>
        <v>62.5</v>
      </c>
      <c r="AD45" s="38">
        <f>(AD42*Inputs!AD25)/12</f>
        <v>62.5</v>
      </c>
      <c r="AE45" s="38">
        <f>(AE42*Inputs!AE25)/12</f>
        <v>62.5</v>
      </c>
      <c r="AF45" s="38">
        <f>(AF42*Inputs!AF25)/12</f>
        <v>83.333333333333329</v>
      </c>
      <c r="AG45" s="38">
        <f>(AG42*Inputs!AG25)/12</f>
        <v>83.333333333333329</v>
      </c>
      <c r="AH45" s="38">
        <f>(AH42*Inputs!AH25)/12</f>
        <v>83.333333333333329</v>
      </c>
      <c r="AI45" s="38">
        <f>(AI42*Inputs!AI25)/12</f>
        <v>83.333333333333329</v>
      </c>
      <c r="AJ45" s="38">
        <f>(AJ42*Inputs!AJ25)/12</f>
        <v>104.16666666666667</v>
      </c>
      <c r="AK45" s="38">
        <f>(AK42*Inputs!AK25)/12</f>
        <v>104.16666666666667</v>
      </c>
      <c r="AL45" s="38">
        <f>(AL42*Inputs!AL25)/12</f>
        <v>104.16666666666667</v>
      </c>
      <c r="AM45" s="38">
        <f>(AM42*Inputs!AM25)/12</f>
        <v>104.16666666666667</v>
      </c>
      <c r="AN45" s="38">
        <f>(AN42*Inputs!AN25)/12</f>
        <v>125</v>
      </c>
      <c r="AO45" s="38">
        <f>(AO42*Inputs!AO25)/12</f>
        <v>125</v>
      </c>
      <c r="AP45" s="38">
        <f>(AP42*Inputs!AP25)/12</f>
        <v>125</v>
      </c>
      <c r="AQ45" s="38">
        <f>(AQ42*Inputs!AQ25)/12</f>
        <v>125</v>
      </c>
      <c r="AR45" s="38">
        <f>(AR42*Inputs!AR25)/12</f>
        <v>145.83333333333334</v>
      </c>
      <c r="AS45" s="38">
        <f>(AS42*Inputs!AS25)/12</f>
        <v>145.83333333333334</v>
      </c>
      <c r="AT45" s="38">
        <f>(AT42*Inputs!AT25)/12</f>
        <v>145.83333333333334</v>
      </c>
      <c r="AU45" s="38">
        <f>(AU42*Inputs!AU25)/12</f>
        <v>145.83333333333334</v>
      </c>
      <c r="AV45" s="38">
        <f>(AV42*Inputs!AV25)/12</f>
        <v>145.83333333333334</v>
      </c>
      <c r="AW45" s="38">
        <f>(AW42*Inputs!AW25)/12</f>
        <v>145.83333333333334</v>
      </c>
      <c r="AX45" s="38">
        <f>(AX42*Inputs!AX25)/12</f>
        <v>145.83333333333334</v>
      </c>
      <c r="AY45" s="38">
        <f>(AY42*Inputs!AY25)/12</f>
        <v>145.83333333333334</v>
      </c>
      <c r="AZ45" s="38">
        <f>(AZ42*Inputs!AZ25)/12</f>
        <v>145.83333333333334</v>
      </c>
      <c r="BA45" s="38">
        <f>(BA42*Inputs!BA25)/12</f>
        <v>145.83333333333334</v>
      </c>
      <c r="BB45" s="38">
        <f>(BB42*Inputs!BB25)/12</f>
        <v>145.83333333333334</v>
      </c>
      <c r="BC45" s="38">
        <f>(BC42*Inputs!BC25)/12</f>
        <v>145.83333333333334</v>
      </c>
      <c r="BD45" s="38">
        <f>(BD42*Inputs!BD25)/12</f>
        <v>145.83333333333334</v>
      </c>
      <c r="BE45" s="38">
        <f>(BE42*Inputs!BE25)/12</f>
        <v>145.83333333333334</v>
      </c>
      <c r="BF45" s="38">
        <f>(BF42*Inputs!BF25)/12</f>
        <v>145.83333333333334</v>
      </c>
      <c r="BG45" s="38">
        <f>(BG42*Inputs!BG25)/12</f>
        <v>145.83333333333334</v>
      </c>
      <c r="BH45" s="38">
        <f>(BH42*Inputs!BH25)/12</f>
        <v>145.83333333333334</v>
      </c>
      <c r="BI45" s="38">
        <f>(BI42*Inputs!BI25)/12</f>
        <v>145.83333333333334</v>
      </c>
      <c r="BJ45" s="38">
        <f>(BJ42*Inputs!BJ25)/12</f>
        <v>145.83333333333334</v>
      </c>
      <c r="BK45" s="38">
        <f>(BK42*Inputs!BK25)/12</f>
        <v>145.83333333333334</v>
      </c>
      <c r="BL45" s="38">
        <f>(BL42*Inputs!BL25)/12</f>
        <v>145.83333333333334</v>
      </c>
      <c r="BM45" s="38">
        <f>(BM42*Inputs!BM25)/12</f>
        <v>145.83333333333334</v>
      </c>
      <c r="BN45" s="38">
        <f>(BN42*Inputs!BN25)/12</f>
        <v>145.83333333333334</v>
      </c>
      <c r="BO45" s="38">
        <f>(BO42*Inputs!BO25)/12</f>
        <v>145.83333333333334</v>
      </c>
      <c r="BP45" s="38">
        <f>(BP42*Inputs!BP25)/12</f>
        <v>145.83333333333334</v>
      </c>
      <c r="BQ45" s="38">
        <f>(BQ42*Inputs!BQ25)/12</f>
        <v>145.83333333333334</v>
      </c>
    </row>
    <row r="46" spans="2:69">
      <c r="B46" s="12" t="s">
        <v>211</v>
      </c>
      <c r="C46" s="12"/>
      <c r="D46" s="12"/>
      <c r="E46" s="12"/>
      <c r="F46" s="12"/>
      <c r="G46" s="12"/>
      <c r="H46" s="12"/>
      <c r="I46" s="12"/>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row>
    <row r="47" spans="2:69">
      <c r="B47" s="2" t="s">
        <v>212</v>
      </c>
      <c r="J47" s="38">
        <f>SUM(J44:J46)</f>
        <v>0</v>
      </c>
      <c r="K47" s="38">
        <f>SUM(K44:K46)</f>
        <v>0</v>
      </c>
      <c r="L47" s="38">
        <f t="shared" ref="L47:BE47" si="83">SUM(L44:L46)</f>
        <v>0</v>
      </c>
      <c r="M47" s="38">
        <f t="shared" si="83"/>
        <v>0</v>
      </c>
      <c r="N47" s="38">
        <f t="shared" si="83"/>
        <v>0</v>
      </c>
      <c r="O47" s="38">
        <f t="shared" si="83"/>
        <v>0</v>
      </c>
      <c r="P47" s="38">
        <f t="shared" si="83"/>
        <v>0</v>
      </c>
      <c r="Q47" s="38">
        <f t="shared" si="83"/>
        <v>0</v>
      </c>
      <c r="R47" s="38">
        <f t="shared" si="83"/>
        <v>0</v>
      </c>
      <c r="S47" s="38">
        <f t="shared" si="83"/>
        <v>0</v>
      </c>
      <c r="T47" s="38">
        <f t="shared" si="83"/>
        <v>20.833333333333332</v>
      </c>
      <c r="U47" s="38">
        <f t="shared" si="83"/>
        <v>41.666666666666664</v>
      </c>
      <c r="V47" s="38">
        <f t="shared" si="83"/>
        <v>62.5</v>
      </c>
      <c r="W47" s="38">
        <f t="shared" si="83"/>
        <v>83.333333333333329</v>
      </c>
      <c r="X47" s="38">
        <f t="shared" si="83"/>
        <v>125</v>
      </c>
      <c r="Y47" s="38">
        <f t="shared" si="83"/>
        <v>166.66666666666666</v>
      </c>
      <c r="Z47" s="38">
        <f t="shared" si="83"/>
        <v>208.33333333333331</v>
      </c>
      <c r="AA47" s="38">
        <f t="shared" si="83"/>
        <v>249.99999999999997</v>
      </c>
      <c r="AB47" s="38">
        <f t="shared" si="83"/>
        <v>312.5</v>
      </c>
      <c r="AC47" s="38">
        <f t="shared" si="83"/>
        <v>375</v>
      </c>
      <c r="AD47" s="38">
        <f t="shared" si="83"/>
        <v>437.5</v>
      </c>
      <c r="AE47" s="38">
        <f t="shared" si="83"/>
        <v>500</v>
      </c>
      <c r="AF47" s="38">
        <f t="shared" si="83"/>
        <v>583.33333333333337</v>
      </c>
      <c r="AG47" s="38">
        <f t="shared" si="83"/>
        <v>666.66666666666674</v>
      </c>
      <c r="AH47" s="38">
        <f t="shared" si="83"/>
        <v>750.00000000000011</v>
      </c>
      <c r="AI47" s="38">
        <f t="shared" si="83"/>
        <v>833.33333333333348</v>
      </c>
      <c r="AJ47" s="38">
        <f t="shared" si="83"/>
        <v>937.50000000000011</v>
      </c>
      <c r="AK47" s="38">
        <f t="shared" si="83"/>
        <v>1041.6666666666667</v>
      </c>
      <c r="AL47" s="38">
        <f t="shared" si="83"/>
        <v>1145.8333333333335</v>
      </c>
      <c r="AM47" s="38">
        <f t="shared" si="83"/>
        <v>1250.0000000000002</v>
      </c>
      <c r="AN47" s="38">
        <f t="shared" si="83"/>
        <v>1375.0000000000002</v>
      </c>
      <c r="AO47" s="38">
        <f t="shared" si="83"/>
        <v>1500.0000000000002</v>
      </c>
      <c r="AP47" s="38">
        <f t="shared" si="83"/>
        <v>1625.0000000000002</v>
      </c>
      <c r="AQ47" s="38">
        <f t="shared" si="83"/>
        <v>1750.0000000000002</v>
      </c>
      <c r="AR47" s="38">
        <f t="shared" si="83"/>
        <v>1895.8333333333335</v>
      </c>
      <c r="AS47" s="38">
        <f t="shared" si="83"/>
        <v>2041.6666666666667</v>
      </c>
      <c r="AT47" s="38">
        <f t="shared" si="83"/>
        <v>2187.5</v>
      </c>
      <c r="AU47" s="38">
        <f t="shared" si="83"/>
        <v>2333.3333333333335</v>
      </c>
      <c r="AV47" s="38">
        <f t="shared" si="83"/>
        <v>2479.166666666667</v>
      </c>
      <c r="AW47" s="38">
        <f t="shared" si="83"/>
        <v>2625.0000000000005</v>
      </c>
      <c r="AX47" s="38">
        <f t="shared" si="83"/>
        <v>2770.8333333333339</v>
      </c>
      <c r="AY47" s="38">
        <f t="shared" si="83"/>
        <v>2916.6666666666674</v>
      </c>
      <c r="AZ47" s="38">
        <f t="shared" si="83"/>
        <v>3062.5000000000009</v>
      </c>
      <c r="BA47" s="38">
        <f t="shared" si="83"/>
        <v>3208.3333333333344</v>
      </c>
      <c r="BB47" s="38">
        <f t="shared" si="83"/>
        <v>3354.1666666666679</v>
      </c>
      <c r="BC47" s="38">
        <f t="shared" si="83"/>
        <v>3500.0000000000014</v>
      </c>
      <c r="BD47" s="38">
        <f t="shared" si="83"/>
        <v>3645.8333333333348</v>
      </c>
      <c r="BE47" s="38">
        <f t="shared" si="83"/>
        <v>3791.6666666666683</v>
      </c>
      <c r="BF47" s="38">
        <f t="shared" ref="BF47:BQ47" si="84">SUM(BF44:BF46)</f>
        <v>3937.5000000000018</v>
      </c>
      <c r="BG47" s="38">
        <f t="shared" si="84"/>
        <v>4083.3333333333353</v>
      </c>
      <c r="BH47" s="38">
        <f t="shared" si="84"/>
        <v>4229.1666666666688</v>
      </c>
      <c r="BI47" s="38">
        <f t="shared" si="84"/>
        <v>4375.0000000000018</v>
      </c>
      <c r="BJ47" s="38">
        <f t="shared" si="84"/>
        <v>4520.8333333333348</v>
      </c>
      <c r="BK47" s="38">
        <f t="shared" si="84"/>
        <v>4666.6666666666679</v>
      </c>
      <c r="BL47" s="38">
        <f t="shared" si="84"/>
        <v>4812.5000000000009</v>
      </c>
      <c r="BM47" s="38">
        <f t="shared" si="84"/>
        <v>4958.3333333333339</v>
      </c>
      <c r="BN47" s="38">
        <f t="shared" si="84"/>
        <v>5104.166666666667</v>
      </c>
      <c r="BO47" s="38">
        <f t="shared" si="84"/>
        <v>5250</v>
      </c>
      <c r="BP47" s="38">
        <f t="shared" si="84"/>
        <v>5395.833333333333</v>
      </c>
      <c r="BQ47" s="38">
        <f t="shared" si="84"/>
        <v>5541.6666666666661</v>
      </c>
    </row>
    <row r="48" spans="2:69">
      <c r="B48" s="12"/>
      <c r="C48" s="12"/>
      <c r="D48" s="12"/>
      <c r="E48" s="12"/>
      <c r="F48" s="12"/>
      <c r="G48" s="12"/>
      <c r="H48" s="12"/>
      <c r="I48" s="12"/>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row>
    <row r="49" spans="2:69">
      <c r="B49" s="2" t="s">
        <v>207</v>
      </c>
      <c r="J49" s="38">
        <f>J42-J47</f>
        <v>0</v>
      </c>
      <c r="K49" s="38">
        <f>K42-K47</f>
        <v>0</v>
      </c>
      <c r="L49" s="38">
        <f t="shared" ref="L49:BE49" si="85">L42-L47</f>
        <v>0</v>
      </c>
      <c r="M49" s="38">
        <f t="shared" si="85"/>
        <v>0</v>
      </c>
      <c r="N49" s="38">
        <f t="shared" si="85"/>
        <v>0</v>
      </c>
      <c r="O49" s="38">
        <f t="shared" si="85"/>
        <v>0</v>
      </c>
      <c r="P49" s="38">
        <f t="shared" si="85"/>
        <v>0</v>
      </c>
      <c r="Q49" s="38">
        <f t="shared" si="85"/>
        <v>0</v>
      </c>
      <c r="R49" s="38">
        <f t="shared" si="85"/>
        <v>0</v>
      </c>
      <c r="S49" s="38">
        <f t="shared" si="85"/>
        <v>0</v>
      </c>
      <c r="T49" s="38">
        <f t="shared" si="85"/>
        <v>979.16666666666663</v>
      </c>
      <c r="U49" s="38">
        <f t="shared" si="85"/>
        <v>958.33333333333337</v>
      </c>
      <c r="V49" s="38">
        <f t="shared" si="85"/>
        <v>937.5</v>
      </c>
      <c r="W49" s="38">
        <f t="shared" si="85"/>
        <v>916.66666666666663</v>
      </c>
      <c r="X49" s="38">
        <f t="shared" si="85"/>
        <v>1875</v>
      </c>
      <c r="Y49" s="38">
        <f t="shared" si="85"/>
        <v>1833.3333333333333</v>
      </c>
      <c r="Z49" s="38">
        <f t="shared" si="85"/>
        <v>1791.6666666666667</v>
      </c>
      <c r="AA49" s="38">
        <f t="shared" si="85"/>
        <v>1750</v>
      </c>
      <c r="AB49" s="38">
        <f t="shared" si="85"/>
        <v>2687.5</v>
      </c>
      <c r="AC49" s="38">
        <f t="shared" si="85"/>
        <v>2625</v>
      </c>
      <c r="AD49" s="38">
        <f t="shared" si="85"/>
        <v>2562.5</v>
      </c>
      <c r="AE49" s="38">
        <f t="shared" si="85"/>
        <v>2500</v>
      </c>
      <c r="AF49" s="38">
        <f t="shared" si="85"/>
        <v>3416.6666666666665</v>
      </c>
      <c r="AG49" s="38">
        <f t="shared" si="85"/>
        <v>3333.333333333333</v>
      </c>
      <c r="AH49" s="38">
        <f t="shared" si="85"/>
        <v>3250</v>
      </c>
      <c r="AI49" s="38">
        <f t="shared" si="85"/>
        <v>3166.6666666666665</v>
      </c>
      <c r="AJ49" s="38">
        <f t="shared" si="85"/>
        <v>4062.5</v>
      </c>
      <c r="AK49" s="38">
        <f t="shared" si="85"/>
        <v>3958.333333333333</v>
      </c>
      <c r="AL49" s="38">
        <f t="shared" si="85"/>
        <v>3854.1666666666665</v>
      </c>
      <c r="AM49" s="38">
        <f t="shared" si="85"/>
        <v>3750</v>
      </c>
      <c r="AN49" s="38">
        <f t="shared" si="85"/>
        <v>4625</v>
      </c>
      <c r="AO49" s="38">
        <f t="shared" si="85"/>
        <v>4500</v>
      </c>
      <c r="AP49" s="38">
        <f t="shared" si="85"/>
        <v>4375</v>
      </c>
      <c r="AQ49" s="38">
        <f t="shared" si="85"/>
        <v>4250</v>
      </c>
      <c r="AR49" s="38">
        <f t="shared" si="85"/>
        <v>5104.1666666666661</v>
      </c>
      <c r="AS49" s="38">
        <f t="shared" si="85"/>
        <v>4958.333333333333</v>
      </c>
      <c r="AT49" s="38">
        <f t="shared" si="85"/>
        <v>4812.5</v>
      </c>
      <c r="AU49" s="38">
        <f t="shared" si="85"/>
        <v>4666.6666666666661</v>
      </c>
      <c r="AV49" s="38">
        <f t="shared" si="85"/>
        <v>4520.833333333333</v>
      </c>
      <c r="AW49" s="38">
        <f t="shared" si="85"/>
        <v>4375</v>
      </c>
      <c r="AX49" s="38">
        <f t="shared" si="85"/>
        <v>4229.1666666666661</v>
      </c>
      <c r="AY49" s="38">
        <f t="shared" si="85"/>
        <v>4083.3333333333326</v>
      </c>
      <c r="AZ49" s="38">
        <f t="shared" si="85"/>
        <v>3937.4999999999991</v>
      </c>
      <c r="BA49" s="38">
        <f t="shared" si="85"/>
        <v>3791.6666666666656</v>
      </c>
      <c r="BB49" s="38">
        <f t="shared" si="85"/>
        <v>3645.8333333333321</v>
      </c>
      <c r="BC49" s="38">
        <f t="shared" si="85"/>
        <v>3499.9999999999986</v>
      </c>
      <c r="BD49" s="38">
        <f t="shared" si="85"/>
        <v>3354.1666666666652</v>
      </c>
      <c r="BE49" s="38">
        <f t="shared" si="85"/>
        <v>3208.3333333333317</v>
      </c>
      <c r="BF49" s="38">
        <f t="shared" ref="BF49:BQ49" si="86">BF42-BF47</f>
        <v>3062.4999999999982</v>
      </c>
      <c r="BG49" s="38">
        <f t="shared" si="86"/>
        <v>2916.6666666666647</v>
      </c>
      <c r="BH49" s="38">
        <f t="shared" si="86"/>
        <v>2770.8333333333312</v>
      </c>
      <c r="BI49" s="38">
        <f t="shared" si="86"/>
        <v>2624.9999999999982</v>
      </c>
      <c r="BJ49" s="38">
        <f t="shared" si="86"/>
        <v>2479.1666666666652</v>
      </c>
      <c r="BK49" s="38">
        <f t="shared" si="86"/>
        <v>2333.3333333333321</v>
      </c>
      <c r="BL49" s="38">
        <f t="shared" si="86"/>
        <v>2187.4999999999991</v>
      </c>
      <c r="BM49" s="38">
        <f t="shared" si="86"/>
        <v>2041.6666666666661</v>
      </c>
      <c r="BN49" s="38">
        <f t="shared" si="86"/>
        <v>1895.833333333333</v>
      </c>
      <c r="BO49" s="38">
        <f t="shared" si="86"/>
        <v>1750</v>
      </c>
      <c r="BP49" s="38">
        <f t="shared" si="86"/>
        <v>1604.166666666667</v>
      </c>
      <c r="BQ49" s="38">
        <f t="shared" si="86"/>
        <v>1458.3333333333339</v>
      </c>
    </row>
    <row r="50" spans="2:69">
      <c r="B50" s="2"/>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c r="BK50" s="38"/>
      <c r="BL50" s="38"/>
      <c r="BM50" s="38"/>
      <c r="BN50" s="38"/>
      <c r="BO50" s="38"/>
      <c r="BP50" s="38"/>
      <c r="BQ50" s="38"/>
    </row>
    <row r="51" spans="2:69">
      <c r="B51" s="2"/>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8"/>
      <c r="BP51" s="38"/>
      <c r="BQ51" s="38"/>
    </row>
    <row r="52" spans="2:69">
      <c r="B52" s="2" t="s">
        <v>214</v>
      </c>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c r="BK52" s="38"/>
      <c r="BL52" s="38"/>
      <c r="BM52" s="38"/>
      <c r="BN52" s="38"/>
      <c r="BO52" s="38"/>
      <c r="BP52" s="38"/>
      <c r="BQ52" s="38"/>
    </row>
    <row r="53" spans="2:69">
      <c r="B53" t="s">
        <v>199</v>
      </c>
      <c r="J53" s="38">
        <v>0</v>
      </c>
      <c r="K53" s="38">
        <f>J56</f>
        <v>0</v>
      </c>
      <c r="L53" s="38">
        <f t="shared" ref="L53:BE53" si="87">K56</f>
        <v>0</v>
      </c>
      <c r="M53" s="38">
        <f t="shared" si="87"/>
        <v>0</v>
      </c>
      <c r="N53" s="38">
        <f t="shared" si="87"/>
        <v>0</v>
      </c>
      <c r="O53" s="38">
        <f t="shared" si="87"/>
        <v>0</v>
      </c>
      <c r="P53" s="38">
        <f t="shared" si="87"/>
        <v>0</v>
      </c>
      <c r="Q53" s="38">
        <f t="shared" si="87"/>
        <v>0</v>
      </c>
      <c r="R53" s="38">
        <f t="shared" si="87"/>
        <v>0</v>
      </c>
      <c r="S53" s="38">
        <f t="shared" si="87"/>
        <v>0</v>
      </c>
      <c r="T53" s="38">
        <f t="shared" si="87"/>
        <v>0</v>
      </c>
      <c r="U53" s="38">
        <f t="shared" si="87"/>
        <v>2000</v>
      </c>
      <c r="V53" s="38">
        <f t="shared" si="87"/>
        <v>2000</v>
      </c>
      <c r="W53" s="38">
        <f t="shared" si="87"/>
        <v>2000</v>
      </c>
      <c r="X53" s="38">
        <f t="shared" si="87"/>
        <v>2000</v>
      </c>
      <c r="Y53" s="38">
        <f t="shared" si="87"/>
        <v>4000</v>
      </c>
      <c r="Z53" s="38">
        <f t="shared" si="87"/>
        <v>4000</v>
      </c>
      <c r="AA53" s="38">
        <f t="shared" si="87"/>
        <v>4000</v>
      </c>
      <c r="AB53" s="38">
        <f t="shared" si="87"/>
        <v>4000</v>
      </c>
      <c r="AC53" s="38">
        <f t="shared" si="87"/>
        <v>6000</v>
      </c>
      <c r="AD53" s="38">
        <f t="shared" si="87"/>
        <v>6000</v>
      </c>
      <c r="AE53" s="38">
        <f t="shared" si="87"/>
        <v>6000</v>
      </c>
      <c r="AF53" s="38">
        <f t="shared" si="87"/>
        <v>6000</v>
      </c>
      <c r="AG53" s="38">
        <f t="shared" si="87"/>
        <v>8000</v>
      </c>
      <c r="AH53" s="38">
        <f t="shared" si="87"/>
        <v>8000</v>
      </c>
      <c r="AI53" s="38">
        <f t="shared" si="87"/>
        <v>8000</v>
      </c>
      <c r="AJ53" s="38">
        <f t="shared" si="87"/>
        <v>8000</v>
      </c>
      <c r="AK53" s="38">
        <f t="shared" si="87"/>
        <v>10000</v>
      </c>
      <c r="AL53" s="38">
        <f t="shared" si="87"/>
        <v>10000</v>
      </c>
      <c r="AM53" s="38">
        <f t="shared" si="87"/>
        <v>10000</v>
      </c>
      <c r="AN53" s="38">
        <f t="shared" si="87"/>
        <v>10000</v>
      </c>
      <c r="AO53" s="38">
        <f t="shared" si="87"/>
        <v>12000</v>
      </c>
      <c r="AP53" s="38">
        <f t="shared" si="87"/>
        <v>12000</v>
      </c>
      <c r="AQ53" s="38">
        <f t="shared" si="87"/>
        <v>12000</v>
      </c>
      <c r="AR53" s="38">
        <f t="shared" si="87"/>
        <v>12000</v>
      </c>
      <c r="AS53" s="38">
        <f t="shared" si="87"/>
        <v>14000</v>
      </c>
      <c r="AT53" s="38">
        <f t="shared" si="87"/>
        <v>14000</v>
      </c>
      <c r="AU53" s="38">
        <f t="shared" si="87"/>
        <v>14000</v>
      </c>
      <c r="AV53" s="38">
        <f t="shared" si="87"/>
        <v>14000</v>
      </c>
      <c r="AW53" s="38">
        <f t="shared" si="87"/>
        <v>14000</v>
      </c>
      <c r="AX53" s="38">
        <f t="shared" si="87"/>
        <v>14000</v>
      </c>
      <c r="AY53" s="38">
        <f t="shared" si="87"/>
        <v>14000</v>
      </c>
      <c r="AZ53" s="38">
        <f t="shared" si="87"/>
        <v>14000</v>
      </c>
      <c r="BA53" s="38">
        <f t="shared" si="87"/>
        <v>14000</v>
      </c>
      <c r="BB53" s="38">
        <f t="shared" si="87"/>
        <v>14000</v>
      </c>
      <c r="BC53" s="38">
        <f t="shared" si="87"/>
        <v>14000</v>
      </c>
      <c r="BD53" s="38">
        <f t="shared" si="87"/>
        <v>14000</v>
      </c>
      <c r="BE53" s="38">
        <f t="shared" si="87"/>
        <v>14000</v>
      </c>
      <c r="BF53" s="38">
        <f t="shared" ref="BF53" si="88">BE56</f>
        <v>14000</v>
      </c>
      <c r="BG53" s="38">
        <f t="shared" ref="BG53" si="89">BF56</f>
        <v>14000</v>
      </c>
      <c r="BH53" s="38">
        <f t="shared" ref="BH53" si="90">BG56</f>
        <v>14000</v>
      </c>
      <c r="BI53" s="38">
        <f t="shared" ref="BI53" si="91">BH56</f>
        <v>14000</v>
      </c>
      <c r="BJ53" s="38">
        <f t="shared" ref="BJ53" si="92">BI56</f>
        <v>14000</v>
      </c>
      <c r="BK53" s="38">
        <f t="shared" ref="BK53" si="93">BJ56</f>
        <v>14000</v>
      </c>
      <c r="BL53" s="38">
        <f t="shared" ref="BL53" si="94">BK56</f>
        <v>14000</v>
      </c>
      <c r="BM53" s="38">
        <f t="shared" ref="BM53" si="95">BL56</f>
        <v>14000</v>
      </c>
      <c r="BN53" s="38">
        <f t="shared" ref="BN53" si="96">BM56</f>
        <v>14000</v>
      </c>
      <c r="BO53" s="38">
        <f t="shared" ref="BO53" si="97">BN56</f>
        <v>14000</v>
      </c>
      <c r="BP53" s="38">
        <f t="shared" ref="BP53" si="98">BO56</f>
        <v>14000</v>
      </c>
      <c r="BQ53" s="38">
        <f t="shared" ref="BQ53" si="99">BP56</f>
        <v>14000</v>
      </c>
    </row>
    <row r="54" spans="2:69">
      <c r="B54" t="s">
        <v>200</v>
      </c>
      <c r="J54" s="38">
        <v>0</v>
      </c>
      <c r="K54" s="38"/>
      <c r="L54" s="38"/>
      <c r="M54" s="38"/>
      <c r="N54" s="38"/>
      <c r="O54" s="38"/>
      <c r="P54" s="38"/>
      <c r="Q54" s="38"/>
      <c r="R54" s="38"/>
      <c r="S54" s="38"/>
      <c r="T54" s="38">
        <v>2000</v>
      </c>
      <c r="U54" s="38"/>
      <c r="V54" s="38"/>
      <c r="W54" s="38"/>
      <c r="X54" s="38">
        <v>2000</v>
      </c>
      <c r="Y54" s="38"/>
      <c r="Z54" s="38"/>
      <c r="AA54" s="38"/>
      <c r="AB54" s="38">
        <v>2000</v>
      </c>
      <c r="AC54" s="38"/>
      <c r="AD54" s="38"/>
      <c r="AE54" s="38"/>
      <c r="AF54" s="38">
        <v>2000</v>
      </c>
      <c r="AG54" s="38"/>
      <c r="AH54" s="38"/>
      <c r="AI54" s="38"/>
      <c r="AJ54" s="38">
        <v>2000</v>
      </c>
      <c r="AK54" s="38"/>
      <c r="AL54" s="38"/>
      <c r="AM54" s="38"/>
      <c r="AN54" s="38">
        <v>2000</v>
      </c>
      <c r="AO54" s="38"/>
      <c r="AP54" s="38"/>
      <c r="AQ54" s="38"/>
      <c r="AR54" s="38">
        <v>2000</v>
      </c>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row>
    <row r="55" spans="2:69">
      <c r="B55" s="12" t="s">
        <v>201</v>
      </c>
      <c r="C55" s="12"/>
      <c r="D55" s="12"/>
      <c r="E55" s="12"/>
      <c r="F55" s="12"/>
      <c r="G55" s="12"/>
      <c r="H55" s="12"/>
      <c r="I55" s="12"/>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c r="AY55" s="40"/>
      <c r="AZ55" s="40"/>
      <c r="BA55" s="40"/>
      <c r="BB55" s="40"/>
      <c r="BC55" s="40"/>
      <c r="BD55" s="40"/>
      <c r="BE55" s="40"/>
      <c r="BF55" s="40"/>
      <c r="BG55" s="40"/>
      <c r="BH55" s="40"/>
      <c r="BI55" s="40"/>
      <c r="BJ55" s="40"/>
      <c r="BK55" s="40"/>
      <c r="BL55" s="40"/>
      <c r="BM55" s="40"/>
      <c r="BN55" s="40"/>
      <c r="BO55" s="40"/>
      <c r="BP55" s="40"/>
      <c r="BQ55" s="40"/>
    </row>
    <row r="56" spans="2:69">
      <c r="B56" s="2" t="s">
        <v>202</v>
      </c>
      <c r="J56" s="38">
        <f>SUM(J53:J55)</f>
        <v>0</v>
      </c>
      <c r="K56" s="38">
        <f t="shared" ref="K56" si="100">SUM(K53:K55)</f>
        <v>0</v>
      </c>
      <c r="L56" s="38">
        <f t="shared" ref="L56" si="101">SUM(L53:L55)</f>
        <v>0</v>
      </c>
      <c r="M56" s="38">
        <f t="shared" ref="M56" si="102">SUM(M53:M55)</f>
        <v>0</v>
      </c>
      <c r="N56" s="38">
        <f t="shared" ref="N56" si="103">SUM(N53:N55)</f>
        <v>0</v>
      </c>
      <c r="O56" s="38">
        <f t="shared" ref="O56" si="104">SUM(O53:O55)</f>
        <v>0</v>
      </c>
      <c r="P56" s="38">
        <f t="shared" ref="P56" si="105">SUM(P53:P55)</f>
        <v>0</v>
      </c>
      <c r="Q56" s="38">
        <f t="shared" ref="Q56" si="106">SUM(Q53:Q55)</f>
        <v>0</v>
      </c>
      <c r="R56" s="38">
        <f t="shared" ref="R56" si="107">SUM(R53:R55)</f>
        <v>0</v>
      </c>
      <c r="S56" s="38">
        <f t="shared" ref="S56" si="108">SUM(S53:S55)</f>
        <v>0</v>
      </c>
      <c r="T56" s="38">
        <f t="shared" ref="T56" si="109">SUM(T53:T55)</f>
        <v>2000</v>
      </c>
      <c r="U56" s="38">
        <f t="shared" ref="U56" si="110">SUM(U53:U55)</f>
        <v>2000</v>
      </c>
      <c r="V56" s="38">
        <f t="shared" ref="V56" si="111">SUM(V53:V55)</f>
        <v>2000</v>
      </c>
      <c r="W56" s="38">
        <f t="shared" ref="W56" si="112">SUM(W53:W55)</f>
        <v>2000</v>
      </c>
      <c r="X56" s="38">
        <f t="shared" ref="X56" si="113">SUM(X53:X55)</f>
        <v>4000</v>
      </c>
      <c r="Y56" s="38">
        <f t="shared" ref="Y56" si="114">SUM(Y53:Y55)</f>
        <v>4000</v>
      </c>
      <c r="Z56" s="38">
        <f t="shared" ref="Z56" si="115">SUM(Z53:Z55)</f>
        <v>4000</v>
      </c>
      <c r="AA56" s="38">
        <f t="shared" ref="AA56" si="116">SUM(AA53:AA55)</f>
        <v>4000</v>
      </c>
      <c r="AB56" s="38">
        <f t="shared" ref="AB56" si="117">SUM(AB53:AB55)</f>
        <v>6000</v>
      </c>
      <c r="AC56" s="38">
        <f t="shared" ref="AC56" si="118">SUM(AC53:AC55)</f>
        <v>6000</v>
      </c>
      <c r="AD56" s="38">
        <f t="shared" ref="AD56" si="119">SUM(AD53:AD55)</f>
        <v>6000</v>
      </c>
      <c r="AE56" s="38">
        <f t="shared" ref="AE56" si="120">SUM(AE53:AE55)</f>
        <v>6000</v>
      </c>
      <c r="AF56" s="38">
        <f t="shared" ref="AF56" si="121">SUM(AF53:AF55)</f>
        <v>8000</v>
      </c>
      <c r="AG56" s="38">
        <f t="shared" ref="AG56" si="122">SUM(AG53:AG55)</f>
        <v>8000</v>
      </c>
      <c r="AH56" s="38">
        <f t="shared" ref="AH56" si="123">SUM(AH53:AH55)</f>
        <v>8000</v>
      </c>
      <c r="AI56" s="38">
        <f t="shared" ref="AI56" si="124">SUM(AI53:AI55)</f>
        <v>8000</v>
      </c>
      <c r="AJ56" s="38">
        <f t="shared" ref="AJ56" si="125">SUM(AJ53:AJ55)</f>
        <v>10000</v>
      </c>
      <c r="AK56" s="38">
        <f t="shared" ref="AK56" si="126">SUM(AK53:AK55)</f>
        <v>10000</v>
      </c>
      <c r="AL56" s="38">
        <f t="shared" ref="AL56" si="127">SUM(AL53:AL55)</f>
        <v>10000</v>
      </c>
      <c r="AM56" s="38">
        <f t="shared" ref="AM56" si="128">SUM(AM53:AM55)</f>
        <v>10000</v>
      </c>
      <c r="AN56" s="38">
        <f t="shared" ref="AN56" si="129">SUM(AN53:AN55)</f>
        <v>12000</v>
      </c>
      <c r="AO56" s="38">
        <f t="shared" ref="AO56" si="130">SUM(AO53:AO55)</f>
        <v>12000</v>
      </c>
      <c r="AP56" s="38">
        <f t="shared" ref="AP56" si="131">SUM(AP53:AP55)</f>
        <v>12000</v>
      </c>
      <c r="AQ56" s="38">
        <f t="shared" ref="AQ56" si="132">SUM(AQ53:AQ55)</f>
        <v>12000</v>
      </c>
      <c r="AR56" s="38">
        <f t="shared" ref="AR56" si="133">SUM(AR53:AR55)</f>
        <v>14000</v>
      </c>
      <c r="AS56" s="38">
        <f t="shared" ref="AS56" si="134">SUM(AS53:AS55)</f>
        <v>14000</v>
      </c>
      <c r="AT56" s="38">
        <f t="shared" ref="AT56" si="135">SUM(AT53:AT55)</f>
        <v>14000</v>
      </c>
      <c r="AU56" s="38">
        <f t="shared" ref="AU56" si="136">SUM(AU53:AU55)</f>
        <v>14000</v>
      </c>
      <c r="AV56" s="38">
        <f t="shared" ref="AV56" si="137">SUM(AV53:AV55)</f>
        <v>14000</v>
      </c>
      <c r="AW56" s="38">
        <f t="shared" ref="AW56" si="138">SUM(AW53:AW55)</f>
        <v>14000</v>
      </c>
      <c r="AX56" s="38">
        <f t="shared" ref="AX56" si="139">SUM(AX53:AX55)</f>
        <v>14000</v>
      </c>
      <c r="AY56" s="38">
        <f t="shared" ref="AY56" si="140">SUM(AY53:AY55)</f>
        <v>14000</v>
      </c>
      <c r="AZ56" s="38">
        <f t="shared" ref="AZ56" si="141">SUM(AZ53:AZ55)</f>
        <v>14000</v>
      </c>
      <c r="BA56" s="38">
        <f t="shared" ref="BA56" si="142">SUM(BA53:BA55)</f>
        <v>14000</v>
      </c>
      <c r="BB56" s="38">
        <f t="shared" ref="BB56" si="143">SUM(BB53:BB55)</f>
        <v>14000</v>
      </c>
      <c r="BC56" s="38">
        <f t="shared" ref="BC56" si="144">SUM(BC53:BC55)</f>
        <v>14000</v>
      </c>
      <c r="BD56" s="38">
        <f t="shared" ref="BD56" si="145">SUM(BD53:BD55)</f>
        <v>14000</v>
      </c>
      <c r="BE56" s="38">
        <f t="shared" ref="BE56:BQ56" si="146">SUM(BE53:BE55)</f>
        <v>14000</v>
      </c>
      <c r="BF56" s="38">
        <f t="shared" si="146"/>
        <v>14000</v>
      </c>
      <c r="BG56" s="38">
        <f t="shared" si="146"/>
        <v>14000</v>
      </c>
      <c r="BH56" s="38">
        <f t="shared" si="146"/>
        <v>14000</v>
      </c>
      <c r="BI56" s="38">
        <f t="shared" si="146"/>
        <v>14000</v>
      </c>
      <c r="BJ56" s="38">
        <f t="shared" si="146"/>
        <v>14000</v>
      </c>
      <c r="BK56" s="38">
        <f t="shared" si="146"/>
        <v>14000</v>
      </c>
      <c r="BL56" s="38">
        <f t="shared" si="146"/>
        <v>14000</v>
      </c>
      <c r="BM56" s="38">
        <f t="shared" si="146"/>
        <v>14000</v>
      </c>
      <c r="BN56" s="38">
        <f t="shared" si="146"/>
        <v>14000</v>
      </c>
      <c r="BO56" s="38">
        <f t="shared" si="146"/>
        <v>14000</v>
      </c>
      <c r="BP56" s="38">
        <f t="shared" si="146"/>
        <v>14000</v>
      </c>
      <c r="BQ56" s="38">
        <f t="shared" si="146"/>
        <v>14000</v>
      </c>
    </row>
    <row r="57" spans="2:69">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8"/>
      <c r="BP57" s="38"/>
      <c r="BQ57" s="38"/>
    </row>
    <row r="58" spans="2:69">
      <c r="B58" t="s">
        <v>209</v>
      </c>
      <c r="J58" s="38">
        <v>0</v>
      </c>
      <c r="K58" s="38">
        <f>J61</f>
        <v>0</v>
      </c>
      <c r="L58" s="38">
        <f t="shared" ref="L58:BE58" si="147">K61</f>
        <v>0</v>
      </c>
      <c r="M58" s="38">
        <f t="shared" si="147"/>
        <v>0</v>
      </c>
      <c r="N58" s="38">
        <f t="shared" si="147"/>
        <v>0</v>
      </c>
      <c r="O58" s="38">
        <f t="shared" si="147"/>
        <v>0</v>
      </c>
      <c r="P58" s="38">
        <f t="shared" si="147"/>
        <v>0</v>
      </c>
      <c r="Q58" s="38">
        <f t="shared" si="147"/>
        <v>0</v>
      </c>
      <c r="R58" s="38">
        <f t="shared" si="147"/>
        <v>0</v>
      </c>
      <c r="S58" s="38">
        <f t="shared" si="147"/>
        <v>0</v>
      </c>
      <c r="T58" s="38">
        <f t="shared" si="147"/>
        <v>0</v>
      </c>
      <c r="U58" s="38">
        <f t="shared" si="147"/>
        <v>55</v>
      </c>
      <c r="V58" s="38">
        <f t="shared" si="147"/>
        <v>110</v>
      </c>
      <c r="W58" s="38">
        <f t="shared" si="147"/>
        <v>165</v>
      </c>
      <c r="X58" s="38">
        <f t="shared" si="147"/>
        <v>220</v>
      </c>
      <c r="Y58" s="38">
        <f t="shared" si="147"/>
        <v>330</v>
      </c>
      <c r="Z58" s="38">
        <f t="shared" si="147"/>
        <v>440</v>
      </c>
      <c r="AA58" s="38">
        <f t="shared" si="147"/>
        <v>550</v>
      </c>
      <c r="AB58" s="38">
        <f t="shared" si="147"/>
        <v>660</v>
      </c>
      <c r="AC58" s="38">
        <f t="shared" si="147"/>
        <v>825</v>
      </c>
      <c r="AD58" s="38">
        <f t="shared" si="147"/>
        <v>990</v>
      </c>
      <c r="AE58" s="38">
        <f t="shared" si="147"/>
        <v>1155</v>
      </c>
      <c r="AF58" s="38">
        <f t="shared" si="147"/>
        <v>1320</v>
      </c>
      <c r="AG58" s="38">
        <f t="shared" si="147"/>
        <v>1540</v>
      </c>
      <c r="AH58" s="38">
        <f t="shared" si="147"/>
        <v>1760</v>
      </c>
      <c r="AI58" s="38">
        <f t="shared" si="147"/>
        <v>1980</v>
      </c>
      <c r="AJ58" s="38">
        <f t="shared" si="147"/>
        <v>2200</v>
      </c>
      <c r="AK58" s="38">
        <f t="shared" si="147"/>
        <v>2475</v>
      </c>
      <c r="AL58" s="38">
        <f t="shared" si="147"/>
        <v>2750</v>
      </c>
      <c r="AM58" s="38">
        <f t="shared" si="147"/>
        <v>3025</v>
      </c>
      <c r="AN58" s="38">
        <f t="shared" si="147"/>
        <v>3300</v>
      </c>
      <c r="AO58" s="38">
        <f t="shared" si="147"/>
        <v>3630</v>
      </c>
      <c r="AP58" s="38">
        <f t="shared" si="147"/>
        <v>3960</v>
      </c>
      <c r="AQ58" s="38">
        <f t="shared" si="147"/>
        <v>4290</v>
      </c>
      <c r="AR58" s="38">
        <f t="shared" si="147"/>
        <v>4620</v>
      </c>
      <c r="AS58" s="38">
        <f t="shared" si="147"/>
        <v>5005</v>
      </c>
      <c r="AT58" s="38">
        <f t="shared" si="147"/>
        <v>5390</v>
      </c>
      <c r="AU58" s="38">
        <f t="shared" si="147"/>
        <v>5775</v>
      </c>
      <c r="AV58" s="38">
        <f t="shared" si="147"/>
        <v>6160</v>
      </c>
      <c r="AW58" s="38">
        <f t="shared" si="147"/>
        <v>6545</v>
      </c>
      <c r="AX58" s="38">
        <f t="shared" si="147"/>
        <v>6930</v>
      </c>
      <c r="AY58" s="38">
        <f t="shared" si="147"/>
        <v>7315</v>
      </c>
      <c r="AZ58" s="38">
        <f t="shared" si="147"/>
        <v>7700</v>
      </c>
      <c r="BA58" s="38">
        <f t="shared" si="147"/>
        <v>8085</v>
      </c>
      <c r="BB58" s="38">
        <f t="shared" si="147"/>
        <v>8470</v>
      </c>
      <c r="BC58" s="38">
        <f t="shared" si="147"/>
        <v>8855</v>
      </c>
      <c r="BD58" s="38">
        <f t="shared" si="147"/>
        <v>9240</v>
      </c>
      <c r="BE58" s="38">
        <f t="shared" si="147"/>
        <v>9625</v>
      </c>
      <c r="BF58" s="38">
        <f t="shared" ref="BF58" si="148">BE61</f>
        <v>10010</v>
      </c>
      <c r="BG58" s="38">
        <f t="shared" ref="BG58" si="149">BF61</f>
        <v>10395</v>
      </c>
      <c r="BH58" s="38">
        <f t="shared" ref="BH58" si="150">BG61</f>
        <v>10780</v>
      </c>
      <c r="BI58" s="38">
        <f t="shared" ref="BI58" si="151">BH61</f>
        <v>11165</v>
      </c>
      <c r="BJ58" s="38">
        <f t="shared" ref="BJ58" si="152">BI61</f>
        <v>11550</v>
      </c>
      <c r="BK58" s="38">
        <f t="shared" ref="BK58" si="153">BJ61</f>
        <v>11935</v>
      </c>
      <c r="BL58" s="38">
        <f t="shared" ref="BL58" si="154">BK61</f>
        <v>12320</v>
      </c>
      <c r="BM58" s="38">
        <f t="shared" ref="BM58" si="155">BL61</f>
        <v>12705</v>
      </c>
      <c r="BN58" s="38">
        <f t="shared" ref="BN58" si="156">BM61</f>
        <v>13090</v>
      </c>
      <c r="BO58" s="38">
        <f t="shared" ref="BO58" si="157">BN61</f>
        <v>13475</v>
      </c>
      <c r="BP58" s="38">
        <f t="shared" ref="BP58" si="158">BO61</f>
        <v>13860</v>
      </c>
      <c r="BQ58" s="38">
        <f t="shared" ref="BQ58" si="159">BP61</f>
        <v>14245</v>
      </c>
    </row>
    <row r="59" spans="2:69">
      <c r="B59" t="s">
        <v>210</v>
      </c>
      <c r="J59" s="38">
        <f>(J56*Inputs!J26)/12</f>
        <v>0</v>
      </c>
      <c r="K59" s="38">
        <f>(K56*Inputs!K26)/12</f>
        <v>0</v>
      </c>
      <c r="L59" s="38">
        <f>(L56*Inputs!L26)/12</f>
        <v>0</v>
      </c>
      <c r="M59" s="38">
        <f>(M56*Inputs!M26)/12</f>
        <v>0</v>
      </c>
      <c r="N59" s="38">
        <f>(N56*Inputs!N26)/12</f>
        <v>0</v>
      </c>
      <c r="O59" s="38">
        <f>(O56*Inputs!O26)/12</f>
        <v>0</v>
      </c>
      <c r="P59" s="38">
        <f>(P56*Inputs!P26)/12</f>
        <v>0</v>
      </c>
      <c r="Q59" s="38">
        <f>(Q56*Inputs!Q26)/12</f>
        <v>0</v>
      </c>
      <c r="R59" s="38">
        <f>(R56*Inputs!R26)/12</f>
        <v>0</v>
      </c>
      <c r="S59" s="38">
        <f>(S56*Inputs!S26)/12</f>
        <v>0</v>
      </c>
      <c r="T59" s="38">
        <f>(T56*Inputs!T26)/12</f>
        <v>55</v>
      </c>
      <c r="U59" s="38">
        <f>(U56*Inputs!U26)/12</f>
        <v>55</v>
      </c>
      <c r="V59" s="38">
        <f>(V56*Inputs!V26)/12</f>
        <v>55</v>
      </c>
      <c r="W59" s="38">
        <f>(W56*Inputs!W26)/12</f>
        <v>55</v>
      </c>
      <c r="X59" s="38">
        <f>(X56*Inputs!X26)/12</f>
        <v>110</v>
      </c>
      <c r="Y59" s="38">
        <f>(Y56*Inputs!Y26)/12</f>
        <v>110</v>
      </c>
      <c r="Z59" s="38">
        <f>(Z56*Inputs!Z26)/12</f>
        <v>110</v>
      </c>
      <c r="AA59" s="38">
        <f>(AA56*Inputs!AA26)/12</f>
        <v>110</v>
      </c>
      <c r="AB59" s="38">
        <f>(AB56*Inputs!AB26)/12</f>
        <v>165</v>
      </c>
      <c r="AC59" s="38">
        <f>(AC56*Inputs!AC26)/12</f>
        <v>165</v>
      </c>
      <c r="AD59" s="38">
        <f>(AD56*Inputs!AD26)/12</f>
        <v>165</v>
      </c>
      <c r="AE59" s="38">
        <f>(AE56*Inputs!AE26)/12</f>
        <v>165</v>
      </c>
      <c r="AF59" s="38">
        <f>(AF56*Inputs!AF26)/12</f>
        <v>220</v>
      </c>
      <c r="AG59" s="38">
        <f>(AG56*Inputs!AG26)/12</f>
        <v>220</v>
      </c>
      <c r="AH59" s="38">
        <f>(AH56*Inputs!AH26)/12</f>
        <v>220</v>
      </c>
      <c r="AI59" s="38">
        <f>(AI56*Inputs!AI26)/12</f>
        <v>220</v>
      </c>
      <c r="AJ59" s="38">
        <f>(AJ56*Inputs!AJ26)/12</f>
        <v>275</v>
      </c>
      <c r="AK59" s="38">
        <f>(AK56*Inputs!AK26)/12</f>
        <v>275</v>
      </c>
      <c r="AL59" s="38">
        <f>(AL56*Inputs!AL26)/12</f>
        <v>275</v>
      </c>
      <c r="AM59" s="38">
        <f>(AM56*Inputs!AM26)/12</f>
        <v>275</v>
      </c>
      <c r="AN59" s="38">
        <f>(AN56*Inputs!AN26)/12</f>
        <v>330</v>
      </c>
      <c r="AO59" s="38">
        <f>(AO56*Inputs!AO26)/12</f>
        <v>330</v>
      </c>
      <c r="AP59" s="38">
        <f>(AP56*Inputs!AP26)/12</f>
        <v>330</v>
      </c>
      <c r="AQ59" s="38">
        <f>(AQ56*Inputs!AQ26)/12</f>
        <v>330</v>
      </c>
      <c r="AR59" s="38">
        <f>(AR56*Inputs!AR26)/12</f>
        <v>385</v>
      </c>
      <c r="AS59" s="38">
        <f>(AS56*Inputs!AS26)/12</f>
        <v>385</v>
      </c>
      <c r="AT59" s="38">
        <f>(AT56*Inputs!AT26)/12</f>
        <v>385</v>
      </c>
      <c r="AU59" s="38">
        <f>(AU56*Inputs!AU26)/12</f>
        <v>385</v>
      </c>
      <c r="AV59" s="38">
        <f>(AV56*Inputs!AV26)/12</f>
        <v>385</v>
      </c>
      <c r="AW59" s="38">
        <f>(AW56*Inputs!AW26)/12</f>
        <v>385</v>
      </c>
      <c r="AX59" s="38">
        <f>(AX56*Inputs!AX26)/12</f>
        <v>385</v>
      </c>
      <c r="AY59" s="38">
        <f>(AY56*Inputs!AY26)/12</f>
        <v>385</v>
      </c>
      <c r="AZ59" s="38">
        <f>(AZ56*Inputs!AZ26)/12</f>
        <v>385</v>
      </c>
      <c r="BA59" s="38">
        <f>(BA56*Inputs!BA26)/12</f>
        <v>385</v>
      </c>
      <c r="BB59" s="38">
        <f>(BB56*Inputs!BB26)/12</f>
        <v>385</v>
      </c>
      <c r="BC59" s="38">
        <f>(BC56*Inputs!BC26)/12</f>
        <v>385</v>
      </c>
      <c r="BD59" s="38">
        <f>(BD56*Inputs!BD26)/12</f>
        <v>385</v>
      </c>
      <c r="BE59" s="38">
        <f>(BE56*Inputs!BE26)/12</f>
        <v>385</v>
      </c>
      <c r="BF59" s="38">
        <f>(BF56*Inputs!BF26)/12</f>
        <v>385</v>
      </c>
      <c r="BG59" s="38">
        <f>(BG56*Inputs!BG26)/12</f>
        <v>385</v>
      </c>
      <c r="BH59" s="38">
        <f>(BH56*Inputs!BH26)/12</f>
        <v>385</v>
      </c>
      <c r="BI59" s="38">
        <f>(BI56*Inputs!BI26)/12</f>
        <v>385</v>
      </c>
      <c r="BJ59" s="38">
        <f>(BJ56*Inputs!BJ26)/12</f>
        <v>385</v>
      </c>
      <c r="BK59" s="38">
        <f>(BK56*Inputs!BK26)/12</f>
        <v>385</v>
      </c>
      <c r="BL59" s="38">
        <f>(BL56*Inputs!BL26)/12</f>
        <v>385</v>
      </c>
      <c r="BM59" s="38">
        <f>(BM56*Inputs!BM26)/12</f>
        <v>385</v>
      </c>
      <c r="BN59" s="38">
        <f>(BN56*Inputs!BN26)/12</f>
        <v>385</v>
      </c>
      <c r="BO59" s="38">
        <f>(BO56*Inputs!BO26)/12</f>
        <v>385</v>
      </c>
      <c r="BP59" s="38">
        <f>(BP56*Inputs!BP26)/12</f>
        <v>385</v>
      </c>
      <c r="BQ59" s="38">
        <f>(BQ56*Inputs!BQ26)/12</f>
        <v>385</v>
      </c>
    </row>
    <row r="60" spans="2:69">
      <c r="B60" s="12" t="s">
        <v>211</v>
      </c>
      <c r="C60" s="12"/>
      <c r="D60" s="12"/>
      <c r="E60" s="12"/>
      <c r="F60" s="12"/>
      <c r="G60" s="12"/>
      <c r="H60" s="12"/>
      <c r="I60" s="12"/>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c r="AY60" s="40"/>
      <c r="AZ60" s="40"/>
      <c r="BA60" s="40"/>
      <c r="BB60" s="40"/>
      <c r="BC60" s="40"/>
      <c r="BD60" s="40"/>
      <c r="BE60" s="40"/>
      <c r="BF60" s="40"/>
      <c r="BG60" s="40"/>
      <c r="BH60" s="40"/>
      <c r="BI60" s="40"/>
      <c r="BJ60" s="40"/>
      <c r="BK60" s="40"/>
      <c r="BL60" s="40"/>
      <c r="BM60" s="40"/>
      <c r="BN60" s="40"/>
      <c r="BO60" s="40"/>
      <c r="BP60" s="40"/>
      <c r="BQ60" s="40"/>
    </row>
    <row r="61" spans="2:69">
      <c r="B61" s="2" t="s">
        <v>212</v>
      </c>
      <c r="J61" s="38">
        <f>SUM(J58:J60)</f>
        <v>0</v>
      </c>
      <c r="K61" s="38">
        <f>SUM(K58:K60)</f>
        <v>0</v>
      </c>
      <c r="L61" s="38">
        <f t="shared" ref="L61" si="160">SUM(L58:L60)</f>
        <v>0</v>
      </c>
      <c r="M61" s="38">
        <f t="shared" ref="M61" si="161">SUM(M58:M60)</f>
        <v>0</v>
      </c>
      <c r="N61" s="38">
        <f t="shared" ref="N61" si="162">SUM(N58:N60)</f>
        <v>0</v>
      </c>
      <c r="O61" s="38">
        <f t="shared" ref="O61" si="163">SUM(O58:O60)</f>
        <v>0</v>
      </c>
      <c r="P61" s="38">
        <f t="shared" ref="P61" si="164">SUM(P58:P60)</f>
        <v>0</v>
      </c>
      <c r="Q61" s="38">
        <f t="shared" ref="Q61" si="165">SUM(Q58:Q60)</f>
        <v>0</v>
      </c>
      <c r="R61" s="38">
        <f t="shared" ref="R61" si="166">SUM(R58:R60)</f>
        <v>0</v>
      </c>
      <c r="S61" s="38">
        <f t="shared" ref="S61" si="167">SUM(S58:S60)</f>
        <v>0</v>
      </c>
      <c r="T61" s="38">
        <f t="shared" ref="T61" si="168">SUM(T58:T60)</f>
        <v>55</v>
      </c>
      <c r="U61" s="38">
        <f t="shared" ref="U61" si="169">SUM(U58:U60)</f>
        <v>110</v>
      </c>
      <c r="V61" s="38">
        <f t="shared" ref="V61" si="170">SUM(V58:V60)</f>
        <v>165</v>
      </c>
      <c r="W61" s="38">
        <f t="shared" ref="W61" si="171">SUM(W58:W60)</f>
        <v>220</v>
      </c>
      <c r="X61" s="38">
        <f t="shared" ref="X61" si="172">SUM(X58:X60)</f>
        <v>330</v>
      </c>
      <c r="Y61" s="38">
        <f t="shared" ref="Y61" si="173">SUM(Y58:Y60)</f>
        <v>440</v>
      </c>
      <c r="Z61" s="38">
        <f t="shared" ref="Z61" si="174">SUM(Z58:Z60)</f>
        <v>550</v>
      </c>
      <c r="AA61" s="38">
        <f t="shared" ref="AA61" si="175">SUM(AA58:AA60)</f>
        <v>660</v>
      </c>
      <c r="AB61" s="38">
        <f t="shared" ref="AB61" si="176">SUM(AB58:AB60)</f>
        <v>825</v>
      </c>
      <c r="AC61" s="38">
        <f t="shared" ref="AC61" si="177">SUM(AC58:AC60)</f>
        <v>990</v>
      </c>
      <c r="AD61" s="38">
        <f t="shared" ref="AD61" si="178">SUM(AD58:AD60)</f>
        <v>1155</v>
      </c>
      <c r="AE61" s="38">
        <f t="shared" ref="AE61" si="179">SUM(AE58:AE60)</f>
        <v>1320</v>
      </c>
      <c r="AF61" s="38">
        <f t="shared" ref="AF61" si="180">SUM(AF58:AF60)</f>
        <v>1540</v>
      </c>
      <c r="AG61" s="38">
        <f t="shared" ref="AG61" si="181">SUM(AG58:AG60)</f>
        <v>1760</v>
      </c>
      <c r="AH61" s="38">
        <f t="shared" ref="AH61" si="182">SUM(AH58:AH60)</f>
        <v>1980</v>
      </c>
      <c r="AI61" s="38">
        <f t="shared" ref="AI61" si="183">SUM(AI58:AI60)</f>
        <v>2200</v>
      </c>
      <c r="AJ61" s="38">
        <f t="shared" ref="AJ61" si="184">SUM(AJ58:AJ60)</f>
        <v>2475</v>
      </c>
      <c r="AK61" s="38">
        <f t="shared" ref="AK61" si="185">SUM(AK58:AK60)</f>
        <v>2750</v>
      </c>
      <c r="AL61" s="38">
        <f t="shared" ref="AL61" si="186">SUM(AL58:AL60)</f>
        <v>3025</v>
      </c>
      <c r="AM61" s="38">
        <f t="shared" ref="AM61" si="187">SUM(AM58:AM60)</f>
        <v>3300</v>
      </c>
      <c r="AN61" s="38">
        <f t="shared" ref="AN61" si="188">SUM(AN58:AN60)</f>
        <v>3630</v>
      </c>
      <c r="AO61" s="38">
        <f t="shared" ref="AO61" si="189">SUM(AO58:AO60)</f>
        <v>3960</v>
      </c>
      <c r="AP61" s="38">
        <f t="shared" ref="AP61" si="190">SUM(AP58:AP60)</f>
        <v>4290</v>
      </c>
      <c r="AQ61" s="38">
        <f t="shared" ref="AQ61" si="191">SUM(AQ58:AQ60)</f>
        <v>4620</v>
      </c>
      <c r="AR61" s="38">
        <f t="shared" ref="AR61" si="192">SUM(AR58:AR60)</f>
        <v>5005</v>
      </c>
      <c r="AS61" s="38">
        <f t="shared" ref="AS61" si="193">SUM(AS58:AS60)</f>
        <v>5390</v>
      </c>
      <c r="AT61" s="38">
        <f t="shared" ref="AT61" si="194">SUM(AT58:AT60)</f>
        <v>5775</v>
      </c>
      <c r="AU61" s="38">
        <f t="shared" ref="AU61" si="195">SUM(AU58:AU60)</f>
        <v>6160</v>
      </c>
      <c r="AV61" s="38">
        <f t="shared" ref="AV61" si="196">SUM(AV58:AV60)</f>
        <v>6545</v>
      </c>
      <c r="AW61" s="38">
        <f t="shared" ref="AW61" si="197">SUM(AW58:AW60)</f>
        <v>6930</v>
      </c>
      <c r="AX61" s="38">
        <f t="shared" ref="AX61" si="198">SUM(AX58:AX60)</f>
        <v>7315</v>
      </c>
      <c r="AY61" s="38">
        <f t="shared" ref="AY61" si="199">SUM(AY58:AY60)</f>
        <v>7700</v>
      </c>
      <c r="AZ61" s="38">
        <f t="shared" ref="AZ61" si="200">SUM(AZ58:AZ60)</f>
        <v>8085</v>
      </c>
      <c r="BA61" s="38">
        <f t="shared" ref="BA61" si="201">SUM(BA58:BA60)</f>
        <v>8470</v>
      </c>
      <c r="BB61" s="38">
        <f t="shared" ref="BB61" si="202">SUM(BB58:BB60)</f>
        <v>8855</v>
      </c>
      <c r="BC61" s="38">
        <f t="shared" ref="BC61" si="203">SUM(BC58:BC60)</f>
        <v>9240</v>
      </c>
      <c r="BD61" s="38">
        <f t="shared" ref="BD61" si="204">SUM(BD58:BD60)</f>
        <v>9625</v>
      </c>
      <c r="BE61" s="38">
        <f t="shared" ref="BE61:BQ61" si="205">SUM(BE58:BE60)</f>
        <v>10010</v>
      </c>
      <c r="BF61" s="38">
        <f t="shared" si="205"/>
        <v>10395</v>
      </c>
      <c r="BG61" s="38">
        <f t="shared" si="205"/>
        <v>10780</v>
      </c>
      <c r="BH61" s="38">
        <f t="shared" si="205"/>
        <v>11165</v>
      </c>
      <c r="BI61" s="38">
        <f t="shared" si="205"/>
        <v>11550</v>
      </c>
      <c r="BJ61" s="38">
        <f t="shared" si="205"/>
        <v>11935</v>
      </c>
      <c r="BK61" s="38">
        <f t="shared" si="205"/>
        <v>12320</v>
      </c>
      <c r="BL61" s="38">
        <f t="shared" si="205"/>
        <v>12705</v>
      </c>
      <c r="BM61" s="38">
        <f t="shared" si="205"/>
        <v>13090</v>
      </c>
      <c r="BN61" s="38">
        <f t="shared" si="205"/>
        <v>13475</v>
      </c>
      <c r="BO61" s="38">
        <f t="shared" si="205"/>
        <v>13860</v>
      </c>
      <c r="BP61" s="38">
        <f t="shared" si="205"/>
        <v>14245</v>
      </c>
      <c r="BQ61" s="38">
        <f t="shared" si="205"/>
        <v>14630</v>
      </c>
    </row>
    <row r="62" spans="2:69">
      <c r="B62" s="12"/>
      <c r="C62" s="12"/>
      <c r="D62" s="12"/>
      <c r="E62" s="12"/>
      <c r="F62" s="12"/>
      <c r="G62" s="12"/>
      <c r="H62" s="12"/>
      <c r="I62" s="12"/>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0"/>
      <c r="BK62" s="40"/>
      <c r="BL62" s="40"/>
      <c r="BM62" s="40"/>
      <c r="BN62" s="40"/>
      <c r="BO62" s="40"/>
      <c r="BP62" s="40"/>
      <c r="BQ62" s="40"/>
    </row>
    <row r="63" spans="2:69">
      <c r="B63" s="2" t="s">
        <v>207</v>
      </c>
      <c r="J63" s="38">
        <f>J56-J61</f>
        <v>0</v>
      </c>
      <c r="K63" s="38">
        <f>K56-K61</f>
        <v>0</v>
      </c>
      <c r="L63" s="38">
        <f t="shared" ref="L63:BE63" si="206">L56-L61</f>
        <v>0</v>
      </c>
      <c r="M63" s="38">
        <f t="shared" si="206"/>
        <v>0</v>
      </c>
      <c r="N63" s="38">
        <f t="shared" si="206"/>
        <v>0</v>
      </c>
      <c r="O63" s="38">
        <f t="shared" si="206"/>
        <v>0</v>
      </c>
      <c r="P63" s="38">
        <f t="shared" si="206"/>
        <v>0</v>
      </c>
      <c r="Q63" s="38">
        <f t="shared" si="206"/>
        <v>0</v>
      </c>
      <c r="R63" s="38">
        <f t="shared" si="206"/>
        <v>0</v>
      </c>
      <c r="S63" s="38">
        <f t="shared" si="206"/>
        <v>0</v>
      </c>
      <c r="T63" s="38">
        <f t="shared" si="206"/>
        <v>1945</v>
      </c>
      <c r="U63" s="38">
        <f t="shared" si="206"/>
        <v>1890</v>
      </c>
      <c r="V63" s="38">
        <f t="shared" si="206"/>
        <v>1835</v>
      </c>
      <c r="W63" s="38">
        <f t="shared" si="206"/>
        <v>1780</v>
      </c>
      <c r="X63" s="38">
        <f t="shared" si="206"/>
        <v>3670</v>
      </c>
      <c r="Y63" s="38">
        <f t="shared" si="206"/>
        <v>3560</v>
      </c>
      <c r="Z63" s="38">
        <f t="shared" si="206"/>
        <v>3450</v>
      </c>
      <c r="AA63" s="38">
        <f t="shared" si="206"/>
        <v>3340</v>
      </c>
      <c r="AB63" s="38">
        <f t="shared" si="206"/>
        <v>5175</v>
      </c>
      <c r="AC63" s="38">
        <f t="shared" si="206"/>
        <v>5010</v>
      </c>
      <c r="AD63" s="38">
        <f t="shared" si="206"/>
        <v>4845</v>
      </c>
      <c r="AE63" s="38">
        <f t="shared" si="206"/>
        <v>4680</v>
      </c>
      <c r="AF63" s="38">
        <f t="shared" si="206"/>
        <v>6460</v>
      </c>
      <c r="AG63" s="38">
        <f t="shared" si="206"/>
        <v>6240</v>
      </c>
      <c r="AH63" s="38">
        <f t="shared" si="206"/>
        <v>6020</v>
      </c>
      <c r="AI63" s="38">
        <f t="shared" si="206"/>
        <v>5800</v>
      </c>
      <c r="AJ63" s="38">
        <f t="shared" si="206"/>
        <v>7525</v>
      </c>
      <c r="AK63" s="38">
        <f t="shared" si="206"/>
        <v>7250</v>
      </c>
      <c r="AL63" s="38">
        <f t="shared" si="206"/>
        <v>6975</v>
      </c>
      <c r="AM63" s="38">
        <f t="shared" si="206"/>
        <v>6700</v>
      </c>
      <c r="AN63" s="38">
        <f t="shared" si="206"/>
        <v>8370</v>
      </c>
      <c r="AO63" s="38">
        <f t="shared" si="206"/>
        <v>8040</v>
      </c>
      <c r="AP63" s="38">
        <f t="shared" si="206"/>
        <v>7710</v>
      </c>
      <c r="AQ63" s="38">
        <f t="shared" si="206"/>
        <v>7380</v>
      </c>
      <c r="AR63" s="38">
        <f t="shared" si="206"/>
        <v>8995</v>
      </c>
      <c r="AS63" s="38">
        <f t="shared" si="206"/>
        <v>8610</v>
      </c>
      <c r="AT63" s="38">
        <f t="shared" si="206"/>
        <v>8225</v>
      </c>
      <c r="AU63" s="38">
        <f t="shared" si="206"/>
        <v>7840</v>
      </c>
      <c r="AV63" s="38">
        <f t="shared" si="206"/>
        <v>7455</v>
      </c>
      <c r="AW63" s="38">
        <f t="shared" si="206"/>
        <v>7070</v>
      </c>
      <c r="AX63" s="38">
        <f t="shared" si="206"/>
        <v>6685</v>
      </c>
      <c r="AY63" s="38">
        <f t="shared" si="206"/>
        <v>6300</v>
      </c>
      <c r="AZ63" s="38">
        <f t="shared" si="206"/>
        <v>5915</v>
      </c>
      <c r="BA63" s="38">
        <f t="shared" si="206"/>
        <v>5530</v>
      </c>
      <c r="BB63" s="38">
        <f t="shared" si="206"/>
        <v>5145</v>
      </c>
      <c r="BC63" s="38">
        <f t="shared" si="206"/>
        <v>4760</v>
      </c>
      <c r="BD63" s="38">
        <f t="shared" si="206"/>
        <v>4375</v>
      </c>
      <c r="BE63" s="38">
        <f t="shared" si="206"/>
        <v>3990</v>
      </c>
      <c r="BF63" s="38">
        <f t="shared" ref="BF63:BQ63" si="207">BF56-BF61</f>
        <v>3605</v>
      </c>
      <c r="BG63" s="38">
        <f t="shared" si="207"/>
        <v>3220</v>
      </c>
      <c r="BH63" s="38">
        <f t="shared" si="207"/>
        <v>2835</v>
      </c>
      <c r="BI63" s="38">
        <f t="shared" si="207"/>
        <v>2450</v>
      </c>
      <c r="BJ63" s="38">
        <f t="shared" si="207"/>
        <v>2065</v>
      </c>
      <c r="BK63" s="38">
        <f t="shared" si="207"/>
        <v>1680</v>
      </c>
      <c r="BL63" s="38">
        <f t="shared" si="207"/>
        <v>1295</v>
      </c>
      <c r="BM63" s="38">
        <f t="shared" si="207"/>
        <v>910</v>
      </c>
      <c r="BN63" s="38">
        <f t="shared" si="207"/>
        <v>525</v>
      </c>
      <c r="BO63" s="38">
        <f t="shared" si="207"/>
        <v>140</v>
      </c>
      <c r="BP63" s="38">
        <f t="shared" si="207"/>
        <v>-245</v>
      </c>
      <c r="BQ63" s="38">
        <f t="shared" si="207"/>
        <v>-630</v>
      </c>
    </row>
    <row r="64" spans="2:69">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c r="BK64" s="38"/>
      <c r="BL64" s="38"/>
      <c r="BM64" s="38"/>
      <c r="BN64" s="38"/>
      <c r="BO64" s="38"/>
      <c r="BP64" s="38"/>
      <c r="BQ64" s="38"/>
    </row>
    <row r="65" spans="2:69">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c r="BK65" s="38"/>
      <c r="BL65" s="38"/>
      <c r="BM65" s="38"/>
      <c r="BN65" s="38"/>
      <c r="BO65" s="38"/>
      <c r="BP65" s="38"/>
      <c r="BQ65" s="38"/>
    </row>
    <row r="66" spans="2:69">
      <c r="B66" s="2" t="s">
        <v>215</v>
      </c>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c r="BK66" s="38"/>
      <c r="BL66" s="38"/>
      <c r="BM66" s="38"/>
      <c r="BN66" s="38"/>
      <c r="BO66" s="38"/>
      <c r="BP66" s="38"/>
      <c r="BQ66" s="38"/>
    </row>
    <row r="67" spans="2:69">
      <c r="B67" t="s">
        <v>199</v>
      </c>
      <c r="J67" s="38">
        <f>J25+J39+J53</f>
        <v>0</v>
      </c>
      <c r="K67" s="38">
        <f t="shared" ref="K67:BE69" si="208">K25+K39+K53</f>
        <v>0</v>
      </c>
      <c r="L67" s="38">
        <f t="shared" si="208"/>
        <v>0</v>
      </c>
      <c r="M67" s="38">
        <f t="shared" si="208"/>
        <v>0</v>
      </c>
      <c r="N67" s="38">
        <f t="shared" si="208"/>
        <v>0</v>
      </c>
      <c r="O67" s="38">
        <f t="shared" si="208"/>
        <v>0</v>
      </c>
      <c r="P67" s="38">
        <f t="shared" si="208"/>
        <v>0</v>
      </c>
      <c r="Q67" s="38">
        <f t="shared" si="208"/>
        <v>0</v>
      </c>
      <c r="R67" s="38">
        <f t="shared" si="208"/>
        <v>0</v>
      </c>
      <c r="S67" s="38">
        <f t="shared" si="208"/>
        <v>0</v>
      </c>
      <c r="T67" s="38">
        <f t="shared" si="208"/>
        <v>2470</v>
      </c>
      <c r="U67" s="38">
        <f t="shared" si="208"/>
        <v>17820</v>
      </c>
      <c r="V67" s="38">
        <f t="shared" si="208"/>
        <v>30170</v>
      </c>
      <c r="W67" s="38">
        <f t="shared" si="208"/>
        <v>42520</v>
      </c>
      <c r="X67" s="38">
        <f t="shared" si="208"/>
        <v>67220</v>
      </c>
      <c r="Y67" s="38">
        <f t="shared" si="208"/>
        <v>94920</v>
      </c>
      <c r="Z67" s="38">
        <f t="shared" si="208"/>
        <v>119620</v>
      </c>
      <c r="AA67" s="38">
        <f t="shared" si="208"/>
        <v>144320</v>
      </c>
      <c r="AB67" s="38">
        <f t="shared" si="208"/>
        <v>169020</v>
      </c>
      <c r="AC67" s="38">
        <f t="shared" si="208"/>
        <v>196720</v>
      </c>
      <c r="AD67" s="38">
        <f t="shared" si="208"/>
        <v>221420</v>
      </c>
      <c r="AE67" s="38">
        <f t="shared" si="208"/>
        <v>246120</v>
      </c>
      <c r="AF67" s="38">
        <f t="shared" si="208"/>
        <v>270820</v>
      </c>
      <c r="AG67" s="38">
        <f t="shared" si="208"/>
        <v>298520</v>
      </c>
      <c r="AH67" s="38">
        <f t="shared" si="208"/>
        <v>323220</v>
      </c>
      <c r="AI67" s="38">
        <f t="shared" si="208"/>
        <v>352860</v>
      </c>
      <c r="AJ67" s="38">
        <f t="shared" si="208"/>
        <v>382500</v>
      </c>
      <c r="AK67" s="38">
        <f t="shared" si="208"/>
        <v>415140</v>
      </c>
      <c r="AL67" s="38">
        <f t="shared" si="208"/>
        <v>444780</v>
      </c>
      <c r="AM67" s="38">
        <f t="shared" si="208"/>
        <v>474420</v>
      </c>
      <c r="AN67" s="38">
        <f t="shared" si="208"/>
        <v>504060</v>
      </c>
      <c r="AO67" s="38">
        <f t="shared" si="208"/>
        <v>536700</v>
      </c>
      <c r="AP67" s="38">
        <f t="shared" si="208"/>
        <v>566340</v>
      </c>
      <c r="AQ67" s="38">
        <f t="shared" si="208"/>
        <v>595980</v>
      </c>
      <c r="AR67" s="38">
        <f t="shared" si="208"/>
        <v>625620</v>
      </c>
      <c r="AS67" s="38">
        <f t="shared" si="208"/>
        <v>658260</v>
      </c>
      <c r="AT67" s="38">
        <f t="shared" si="208"/>
        <v>687900</v>
      </c>
      <c r="AU67" s="38">
        <f t="shared" si="208"/>
        <v>722480</v>
      </c>
      <c r="AV67" s="38">
        <f t="shared" si="208"/>
        <v>757060</v>
      </c>
      <c r="AW67" s="38">
        <f t="shared" si="208"/>
        <v>791640</v>
      </c>
      <c r="AX67" s="38">
        <f t="shared" si="208"/>
        <v>826220</v>
      </c>
      <c r="AY67" s="38">
        <f t="shared" si="208"/>
        <v>860800</v>
      </c>
      <c r="AZ67" s="38">
        <f t="shared" si="208"/>
        <v>895380</v>
      </c>
      <c r="BA67" s="38">
        <f t="shared" si="208"/>
        <v>929960</v>
      </c>
      <c r="BB67" s="38">
        <f t="shared" si="208"/>
        <v>964540</v>
      </c>
      <c r="BC67" s="38">
        <f t="shared" si="208"/>
        <v>999120</v>
      </c>
      <c r="BD67" s="38">
        <f t="shared" si="208"/>
        <v>1033700</v>
      </c>
      <c r="BE67" s="38">
        <f t="shared" si="208"/>
        <v>1068280</v>
      </c>
      <c r="BF67" s="38">
        <f t="shared" ref="BF67:BQ67" si="209">BF25+BF39+BF53</f>
        <v>1102860</v>
      </c>
      <c r="BG67" s="38">
        <f t="shared" si="209"/>
        <v>1142380</v>
      </c>
      <c r="BH67" s="38">
        <f t="shared" si="209"/>
        <v>1181900</v>
      </c>
      <c r="BI67" s="38">
        <f t="shared" si="209"/>
        <v>1221420</v>
      </c>
      <c r="BJ67" s="38">
        <f t="shared" si="209"/>
        <v>1260940</v>
      </c>
      <c r="BK67" s="38">
        <f t="shared" si="209"/>
        <v>1300460</v>
      </c>
      <c r="BL67" s="38">
        <f t="shared" si="209"/>
        <v>1339980</v>
      </c>
      <c r="BM67" s="38">
        <f t="shared" si="209"/>
        <v>1379500</v>
      </c>
      <c r="BN67" s="38">
        <f t="shared" si="209"/>
        <v>1419020</v>
      </c>
      <c r="BO67" s="38">
        <f t="shared" si="209"/>
        <v>1458540</v>
      </c>
      <c r="BP67" s="38">
        <f t="shared" si="209"/>
        <v>1498060</v>
      </c>
      <c r="BQ67" s="38">
        <f t="shared" si="209"/>
        <v>1537580</v>
      </c>
    </row>
    <row r="68" spans="2:69">
      <c r="B68" t="s">
        <v>200</v>
      </c>
      <c r="J68" s="38">
        <f t="shared" ref="J68:Y69" si="210">J26+J40+J54</f>
        <v>0</v>
      </c>
      <c r="K68" s="38">
        <f t="shared" si="210"/>
        <v>0</v>
      </c>
      <c r="L68" s="38">
        <f t="shared" si="210"/>
        <v>0</v>
      </c>
      <c r="M68" s="38">
        <f t="shared" si="210"/>
        <v>0</v>
      </c>
      <c r="N68" s="38">
        <f t="shared" si="210"/>
        <v>0</v>
      </c>
      <c r="O68" s="38">
        <f t="shared" si="210"/>
        <v>0</v>
      </c>
      <c r="P68" s="38">
        <f t="shared" si="210"/>
        <v>0</v>
      </c>
      <c r="Q68" s="38">
        <f t="shared" si="210"/>
        <v>0</v>
      </c>
      <c r="R68" s="38">
        <f t="shared" si="210"/>
        <v>0</v>
      </c>
      <c r="S68" s="38">
        <f t="shared" si="210"/>
        <v>2470</v>
      </c>
      <c r="T68" s="38">
        <f t="shared" si="210"/>
        <v>15350</v>
      </c>
      <c r="U68" s="38">
        <f t="shared" si="210"/>
        <v>12350</v>
      </c>
      <c r="V68" s="38">
        <f t="shared" si="210"/>
        <v>12350</v>
      </c>
      <c r="W68" s="38">
        <f t="shared" si="210"/>
        <v>24700</v>
      </c>
      <c r="X68" s="38">
        <f t="shared" si="210"/>
        <v>27700</v>
      </c>
      <c r="Y68" s="38">
        <f t="shared" si="210"/>
        <v>24700</v>
      </c>
      <c r="Z68" s="38">
        <f t="shared" si="208"/>
        <v>24700</v>
      </c>
      <c r="AA68" s="38">
        <f t="shared" si="208"/>
        <v>24700</v>
      </c>
      <c r="AB68" s="38">
        <f t="shared" si="208"/>
        <v>27700</v>
      </c>
      <c r="AC68" s="38">
        <f t="shared" si="208"/>
        <v>24700</v>
      </c>
      <c r="AD68" s="38">
        <f t="shared" si="208"/>
        <v>24700</v>
      </c>
      <c r="AE68" s="38">
        <f t="shared" si="208"/>
        <v>24700</v>
      </c>
      <c r="AF68" s="38">
        <f t="shared" si="208"/>
        <v>27700</v>
      </c>
      <c r="AG68" s="38">
        <f t="shared" si="208"/>
        <v>24700</v>
      </c>
      <c r="AH68" s="38">
        <f t="shared" si="208"/>
        <v>29640</v>
      </c>
      <c r="AI68" s="38">
        <f t="shared" si="208"/>
        <v>29640</v>
      </c>
      <c r="AJ68" s="38">
        <f t="shared" si="208"/>
        <v>32640</v>
      </c>
      <c r="AK68" s="38">
        <f t="shared" si="208"/>
        <v>29640</v>
      </c>
      <c r="AL68" s="38">
        <f t="shared" si="208"/>
        <v>29640</v>
      </c>
      <c r="AM68" s="38">
        <f t="shared" si="208"/>
        <v>29640</v>
      </c>
      <c r="AN68" s="38">
        <f t="shared" si="208"/>
        <v>32640</v>
      </c>
      <c r="AO68" s="38">
        <f t="shared" si="208"/>
        <v>29640</v>
      </c>
      <c r="AP68" s="38">
        <f t="shared" si="208"/>
        <v>29640</v>
      </c>
      <c r="AQ68" s="38">
        <f t="shared" si="208"/>
        <v>29640</v>
      </c>
      <c r="AR68" s="38">
        <f t="shared" si="208"/>
        <v>32640</v>
      </c>
      <c r="AS68" s="38">
        <f t="shared" si="208"/>
        <v>29640</v>
      </c>
      <c r="AT68" s="38">
        <f t="shared" si="208"/>
        <v>34580</v>
      </c>
      <c r="AU68" s="38">
        <f t="shared" si="208"/>
        <v>34580</v>
      </c>
      <c r="AV68" s="38">
        <f t="shared" si="208"/>
        <v>34580</v>
      </c>
      <c r="AW68" s="38">
        <f t="shared" si="208"/>
        <v>34580</v>
      </c>
      <c r="AX68" s="38">
        <f t="shared" si="208"/>
        <v>34580</v>
      </c>
      <c r="AY68" s="38">
        <f t="shared" si="208"/>
        <v>34580</v>
      </c>
      <c r="AZ68" s="38">
        <f t="shared" si="208"/>
        <v>34580</v>
      </c>
      <c r="BA68" s="38">
        <f t="shared" si="208"/>
        <v>34580</v>
      </c>
      <c r="BB68" s="38">
        <f t="shared" si="208"/>
        <v>34580</v>
      </c>
      <c r="BC68" s="38">
        <f t="shared" si="208"/>
        <v>34580</v>
      </c>
      <c r="BD68" s="38">
        <f t="shared" si="208"/>
        <v>34580</v>
      </c>
      <c r="BE68" s="38">
        <f t="shared" si="208"/>
        <v>34580</v>
      </c>
      <c r="BF68" s="38">
        <f t="shared" ref="BF68:BQ68" si="211">BF26+BF40+BF54</f>
        <v>39520</v>
      </c>
      <c r="BG68" s="38">
        <f t="shared" si="211"/>
        <v>39520</v>
      </c>
      <c r="BH68" s="38">
        <f t="shared" si="211"/>
        <v>39520</v>
      </c>
      <c r="BI68" s="38">
        <f t="shared" si="211"/>
        <v>39520</v>
      </c>
      <c r="BJ68" s="38">
        <f t="shared" si="211"/>
        <v>39520</v>
      </c>
      <c r="BK68" s="38">
        <f t="shared" si="211"/>
        <v>39520</v>
      </c>
      <c r="BL68" s="38">
        <f t="shared" si="211"/>
        <v>39520</v>
      </c>
      <c r="BM68" s="38">
        <f t="shared" si="211"/>
        <v>39520</v>
      </c>
      <c r="BN68" s="38">
        <f t="shared" si="211"/>
        <v>39520</v>
      </c>
      <c r="BO68" s="38">
        <f t="shared" si="211"/>
        <v>39520</v>
      </c>
      <c r="BP68" s="38">
        <f t="shared" si="211"/>
        <v>39520</v>
      </c>
      <c r="BQ68" s="38">
        <f t="shared" si="211"/>
        <v>39520</v>
      </c>
    </row>
    <row r="69" spans="2:69">
      <c r="B69" s="12" t="s">
        <v>201</v>
      </c>
      <c r="C69" s="12"/>
      <c r="D69" s="12"/>
      <c r="E69" s="12"/>
      <c r="F69" s="12"/>
      <c r="G69" s="12"/>
      <c r="H69" s="12"/>
      <c r="I69" s="12"/>
      <c r="J69" s="40">
        <f t="shared" si="210"/>
        <v>0</v>
      </c>
      <c r="K69" s="40">
        <f t="shared" si="208"/>
        <v>0</v>
      </c>
      <c r="L69" s="40">
        <f t="shared" si="208"/>
        <v>0</v>
      </c>
      <c r="M69" s="40">
        <f t="shared" si="208"/>
        <v>0</v>
      </c>
      <c r="N69" s="40">
        <f t="shared" si="208"/>
        <v>0</v>
      </c>
      <c r="O69" s="40">
        <f t="shared" si="208"/>
        <v>0</v>
      </c>
      <c r="P69" s="40">
        <f t="shared" si="208"/>
        <v>0</v>
      </c>
      <c r="Q69" s="40">
        <f t="shared" si="208"/>
        <v>0</v>
      </c>
      <c r="R69" s="40">
        <f t="shared" si="208"/>
        <v>0</v>
      </c>
      <c r="S69" s="40">
        <f t="shared" si="208"/>
        <v>0</v>
      </c>
      <c r="T69" s="40">
        <f t="shared" si="208"/>
        <v>0</v>
      </c>
      <c r="U69" s="40">
        <f t="shared" si="208"/>
        <v>0</v>
      </c>
      <c r="V69" s="40">
        <f t="shared" si="208"/>
        <v>0</v>
      </c>
      <c r="W69" s="40">
        <f t="shared" si="208"/>
        <v>0</v>
      </c>
      <c r="X69" s="40">
        <f t="shared" si="208"/>
        <v>0</v>
      </c>
      <c r="Y69" s="40">
        <f t="shared" si="208"/>
        <v>0</v>
      </c>
      <c r="Z69" s="40">
        <f t="shared" si="208"/>
        <v>0</v>
      </c>
      <c r="AA69" s="40">
        <f t="shared" si="208"/>
        <v>0</v>
      </c>
      <c r="AB69" s="40">
        <f t="shared" si="208"/>
        <v>0</v>
      </c>
      <c r="AC69" s="40">
        <f t="shared" si="208"/>
        <v>0</v>
      </c>
      <c r="AD69" s="40">
        <f t="shared" si="208"/>
        <v>0</v>
      </c>
      <c r="AE69" s="40">
        <f t="shared" si="208"/>
        <v>0</v>
      </c>
      <c r="AF69" s="40">
        <f t="shared" si="208"/>
        <v>0</v>
      </c>
      <c r="AG69" s="40">
        <f t="shared" si="208"/>
        <v>0</v>
      </c>
      <c r="AH69" s="40">
        <f t="shared" si="208"/>
        <v>0</v>
      </c>
      <c r="AI69" s="40">
        <f t="shared" si="208"/>
        <v>0</v>
      </c>
      <c r="AJ69" s="40">
        <f t="shared" si="208"/>
        <v>0</v>
      </c>
      <c r="AK69" s="40">
        <f t="shared" si="208"/>
        <v>0</v>
      </c>
      <c r="AL69" s="40">
        <f t="shared" si="208"/>
        <v>0</v>
      </c>
      <c r="AM69" s="40">
        <f t="shared" si="208"/>
        <v>0</v>
      </c>
      <c r="AN69" s="40">
        <f t="shared" si="208"/>
        <v>0</v>
      </c>
      <c r="AO69" s="40">
        <f t="shared" si="208"/>
        <v>0</v>
      </c>
      <c r="AP69" s="40">
        <f t="shared" si="208"/>
        <v>0</v>
      </c>
      <c r="AQ69" s="40">
        <f t="shared" si="208"/>
        <v>0</v>
      </c>
      <c r="AR69" s="40">
        <f t="shared" si="208"/>
        <v>0</v>
      </c>
      <c r="AS69" s="40">
        <f t="shared" si="208"/>
        <v>0</v>
      </c>
      <c r="AT69" s="40">
        <f t="shared" si="208"/>
        <v>0</v>
      </c>
      <c r="AU69" s="40">
        <f t="shared" si="208"/>
        <v>0</v>
      </c>
      <c r="AV69" s="40">
        <f t="shared" si="208"/>
        <v>0</v>
      </c>
      <c r="AW69" s="40">
        <f t="shared" si="208"/>
        <v>0</v>
      </c>
      <c r="AX69" s="40">
        <f t="shared" si="208"/>
        <v>0</v>
      </c>
      <c r="AY69" s="40">
        <f t="shared" si="208"/>
        <v>0</v>
      </c>
      <c r="AZ69" s="40">
        <f t="shared" si="208"/>
        <v>0</v>
      </c>
      <c r="BA69" s="40">
        <f t="shared" si="208"/>
        <v>0</v>
      </c>
      <c r="BB69" s="40">
        <f t="shared" si="208"/>
        <v>0</v>
      </c>
      <c r="BC69" s="40">
        <f t="shared" si="208"/>
        <v>0</v>
      </c>
      <c r="BD69" s="40">
        <f t="shared" si="208"/>
        <v>0</v>
      </c>
      <c r="BE69" s="40">
        <f t="shared" si="208"/>
        <v>0</v>
      </c>
      <c r="BF69" s="40">
        <f t="shared" ref="BF69:BQ69" si="212">BF27+BF41+BF55</f>
        <v>0</v>
      </c>
      <c r="BG69" s="40">
        <f t="shared" si="212"/>
        <v>0</v>
      </c>
      <c r="BH69" s="40">
        <f t="shared" si="212"/>
        <v>0</v>
      </c>
      <c r="BI69" s="40">
        <f t="shared" si="212"/>
        <v>0</v>
      </c>
      <c r="BJ69" s="40">
        <f t="shared" si="212"/>
        <v>0</v>
      </c>
      <c r="BK69" s="40">
        <f t="shared" si="212"/>
        <v>0</v>
      </c>
      <c r="BL69" s="40">
        <f t="shared" si="212"/>
        <v>0</v>
      </c>
      <c r="BM69" s="40">
        <f t="shared" si="212"/>
        <v>0</v>
      </c>
      <c r="BN69" s="40">
        <f t="shared" si="212"/>
        <v>0</v>
      </c>
      <c r="BO69" s="40">
        <f t="shared" si="212"/>
        <v>0</v>
      </c>
      <c r="BP69" s="40">
        <f t="shared" si="212"/>
        <v>0</v>
      </c>
      <c r="BQ69" s="40">
        <f t="shared" si="212"/>
        <v>0</v>
      </c>
    </row>
    <row r="70" spans="2:69">
      <c r="B70" s="2" t="s">
        <v>202</v>
      </c>
      <c r="J70" s="38">
        <f>SUM(J67:J69)</f>
        <v>0</v>
      </c>
      <c r="K70" s="38">
        <f t="shared" ref="K70:BE70" si="213">SUM(K67:K69)</f>
        <v>0</v>
      </c>
      <c r="L70" s="38">
        <f t="shared" si="213"/>
        <v>0</v>
      </c>
      <c r="M70" s="38">
        <f t="shared" si="213"/>
        <v>0</v>
      </c>
      <c r="N70" s="38">
        <f t="shared" si="213"/>
        <v>0</v>
      </c>
      <c r="O70" s="38">
        <f t="shared" si="213"/>
        <v>0</v>
      </c>
      <c r="P70" s="38">
        <f t="shared" si="213"/>
        <v>0</v>
      </c>
      <c r="Q70" s="38">
        <f t="shared" si="213"/>
        <v>0</v>
      </c>
      <c r="R70" s="38">
        <f t="shared" si="213"/>
        <v>0</v>
      </c>
      <c r="S70" s="38">
        <f t="shared" si="213"/>
        <v>2470</v>
      </c>
      <c r="T70" s="38">
        <f t="shared" si="213"/>
        <v>17820</v>
      </c>
      <c r="U70" s="38">
        <f t="shared" si="213"/>
        <v>30170</v>
      </c>
      <c r="V70" s="38">
        <f t="shared" si="213"/>
        <v>42520</v>
      </c>
      <c r="W70" s="38">
        <f t="shared" si="213"/>
        <v>67220</v>
      </c>
      <c r="X70" s="38">
        <f t="shared" si="213"/>
        <v>94920</v>
      </c>
      <c r="Y70" s="38">
        <f t="shared" si="213"/>
        <v>119620</v>
      </c>
      <c r="Z70" s="38">
        <f t="shared" si="213"/>
        <v>144320</v>
      </c>
      <c r="AA70" s="38">
        <f t="shared" si="213"/>
        <v>169020</v>
      </c>
      <c r="AB70" s="38">
        <f t="shared" si="213"/>
        <v>196720</v>
      </c>
      <c r="AC70" s="38">
        <f t="shared" si="213"/>
        <v>221420</v>
      </c>
      <c r="AD70" s="38">
        <f t="shared" si="213"/>
        <v>246120</v>
      </c>
      <c r="AE70" s="38">
        <f t="shared" si="213"/>
        <v>270820</v>
      </c>
      <c r="AF70" s="38">
        <f t="shared" si="213"/>
        <v>298520</v>
      </c>
      <c r="AG70" s="38">
        <f t="shared" si="213"/>
        <v>323220</v>
      </c>
      <c r="AH70" s="38">
        <f t="shared" si="213"/>
        <v>352860</v>
      </c>
      <c r="AI70" s="38">
        <f t="shared" si="213"/>
        <v>382500</v>
      </c>
      <c r="AJ70" s="38">
        <f t="shared" si="213"/>
        <v>415140</v>
      </c>
      <c r="AK70" s="38">
        <f t="shared" si="213"/>
        <v>444780</v>
      </c>
      <c r="AL70" s="38">
        <f t="shared" si="213"/>
        <v>474420</v>
      </c>
      <c r="AM70" s="38">
        <f t="shared" si="213"/>
        <v>504060</v>
      </c>
      <c r="AN70" s="38">
        <f t="shared" si="213"/>
        <v>536700</v>
      </c>
      <c r="AO70" s="38">
        <f t="shared" si="213"/>
        <v>566340</v>
      </c>
      <c r="AP70" s="38">
        <f t="shared" si="213"/>
        <v>595980</v>
      </c>
      <c r="AQ70" s="38">
        <f t="shared" si="213"/>
        <v>625620</v>
      </c>
      <c r="AR70" s="38">
        <f t="shared" si="213"/>
        <v>658260</v>
      </c>
      <c r="AS70" s="38">
        <f t="shared" si="213"/>
        <v>687900</v>
      </c>
      <c r="AT70" s="38">
        <f t="shared" si="213"/>
        <v>722480</v>
      </c>
      <c r="AU70" s="38">
        <f t="shared" si="213"/>
        <v>757060</v>
      </c>
      <c r="AV70" s="38">
        <f t="shared" si="213"/>
        <v>791640</v>
      </c>
      <c r="AW70" s="38">
        <f t="shared" si="213"/>
        <v>826220</v>
      </c>
      <c r="AX70" s="38">
        <f t="shared" si="213"/>
        <v>860800</v>
      </c>
      <c r="AY70" s="38">
        <f t="shared" si="213"/>
        <v>895380</v>
      </c>
      <c r="AZ70" s="38">
        <f t="shared" si="213"/>
        <v>929960</v>
      </c>
      <c r="BA70" s="38">
        <f t="shared" si="213"/>
        <v>964540</v>
      </c>
      <c r="BB70" s="38">
        <f t="shared" si="213"/>
        <v>999120</v>
      </c>
      <c r="BC70" s="38">
        <f t="shared" si="213"/>
        <v>1033700</v>
      </c>
      <c r="BD70" s="38">
        <f t="shared" si="213"/>
        <v>1068280</v>
      </c>
      <c r="BE70" s="38">
        <f t="shared" si="213"/>
        <v>1102860</v>
      </c>
      <c r="BF70" s="38">
        <f t="shared" ref="BF70:BQ70" si="214">SUM(BF67:BF69)</f>
        <v>1142380</v>
      </c>
      <c r="BG70" s="38">
        <f t="shared" si="214"/>
        <v>1181900</v>
      </c>
      <c r="BH70" s="38">
        <f t="shared" si="214"/>
        <v>1221420</v>
      </c>
      <c r="BI70" s="38">
        <f t="shared" si="214"/>
        <v>1260940</v>
      </c>
      <c r="BJ70" s="38">
        <f t="shared" si="214"/>
        <v>1300460</v>
      </c>
      <c r="BK70" s="38">
        <f t="shared" si="214"/>
        <v>1339980</v>
      </c>
      <c r="BL70" s="38">
        <f t="shared" si="214"/>
        <v>1379500</v>
      </c>
      <c r="BM70" s="38">
        <f t="shared" si="214"/>
        <v>1419020</v>
      </c>
      <c r="BN70" s="38">
        <f t="shared" si="214"/>
        <v>1458540</v>
      </c>
      <c r="BO70" s="38">
        <f t="shared" si="214"/>
        <v>1498060</v>
      </c>
      <c r="BP70" s="38">
        <f t="shared" si="214"/>
        <v>1537580</v>
      </c>
      <c r="BQ70" s="38">
        <f t="shared" si="214"/>
        <v>1577100</v>
      </c>
    </row>
    <row r="71" spans="2:69">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c r="BK71" s="38"/>
      <c r="BL71" s="38"/>
      <c r="BM71" s="38"/>
      <c r="BN71" s="38"/>
      <c r="BO71" s="38"/>
      <c r="BP71" s="38"/>
      <c r="BQ71" s="38"/>
    </row>
    <row r="72" spans="2:69">
      <c r="B72" t="s">
        <v>209</v>
      </c>
      <c r="J72" s="38">
        <f>J30+J44+J58</f>
        <v>0</v>
      </c>
      <c r="K72" s="38">
        <f t="shared" ref="K72:BE74" si="215">K30+K44+K58</f>
        <v>0</v>
      </c>
      <c r="L72" s="38">
        <f t="shared" si="215"/>
        <v>0</v>
      </c>
      <c r="M72" s="38">
        <f t="shared" si="215"/>
        <v>0</v>
      </c>
      <c r="N72" s="38">
        <f t="shared" si="215"/>
        <v>0</v>
      </c>
      <c r="O72" s="38">
        <f t="shared" si="215"/>
        <v>0</v>
      </c>
      <c r="P72" s="38">
        <f t="shared" si="215"/>
        <v>0</v>
      </c>
      <c r="Q72" s="38">
        <f t="shared" si="215"/>
        <v>0</v>
      </c>
      <c r="R72" s="38">
        <f t="shared" si="215"/>
        <v>0</v>
      </c>
      <c r="S72" s="38">
        <f t="shared" si="215"/>
        <v>0</v>
      </c>
      <c r="T72" s="38">
        <f t="shared" si="215"/>
        <v>51.458333333333336</v>
      </c>
      <c r="U72" s="38">
        <f t="shared" si="215"/>
        <v>436.04166666666663</v>
      </c>
      <c r="V72" s="38">
        <f t="shared" si="215"/>
        <v>1077.9166666666665</v>
      </c>
      <c r="W72" s="38">
        <f t="shared" si="215"/>
        <v>1977.0833333333335</v>
      </c>
      <c r="X72" s="38">
        <f t="shared" si="215"/>
        <v>3390.8333333333335</v>
      </c>
      <c r="Y72" s="38">
        <f t="shared" si="215"/>
        <v>5395</v>
      </c>
      <c r="Z72" s="38">
        <f t="shared" si="215"/>
        <v>7913.7500000000009</v>
      </c>
      <c r="AA72" s="38">
        <f t="shared" si="215"/>
        <v>10947.083333333334</v>
      </c>
      <c r="AB72" s="38">
        <f t="shared" si="215"/>
        <v>14495</v>
      </c>
      <c r="AC72" s="38">
        <f t="shared" si="215"/>
        <v>18633.333333333332</v>
      </c>
      <c r="AD72" s="38">
        <f t="shared" si="215"/>
        <v>23286.25</v>
      </c>
      <c r="AE72" s="38">
        <f t="shared" si="215"/>
        <v>28453.75</v>
      </c>
      <c r="AF72" s="38">
        <f t="shared" si="215"/>
        <v>34135.833333333328</v>
      </c>
      <c r="AG72" s="38">
        <f t="shared" si="215"/>
        <v>40408.333333333336</v>
      </c>
      <c r="AH72" s="38">
        <f t="shared" si="215"/>
        <v>47195.416666666664</v>
      </c>
      <c r="AI72" s="38">
        <f t="shared" si="215"/>
        <v>54600</v>
      </c>
      <c r="AJ72" s="38">
        <f t="shared" si="215"/>
        <v>62622.083333333336</v>
      </c>
      <c r="AK72" s="38">
        <f t="shared" si="215"/>
        <v>71337.5</v>
      </c>
      <c r="AL72" s="38">
        <f t="shared" si="215"/>
        <v>80670.416666666672</v>
      </c>
      <c r="AM72" s="38">
        <f t="shared" si="215"/>
        <v>90620.833333333328</v>
      </c>
      <c r="AN72" s="38">
        <f t="shared" si="215"/>
        <v>101188.75</v>
      </c>
      <c r="AO72" s="38">
        <f t="shared" si="215"/>
        <v>112450</v>
      </c>
      <c r="AP72" s="38">
        <f t="shared" si="215"/>
        <v>124328.75</v>
      </c>
      <c r="AQ72" s="38">
        <f t="shared" si="215"/>
        <v>136825</v>
      </c>
      <c r="AR72" s="38">
        <f t="shared" si="215"/>
        <v>149938.75</v>
      </c>
      <c r="AS72" s="38">
        <f t="shared" si="215"/>
        <v>163745.83333333334</v>
      </c>
      <c r="AT72" s="38">
        <f t="shared" si="215"/>
        <v>178170.41666666666</v>
      </c>
      <c r="AU72" s="38">
        <f t="shared" si="215"/>
        <v>193315.41666666666</v>
      </c>
      <c r="AV72" s="38">
        <f t="shared" si="215"/>
        <v>209180.83333333334</v>
      </c>
      <c r="AW72" s="38">
        <f t="shared" si="215"/>
        <v>225766.66666666666</v>
      </c>
      <c r="AX72" s="38">
        <f t="shared" si="215"/>
        <v>243072.91666666666</v>
      </c>
      <c r="AY72" s="38">
        <f t="shared" si="215"/>
        <v>261099.58333333334</v>
      </c>
      <c r="AZ72" s="38">
        <f t="shared" si="215"/>
        <v>279846.66666666669</v>
      </c>
      <c r="BA72" s="38">
        <f t="shared" si="215"/>
        <v>299314.16666666669</v>
      </c>
      <c r="BB72" s="38">
        <f t="shared" si="215"/>
        <v>319502.08333333331</v>
      </c>
      <c r="BC72" s="38">
        <f t="shared" si="215"/>
        <v>340410.41666666669</v>
      </c>
      <c r="BD72" s="38">
        <f t="shared" si="215"/>
        <v>362039.16666666669</v>
      </c>
      <c r="BE72" s="38">
        <f t="shared" si="215"/>
        <v>384388.33333333331</v>
      </c>
      <c r="BF72" s="38">
        <f t="shared" ref="BF72:BQ72" si="216">BF30+BF44+BF58</f>
        <v>407457.91666666669</v>
      </c>
      <c r="BG72" s="38">
        <f t="shared" si="216"/>
        <v>431350.83333333331</v>
      </c>
      <c r="BH72" s="38">
        <f t="shared" si="216"/>
        <v>456067.08333333331</v>
      </c>
      <c r="BI72" s="38">
        <f t="shared" si="216"/>
        <v>481606.66666666669</v>
      </c>
      <c r="BJ72" s="38">
        <f t="shared" si="216"/>
        <v>507969.58333333331</v>
      </c>
      <c r="BK72" s="38">
        <f t="shared" si="216"/>
        <v>535155.83333333326</v>
      </c>
      <c r="BL72" s="38">
        <f t="shared" si="216"/>
        <v>563165.41666666663</v>
      </c>
      <c r="BM72" s="38">
        <f t="shared" si="216"/>
        <v>591998.33333333337</v>
      </c>
      <c r="BN72" s="38">
        <f t="shared" si="216"/>
        <v>621654.58333333337</v>
      </c>
      <c r="BO72" s="38">
        <f t="shared" si="216"/>
        <v>652134.16666666663</v>
      </c>
      <c r="BP72" s="38">
        <f t="shared" si="216"/>
        <v>683437.08333333337</v>
      </c>
      <c r="BQ72" s="38">
        <f t="shared" si="216"/>
        <v>715563.33333333337</v>
      </c>
    </row>
    <row r="73" spans="2:69">
      <c r="B73" t="s">
        <v>210</v>
      </c>
      <c r="J73" s="38">
        <f t="shared" ref="J73:Y74" si="217">J31+J45+J59</f>
        <v>0</v>
      </c>
      <c r="K73" s="38">
        <f t="shared" si="217"/>
        <v>0</v>
      </c>
      <c r="L73" s="38">
        <f t="shared" si="217"/>
        <v>0</v>
      </c>
      <c r="M73" s="38">
        <f t="shared" si="217"/>
        <v>0</v>
      </c>
      <c r="N73" s="38">
        <f t="shared" si="217"/>
        <v>0</v>
      </c>
      <c r="O73" s="38">
        <f t="shared" si="217"/>
        <v>0</v>
      </c>
      <c r="P73" s="38">
        <f t="shared" si="217"/>
        <v>0</v>
      </c>
      <c r="Q73" s="38">
        <f t="shared" si="217"/>
        <v>0</v>
      </c>
      <c r="R73" s="38">
        <f t="shared" si="217"/>
        <v>0</v>
      </c>
      <c r="S73" s="38">
        <f t="shared" si="217"/>
        <v>51.458333333333336</v>
      </c>
      <c r="T73" s="38">
        <f t="shared" si="217"/>
        <v>384.58333333333331</v>
      </c>
      <c r="U73" s="38">
        <f t="shared" si="217"/>
        <v>641.875</v>
      </c>
      <c r="V73" s="38">
        <f t="shared" si="217"/>
        <v>899.16666666666674</v>
      </c>
      <c r="W73" s="38">
        <f t="shared" si="217"/>
        <v>1413.75</v>
      </c>
      <c r="X73" s="38">
        <f t="shared" si="217"/>
        <v>2004.1666666666667</v>
      </c>
      <c r="Y73" s="38">
        <f t="shared" si="217"/>
        <v>2518.75</v>
      </c>
      <c r="Z73" s="38">
        <f t="shared" si="215"/>
        <v>3033.333333333333</v>
      </c>
      <c r="AA73" s="38">
        <f t="shared" si="215"/>
        <v>3547.9166666666665</v>
      </c>
      <c r="AB73" s="38">
        <f t="shared" si="215"/>
        <v>4138.3333333333339</v>
      </c>
      <c r="AC73" s="38">
        <f t="shared" si="215"/>
        <v>4652.916666666667</v>
      </c>
      <c r="AD73" s="38">
        <f t="shared" si="215"/>
        <v>5167.5</v>
      </c>
      <c r="AE73" s="38">
        <f t="shared" si="215"/>
        <v>5682.083333333333</v>
      </c>
      <c r="AF73" s="38">
        <f t="shared" si="215"/>
        <v>6272.5</v>
      </c>
      <c r="AG73" s="38">
        <f t="shared" si="215"/>
        <v>6787.083333333333</v>
      </c>
      <c r="AH73" s="38">
        <f t="shared" si="215"/>
        <v>7404.583333333333</v>
      </c>
      <c r="AI73" s="38">
        <f t="shared" si="215"/>
        <v>8022.083333333333</v>
      </c>
      <c r="AJ73" s="38">
        <f t="shared" si="215"/>
        <v>8715.4166666666661</v>
      </c>
      <c r="AK73" s="38">
        <f t="shared" si="215"/>
        <v>9332.9166666666661</v>
      </c>
      <c r="AL73" s="38">
        <f t="shared" si="215"/>
        <v>9950.4166666666661</v>
      </c>
      <c r="AM73" s="38">
        <f t="shared" si="215"/>
        <v>10567.916666666666</v>
      </c>
      <c r="AN73" s="38">
        <f t="shared" si="215"/>
        <v>11261.25</v>
      </c>
      <c r="AO73" s="38">
        <f t="shared" si="215"/>
        <v>11878.75</v>
      </c>
      <c r="AP73" s="38">
        <f t="shared" si="215"/>
        <v>12496.25</v>
      </c>
      <c r="AQ73" s="38">
        <f t="shared" si="215"/>
        <v>13113.75</v>
      </c>
      <c r="AR73" s="38">
        <f t="shared" si="215"/>
        <v>13807.083333333334</v>
      </c>
      <c r="AS73" s="38">
        <f t="shared" si="215"/>
        <v>14424.583333333334</v>
      </c>
      <c r="AT73" s="38">
        <f t="shared" si="215"/>
        <v>15145</v>
      </c>
      <c r="AU73" s="38">
        <f t="shared" si="215"/>
        <v>15865.416666666668</v>
      </c>
      <c r="AV73" s="38">
        <f t="shared" si="215"/>
        <v>16585.833333333336</v>
      </c>
      <c r="AW73" s="38">
        <f t="shared" si="215"/>
        <v>17306.25</v>
      </c>
      <c r="AX73" s="38">
        <f t="shared" si="215"/>
        <v>18026.666666666664</v>
      </c>
      <c r="AY73" s="38">
        <f t="shared" si="215"/>
        <v>18747.083333333332</v>
      </c>
      <c r="AZ73" s="38">
        <f t="shared" si="215"/>
        <v>19467.5</v>
      </c>
      <c r="BA73" s="38">
        <f t="shared" si="215"/>
        <v>20187.916666666664</v>
      </c>
      <c r="BB73" s="38">
        <f t="shared" si="215"/>
        <v>20908.333333333332</v>
      </c>
      <c r="BC73" s="38">
        <f t="shared" si="215"/>
        <v>21628.75</v>
      </c>
      <c r="BD73" s="38">
        <f t="shared" si="215"/>
        <v>22349.166666666664</v>
      </c>
      <c r="BE73" s="38">
        <f t="shared" si="215"/>
        <v>23069.583333333332</v>
      </c>
      <c r="BF73" s="38">
        <f t="shared" ref="BF73:BQ73" si="218">BF31+BF45+BF59</f>
        <v>23892.916666666664</v>
      </c>
      <c r="BG73" s="38">
        <f t="shared" si="218"/>
        <v>24716.25</v>
      </c>
      <c r="BH73" s="38">
        <f t="shared" si="218"/>
        <v>25539.583333333332</v>
      </c>
      <c r="BI73" s="38">
        <f t="shared" si="218"/>
        <v>26362.916666666664</v>
      </c>
      <c r="BJ73" s="38">
        <f t="shared" si="218"/>
        <v>27186.25</v>
      </c>
      <c r="BK73" s="38">
        <f t="shared" si="218"/>
        <v>28009.583333333332</v>
      </c>
      <c r="BL73" s="38">
        <f t="shared" si="218"/>
        <v>28832.916666666664</v>
      </c>
      <c r="BM73" s="38">
        <f t="shared" si="218"/>
        <v>29656.25</v>
      </c>
      <c r="BN73" s="38">
        <f t="shared" si="218"/>
        <v>30479.583333333332</v>
      </c>
      <c r="BO73" s="38">
        <f t="shared" si="218"/>
        <v>31302.916666666664</v>
      </c>
      <c r="BP73" s="38">
        <f t="shared" si="218"/>
        <v>32126.25</v>
      </c>
      <c r="BQ73" s="38">
        <f t="shared" si="218"/>
        <v>32949.583333333328</v>
      </c>
    </row>
    <row r="74" spans="2:69">
      <c r="B74" s="12" t="s">
        <v>211</v>
      </c>
      <c r="C74" s="12"/>
      <c r="D74" s="12"/>
      <c r="E74" s="12"/>
      <c r="F74" s="12"/>
      <c r="G74" s="12"/>
      <c r="H74" s="12"/>
      <c r="I74" s="12"/>
      <c r="J74" s="40">
        <f t="shared" si="217"/>
        <v>0</v>
      </c>
      <c r="K74" s="40">
        <f t="shared" si="215"/>
        <v>0</v>
      </c>
      <c r="L74" s="40">
        <f t="shared" si="215"/>
        <v>0</v>
      </c>
      <c r="M74" s="40">
        <f t="shared" si="215"/>
        <v>0</v>
      </c>
      <c r="N74" s="40">
        <f t="shared" si="215"/>
        <v>0</v>
      </c>
      <c r="O74" s="40">
        <f t="shared" si="215"/>
        <v>0</v>
      </c>
      <c r="P74" s="40">
        <f t="shared" si="215"/>
        <v>0</v>
      </c>
      <c r="Q74" s="40">
        <f t="shared" si="215"/>
        <v>0</v>
      </c>
      <c r="R74" s="40">
        <f t="shared" si="215"/>
        <v>0</v>
      </c>
      <c r="S74" s="40">
        <f t="shared" si="215"/>
        <v>0</v>
      </c>
      <c r="T74" s="40">
        <f t="shared" si="215"/>
        <v>0</v>
      </c>
      <c r="U74" s="40">
        <f t="shared" si="215"/>
        <v>0</v>
      </c>
      <c r="V74" s="40">
        <f t="shared" si="215"/>
        <v>0</v>
      </c>
      <c r="W74" s="40">
        <f t="shared" si="215"/>
        <v>0</v>
      </c>
      <c r="X74" s="40">
        <f t="shared" si="215"/>
        <v>0</v>
      </c>
      <c r="Y74" s="40">
        <f t="shared" si="215"/>
        <v>0</v>
      </c>
      <c r="Z74" s="40">
        <f t="shared" si="215"/>
        <v>0</v>
      </c>
      <c r="AA74" s="40">
        <f t="shared" si="215"/>
        <v>0</v>
      </c>
      <c r="AB74" s="40">
        <f t="shared" si="215"/>
        <v>0</v>
      </c>
      <c r="AC74" s="40">
        <f t="shared" si="215"/>
        <v>0</v>
      </c>
      <c r="AD74" s="40">
        <f t="shared" si="215"/>
        <v>0</v>
      </c>
      <c r="AE74" s="40">
        <f t="shared" si="215"/>
        <v>0</v>
      </c>
      <c r="AF74" s="40">
        <f t="shared" si="215"/>
        <v>0</v>
      </c>
      <c r="AG74" s="40">
        <f t="shared" si="215"/>
        <v>0</v>
      </c>
      <c r="AH74" s="40">
        <f t="shared" si="215"/>
        <v>0</v>
      </c>
      <c r="AI74" s="40">
        <f t="shared" si="215"/>
        <v>0</v>
      </c>
      <c r="AJ74" s="40">
        <f t="shared" si="215"/>
        <v>0</v>
      </c>
      <c r="AK74" s="40">
        <f t="shared" si="215"/>
        <v>0</v>
      </c>
      <c r="AL74" s="40">
        <f t="shared" si="215"/>
        <v>0</v>
      </c>
      <c r="AM74" s="40">
        <f t="shared" si="215"/>
        <v>0</v>
      </c>
      <c r="AN74" s="40">
        <f t="shared" si="215"/>
        <v>0</v>
      </c>
      <c r="AO74" s="40">
        <f t="shared" si="215"/>
        <v>0</v>
      </c>
      <c r="AP74" s="40">
        <f t="shared" si="215"/>
        <v>0</v>
      </c>
      <c r="AQ74" s="40">
        <f t="shared" si="215"/>
        <v>0</v>
      </c>
      <c r="AR74" s="40">
        <f t="shared" si="215"/>
        <v>0</v>
      </c>
      <c r="AS74" s="40">
        <f t="shared" si="215"/>
        <v>0</v>
      </c>
      <c r="AT74" s="40">
        <f t="shared" si="215"/>
        <v>0</v>
      </c>
      <c r="AU74" s="40">
        <f t="shared" si="215"/>
        <v>0</v>
      </c>
      <c r="AV74" s="40">
        <f t="shared" si="215"/>
        <v>0</v>
      </c>
      <c r="AW74" s="40">
        <f t="shared" si="215"/>
        <v>0</v>
      </c>
      <c r="AX74" s="40">
        <f t="shared" si="215"/>
        <v>0</v>
      </c>
      <c r="AY74" s="40">
        <f t="shared" si="215"/>
        <v>0</v>
      </c>
      <c r="AZ74" s="40">
        <f t="shared" si="215"/>
        <v>0</v>
      </c>
      <c r="BA74" s="40">
        <f t="shared" si="215"/>
        <v>0</v>
      </c>
      <c r="BB74" s="40">
        <f t="shared" si="215"/>
        <v>0</v>
      </c>
      <c r="BC74" s="40">
        <f t="shared" si="215"/>
        <v>0</v>
      </c>
      <c r="BD74" s="40">
        <f t="shared" si="215"/>
        <v>0</v>
      </c>
      <c r="BE74" s="40">
        <f t="shared" si="215"/>
        <v>0</v>
      </c>
      <c r="BF74" s="40">
        <f t="shared" ref="BF74:BQ74" si="219">BF32+BF46+BF60</f>
        <v>0</v>
      </c>
      <c r="BG74" s="40">
        <f t="shared" si="219"/>
        <v>0</v>
      </c>
      <c r="BH74" s="40">
        <f t="shared" si="219"/>
        <v>0</v>
      </c>
      <c r="BI74" s="40">
        <f t="shared" si="219"/>
        <v>0</v>
      </c>
      <c r="BJ74" s="40">
        <f t="shared" si="219"/>
        <v>0</v>
      </c>
      <c r="BK74" s="40">
        <f t="shared" si="219"/>
        <v>0</v>
      </c>
      <c r="BL74" s="40">
        <f t="shared" si="219"/>
        <v>0</v>
      </c>
      <c r="BM74" s="40">
        <f t="shared" si="219"/>
        <v>0</v>
      </c>
      <c r="BN74" s="40">
        <f t="shared" si="219"/>
        <v>0</v>
      </c>
      <c r="BO74" s="40">
        <f t="shared" si="219"/>
        <v>0</v>
      </c>
      <c r="BP74" s="40">
        <f t="shared" si="219"/>
        <v>0</v>
      </c>
      <c r="BQ74" s="40">
        <f t="shared" si="219"/>
        <v>0</v>
      </c>
    </row>
    <row r="75" spans="2:69">
      <c r="B75" s="2" t="s">
        <v>212</v>
      </c>
      <c r="J75" s="38">
        <f>SUM(J72:J74)</f>
        <v>0</v>
      </c>
      <c r="K75" s="38">
        <f t="shared" ref="K75:BE75" si="220">SUM(K72:K74)</f>
        <v>0</v>
      </c>
      <c r="L75" s="38">
        <f t="shared" si="220"/>
        <v>0</v>
      </c>
      <c r="M75" s="38">
        <f t="shared" si="220"/>
        <v>0</v>
      </c>
      <c r="N75" s="38">
        <f t="shared" si="220"/>
        <v>0</v>
      </c>
      <c r="O75" s="38">
        <f t="shared" si="220"/>
        <v>0</v>
      </c>
      <c r="P75" s="38">
        <f t="shared" si="220"/>
        <v>0</v>
      </c>
      <c r="Q75" s="38">
        <f t="shared" si="220"/>
        <v>0</v>
      </c>
      <c r="R75" s="38">
        <f t="shared" si="220"/>
        <v>0</v>
      </c>
      <c r="S75" s="38">
        <f t="shared" si="220"/>
        <v>51.458333333333336</v>
      </c>
      <c r="T75" s="38">
        <f t="shared" si="220"/>
        <v>436.04166666666663</v>
      </c>
      <c r="U75" s="38">
        <f t="shared" si="220"/>
        <v>1077.9166666666665</v>
      </c>
      <c r="V75" s="38">
        <f t="shared" si="220"/>
        <v>1977.0833333333333</v>
      </c>
      <c r="W75" s="38">
        <f t="shared" si="220"/>
        <v>3390.8333333333335</v>
      </c>
      <c r="X75" s="38">
        <f t="shared" si="220"/>
        <v>5395</v>
      </c>
      <c r="Y75" s="38">
        <f t="shared" si="220"/>
        <v>7913.75</v>
      </c>
      <c r="Z75" s="38">
        <f t="shared" si="220"/>
        <v>10947.083333333334</v>
      </c>
      <c r="AA75" s="38">
        <f t="shared" si="220"/>
        <v>14495</v>
      </c>
      <c r="AB75" s="38">
        <f t="shared" si="220"/>
        <v>18633.333333333336</v>
      </c>
      <c r="AC75" s="38">
        <f t="shared" si="220"/>
        <v>23286.25</v>
      </c>
      <c r="AD75" s="38">
        <f t="shared" si="220"/>
        <v>28453.75</v>
      </c>
      <c r="AE75" s="38">
        <f t="shared" si="220"/>
        <v>34135.833333333336</v>
      </c>
      <c r="AF75" s="38">
        <f t="shared" si="220"/>
        <v>40408.333333333328</v>
      </c>
      <c r="AG75" s="38">
        <f t="shared" si="220"/>
        <v>47195.416666666672</v>
      </c>
      <c r="AH75" s="38">
        <f t="shared" si="220"/>
        <v>54600</v>
      </c>
      <c r="AI75" s="38">
        <f t="shared" si="220"/>
        <v>62622.083333333336</v>
      </c>
      <c r="AJ75" s="38">
        <f t="shared" si="220"/>
        <v>71337.5</v>
      </c>
      <c r="AK75" s="38">
        <f t="shared" si="220"/>
        <v>80670.416666666672</v>
      </c>
      <c r="AL75" s="38">
        <f t="shared" si="220"/>
        <v>90620.833333333343</v>
      </c>
      <c r="AM75" s="38">
        <f t="shared" si="220"/>
        <v>101188.75</v>
      </c>
      <c r="AN75" s="38">
        <f t="shared" si="220"/>
        <v>112450</v>
      </c>
      <c r="AO75" s="38">
        <f t="shared" si="220"/>
        <v>124328.75</v>
      </c>
      <c r="AP75" s="38">
        <f t="shared" si="220"/>
        <v>136825</v>
      </c>
      <c r="AQ75" s="38">
        <f t="shared" si="220"/>
        <v>149938.75</v>
      </c>
      <c r="AR75" s="38">
        <f t="shared" si="220"/>
        <v>163745.83333333334</v>
      </c>
      <c r="AS75" s="38">
        <f t="shared" si="220"/>
        <v>178170.41666666669</v>
      </c>
      <c r="AT75" s="38">
        <f t="shared" si="220"/>
        <v>193315.41666666666</v>
      </c>
      <c r="AU75" s="38">
        <f t="shared" si="220"/>
        <v>209180.83333333331</v>
      </c>
      <c r="AV75" s="38">
        <f t="shared" si="220"/>
        <v>225766.66666666669</v>
      </c>
      <c r="AW75" s="38">
        <f t="shared" si="220"/>
        <v>243072.91666666666</v>
      </c>
      <c r="AX75" s="38">
        <f t="shared" si="220"/>
        <v>261099.58333333331</v>
      </c>
      <c r="AY75" s="38">
        <f t="shared" si="220"/>
        <v>279846.66666666669</v>
      </c>
      <c r="AZ75" s="38">
        <f t="shared" si="220"/>
        <v>299314.16666666669</v>
      </c>
      <c r="BA75" s="38">
        <f t="shared" si="220"/>
        <v>319502.08333333337</v>
      </c>
      <c r="BB75" s="38">
        <f t="shared" si="220"/>
        <v>340410.41666666663</v>
      </c>
      <c r="BC75" s="38">
        <f t="shared" si="220"/>
        <v>362039.16666666669</v>
      </c>
      <c r="BD75" s="38">
        <f t="shared" si="220"/>
        <v>384388.33333333337</v>
      </c>
      <c r="BE75" s="38">
        <f t="shared" si="220"/>
        <v>407457.91666666663</v>
      </c>
      <c r="BF75" s="38">
        <f t="shared" ref="BF75:BQ75" si="221">SUM(BF72:BF74)</f>
        <v>431350.83333333337</v>
      </c>
      <c r="BG75" s="38">
        <f t="shared" si="221"/>
        <v>456067.08333333331</v>
      </c>
      <c r="BH75" s="38">
        <f t="shared" si="221"/>
        <v>481606.66666666663</v>
      </c>
      <c r="BI75" s="38">
        <f t="shared" si="221"/>
        <v>507969.58333333337</v>
      </c>
      <c r="BJ75" s="38">
        <f t="shared" si="221"/>
        <v>535155.83333333326</v>
      </c>
      <c r="BK75" s="38">
        <f t="shared" si="221"/>
        <v>563165.41666666663</v>
      </c>
      <c r="BL75" s="38">
        <f t="shared" si="221"/>
        <v>591998.33333333326</v>
      </c>
      <c r="BM75" s="38">
        <f t="shared" si="221"/>
        <v>621654.58333333337</v>
      </c>
      <c r="BN75" s="38">
        <f t="shared" si="221"/>
        <v>652134.16666666674</v>
      </c>
      <c r="BO75" s="38">
        <f t="shared" si="221"/>
        <v>683437.08333333326</v>
      </c>
      <c r="BP75" s="38">
        <f t="shared" si="221"/>
        <v>715563.33333333337</v>
      </c>
      <c r="BQ75" s="38">
        <f t="shared" si="221"/>
        <v>748512.91666666674</v>
      </c>
    </row>
    <row r="76" spans="2:69">
      <c r="B76" s="12"/>
      <c r="C76" s="12"/>
      <c r="D76" s="12"/>
      <c r="E76" s="12"/>
      <c r="F76" s="12"/>
      <c r="G76" s="12"/>
      <c r="H76" s="12"/>
      <c r="I76" s="12"/>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row>
    <row r="77" spans="2:69">
      <c r="B77" s="2" t="s">
        <v>207</v>
      </c>
      <c r="J77" s="38">
        <f>J70-J75</f>
        <v>0</v>
      </c>
      <c r="K77" s="38">
        <f t="shared" ref="K77:BE77" si="222">K70-K75</f>
        <v>0</v>
      </c>
      <c r="L77" s="38">
        <f t="shared" si="222"/>
        <v>0</v>
      </c>
      <c r="M77" s="38">
        <f t="shared" si="222"/>
        <v>0</v>
      </c>
      <c r="N77" s="38">
        <f t="shared" si="222"/>
        <v>0</v>
      </c>
      <c r="O77" s="38">
        <f t="shared" si="222"/>
        <v>0</v>
      </c>
      <c r="P77" s="38">
        <f t="shared" si="222"/>
        <v>0</v>
      </c>
      <c r="Q77" s="38">
        <f t="shared" si="222"/>
        <v>0</v>
      </c>
      <c r="R77" s="38">
        <f t="shared" si="222"/>
        <v>0</v>
      </c>
      <c r="S77" s="38">
        <f t="shared" si="222"/>
        <v>2418.5416666666665</v>
      </c>
      <c r="T77" s="38">
        <f t="shared" si="222"/>
        <v>17383.958333333332</v>
      </c>
      <c r="U77" s="38">
        <f t="shared" si="222"/>
        <v>29092.083333333332</v>
      </c>
      <c r="V77" s="38">
        <f t="shared" si="222"/>
        <v>40542.916666666664</v>
      </c>
      <c r="W77" s="38">
        <f t="shared" si="222"/>
        <v>63829.166666666664</v>
      </c>
      <c r="X77" s="38">
        <f t="shared" si="222"/>
        <v>89525</v>
      </c>
      <c r="Y77" s="38">
        <f t="shared" si="222"/>
        <v>111706.25</v>
      </c>
      <c r="Z77" s="38">
        <f t="shared" si="222"/>
        <v>133372.91666666666</v>
      </c>
      <c r="AA77" s="38">
        <f t="shared" si="222"/>
        <v>154525</v>
      </c>
      <c r="AB77" s="38">
        <f t="shared" si="222"/>
        <v>178086.66666666666</v>
      </c>
      <c r="AC77" s="38">
        <f t="shared" si="222"/>
        <v>198133.75</v>
      </c>
      <c r="AD77" s="38">
        <f t="shared" si="222"/>
        <v>217666.25</v>
      </c>
      <c r="AE77" s="38">
        <f t="shared" si="222"/>
        <v>236684.16666666666</v>
      </c>
      <c r="AF77" s="38">
        <f t="shared" si="222"/>
        <v>258111.66666666669</v>
      </c>
      <c r="AG77" s="38">
        <f t="shared" si="222"/>
        <v>276024.58333333331</v>
      </c>
      <c r="AH77" s="38">
        <f t="shared" si="222"/>
        <v>298260</v>
      </c>
      <c r="AI77" s="38">
        <f t="shared" si="222"/>
        <v>319877.91666666669</v>
      </c>
      <c r="AJ77" s="38">
        <f t="shared" si="222"/>
        <v>343802.5</v>
      </c>
      <c r="AK77" s="38">
        <f t="shared" si="222"/>
        <v>364109.58333333331</v>
      </c>
      <c r="AL77" s="38">
        <f t="shared" si="222"/>
        <v>383799.16666666663</v>
      </c>
      <c r="AM77" s="38">
        <f t="shared" si="222"/>
        <v>402871.25</v>
      </c>
      <c r="AN77" s="38">
        <f t="shared" si="222"/>
        <v>424250</v>
      </c>
      <c r="AO77" s="38">
        <f t="shared" si="222"/>
        <v>442011.25</v>
      </c>
      <c r="AP77" s="38">
        <f t="shared" si="222"/>
        <v>459155</v>
      </c>
      <c r="AQ77" s="38">
        <f t="shared" si="222"/>
        <v>475681.25</v>
      </c>
      <c r="AR77" s="38">
        <f t="shared" si="222"/>
        <v>494514.16666666663</v>
      </c>
      <c r="AS77" s="38">
        <f t="shared" si="222"/>
        <v>509729.58333333331</v>
      </c>
      <c r="AT77" s="38">
        <f t="shared" si="222"/>
        <v>529164.58333333337</v>
      </c>
      <c r="AU77" s="38">
        <f t="shared" si="222"/>
        <v>547879.16666666674</v>
      </c>
      <c r="AV77" s="38">
        <f t="shared" si="222"/>
        <v>565873.33333333326</v>
      </c>
      <c r="AW77" s="38">
        <f t="shared" si="222"/>
        <v>583147.08333333337</v>
      </c>
      <c r="AX77" s="38">
        <f t="shared" si="222"/>
        <v>599700.41666666674</v>
      </c>
      <c r="AY77" s="38">
        <f t="shared" si="222"/>
        <v>615533.33333333326</v>
      </c>
      <c r="AZ77" s="38">
        <f t="shared" si="222"/>
        <v>630645.83333333326</v>
      </c>
      <c r="BA77" s="38">
        <f t="shared" si="222"/>
        <v>645037.91666666663</v>
      </c>
      <c r="BB77" s="38">
        <f t="shared" si="222"/>
        <v>658709.58333333337</v>
      </c>
      <c r="BC77" s="38">
        <f t="shared" si="222"/>
        <v>671660.83333333326</v>
      </c>
      <c r="BD77" s="38">
        <f t="shared" si="222"/>
        <v>683891.66666666663</v>
      </c>
      <c r="BE77" s="38">
        <f t="shared" si="222"/>
        <v>695402.08333333337</v>
      </c>
      <c r="BF77" s="38">
        <f t="shared" ref="BF77:BQ77" si="223">BF70-BF75</f>
        <v>711029.16666666663</v>
      </c>
      <c r="BG77" s="38">
        <f t="shared" si="223"/>
        <v>725832.91666666674</v>
      </c>
      <c r="BH77" s="38">
        <f t="shared" si="223"/>
        <v>739813.33333333337</v>
      </c>
      <c r="BI77" s="38">
        <f t="shared" si="223"/>
        <v>752970.41666666663</v>
      </c>
      <c r="BJ77" s="38">
        <f t="shared" si="223"/>
        <v>765304.16666666674</v>
      </c>
      <c r="BK77" s="38">
        <f t="shared" si="223"/>
        <v>776814.58333333337</v>
      </c>
      <c r="BL77" s="38">
        <f t="shared" si="223"/>
        <v>787501.66666666674</v>
      </c>
      <c r="BM77" s="38">
        <f t="shared" si="223"/>
        <v>797365.41666666663</v>
      </c>
      <c r="BN77" s="38">
        <f t="shared" si="223"/>
        <v>806405.83333333326</v>
      </c>
      <c r="BO77" s="38">
        <f t="shared" si="223"/>
        <v>814622.91666666674</v>
      </c>
      <c r="BP77" s="38">
        <f t="shared" si="223"/>
        <v>822016.66666666663</v>
      </c>
      <c r="BQ77" s="38">
        <f t="shared" si="223"/>
        <v>828587.08333333326</v>
      </c>
    </row>
    <row r="78" spans="2:69">
      <c r="B78" t="s">
        <v>222</v>
      </c>
      <c r="J78" s="38">
        <f>(J35+J49+J63)-J77</f>
        <v>0</v>
      </c>
      <c r="K78" s="38">
        <f t="shared" ref="K78:BE78" si="224">(K35+K49+K63)-K77</f>
        <v>0</v>
      </c>
      <c r="L78" s="38">
        <f t="shared" si="224"/>
        <v>0</v>
      </c>
      <c r="M78" s="38">
        <f t="shared" si="224"/>
        <v>0</v>
      </c>
      <c r="N78" s="38">
        <f t="shared" si="224"/>
        <v>0</v>
      </c>
      <c r="O78" s="38">
        <f t="shared" si="224"/>
        <v>0</v>
      </c>
      <c r="P78" s="38">
        <f t="shared" si="224"/>
        <v>0</v>
      </c>
      <c r="Q78" s="38">
        <f t="shared" si="224"/>
        <v>0</v>
      </c>
      <c r="R78" s="38">
        <f t="shared" si="224"/>
        <v>0</v>
      </c>
      <c r="S78" s="38">
        <f t="shared" si="224"/>
        <v>0</v>
      </c>
      <c r="T78" s="38">
        <f t="shared" si="224"/>
        <v>0</v>
      </c>
      <c r="U78" s="38">
        <f t="shared" si="224"/>
        <v>0</v>
      </c>
      <c r="V78" s="38">
        <f t="shared" si="224"/>
        <v>0</v>
      </c>
      <c r="W78" s="38">
        <f t="shared" si="224"/>
        <v>0</v>
      </c>
      <c r="X78" s="38">
        <f t="shared" si="224"/>
        <v>0</v>
      </c>
      <c r="Y78" s="38">
        <f t="shared" si="224"/>
        <v>0</v>
      </c>
      <c r="Z78" s="38">
        <f t="shared" si="224"/>
        <v>0</v>
      </c>
      <c r="AA78" s="38">
        <f t="shared" si="224"/>
        <v>0</v>
      </c>
      <c r="AB78" s="38">
        <f t="shared" si="224"/>
        <v>0</v>
      </c>
      <c r="AC78" s="38">
        <f t="shared" si="224"/>
        <v>0</v>
      </c>
      <c r="AD78" s="38">
        <f t="shared" si="224"/>
        <v>0</v>
      </c>
      <c r="AE78" s="38">
        <f t="shared" si="224"/>
        <v>0</v>
      </c>
      <c r="AF78" s="38">
        <f t="shared" si="224"/>
        <v>0</v>
      </c>
      <c r="AG78" s="38">
        <f t="shared" si="224"/>
        <v>0</v>
      </c>
      <c r="AH78" s="38">
        <f t="shared" si="224"/>
        <v>0</v>
      </c>
      <c r="AI78" s="38">
        <f t="shared" si="224"/>
        <v>0</v>
      </c>
      <c r="AJ78" s="38">
        <f t="shared" si="224"/>
        <v>0</v>
      </c>
      <c r="AK78" s="38">
        <f t="shared" si="224"/>
        <v>0</v>
      </c>
      <c r="AL78" s="38">
        <f t="shared" si="224"/>
        <v>0</v>
      </c>
      <c r="AM78" s="38">
        <f t="shared" si="224"/>
        <v>0</v>
      </c>
      <c r="AN78" s="38">
        <f t="shared" si="224"/>
        <v>0</v>
      </c>
      <c r="AO78" s="38">
        <f t="shared" si="224"/>
        <v>0</v>
      </c>
      <c r="AP78" s="38">
        <f t="shared" si="224"/>
        <v>0</v>
      </c>
      <c r="AQ78" s="38">
        <f t="shared" si="224"/>
        <v>0</v>
      </c>
      <c r="AR78" s="38">
        <f t="shared" si="224"/>
        <v>0</v>
      </c>
      <c r="AS78" s="38">
        <f t="shared" si="224"/>
        <v>0</v>
      </c>
      <c r="AT78" s="38">
        <f t="shared" si="224"/>
        <v>0</v>
      </c>
      <c r="AU78" s="38">
        <f t="shared" si="224"/>
        <v>0</v>
      </c>
      <c r="AV78" s="38">
        <f t="shared" si="224"/>
        <v>0</v>
      </c>
      <c r="AW78" s="38">
        <f t="shared" si="224"/>
        <v>0</v>
      </c>
      <c r="AX78" s="38">
        <f t="shared" si="224"/>
        <v>0</v>
      </c>
      <c r="AY78" s="38">
        <f t="shared" si="224"/>
        <v>0</v>
      </c>
      <c r="AZ78" s="38">
        <f t="shared" si="224"/>
        <v>0</v>
      </c>
      <c r="BA78" s="38">
        <f t="shared" si="224"/>
        <v>0</v>
      </c>
      <c r="BB78" s="38">
        <f t="shared" si="224"/>
        <v>0</v>
      </c>
      <c r="BC78" s="38">
        <f t="shared" si="224"/>
        <v>0</v>
      </c>
      <c r="BD78" s="38">
        <f t="shared" si="224"/>
        <v>0</v>
      </c>
      <c r="BE78" s="38">
        <f t="shared" si="224"/>
        <v>0</v>
      </c>
      <c r="BF78" s="38">
        <f t="shared" ref="BF78:BQ78" si="225">(BF35+BF49+BF63)-BF77</f>
        <v>0</v>
      </c>
      <c r="BG78" s="38">
        <f t="shared" si="225"/>
        <v>0</v>
      </c>
      <c r="BH78" s="38">
        <f t="shared" si="225"/>
        <v>0</v>
      </c>
      <c r="BI78" s="38">
        <f t="shared" si="225"/>
        <v>0</v>
      </c>
      <c r="BJ78" s="38">
        <f t="shared" si="225"/>
        <v>0</v>
      </c>
      <c r="BK78" s="38">
        <f t="shared" si="225"/>
        <v>0</v>
      </c>
      <c r="BL78" s="38">
        <f t="shared" si="225"/>
        <v>0</v>
      </c>
      <c r="BM78" s="38">
        <f t="shared" si="225"/>
        <v>0</v>
      </c>
      <c r="BN78" s="38">
        <f t="shared" si="225"/>
        <v>0</v>
      </c>
      <c r="BO78" s="38">
        <f t="shared" si="225"/>
        <v>0</v>
      </c>
      <c r="BP78" s="38">
        <f t="shared" si="225"/>
        <v>0</v>
      </c>
      <c r="BQ78" s="38">
        <f t="shared" si="225"/>
        <v>0</v>
      </c>
    </row>
    <row r="79" spans="2:69">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c r="BK79" s="38"/>
      <c r="BL79" s="38"/>
      <c r="BM79" s="38"/>
      <c r="BN79" s="38"/>
      <c r="BO79" s="38"/>
      <c r="BP79" s="38"/>
      <c r="BQ79" s="38"/>
    </row>
    <row r="80" spans="2:69">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c r="BK80" s="38"/>
      <c r="BL80" s="38"/>
      <c r="BM80" s="38"/>
      <c r="BN80" s="38"/>
      <c r="BO80" s="38"/>
      <c r="BP80" s="38"/>
      <c r="BQ80" s="38"/>
    </row>
    <row r="81" spans="2:69">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c r="BK81" s="38"/>
      <c r="BL81" s="38"/>
      <c r="BM81" s="38"/>
      <c r="BN81" s="38"/>
      <c r="BO81" s="38"/>
      <c r="BP81" s="38"/>
      <c r="BQ81" s="38"/>
    </row>
    <row r="82" spans="2:69">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row>
    <row r="83" spans="2:69">
      <c r="B83" t="s">
        <v>246</v>
      </c>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c r="BK83" s="38"/>
      <c r="BL83" s="38"/>
      <c r="BM83" s="38"/>
      <c r="BN83" s="38"/>
      <c r="BO83" s="38"/>
      <c r="BP83" s="38"/>
      <c r="BQ83" s="38"/>
    </row>
    <row r="84" spans="2:69">
      <c r="B84" t="str">
        <f>Inputs!B39</f>
        <v>ISP Funds £0 Capex</v>
      </c>
      <c r="J84" s="38">
        <f>Inputs!J40</f>
        <v>0</v>
      </c>
      <c r="K84" s="38">
        <f>Inputs!K40</f>
        <v>0</v>
      </c>
      <c r="L84" s="38">
        <f>Inputs!L40</f>
        <v>0</v>
      </c>
      <c r="M84" s="38">
        <f>Inputs!M40</f>
        <v>0</v>
      </c>
      <c r="N84" s="38">
        <f>Inputs!N40</f>
        <v>0</v>
      </c>
      <c r="O84" s="38">
        <f>Inputs!O40</f>
        <v>0</v>
      </c>
      <c r="P84" s="38">
        <f>Inputs!P40</f>
        <v>0</v>
      </c>
      <c r="Q84" s="38">
        <f>Inputs!Q40</f>
        <v>0</v>
      </c>
      <c r="R84" s="38">
        <f>Inputs!R40</f>
        <v>0</v>
      </c>
      <c r="S84" s="38">
        <f>Inputs!S40</f>
        <v>2</v>
      </c>
      <c r="T84" s="38">
        <f>Inputs!T40</f>
        <v>10</v>
      </c>
      <c r="U84" s="38">
        <f>Inputs!U40</f>
        <v>10</v>
      </c>
      <c r="V84" s="38">
        <f>Inputs!V40</f>
        <v>10</v>
      </c>
      <c r="W84" s="38">
        <f>Inputs!W40</f>
        <v>20</v>
      </c>
      <c r="X84" s="38">
        <f>Inputs!X40</f>
        <v>20</v>
      </c>
      <c r="Y84" s="38">
        <f>Inputs!Y40</f>
        <v>20</v>
      </c>
      <c r="Z84" s="38">
        <f>Inputs!Z40</f>
        <v>20</v>
      </c>
      <c r="AA84" s="38">
        <f>Inputs!AA40</f>
        <v>20</v>
      </c>
      <c r="AB84" s="38">
        <f>Inputs!AB40</f>
        <v>20</v>
      </c>
      <c r="AC84" s="38">
        <f>Inputs!AC40</f>
        <v>20</v>
      </c>
      <c r="AD84" s="38">
        <f>Inputs!AD40</f>
        <v>20</v>
      </c>
      <c r="AE84" s="38">
        <f>Inputs!AE40</f>
        <v>20</v>
      </c>
      <c r="AF84" s="38">
        <f>Inputs!AF40</f>
        <v>20</v>
      </c>
      <c r="AG84" s="38">
        <f>Inputs!AG40</f>
        <v>20</v>
      </c>
      <c r="AH84" s="38">
        <f>Inputs!AH40</f>
        <v>24</v>
      </c>
      <c r="AI84" s="38">
        <f>Inputs!AI40</f>
        <v>24</v>
      </c>
      <c r="AJ84" s="38">
        <f>Inputs!AJ40</f>
        <v>24</v>
      </c>
      <c r="AK84" s="38">
        <f>Inputs!AK40</f>
        <v>24</v>
      </c>
      <c r="AL84" s="38">
        <f>Inputs!AL40</f>
        <v>24</v>
      </c>
      <c r="AM84" s="38">
        <f>Inputs!AM40</f>
        <v>24</v>
      </c>
      <c r="AN84" s="38">
        <f>Inputs!AN40</f>
        <v>24</v>
      </c>
      <c r="AO84" s="38">
        <f>Inputs!AO40</f>
        <v>24</v>
      </c>
      <c r="AP84" s="38">
        <f>Inputs!AP40</f>
        <v>24</v>
      </c>
      <c r="AQ84" s="38">
        <f>Inputs!AQ40</f>
        <v>24</v>
      </c>
      <c r="AR84" s="38">
        <f>Inputs!AR40</f>
        <v>24</v>
      </c>
      <c r="AS84" s="38">
        <f>Inputs!AS40</f>
        <v>24</v>
      </c>
      <c r="AT84" s="38">
        <f>Inputs!AT40</f>
        <v>28</v>
      </c>
      <c r="AU84" s="38">
        <f>Inputs!AU40</f>
        <v>28</v>
      </c>
      <c r="AV84" s="38">
        <f>Inputs!AV40</f>
        <v>28</v>
      </c>
      <c r="AW84" s="38">
        <f>Inputs!AW40</f>
        <v>28</v>
      </c>
      <c r="AX84" s="38">
        <f>Inputs!AX40</f>
        <v>28</v>
      </c>
      <c r="AY84" s="38">
        <f>Inputs!AY40</f>
        <v>28</v>
      </c>
      <c r="AZ84" s="38">
        <f>Inputs!AZ40</f>
        <v>28</v>
      </c>
      <c r="BA84" s="38">
        <f>Inputs!BA40</f>
        <v>28</v>
      </c>
      <c r="BB84" s="38">
        <f>Inputs!BB40</f>
        <v>28</v>
      </c>
      <c r="BC84" s="38">
        <f>Inputs!BC40</f>
        <v>28</v>
      </c>
      <c r="BD84" s="38">
        <f>Inputs!BD40</f>
        <v>28</v>
      </c>
      <c r="BE84" s="38">
        <f>Inputs!BE40</f>
        <v>28</v>
      </c>
      <c r="BF84" s="38">
        <f>Inputs!BF40</f>
        <v>32</v>
      </c>
      <c r="BG84" s="38">
        <f>Inputs!BG40</f>
        <v>32</v>
      </c>
      <c r="BH84" s="38">
        <f>Inputs!BH40</f>
        <v>32</v>
      </c>
      <c r="BI84" s="38">
        <f>Inputs!BI40</f>
        <v>32</v>
      </c>
      <c r="BJ84" s="38">
        <f>Inputs!BJ40</f>
        <v>32</v>
      </c>
      <c r="BK84" s="38">
        <f>Inputs!BK40</f>
        <v>32</v>
      </c>
      <c r="BL84" s="38">
        <f>Inputs!BL40</f>
        <v>32</v>
      </c>
      <c r="BM84" s="38">
        <f>Inputs!BM40</f>
        <v>32</v>
      </c>
      <c r="BN84" s="38">
        <f>Inputs!BN40</f>
        <v>32</v>
      </c>
      <c r="BO84" s="38">
        <f>Inputs!BO40</f>
        <v>32</v>
      </c>
      <c r="BP84" s="38">
        <f>Inputs!BP40</f>
        <v>32</v>
      </c>
      <c r="BQ84" s="38">
        <f>Inputs!BQ40</f>
        <v>32</v>
      </c>
    </row>
    <row r="85" spans="2:69">
      <c r="B85" t="str">
        <f>Inputs!B43</f>
        <v>Other</v>
      </c>
      <c r="J85" s="40">
        <f>Inputs!J44</f>
        <v>0</v>
      </c>
      <c r="K85" s="40">
        <f>Inputs!K44</f>
        <v>0</v>
      </c>
      <c r="L85" s="40">
        <f>Inputs!L44</f>
        <v>0</v>
      </c>
      <c r="M85" s="40">
        <f>Inputs!M44</f>
        <v>0</v>
      </c>
      <c r="N85" s="40">
        <f>Inputs!N44</f>
        <v>0</v>
      </c>
      <c r="O85" s="40">
        <f>Inputs!O44</f>
        <v>0</v>
      </c>
      <c r="P85" s="40">
        <f>Inputs!P44</f>
        <v>0</v>
      </c>
      <c r="Q85" s="40">
        <f>Inputs!Q44</f>
        <v>0</v>
      </c>
      <c r="R85" s="40">
        <f>Inputs!R44</f>
        <v>0</v>
      </c>
      <c r="S85" s="40">
        <f>Inputs!S44</f>
        <v>0</v>
      </c>
      <c r="T85" s="40">
        <f>Inputs!T44</f>
        <v>0</v>
      </c>
      <c r="U85" s="40">
        <f>Inputs!U44</f>
        <v>0</v>
      </c>
      <c r="V85" s="40">
        <f>Inputs!V44</f>
        <v>0</v>
      </c>
      <c r="W85" s="40">
        <f>Inputs!W44</f>
        <v>0</v>
      </c>
      <c r="X85" s="40">
        <f>Inputs!X44</f>
        <v>0</v>
      </c>
      <c r="Y85" s="40">
        <f>Inputs!Y44</f>
        <v>0</v>
      </c>
      <c r="Z85" s="40">
        <f>Inputs!Z44</f>
        <v>0</v>
      </c>
      <c r="AA85" s="40">
        <f>Inputs!AA44</f>
        <v>0</v>
      </c>
      <c r="AB85" s="40">
        <f>Inputs!AB44</f>
        <v>0</v>
      </c>
      <c r="AC85" s="40">
        <f>Inputs!AC44</f>
        <v>0</v>
      </c>
      <c r="AD85" s="40">
        <f>Inputs!AD44</f>
        <v>0</v>
      </c>
      <c r="AE85" s="40">
        <f>Inputs!AE44</f>
        <v>0</v>
      </c>
      <c r="AF85" s="40">
        <f>Inputs!AF44</f>
        <v>0</v>
      </c>
      <c r="AG85" s="40">
        <f>Inputs!AG44</f>
        <v>0</v>
      </c>
      <c r="AH85" s="40">
        <f>Inputs!AH44</f>
        <v>0</v>
      </c>
      <c r="AI85" s="40">
        <f>Inputs!AI44</f>
        <v>0</v>
      </c>
      <c r="AJ85" s="40">
        <f>Inputs!AJ44</f>
        <v>0</v>
      </c>
      <c r="AK85" s="40">
        <f>Inputs!AK44</f>
        <v>0</v>
      </c>
      <c r="AL85" s="40">
        <f>Inputs!AL44</f>
        <v>0</v>
      </c>
      <c r="AM85" s="40">
        <f>Inputs!AM44</f>
        <v>0</v>
      </c>
      <c r="AN85" s="40">
        <f>Inputs!AN44</f>
        <v>0</v>
      </c>
      <c r="AO85" s="40">
        <f>Inputs!AO44</f>
        <v>0</v>
      </c>
      <c r="AP85" s="40">
        <f>Inputs!AP44</f>
        <v>0</v>
      </c>
      <c r="AQ85" s="40">
        <f>Inputs!AQ44</f>
        <v>0</v>
      </c>
      <c r="AR85" s="40">
        <f>Inputs!AR44</f>
        <v>0</v>
      </c>
      <c r="AS85" s="40">
        <f>Inputs!AS44</f>
        <v>0</v>
      </c>
      <c r="AT85" s="40">
        <f>Inputs!AT44</f>
        <v>0</v>
      </c>
      <c r="AU85" s="40">
        <f>Inputs!AU44</f>
        <v>0</v>
      </c>
      <c r="AV85" s="40">
        <f>Inputs!AV44</f>
        <v>0</v>
      </c>
      <c r="AW85" s="40">
        <f>Inputs!AW44</f>
        <v>0</v>
      </c>
      <c r="AX85" s="40">
        <f>Inputs!AX44</f>
        <v>0</v>
      </c>
      <c r="AY85" s="40">
        <f>Inputs!AY44</f>
        <v>0</v>
      </c>
      <c r="AZ85" s="40">
        <f>Inputs!AZ44</f>
        <v>0</v>
      </c>
      <c r="BA85" s="40">
        <f>Inputs!BA44</f>
        <v>0</v>
      </c>
      <c r="BB85" s="40">
        <f>Inputs!BB44</f>
        <v>0</v>
      </c>
      <c r="BC85" s="40">
        <f>Inputs!BC44</f>
        <v>0</v>
      </c>
      <c r="BD85" s="40">
        <f>Inputs!BD44</f>
        <v>0</v>
      </c>
      <c r="BE85" s="40">
        <f>Inputs!BE44</f>
        <v>0</v>
      </c>
      <c r="BF85" s="40">
        <f>Inputs!BF44</f>
        <v>0</v>
      </c>
      <c r="BG85" s="40">
        <f>Inputs!BG44</f>
        <v>0</v>
      </c>
      <c r="BH85" s="40">
        <f>Inputs!BH44</f>
        <v>0</v>
      </c>
      <c r="BI85" s="40">
        <f>Inputs!BI44</f>
        <v>0</v>
      </c>
      <c r="BJ85" s="40">
        <f>Inputs!BJ44</f>
        <v>0</v>
      </c>
      <c r="BK85" s="40">
        <f>Inputs!BK44</f>
        <v>0</v>
      </c>
      <c r="BL85" s="40">
        <f>Inputs!BL44</f>
        <v>0</v>
      </c>
      <c r="BM85" s="40">
        <f>Inputs!BM44</f>
        <v>0</v>
      </c>
      <c r="BN85" s="40">
        <f>Inputs!BN44</f>
        <v>0</v>
      </c>
      <c r="BO85" s="40">
        <f>Inputs!BO44</f>
        <v>0</v>
      </c>
      <c r="BP85" s="40">
        <f>Inputs!BP44</f>
        <v>0</v>
      </c>
      <c r="BQ85" s="40">
        <f>Inputs!BQ44</f>
        <v>0</v>
      </c>
    </row>
    <row r="86" spans="2:69">
      <c r="B86" t="s">
        <v>310</v>
      </c>
      <c r="J86" s="38">
        <f>SUM(J84:J85)</f>
        <v>0</v>
      </c>
      <c r="K86" s="38">
        <f t="shared" ref="K86:BE86" si="226">SUM(K84:K85)</f>
        <v>0</v>
      </c>
      <c r="L86" s="38">
        <f t="shared" si="226"/>
        <v>0</v>
      </c>
      <c r="M86" s="38">
        <f t="shared" si="226"/>
        <v>0</v>
      </c>
      <c r="N86" s="38">
        <f t="shared" si="226"/>
        <v>0</v>
      </c>
      <c r="O86" s="38">
        <f t="shared" si="226"/>
        <v>0</v>
      </c>
      <c r="P86" s="38">
        <f t="shared" si="226"/>
        <v>0</v>
      </c>
      <c r="Q86" s="38">
        <f t="shared" si="226"/>
        <v>0</v>
      </c>
      <c r="R86" s="38">
        <f t="shared" si="226"/>
        <v>0</v>
      </c>
      <c r="S86" s="38">
        <f t="shared" si="226"/>
        <v>2</v>
      </c>
      <c r="T86" s="38">
        <f t="shared" si="226"/>
        <v>10</v>
      </c>
      <c r="U86" s="38">
        <f t="shared" si="226"/>
        <v>10</v>
      </c>
      <c r="V86" s="38">
        <f t="shared" si="226"/>
        <v>10</v>
      </c>
      <c r="W86" s="38">
        <f t="shared" si="226"/>
        <v>20</v>
      </c>
      <c r="X86" s="38">
        <f t="shared" si="226"/>
        <v>20</v>
      </c>
      <c r="Y86" s="38">
        <f t="shared" si="226"/>
        <v>20</v>
      </c>
      <c r="Z86" s="38">
        <f t="shared" si="226"/>
        <v>20</v>
      </c>
      <c r="AA86" s="38">
        <f t="shared" si="226"/>
        <v>20</v>
      </c>
      <c r="AB86" s="38">
        <f t="shared" si="226"/>
        <v>20</v>
      </c>
      <c r="AC86" s="38">
        <f t="shared" si="226"/>
        <v>20</v>
      </c>
      <c r="AD86" s="38">
        <f t="shared" si="226"/>
        <v>20</v>
      </c>
      <c r="AE86" s="38">
        <f t="shared" si="226"/>
        <v>20</v>
      </c>
      <c r="AF86" s="38">
        <f t="shared" si="226"/>
        <v>20</v>
      </c>
      <c r="AG86" s="38">
        <f t="shared" si="226"/>
        <v>20</v>
      </c>
      <c r="AH86" s="38">
        <f t="shared" si="226"/>
        <v>24</v>
      </c>
      <c r="AI86" s="38">
        <f t="shared" si="226"/>
        <v>24</v>
      </c>
      <c r="AJ86" s="38">
        <f t="shared" si="226"/>
        <v>24</v>
      </c>
      <c r="AK86" s="38">
        <f t="shared" si="226"/>
        <v>24</v>
      </c>
      <c r="AL86" s="38">
        <f t="shared" si="226"/>
        <v>24</v>
      </c>
      <c r="AM86" s="38">
        <f t="shared" si="226"/>
        <v>24</v>
      </c>
      <c r="AN86" s="38">
        <f t="shared" si="226"/>
        <v>24</v>
      </c>
      <c r="AO86" s="38">
        <f t="shared" si="226"/>
        <v>24</v>
      </c>
      <c r="AP86" s="38">
        <f t="shared" si="226"/>
        <v>24</v>
      </c>
      <c r="AQ86" s="38">
        <f t="shared" si="226"/>
        <v>24</v>
      </c>
      <c r="AR86" s="38">
        <f t="shared" si="226"/>
        <v>24</v>
      </c>
      <c r="AS86" s="38">
        <f t="shared" si="226"/>
        <v>24</v>
      </c>
      <c r="AT86" s="38">
        <f t="shared" si="226"/>
        <v>28</v>
      </c>
      <c r="AU86" s="38">
        <f t="shared" si="226"/>
        <v>28</v>
      </c>
      <c r="AV86" s="38">
        <f t="shared" si="226"/>
        <v>28</v>
      </c>
      <c r="AW86" s="38">
        <f t="shared" si="226"/>
        <v>28</v>
      </c>
      <c r="AX86" s="38">
        <f t="shared" si="226"/>
        <v>28</v>
      </c>
      <c r="AY86" s="38">
        <f t="shared" si="226"/>
        <v>28</v>
      </c>
      <c r="AZ86" s="38">
        <f t="shared" si="226"/>
        <v>28</v>
      </c>
      <c r="BA86" s="38">
        <f t="shared" si="226"/>
        <v>28</v>
      </c>
      <c r="BB86" s="38">
        <f t="shared" si="226"/>
        <v>28</v>
      </c>
      <c r="BC86" s="38">
        <f t="shared" si="226"/>
        <v>28</v>
      </c>
      <c r="BD86" s="38">
        <f t="shared" si="226"/>
        <v>28</v>
      </c>
      <c r="BE86" s="38">
        <f t="shared" si="226"/>
        <v>28</v>
      </c>
      <c r="BF86" s="38">
        <f t="shared" ref="BF86:BQ86" si="227">SUM(BF84:BF85)</f>
        <v>32</v>
      </c>
      <c r="BG86" s="38">
        <f t="shared" si="227"/>
        <v>32</v>
      </c>
      <c r="BH86" s="38">
        <f t="shared" si="227"/>
        <v>32</v>
      </c>
      <c r="BI86" s="38">
        <f t="shared" si="227"/>
        <v>32</v>
      </c>
      <c r="BJ86" s="38">
        <f t="shared" si="227"/>
        <v>32</v>
      </c>
      <c r="BK86" s="38">
        <f t="shared" si="227"/>
        <v>32</v>
      </c>
      <c r="BL86" s="38">
        <f t="shared" si="227"/>
        <v>32</v>
      </c>
      <c r="BM86" s="38">
        <f t="shared" si="227"/>
        <v>32</v>
      </c>
      <c r="BN86" s="38">
        <f t="shared" si="227"/>
        <v>32</v>
      </c>
      <c r="BO86" s="38">
        <f t="shared" si="227"/>
        <v>32</v>
      </c>
      <c r="BP86" s="38">
        <f t="shared" si="227"/>
        <v>32</v>
      </c>
      <c r="BQ86" s="38">
        <f t="shared" si="227"/>
        <v>32</v>
      </c>
    </row>
    <row r="87" spans="2:69">
      <c r="B87" s="12"/>
      <c r="C87" s="12"/>
      <c r="D87" s="12"/>
      <c r="E87" s="12"/>
      <c r="F87" s="12"/>
      <c r="G87" s="12"/>
      <c r="H87" s="12"/>
      <c r="I87" s="12"/>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row>
    <row r="88" spans="2:69">
      <c r="B88" t="s">
        <v>311</v>
      </c>
      <c r="J88" s="38">
        <f>J86*Inputs!J114</f>
        <v>0</v>
      </c>
      <c r="K88" s="38">
        <f>K86*Inputs!K114</f>
        <v>0</v>
      </c>
      <c r="L88" s="38">
        <f>L86*Inputs!L114</f>
        <v>0</v>
      </c>
      <c r="M88" s="38">
        <f>M86*Inputs!M114</f>
        <v>0</v>
      </c>
      <c r="N88" s="38">
        <f>N86*Inputs!N114</f>
        <v>0</v>
      </c>
      <c r="O88" s="38">
        <f>O86*Inputs!O114</f>
        <v>0</v>
      </c>
      <c r="P88" s="38">
        <f>P86*Inputs!P114</f>
        <v>0</v>
      </c>
      <c r="Q88" s="38">
        <f>Q86*Inputs!Q114</f>
        <v>0</v>
      </c>
      <c r="R88" s="38">
        <f>R86*Inputs!R114</f>
        <v>0</v>
      </c>
      <c r="S88" s="38">
        <f>S86*Inputs!S114</f>
        <v>2470</v>
      </c>
      <c r="T88" s="38">
        <f>T86*Inputs!T114</f>
        <v>12350</v>
      </c>
      <c r="U88" s="38">
        <f>U86*Inputs!U114</f>
        <v>12350</v>
      </c>
      <c r="V88" s="38">
        <f>V86*Inputs!V114</f>
        <v>12350</v>
      </c>
      <c r="W88" s="38">
        <f>W86*Inputs!W114</f>
        <v>24700</v>
      </c>
      <c r="X88" s="38">
        <f>X86*Inputs!X114</f>
        <v>24700</v>
      </c>
      <c r="Y88" s="38">
        <f>Y86*Inputs!Y114</f>
        <v>24700</v>
      </c>
      <c r="Z88" s="38">
        <f>Z86*Inputs!Z114</f>
        <v>24700</v>
      </c>
      <c r="AA88" s="38">
        <f>AA86*Inputs!AA114</f>
        <v>24700</v>
      </c>
      <c r="AB88" s="38">
        <f>AB86*Inputs!AB114</f>
        <v>24700</v>
      </c>
      <c r="AC88" s="38">
        <f>AC86*Inputs!AC114</f>
        <v>24700</v>
      </c>
      <c r="AD88" s="38">
        <f>AD86*Inputs!AD114</f>
        <v>24700</v>
      </c>
      <c r="AE88" s="38">
        <f>AE86*Inputs!AE114</f>
        <v>24700</v>
      </c>
      <c r="AF88" s="38">
        <f>AF86*Inputs!AF114</f>
        <v>24700</v>
      </c>
      <c r="AG88" s="38">
        <f>AG86*Inputs!AG114</f>
        <v>24700</v>
      </c>
      <c r="AH88" s="38">
        <f>AH86*Inputs!AH114</f>
        <v>29640</v>
      </c>
      <c r="AI88" s="38">
        <f>AI86*Inputs!AI114</f>
        <v>29640</v>
      </c>
      <c r="AJ88" s="38">
        <f>AJ86*Inputs!AJ114</f>
        <v>29640</v>
      </c>
      <c r="AK88" s="38">
        <f>AK86*Inputs!AK114</f>
        <v>29640</v>
      </c>
      <c r="AL88" s="38">
        <f>AL86*Inputs!AL114</f>
        <v>29640</v>
      </c>
      <c r="AM88" s="38">
        <f>AM86*Inputs!AM114</f>
        <v>29640</v>
      </c>
      <c r="AN88" s="38">
        <f>AN86*Inputs!AN114</f>
        <v>29640</v>
      </c>
      <c r="AO88" s="38">
        <f>AO86*Inputs!AO114</f>
        <v>29640</v>
      </c>
      <c r="AP88" s="38">
        <f>AP86*Inputs!AP114</f>
        <v>29640</v>
      </c>
      <c r="AQ88" s="38">
        <f>AQ86*Inputs!AQ114</f>
        <v>29640</v>
      </c>
      <c r="AR88" s="38">
        <f>AR86*Inputs!AR114</f>
        <v>29640</v>
      </c>
      <c r="AS88" s="38">
        <f>AS86*Inputs!AS114</f>
        <v>29640</v>
      </c>
      <c r="AT88" s="38">
        <f>AT86*Inputs!AT114</f>
        <v>34580</v>
      </c>
      <c r="AU88" s="38">
        <f>AU86*Inputs!AU114</f>
        <v>34580</v>
      </c>
      <c r="AV88" s="38">
        <f>AV86*Inputs!AV114</f>
        <v>34580</v>
      </c>
      <c r="AW88" s="38">
        <f>AW86*Inputs!AW114</f>
        <v>34580</v>
      </c>
      <c r="AX88" s="38">
        <f>AX86*Inputs!AX114</f>
        <v>34580</v>
      </c>
      <c r="AY88" s="38">
        <f>AY86*Inputs!AY114</f>
        <v>34580</v>
      </c>
      <c r="AZ88" s="38">
        <f>AZ86*Inputs!AZ114</f>
        <v>34580</v>
      </c>
      <c r="BA88" s="38">
        <f>BA86*Inputs!BA114</f>
        <v>34580</v>
      </c>
      <c r="BB88" s="38">
        <f>BB86*Inputs!BB114</f>
        <v>34580</v>
      </c>
      <c r="BC88" s="38">
        <f>BC86*Inputs!BC114</f>
        <v>34580</v>
      </c>
      <c r="BD88" s="38">
        <f>BD86*Inputs!BD114</f>
        <v>34580</v>
      </c>
      <c r="BE88" s="38">
        <f>BE86*Inputs!BE114</f>
        <v>34580</v>
      </c>
      <c r="BF88" s="38">
        <f>BF86*Inputs!BF114</f>
        <v>39520</v>
      </c>
      <c r="BG88" s="38">
        <f>BG86*Inputs!BG114</f>
        <v>39520</v>
      </c>
      <c r="BH88" s="38">
        <f>BH86*Inputs!BH114</f>
        <v>39520</v>
      </c>
      <c r="BI88" s="38">
        <f>BI86*Inputs!BI114</f>
        <v>39520</v>
      </c>
      <c r="BJ88" s="38">
        <f>BJ86*Inputs!BJ114</f>
        <v>39520</v>
      </c>
      <c r="BK88" s="38">
        <f>BK86*Inputs!BK114</f>
        <v>39520</v>
      </c>
      <c r="BL88" s="38">
        <f>BL86*Inputs!BL114</f>
        <v>39520</v>
      </c>
      <c r="BM88" s="38">
        <f>BM86*Inputs!BM114</f>
        <v>39520</v>
      </c>
      <c r="BN88" s="38">
        <f>BN86*Inputs!BN114</f>
        <v>39520</v>
      </c>
      <c r="BO88" s="38">
        <f>BO86*Inputs!BO114</f>
        <v>39520</v>
      </c>
      <c r="BP88" s="38">
        <f>BP86*Inputs!BP114</f>
        <v>39520</v>
      </c>
      <c r="BQ88" s="38">
        <f>BQ86*Inputs!BQ114</f>
        <v>39520</v>
      </c>
    </row>
    <row r="89" spans="2:69">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row>
    <row r="90" spans="2:69">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row>
    <row r="91" spans="2:69">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row>
    <row r="92" spans="2:69">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row>
    <row r="93" spans="2:69">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row>
    <row r="94" spans="2:69">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row>
    <row r="95" spans="2:69">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row>
    <row r="96" spans="2:69">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row>
    <row r="97" spans="10:57">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row>
    <row r="98" spans="10:57">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row>
    <row r="99" spans="10:57">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row>
    <row r="100" spans="10:57">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row>
    <row r="101" spans="10:57">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row>
    <row r="102" spans="10:57">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row>
    <row r="103" spans="10:57">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row>
    <row r="104" spans="10:57">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row>
    <row r="105" spans="10:57">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row>
    <row r="106" spans="10:57">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row>
    <row r="107" spans="10:57">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row>
    <row r="108" spans="10:57">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row>
    <row r="109" spans="10:57">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row>
    <row r="110" spans="10:57">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row>
    <row r="111" spans="10:57">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row>
    <row r="112" spans="10:57">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row>
    <row r="113" spans="10:57">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row>
    <row r="114" spans="10:57">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row>
    <row r="115" spans="10:57">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row>
    <row r="116" spans="10:57">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row>
    <row r="117" spans="10:57">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row>
    <row r="118" spans="10:57">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row>
    <row r="119" spans="10:57">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row>
    <row r="120" spans="10:57">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row>
    <row r="121" spans="10:57">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row>
    <row r="122" spans="10:57">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row>
    <row r="123" spans="10:57">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row>
    <row r="124" spans="10:57">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row>
    <row r="125" spans="10:57">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row>
    <row r="126" spans="10:57">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row>
    <row r="127" spans="10:57">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row>
    <row r="128" spans="10:57">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row>
    <row r="129" spans="10:57">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row>
    <row r="130" spans="10:57">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row>
    <row r="131" spans="10:57">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row>
    <row r="132" spans="10:57">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row>
    <row r="133" spans="10:57">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row>
    <row r="134" spans="10:57">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row>
    <row r="135" spans="10:57">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row>
    <row r="136" spans="10:57">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row>
    <row r="137" spans="10:57">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row>
    <row r="138" spans="10:57">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row>
    <row r="139" spans="10:57">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row>
    <row r="140" spans="10:57">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row>
    <row r="141" spans="10:57">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row>
    <row r="142" spans="10:57">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row>
    <row r="143" spans="10:57">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row>
    <row r="144" spans="10:57">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row>
    <row r="145" spans="10:57">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row>
    <row r="146" spans="10:57">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row>
    <row r="147" spans="10:57">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row>
    <row r="148" spans="10:57">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row>
    <row r="149" spans="10:57">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row>
    <row r="150" spans="10:57">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row>
    <row r="151" spans="10:57">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row>
    <row r="152" spans="10:57">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row>
    <row r="153" spans="10:57">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row>
    <row r="154" spans="10:57">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row>
    <row r="155" spans="10:57">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row>
    <row r="156" spans="10:57">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row>
    <row r="157" spans="10:57">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row>
    <row r="158" spans="10:57">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row>
    <row r="159" spans="10:57">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row>
    <row r="160" spans="10:57">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row>
    <row r="161" spans="10:57">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row>
    <row r="162" spans="10:57">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row>
    <row r="163" spans="10:57">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row>
    <row r="164" spans="10:57">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row>
    <row r="165" spans="10:57">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row>
    <row r="166" spans="10:57">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c r="BC166" s="38"/>
      <c r="BD166" s="38"/>
      <c r="BE166" s="38"/>
    </row>
    <row r="167" spans="10:57">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c r="BC167" s="38"/>
      <c r="BD167" s="38"/>
      <c r="BE167" s="38"/>
    </row>
    <row r="168" spans="10:57">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c r="BC168" s="38"/>
      <c r="BD168" s="38"/>
      <c r="BE168" s="38"/>
    </row>
    <row r="169" spans="10:57">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c r="BC169" s="38"/>
      <c r="BD169" s="38"/>
      <c r="BE169" s="38"/>
    </row>
    <row r="170" spans="10:57">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c r="BC170" s="38"/>
      <c r="BD170" s="38"/>
      <c r="BE170" s="38"/>
    </row>
    <row r="171" spans="10:57">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c r="BC171" s="38"/>
      <c r="BD171" s="38"/>
      <c r="BE171" s="38"/>
    </row>
    <row r="172" spans="10:57">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c r="BC172" s="38"/>
      <c r="BD172" s="38"/>
      <c r="BE172" s="38"/>
    </row>
    <row r="173" spans="10:57">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c r="BC173" s="38"/>
      <c r="BD173" s="38"/>
      <c r="BE173" s="38"/>
    </row>
    <row r="174" spans="10:57">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c r="BC174" s="38"/>
      <c r="BD174" s="38"/>
      <c r="BE174" s="38"/>
    </row>
    <row r="175" spans="10:57">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c r="BC175" s="38"/>
      <c r="BD175" s="38"/>
      <c r="BE175" s="38"/>
    </row>
    <row r="176" spans="10:57">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c r="BC176" s="38"/>
      <c r="BD176" s="38"/>
      <c r="BE176" s="38"/>
    </row>
    <row r="177" spans="10:57">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c r="BC177" s="38"/>
      <c r="BD177" s="38"/>
      <c r="BE177" s="38"/>
    </row>
    <row r="178" spans="10:57">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c r="BC178" s="38"/>
      <c r="BD178" s="38"/>
      <c r="BE178" s="38"/>
    </row>
    <row r="179" spans="10:57">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c r="BC179" s="38"/>
      <c r="BD179" s="38"/>
      <c r="BE179" s="38"/>
    </row>
    <row r="180" spans="10:57">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c r="BC180" s="38"/>
      <c r="BD180" s="38"/>
      <c r="BE180" s="38"/>
    </row>
    <row r="181" spans="10:57">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c r="BC181" s="38"/>
      <c r="BD181" s="38"/>
      <c r="BE181" s="38"/>
    </row>
    <row r="182" spans="10:57">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c r="BC182" s="38"/>
      <c r="BD182" s="38"/>
      <c r="BE182" s="38"/>
    </row>
    <row r="183" spans="10:57">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c r="BC183" s="38"/>
      <c r="BD183" s="38"/>
      <c r="BE183" s="38"/>
    </row>
    <row r="184" spans="10:57">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c r="BC184" s="38"/>
      <c r="BD184" s="38"/>
      <c r="BE184" s="38"/>
    </row>
    <row r="185" spans="10:57">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c r="BC185" s="38"/>
      <c r="BD185" s="38"/>
      <c r="BE185" s="38"/>
    </row>
    <row r="186" spans="10:57">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c r="BC186" s="38"/>
      <c r="BD186" s="38"/>
      <c r="BE186" s="38"/>
    </row>
    <row r="187" spans="10:57">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c r="BC187" s="38"/>
      <c r="BD187" s="38"/>
      <c r="BE187" s="38"/>
    </row>
    <row r="188" spans="10:57">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c r="BC188" s="38"/>
      <c r="BD188" s="38"/>
      <c r="BE188" s="38"/>
    </row>
    <row r="189" spans="10:57">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c r="BC189" s="38"/>
      <c r="BD189" s="38"/>
      <c r="BE189" s="38"/>
    </row>
    <row r="190" spans="10:57">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c r="BC190" s="38"/>
      <c r="BD190" s="38"/>
      <c r="BE190" s="38"/>
    </row>
    <row r="191" spans="10:57">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c r="BC191" s="38"/>
      <c r="BD191" s="38"/>
      <c r="BE191" s="38"/>
    </row>
    <row r="192" spans="10:57">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c r="BC192" s="38"/>
      <c r="BD192" s="38"/>
      <c r="BE192" s="38"/>
    </row>
    <row r="193" spans="10:57">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row>
    <row r="194" spans="10:57">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c r="BC194" s="38"/>
      <c r="BD194" s="38"/>
      <c r="BE194" s="38"/>
    </row>
    <row r="195" spans="10:57">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row>
    <row r="196" spans="10:57">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c r="BC196" s="38"/>
      <c r="BD196" s="38"/>
      <c r="BE196" s="38"/>
    </row>
    <row r="197" spans="10:57">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c r="BC197" s="38"/>
      <c r="BD197" s="38"/>
      <c r="BE197" s="38"/>
    </row>
    <row r="198" spans="10:57">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c r="BC198" s="38"/>
      <c r="BD198" s="38"/>
      <c r="BE198" s="38"/>
    </row>
    <row r="199" spans="10:57">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c r="BC199" s="38"/>
      <c r="BD199" s="38"/>
      <c r="BE199" s="38"/>
    </row>
    <row r="200" spans="10:57">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c r="BC200" s="38"/>
      <c r="BD200" s="38"/>
      <c r="BE200" s="38"/>
    </row>
    <row r="201" spans="10:57">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c r="BC201" s="38"/>
      <c r="BD201" s="38"/>
      <c r="BE201" s="38"/>
    </row>
    <row r="202" spans="10:57">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c r="BC202" s="38"/>
      <c r="BD202" s="38"/>
      <c r="BE202" s="38"/>
    </row>
    <row r="203" spans="10:57">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c r="BC203" s="38"/>
      <c r="BD203" s="38"/>
      <c r="BE203" s="38"/>
    </row>
    <row r="204" spans="10:57">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c r="BC204" s="38"/>
      <c r="BD204" s="38"/>
      <c r="BE204" s="38"/>
    </row>
    <row r="205" spans="10:57">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c r="BC205" s="38"/>
      <c r="BD205" s="38"/>
      <c r="BE205" s="38"/>
    </row>
    <row r="206" spans="10:57">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row>
    <row r="207" spans="10:57">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c r="BC207" s="38"/>
      <c r="BD207" s="38"/>
      <c r="BE207" s="38"/>
    </row>
    <row r="208" spans="10:57">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c r="BC208" s="38"/>
      <c r="BD208" s="38"/>
      <c r="BE208" s="38"/>
    </row>
    <row r="209" spans="10:57">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c r="BC209" s="38"/>
      <c r="BD209" s="38"/>
      <c r="BE209" s="38"/>
    </row>
    <row r="210" spans="10:57">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c r="BC210" s="38"/>
      <c r="BD210" s="38"/>
      <c r="BE210" s="38"/>
    </row>
    <row r="211" spans="10:57">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c r="BC211" s="38"/>
      <c r="BD211" s="38"/>
      <c r="BE211" s="38"/>
    </row>
    <row r="212" spans="10:57">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c r="BC212" s="38"/>
      <c r="BD212" s="38"/>
      <c r="BE212" s="38"/>
    </row>
    <row r="213" spans="10:57">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c r="BC213" s="38"/>
      <c r="BD213" s="38"/>
      <c r="BE213" s="38"/>
    </row>
    <row r="214" spans="10:57">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c r="BC214" s="38"/>
      <c r="BD214" s="38"/>
      <c r="BE214" s="38"/>
    </row>
    <row r="215" spans="10:57">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c r="BC215" s="38"/>
      <c r="BD215" s="38"/>
      <c r="BE215" s="38"/>
    </row>
    <row r="216" spans="10:57">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row>
    <row r="217" spans="10:57">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c r="BC217" s="38"/>
      <c r="BD217" s="38"/>
      <c r="BE217" s="38"/>
    </row>
    <row r="218" spans="10:57">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c r="BC218" s="38"/>
      <c r="BD218" s="38"/>
      <c r="BE218" s="38"/>
    </row>
    <row r="219" spans="10:57">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c r="BC219" s="38"/>
      <c r="BD219" s="38"/>
      <c r="BE219" s="38"/>
    </row>
    <row r="220" spans="10:57">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c r="BC220" s="38"/>
      <c r="BD220" s="38"/>
      <c r="BE220" s="38"/>
    </row>
    <row r="221" spans="10:57">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c r="BC221" s="38"/>
      <c r="BD221" s="38"/>
      <c r="BE221" s="38"/>
    </row>
    <row r="222" spans="10:57">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row>
    <row r="223" spans="10:57">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c r="BC223" s="38"/>
      <c r="BD223" s="38"/>
      <c r="BE223" s="38"/>
    </row>
    <row r="224" spans="10:57">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c r="BC224" s="38"/>
      <c r="BD224" s="38"/>
      <c r="BE224" s="38"/>
    </row>
    <row r="225" spans="10:57">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c r="BC225" s="38"/>
      <c r="BD225" s="38"/>
      <c r="BE225" s="38"/>
    </row>
    <row r="226" spans="10:57">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c r="BC226" s="38"/>
      <c r="BD226" s="38"/>
      <c r="BE226" s="38"/>
    </row>
    <row r="227" spans="10:57">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c r="BC227" s="38"/>
      <c r="BD227" s="38"/>
      <c r="BE227" s="38"/>
    </row>
    <row r="228" spans="10:57">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c r="BC228" s="38"/>
      <c r="BD228" s="38"/>
      <c r="BE228" s="38"/>
    </row>
    <row r="229" spans="10:57">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c r="BC229" s="38"/>
      <c r="BD229" s="38"/>
      <c r="BE229" s="38"/>
    </row>
    <row r="230" spans="10:57">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c r="BC230" s="38"/>
      <c r="BD230" s="38"/>
      <c r="BE230" s="38"/>
    </row>
    <row r="231" spans="10:57">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c r="BC231" s="38"/>
      <c r="BD231" s="38"/>
      <c r="BE231" s="38"/>
    </row>
    <row r="232" spans="10:57">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c r="BC232" s="38"/>
      <c r="BD232" s="38"/>
      <c r="BE232" s="38"/>
    </row>
    <row r="233" spans="10:57">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c r="BC233" s="38"/>
      <c r="BD233" s="38"/>
      <c r="BE233" s="38"/>
    </row>
    <row r="234" spans="10:57">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c r="BC234" s="38"/>
      <c r="BD234" s="38"/>
      <c r="BE234" s="38"/>
    </row>
    <row r="235" spans="10:57">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c r="BC235" s="38"/>
      <c r="BD235" s="38"/>
      <c r="BE235" s="38"/>
    </row>
    <row r="236" spans="10:57">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c r="BC236" s="38"/>
      <c r="BD236" s="38"/>
      <c r="BE236" s="38"/>
    </row>
    <row r="237" spans="10:57">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c r="BC237" s="38"/>
      <c r="BD237" s="38"/>
      <c r="BE237" s="38"/>
    </row>
    <row r="238" spans="10:57">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c r="BC238" s="38"/>
      <c r="BD238" s="38"/>
      <c r="BE238" s="38"/>
    </row>
    <row r="239" spans="10:57">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c r="BC239" s="38"/>
      <c r="BD239" s="38"/>
      <c r="BE239" s="38"/>
    </row>
    <row r="240" spans="10:57">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c r="BC240" s="38"/>
      <c r="BD240" s="38"/>
      <c r="BE240" s="38"/>
    </row>
    <row r="241" spans="10:57">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c r="BC241" s="38"/>
      <c r="BD241" s="38"/>
      <c r="BE241" s="38"/>
    </row>
    <row r="242" spans="10:57">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c r="BC242" s="38"/>
      <c r="BD242" s="38"/>
      <c r="BE242" s="38"/>
    </row>
    <row r="243" spans="10:57">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c r="BC243" s="38"/>
      <c r="BD243" s="38"/>
      <c r="BE243" s="38"/>
    </row>
    <row r="244" spans="10:57">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c r="BC244" s="38"/>
      <c r="BD244" s="38"/>
      <c r="BE244" s="38"/>
    </row>
    <row r="245" spans="10:57">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c r="BC245" s="38"/>
      <c r="BD245" s="38"/>
      <c r="BE245" s="38"/>
    </row>
    <row r="246" spans="10:57">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c r="BC246" s="38"/>
      <c r="BD246" s="38"/>
      <c r="BE246" s="38"/>
    </row>
    <row r="247" spans="10:57">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row>
    <row r="248" spans="10:57">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c r="BC248" s="38"/>
      <c r="BD248" s="38"/>
      <c r="BE248" s="38"/>
    </row>
    <row r="249" spans="10:57">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c r="BC249" s="38"/>
      <c r="BD249" s="38"/>
      <c r="BE249" s="38"/>
    </row>
    <row r="250" spans="10:57">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c r="BC250" s="38"/>
      <c r="BD250" s="38"/>
      <c r="BE250" s="38"/>
    </row>
    <row r="251" spans="10:57">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c r="BC251" s="38"/>
      <c r="BD251" s="38"/>
      <c r="BE251" s="38"/>
    </row>
    <row r="252" spans="10:57">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c r="BC252" s="38"/>
      <c r="BD252" s="38"/>
      <c r="BE252" s="38"/>
    </row>
  </sheetData>
  <pageMargins left="0.7" right="0.7" top="0.75" bottom="0.75" header="0.3" footer="0.3"/>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T136"/>
  <sheetViews>
    <sheetView workbookViewId="0">
      <pane xSplit="4" ySplit="5" topLeftCell="E44" activePane="bottomRight" state="frozen"/>
      <selection pane="topRight" activeCell="E1" sqref="E1"/>
      <selection pane="bottomLeft" activeCell="A6" sqref="A6"/>
      <selection pane="bottomRight" activeCell="BT52" sqref="BT52"/>
    </sheetView>
  </sheetViews>
  <sheetFormatPr defaultColWidth="8.77734375" defaultRowHeight="13.8"/>
  <cols>
    <col min="1" max="9" width="8.77734375" style="4"/>
    <col min="10" max="10" width="9.33203125" style="4" bestFit="1" customWidth="1"/>
    <col min="11" max="11" width="9.109375" style="4" bestFit="1" customWidth="1"/>
    <col min="12" max="12" width="9.44140625" style="4" bestFit="1" customWidth="1"/>
    <col min="13" max="14" width="9.33203125" style="4" bestFit="1" customWidth="1"/>
    <col min="15" max="23" width="10" style="4" bestFit="1" customWidth="1"/>
    <col min="24" max="57" width="11" style="4" bestFit="1" customWidth="1"/>
    <col min="58" max="69" width="10" style="4" bestFit="1" customWidth="1"/>
    <col min="70" max="16384" width="8.77734375" style="4"/>
  </cols>
  <sheetData>
    <row r="1" spans="1:72">
      <c r="A1" s="3" t="s">
        <v>80</v>
      </c>
    </row>
    <row r="2" spans="1:72">
      <c r="A2" s="3" t="s">
        <v>4</v>
      </c>
      <c r="J2" s="6">
        <f>Timing!J2</f>
        <v>44986</v>
      </c>
      <c r="K2" s="6">
        <f>Timing!K2</f>
        <v>45017</v>
      </c>
      <c r="L2" s="6">
        <f>Timing!L2</f>
        <v>45047</v>
      </c>
      <c r="M2" s="6">
        <f>Timing!M2</f>
        <v>45078</v>
      </c>
      <c r="N2" s="6">
        <f>Timing!N2</f>
        <v>45108</v>
      </c>
      <c r="O2" s="6">
        <f>Timing!O2</f>
        <v>45139</v>
      </c>
      <c r="P2" s="6">
        <f>Timing!P2</f>
        <v>45170</v>
      </c>
      <c r="Q2" s="6">
        <f>Timing!Q2</f>
        <v>45200</v>
      </c>
      <c r="R2" s="6">
        <f>Timing!R2</f>
        <v>45231</v>
      </c>
      <c r="S2" s="6">
        <f>Timing!S2</f>
        <v>45261</v>
      </c>
      <c r="T2" s="6">
        <f>Timing!T2</f>
        <v>45292</v>
      </c>
      <c r="U2" s="6">
        <f>Timing!U2</f>
        <v>45323</v>
      </c>
      <c r="V2" s="6">
        <f>Timing!V2</f>
        <v>45352</v>
      </c>
      <c r="W2" s="6">
        <f>Timing!W2</f>
        <v>45383</v>
      </c>
      <c r="X2" s="6">
        <f>Timing!X2</f>
        <v>45413</v>
      </c>
      <c r="Y2" s="6">
        <f>Timing!Y2</f>
        <v>45444</v>
      </c>
      <c r="Z2" s="6">
        <f>Timing!Z2</f>
        <v>45474</v>
      </c>
      <c r="AA2" s="6">
        <f>Timing!AA2</f>
        <v>45505</v>
      </c>
      <c r="AB2" s="6">
        <f>Timing!AB2</f>
        <v>45536</v>
      </c>
      <c r="AC2" s="6">
        <f>Timing!AC2</f>
        <v>45566</v>
      </c>
      <c r="AD2" s="6">
        <f>Timing!AD2</f>
        <v>45597</v>
      </c>
      <c r="AE2" s="6">
        <f>Timing!AE2</f>
        <v>45627</v>
      </c>
      <c r="AF2" s="6">
        <f>Timing!AF2</f>
        <v>45658</v>
      </c>
      <c r="AG2" s="6">
        <f>Timing!AG2</f>
        <v>45689</v>
      </c>
      <c r="AH2" s="6">
        <f>Timing!AH2</f>
        <v>45717</v>
      </c>
      <c r="AI2" s="6">
        <f>Timing!AI2</f>
        <v>45748</v>
      </c>
      <c r="AJ2" s="6">
        <f>Timing!AJ2</f>
        <v>45778</v>
      </c>
      <c r="AK2" s="6">
        <f>Timing!AK2</f>
        <v>45809</v>
      </c>
      <c r="AL2" s="6">
        <f>Timing!AL2</f>
        <v>45839</v>
      </c>
      <c r="AM2" s="6">
        <f>Timing!AM2</f>
        <v>45870</v>
      </c>
      <c r="AN2" s="6">
        <f>Timing!AN2</f>
        <v>45901</v>
      </c>
      <c r="AO2" s="6">
        <f>Timing!AO2</f>
        <v>45931</v>
      </c>
      <c r="AP2" s="6">
        <f>Timing!AP2</f>
        <v>45962</v>
      </c>
      <c r="AQ2" s="6">
        <f>Timing!AQ2</f>
        <v>45992</v>
      </c>
      <c r="AR2" s="6">
        <f>Timing!AR2</f>
        <v>46023</v>
      </c>
      <c r="AS2" s="6">
        <f>Timing!AS2</f>
        <v>46054</v>
      </c>
      <c r="AT2" s="6">
        <f>Timing!AT2</f>
        <v>46082</v>
      </c>
      <c r="AU2" s="6">
        <f>Timing!AU2</f>
        <v>46113</v>
      </c>
      <c r="AV2" s="6">
        <f>Timing!AV2</f>
        <v>46143</v>
      </c>
      <c r="AW2" s="6">
        <f>Timing!AW2</f>
        <v>46174</v>
      </c>
      <c r="AX2" s="6">
        <f>Timing!AX2</f>
        <v>46204</v>
      </c>
      <c r="AY2" s="6">
        <f>Timing!AY2</f>
        <v>46235</v>
      </c>
      <c r="AZ2" s="6">
        <f>Timing!AZ2</f>
        <v>46266</v>
      </c>
      <c r="BA2" s="6">
        <f>Timing!BA2</f>
        <v>46296</v>
      </c>
      <c r="BB2" s="6">
        <f>Timing!BB2</f>
        <v>46327</v>
      </c>
      <c r="BC2" s="6">
        <f>Timing!BC2</f>
        <v>46357</v>
      </c>
      <c r="BD2" s="6">
        <f>Timing!BD2</f>
        <v>46388</v>
      </c>
      <c r="BE2" s="6">
        <f>Timing!BE2</f>
        <v>46419</v>
      </c>
      <c r="BF2" s="6">
        <f>Timing!BF2</f>
        <v>46447</v>
      </c>
      <c r="BG2" s="6">
        <f>Timing!BG2</f>
        <v>46478</v>
      </c>
      <c r="BH2" s="6">
        <f>Timing!BH2</f>
        <v>46508</v>
      </c>
      <c r="BI2" s="6">
        <f>Timing!BI2</f>
        <v>46539</v>
      </c>
      <c r="BJ2" s="6">
        <f>Timing!BJ2</f>
        <v>46569</v>
      </c>
      <c r="BK2" s="6">
        <f>Timing!BK2</f>
        <v>46600</v>
      </c>
      <c r="BL2" s="6">
        <f>Timing!BL2</f>
        <v>46631</v>
      </c>
      <c r="BM2" s="6">
        <f>Timing!BM2</f>
        <v>46661</v>
      </c>
      <c r="BN2" s="6">
        <f>Timing!BN2</f>
        <v>46692</v>
      </c>
      <c r="BO2" s="6">
        <f>Timing!BO2</f>
        <v>46722</v>
      </c>
      <c r="BP2" s="6">
        <f>Timing!BP2</f>
        <v>46753</v>
      </c>
      <c r="BQ2" s="6">
        <f>Timing!BQ2</f>
        <v>46784</v>
      </c>
      <c r="BR2" s="6"/>
      <c r="BS2" s="6"/>
      <c r="BT2" s="6"/>
    </row>
    <row r="3" spans="1:72">
      <c r="J3" s="6">
        <f>Timing!J3</f>
        <v>45016</v>
      </c>
      <c r="K3" s="6">
        <f>Timing!K3</f>
        <v>45046</v>
      </c>
      <c r="L3" s="6">
        <f>Timing!L3</f>
        <v>45077</v>
      </c>
      <c r="M3" s="6">
        <f>Timing!M3</f>
        <v>45107</v>
      </c>
      <c r="N3" s="6">
        <f>Timing!N3</f>
        <v>45138</v>
      </c>
      <c r="O3" s="6">
        <f>Timing!O3</f>
        <v>45169</v>
      </c>
      <c r="P3" s="6">
        <f>Timing!P3</f>
        <v>45199</v>
      </c>
      <c r="Q3" s="6">
        <f>Timing!Q3</f>
        <v>45230</v>
      </c>
      <c r="R3" s="6">
        <f>Timing!R3</f>
        <v>45260</v>
      </c>
      <c r="S3" s="6">
        <f>Timing!S3</f>
        <v>45291</v>
      </c>
      <c r="T3" s="6">
        <f>Timing!T3</f>
        <v>45322</v>
      </c>
      <c r="U3" s="6">
        <f>Timing!U3</f>
        <v>45351</v>
      </c>
      <c r="V3" s="6">
        <f>Timing!V3</f>
        <v>45382</v>
      </c>
      <c r="W3" s="6">
        <f>Timing!W3</f>
        <v>45412</v>
      </c>
      <c r="X3" s="6">
        <f>Timing!X3</f>
        <v>45443</v>
      </c>
      <c r="Y3" s="6">
        <f>Timing!Y3</f>
        <v>45473</v>
      </c>
      <c r="Z3" s="6">
        <f>Timing!Z3</f>
        <v>45504</v>
      </c>
      <c r="AA3" s="6">
        <f>Timing!AA3</f>
        <v>45535</v>
      </c>
      <c r="AB3" s="6">
        <f>Timing!AB3</f>
        <v>45565</v>
      </c>
      <c r="AC3" s="6">
        <f>Timing!AC3</f>
        <v>45596</v>
      </c>
      <c r="AD3" s="6">
        <f>Timing!AD3</f>
        <v>45626</v>
      </c>
      <c r="AE3" s="6">
        <f>Timing!AE3</f>
        <v>45657</v>
      </c>
      <c r="AF3" s="6">
        <f>Timing!AF3</f>
        <v>45688</v>
      </c>
      <c r="AG3" s="6">
        <f>Timing!AG3</f>
        <v>45716</v>
      </c>
      <c r="AH3" s="6">
        <f>Timing!AH3</f>
        <v>45747</v>
      </c>
      <c r="AI3" s="6">
        <f>Timing!AI3</f>
        <v>45777</v>
      </c>
      <c r="AJ3" s="6">
        <f>Timing!AJ3</f>
        <v>45808</v>
      </c>
      <c r="AK3" s="6">
        <f>Timing!AK3</f>
        <v>45838</v>
      </c>
      <c r="AL3" s="6">
        <f>Timing!AL3</f>
        <v>45869</v>
      </c>
      <c r="AM3" s="6">
        <f>Timing!AM3</f>
        <v>45900</v>
      </c>
      <c r="AN3" s="6">
        <f>Timing!AN3</f>
        <v>45930</v>
      </c>
      <c r="AO3" s="6">
        <f>Timing!AO3</f>
        <v>45961</v>
      </c>
      <c r="AP3" s="6">
        <f>Timing!AP3</f>
        <v>45991</v>
      </c>
      <c r="AQ3" s="6">
        <f>Timing!AQ3</f>
        <v>46022</v>
      </c>
      <c r="AR3" s="6">
        <f>Timing!AR3</f>
        <v>46053</v>
      </c>
      <c r="AS3" s="6">
        <f>Timing!AS3</f>
        <v>46081</v>
      </c>
      <c r="AT3" s="6">
        <f>Timing!AT3</f>
        <v>46112</v>
      </c>
      <c r="AU3" s="6">
        <f>Timing!AU3</f>
        <v>46142</v>
      </c>
      <c r="AV3" s="6">
        <f>Timing!AV3</f>
        <v>46173</v>
      </c>
      <c r="AW3" s="6">
        <f>Timing!AW3</f>
        <v>46203</v>
      </c>
      <c r="AX3" s="6">
        <f>Timing!AX3</f>
        <v>46234</v>
      </c>
      <c r="AY3" s="6">
        <f>Timing!AY3</f>
        <v>46265</v>
      </c>
      <c r="AZ3" s="6">
        <f>Timing!AZ3</f>
        <v>46295</v>
      </c>
      <c r="BA3" s="6">
        <f>Timing!BA3</f>
        <v>46326</v>
      </c>
      <c r="BB3" s="6">
        <f>Timing!BB3</f>
        <v>46356</v>
      </c>
      <c r="BC3" s="6">
        <f>Timing!BC3</f>
        <v>46387</v>
      </c>
      <c r="BD3" s="6">
        <f>Timing!BD3</f>
        <v>46418</v>
      </c>
      <c r="BE3" s="6">
        <f>Timing!BE3</f>
        <v>46446</v>
      </c>
      <c r="BF3" s="6">
        <f>Timing!BF3</f>
        <v>46477</v>
      </c>
      <c r="BG3" s="6">
        <f>Timing!BG3</f>
        <v>46507</v>
      </c>
      <c r="BH3" s="6">
        <f>Timing!BH3</f>
        <v>46538</v>
      </c>
      <c r="BI3" s="6">
        <f>Timing!BI3</f>
        <v>46568</v>
      </c>
      <c r="BJ3" s="6">
        <f>Timing!BJ3</f>
        <v>46599</v>
      </c>
      <c r="BK3" s="6">
        <f>Timing!BK3</f>
        <v>46630</v>
      </c>
      <c r="BL3" s="6">
        <f>Timing!BL3</f>
        <v>46660</v>
      </c>
      <c r="BM3" s="6">
        <f>Timing!BM3</f>
        <v>46691</v>
      </c>
      <c r="BN3" s="6">
        <f>Timing!BN3</f>
        <v>46721</v>
      </c>
      <c r="BO3" s="6">
        <f>Timing!BO3</f>
        <v>46752</v>
      </c>
      <c r="BP3" s="6">
        <f>Timing!BP3</f>
        <v>46783</v>
      </c>
      <c r="BQ3" s="6">
        <f>Timing!BQ3</f>
        <v>46812</v>
      </c>
      <c r="BR3" s="6"/>
      <c r="BS3" s="6"/>
      <c r="BT3" s="6"/>
    </row>
    <row r="6" spans="1:72">
      <c r="B6" s="3" t="s">
        <v>66</v>
      </c>
    </row>
    <row r="7" spans="1:72">
      <c r="B7" s="4" t="s">
        <v>123</v>
      </c>
      <c r="J7" s="39">
        <v>0</v>
      </c>
      <c r="K7" s="39">
        <v>33750</v>
      </c>
      <c r="L7" s="39">
        <f>Revenue!L15+Revenue!L31</f>
        <v>14620</v>
      </c>
      <c r="M7" s="39">
        <f>Revenue!M15+Revenue!M31</f>
        <v>62423</v>
      </c>
      <c r="N7" s="39">
        <f>Revenue!N15+Revenue!N31</f>
        <v>59774</v>
      </c>
      <c r="O7" s="39">
        <f>Revenue!O15+Revenue!O31</f>
        <v>157734</v>
      </c>
      <c r="P7" s="39">
        <f>Revenue!P15+Revenue!P31</f>
        <v>123732</v>
      </c>
      <c r="Q7" s="39">
        <f>Revenue!Q15+Revenue!Q31</f>
        <v>34625</v>
      </c>
      <c r="R7" s="39">
        <f>Revenue!R15+Revenue!R31</f>
        <v>38250</v>
      </c>
      <c r="S7" s="39">
        <f>Revenue!S15+Revenue!S31</f>
        <v>23350</v>
      </c>
      <c r="T7" s="39">
        <f>Revenue!T15+Revenue!T31</f>
        <v>41850</v>
      </c>
      <c r="U7" s="39">
        <f>Revenue!U15+Revenue!U31</f>
        <v>61600</v>
      </c>
      <c r="V7" s="39">
        <f>Revenue!V15+Revenue!V31</f>
        <v>66350</v>
      </c>
      <c r="W7" s="39">
        <f>Revenue!W15+Revenue!W31</f>
        <v>139100</v>
      </c>
      <c r="X7" s="39">
        <f>Revenue!X15+Revenue!X31</f>
        <v>159875</v>
      </c>
      <c r="Y7" s="39">
        <f>Revenue!Y15+Revenue!Y31</f>
        <v>202550</v>
      </c>
      <c r="Z7" s="39">
        <f>Revenue!Z15+Revenue!Z31</f>
        <v>216025</v>
      </c>
      <c r="AA7" s="39">
        <f>Revenue!AA15+Revenue!AA31</f>
        <v>229500</v>
      </c>
      <c r="AB7" s="39">
        <f>Revenue!AB15+Revenue!AB31</f>
        <v>242975</v>
      </c>
      <c r="AC7" s="39">
        <f>Revenue!AC15+Revenue!AC31</f>
        <v>260450</v>
      </c>
      <c r="AD7" s="39">
        <f>Revenue!AD15+Revenue!AD31</f>
        <v>277925</v>
      </c>
      <c r="AE7" s="39">
        <f>Revenue!AE15+Revenue!AE31</f>
        <v>295400</v>
      </c>
      <c r="AF7" s="39">
        <f>Revenue!AF15+Revenue!AF31</f>
        <v>312875</v>
      </c>
      <c r="AG7" s="39">
        <f>Revenue!AG15+Revenue!AG31</f>
        <v>330350</v>
      </c>
      <c r="AH7" s="39">
        <f>Revenue!AH15+Revenue!AH31</f>
        <v>399602.5</v>
      </c>
      <c r="AI7" s="39">
        <f>Revenue!AI15+Revenue!AI31</f>
        <v>421569.5</v>
      </c>
      <c r="AJ7" s="39">
        <f>Revenue!AJ15+Revenue!AJ31</f>
        <v>443536.5</v>
      </c>
      <c r="AK7" s="39">
        <f>Revenue!AK15+Revenue!AK31</f>
        <v>465503.5</v>
      </c>
      <c r="AL7" s="39">
        <f>Revenue!AL15+Revenue!AL31</f>
        <v>487470.5</v>
      </c>
      <c r="AM7" s="39">
        <f>Revenue!AM15+Revenue!AM31</f>
        <v>509437.5</v>
      </c>
      <c r="AN7" s="39">
        <f>Revenue!AN15+Revenue!AN31</f>
        <v>532504.5</v>
      </c>
      <c r="AO7" s="39">
        <f>Revenue!AO15+Revenue!AO31</f>
        <v>555571.5</v>
      </c>
      <c r="AP7" s="39">
        <f>Revenue!AP15+Revenue!AP31</f>
        <v>578638.5</v>
      </c>
      <c r="AQ7" s="39">
        <f>Revenue!AQ15+Revenue!AQ31</f>
        <v>601705.5</v>
      </c>
      <c r="AR7" s="39">
        <f>Revenue!AR15+Revenue!AR31</f>
        <v>624772.5</v>
      </c>
      <c r="AS7" s="39">
        <f>Revenue!AS15+Revenue!AS31</f>
        <v>647839.5</v>
      </c>
      <c r="AT7" s="39">
        <f>Revenue!AT15+Revenue!AT31</f>
        <v>759262.9</v>
      </c>
      <c r="AU7" s="39">
        <f>Revenue!AU15+Revenue!AU31</f>
        <v>787876.375</v>
      </c>
      <c r="AV7" s="39">
        <f>Revenue!AV15+Revenue!AV31</f>
        <v>816489.85</v>
      </c>
      <c r="AW7" s="39">
        <f>Revenue!AW15+Revenue!AW31</f>
        <v>845103.32499999995</v>
      </c>
      <c r="AX7" s="39">
        <f>Revenue!AX15+Revenue!AX31</f>
        <v>873716.8</v>
      </c>
      <c r="AY7" s="39">
        <f>Revenue!AY15+Revenue!AY31</f>
        <v>902330.27500000002</v>
      </c>
      <c r="AZ7" s="39">
        <f>Revenue!AZ15+Revenue!AZ31</f>
        <v>932274.75</v>
      </c>
      <c r="BA7" s="39">
        <f>Revenue!BA15+Revenue!BA31</f>
        <v>962219.22499999998</v>
      </c>
      <c r="BB7" s="39">
        <f>Revenue!BB15+Revenue!BB31</f>
        <v>992163.7</v>
      </c>
      <c r="BC7" s="39">
        <f>Revenue!BC15+Revenue!BC31</f>
        <v>1022108.175</v>
      </c>
      <c r="BD7" s="39">
        <f>Revenue!BD15+Revenue!BD31</f>
        <v>1052052.6499999999</v>
      </c>
      <c r="BE7" s="39">
        <f>Revenue!BE15+Revenue!BE31</f>
        <v>1081997.125</v>
      </c>
      <c r="BF7" s="39">
        <f>Revenue!BF15+Revenue!BF31</f>
        <v>1138349.8500000001</v>
      </c>
      <c r="BG7" s="39">
        <f>Revenue!BG15+Revenue!BG31</f>
        <v>1171975.75</v>
      </c>
      <c r="BH7" s="39">
        <f>Revenue!BH15+Revenue!BH31</f>
        <v>1205601.6499999999</v>
      </c>
      <c r="BI7" s="39">
        <f>Revenue!BI15+Revenue!BI31</f>
        <v>1239227.55</v>
      </c>
      <c r="BJ7" s="39">
        <f>Revenue!BJ15+Revenue!BJ31</f>
        <v>1272853.45</v>
      </c>
      <c r="BK7" s="39">
        <f>Revenue!BK15+Revenue!BK31</f>
        <v>1306479.3500000001</v>
      </c>
      <c r="BL7" s="39">
        <f>Revenue!BL15+Revenue!BL31</f>
        <v>1341678.25</v>
      </c>
      <c r="BM7" s="39">
        <f>Revenue!BM15+Revenue!BM31</f>
        <v>1376877.15</v>
      </c>
      <c r="BN7" s="39">
        <f>Revenue!BN15+Revenue!BN31</f>
        <v>1412076.05</v>
      </c>
      <c r="BO7" s="39">
        <f>Revenue!BO15+Revenue!BO31</f>
        <v>1447274.95</v>
      </c>
      <c r="BP7" s="39">
        <f>Revenue!BP15+Revenue!BP31</f>
        <v>1482473.85</v>
      </c>
      <c r="BQ7" s="39">
        <f>Revenue!BQ15+Revenue!BQ31</f>
        <v>1517672.75</v>
      </c>
    </row>
    <row r="8" spans="1:72">
      <c r="B8" s="4" t="s">
        <v>124</v>
      </c>
      <c r="J8" s="39">
        <v>0</v>
      </c>
      <c r="K8" s="39">
        <f>K7*Inputs!K7</f>
        <v>6750</v>
      </c>
      <c r="L8" s="39">
        <f>L7*Inputs!L7</f>
        <v>2924</v>
      </c>
      <c r="M8" s="39">
        <f>M7*Inputs!M7</f>
        <v>12484.6</v>
      </c>
      <c r="N8" s="39">
        <f>N7*Inputs!N7</f>
        <v>11954.800000000001</v>
      </c>
      <c r="O8" s="39">
        <f>O7*Inputs!O7</f>
        <v>31546.800000000003</v>
      </c>
      <c r="P8" s="39">
        <f>P7*Inputs!P7</f>
        <v>24746.400000000001</v>
      </c>
      <c r="Q8" s="39">
        <f>Q7*Inputs!Q7</f>
        <v>6925</v>
      </c>
      <c r="R8" s="39">
        <f>R7*Inputs!R7</f>
        <v>7650</v>
      </c>
      <c r="S8" s="39">
        <f>S7*Inputs!S7</f>
        <v>4670</v>
      </c>
      <c r="T8" s="39">
        <f>T7*Inputs!T7</f>
        <v>8370</v>
      </c>
      <c r="U8" s="39">
        <f>U7*Inputs!U7</f>
        <v>12320</v>
      </c>
      <c r="V8" s="39">
        <f>V7*Inputs!V7</f>
        <v>13270</v>
      </c>
      <c r="W8" s="39">
        <f>W7*Inputs!W7</f>
        <v>27820</v>
      </c>
      <c r="X8" s="39">
        <f>X7*Inputs!X7</f>
        <v>31975</v>
      </c>
      <c r="Y8" s="39">
        <f>Y7*Inputs!Y7</f>
        <v>40510</v>
      </c>
      <c r="Z8" s="39">
        <f>Z7*Inputs!Z7</f>
        <v>43205</v>
      </c>
      <c r="AA8" s="39">
        <f>AA7*Inputs!AA7</f>
        <v>45900</v>
      </c>
      <c r="AB8" s="39">
        <f>AB7*Inputs!AB7</f>
        <v>48595</v>
      </c>
      <c r="AC8" s="39">
        <f>AC7*Inputs!AC7</f>
        <v>52090</v>
      </c>
      <c r="AD8" s="39">
        <f>AD7*Inputs!AD7</f>
        <v>55585</v>
      </c>
      <c r="AE8" s="39">
        <f>AE7*Inputs!AE7</f>
        <v>59080</v>
      </c>
      <c r="AF8" s="39">
        <f>AF7*Inputs!AF7</f>
        <v>62575</v>
      </c>
      <c r="AG8" s="39">
        <f>AG7*Inputs!AG7</f>
        <v>66070</v>
      </c>
      <c r="AH8" s="39">
        <f>AH7*Inputs!AH7</f>
        <v>79920.5</v>
      </c>
      <c r="AI8" s="39">
        <f>AI7*Inputs!AI7</f>
        <v>84313.900000000009</v>
      </c>
      <c r="AJ8" s="39">
        <f>AJ7*Inputs!AJ7</f>
        <v>88707.3</v>
      </c>
      <c r="AK8" s="39">
        <f>AK7*Inputs!AK7</f>
        <v>93100.700000000012</v>
      </c>
      <c r="AL8" s="39">
        <f>AL7*Inputs!AL7</f>
        <v>97494.1</v>
      </c>
      <c r="AM8" s="39">
        <f>AM7*Inputs!AM7</f>
        <v>101887.5</v>
      </c>
      <c r="AN8" s="39">
        <f>AN7*Inputs!AN7</f>
        <v>106500.90000000001</v>
      </c>
      <c r="AO8" s="39">
        <f>AO7*Inputs!AO7</f>
        <v>111114.3</v>
      </c>
      <c r="AP8" s="39">
        <f>AP7*Inputs!AP7</f>
        <v>115727.70000000001</v>
      </c>
      <c r="AQ8" s="39">
        <f>AQ7*Inputs!AQ7</f>
        <v>120341.1</v>
      </c>
      <c r="AR8" s="39">
        <f>AR7*Inputs!AR7</f>
        <v>124954.5</v>
      </c>
      <c r="AS8" s="39">
        <f>AS7*Inputs!AS7</f>
        <v>129567.90000000001</v>
      </c>
      <c r="AT8" s="39">
        <f>AT7*Inputs!AT7</f>
        <v>151852.58000000002</v>
      </c>
      <c r="AU8" s="39">
        <f>AU7*Inputs!AU7</f>
        <v>157575.27500000002</v>
      </c>
      <c r="AV8" s="39">
        <f>AV7*Inputs!AV7</f>
        <v>163297.97</v>
      </c>
      <c r="AW8" s="39">
        <f>AW7*Inputs!AW7</f>
        <v>169020.66500000001</v>
      </c>
      <c r="AX8" s="39">
        <f>AX7*Inputs!AX7</f>
        <v>174743.36000000002</v>
      </c>
      <c r="AY8" s="39">
        <f>AY7*Inputs!AY7</f>
        <v>180466.05500000002</v>
      </c>
      <c r="AZ8" s="39">
        <f>AZ7*Inputs!AZ7</f>
        <v>186454.95</v>
      </c>
      <c r="BA8" s="39">
        <f>BA7*Inputs!BA7</f>
        <v>192443.845</v>
      </c>
      <c r="BB8" s="39">
        <f>BB7*Inputs!BB7</f>
        <v>198432.74</v>
      </c>
      <c r="BC8" s="39">
        <f>BC7*Inputs!BC7</f>
        <v>204421.63500000001</v>
      </c>
      <c r="BD8" s="39">
        <f>BD7*Inputs!BD7</f>
        <v>210410.53</v>
      </c>
      <c r="BE8" s="39">
        <f>BE7*Inputs!BE7</f>
        <v>216399.42500000002</v>
      </c>
      <c r="BF8" s="39">
        <f>BF7*Inputs!BF7</f>
        <v>227669.97000000003</v>
      </c>
      <c r="BG8" s="39">
        <f>BG7*Inputs!BG7</f>
        <v>234395.15000000002</v>
      </c>
      <c r="BH8" s="39">
        <f>BH7*Inputs!BH7</f>
        <v>241120.33</v>
      </c>
      <c r="BI8" s="39">
        <f>BI7*Inputs!BI7</f>
        <v>247845.51</v>
      </c>
      <c r="BJ8" s="39">
        <f>BJ7*Inputs!BJ7</f>
        <v>254570.69</v>
      </c>
      <c r="BK8" s="39">
        <f>BK7*Inputs!BK7</f>
        <v>261295.87000000002</v>
      </c>
      <c r="BL8" s="39">
        <f>BL7*Inputs!BL7</f>
        <v>268335.65000000002</v>
      </c>
      <c r="BM8" s="39">
        <f>BM7*Inputs!BM7</f>
        <v>275375.43</v>
      </c>
      <c r="BN8" s="39">
        <f>BN7*Inputs!BN7</f>
        <v>282415.21000000002</v>
      </c>
      <c r="BO8" s="39">
        <f>BO7*Inputs!BO7</f>
        <v>289454.99</v>
      </c>
      <c r="BP8" s="39">
        <f>BP7*Inputs!BP7</f>
        <v>296494.77</v>
      </c>
      <c r="BQ8" s="39">
        <f>BQ7*Inputs!BQ7</f>
        <v>303534.55</v>
      </c>
    </row>
    <row r="9" spans="1:72">
      <c r="B9" s="4" t="s">
        <v>125</v>
      </c>
      <c r="J9" s="39">
        <f>SUM(J7:J8)</f>
        <v>0</v>
      </c>
      <c r="K9" s="39">
        <f t="shared" ref="K9:BE9" si="0">SUM(K7:K8)</f>
        <v>40500</v>
      </c>
      <c r="L9" s="39">
        <f t="shared" si="0"/>
        <v>17544</v>
      </c>
      <c r="M9" s="39">
        <f t="shared" si="0"/>
        <v>74907.600000000006</v>
      </c>
      <c r="N9" s="39">
        <f t="shared" si="0"/>
        <v>71728.800000000003</v>
      </c>
      <c r="O9" s="39">
        <f>SUM(O7:O8)</f>
        <v>189280.8</v>
      </c>
      <c r="P9" s="39">
        <f t="shared" si="0"/>
        <v>148478.39999999999</v>
      </c>
      <c r="Q9" s="39">
        <f t="shared" si="0"/>
        <v>41550</v>
      </c>
      <c r="R9" s="39">
        <f t="shared" si="0"/>
        <v>45900</v>
      </c>
      <c r="S9" s="39">
        <f t="shared" si="0"/>
        <v>28020</v>
      </c>
      <c r="T9" s="39">
        <f t="shared" si="0"/>
        <v>50220</v>
      </c>
      <c r="U9" s="39">
        <f t="shared" si="0"/>
        <v>73920</v>
      </c>
      <c r="V9" s="39">
        <f t="shared" si="0"/>
        <v>79620</v>
      </c>
      <c r="W9" s="39">
        <f t="shared" si="0"/>
        <v>166920</v>
      </c>
      <c r="X9" s="39">
        <f t="shared" si="0"/>
        <v>191850</v>
      </c>
      <c r="Y9" s="39">
        <f t="shared" si="0"/>
        <v>243060</v>
      </c>
      <c r="Z9" s="39">
        <f t="shared" si="0"/>
        <v>259230</v>
      </c>
      <c r="AA9" s="39">
        <f t="shared" si="0"/>
        <v>275400</v>
      </c>
      <c r="AB9" s="39">
        <f t="shared" si="0"/>
        <v>291570</v>
      </c>
      <c r="AC9" s="39">
        <f t="shared" si="0"/>
        <v>312540</v>
      </c>
      <c r="AD9" s="39">
        <f t="shared" si="0"/>
        <v>333510</v>
      </c>
      <c r="AE9" s="39">
        <f t="shared" si="0"/>
        <v>354480</v>
      </c>
      <c r="AF9" s="39">
        <f t="shared" si="0"/>
        <v>375450</v>
      </c>
      <c r="AG9" s="39">
        <f t="shared" si="0"/>
        <v>396420</v>
      </c>
      <c r="AH9" s="39">
        <f t="shared" si="0"/>
        <v>479523</v>
      </c>
      <c r="AI9" s="39">
        <f t="shared" si="0"/>
        <v>505883.4</v>
      </c>
      <c r="AJ9" s="39">
        <f t="shared" si="0"/>
        <v>532243.80000000005</v>
      </c>
      <c r="AK9" s="39">
        <f t="shared" si="0"/>
        <v>558604.19999999995</v>
      </c>
      <c r="AL9" s="39">
        <f t="shared" si="0"/>
        <v>584964.6</v>
      </c>
      <c r="AM9" s="39">
        <f t="shared" si="0"/>
        <v>611325</v>
      </c>
      <c r="AN9" s="39">
        <f t="shared" si="0"/>
        <v>639005.4</v>
      </c>
      <c r="AO9" s="39">
        <f t="shared" si="0"/>
        <v>666685.80000000005</v>
      </c>
      <c r="AP9" s="39">
        <f t="shared" si="0"/>
        <v>694366.2</v>
      </c>
      <c r="AQ9" s="39">
        <f t="shared" si="0"/>
        <v>722046.6</v>
      </c>
      <c r="AR9" s="39">
        <f t="shared" si="0"/>
        <v>749727</v>
      </c>
      <c r="AS9" s="39">
        <f t="shared" si="0"/>
        <v>777407.4</v>
      </c>
      <c r="AT9" s="39">
        <f t="shared" si="0"/>
        <v>911115.48</v>
      </c>
      <c r="AU9" s="39">
        <f t="shared" si="0"/>
        <v>945451.65</v>
      </c>
      <c r="AV9" s="39">
        <f t="shared" si="0"/>
        <v>979787.82</v>
      </c>
      <c r="AW9" s="39">
        <f t="shared" si="0"/>
        <v>1014123.99</v>
      </c>
      <c r="AX9" s="39">
        <f t="shared" si="0"/>
        <v>1048460.16</v>
      </c>
      <c r="AY9" s="39">
        <f t="shared" si="0"/>
        <v>1082796.33</v>
      </c>
      <c r="AZ9" s="39">
        <f t="shared" si="0"/>
        <v>1118729.7</v>
      </c>
      <c r="BA9" s="39">
        <f t="shared" si="0"/>
        <v>1154663.07</v>
      </c>
      <c r="BB9" s="39">
        <f t="shared" si="0"/>
        <v>1190596.44</v>
      </c>
      <c r="BC9" s="39">
        <f t="shared" si="0"/>
        <v>1226529.81</v>
      </c>
      <c r="BD9" s="39">
        <f t="shared" si="0"/>
        <v>1262463.18</v>
      </c>
      <c r="BE9" s="39">
        <f t="shared" si="0"/>
        <v>1298396.55</v>
      </c>
      <c r="BF9" s="39">
        <f t="shared" ref="BF9:BQ9" si="1">SUM(BF7:BF8)</f>
        <v>1366019.82</v>
      </c>
      <c r="BG9" s="39">
        <f t="shared" si="1"/>
        <v>1406370.9</v>
      </c>
      <c r="BH9" s="39">
        <f t="shared" si="1"/>
        <v>1446721.98</v>
      </c>
      <c r="BI9" s="39">
        <f t="shared" si="1"/>
        <v>1487073.06</v>
      </c>
      <c r="BJ9" s="39">
        <f t="shared" si="1"/>
        <v>1527424.14</v>
      </c>
      <c r="BK9" s="39">
        <f t="shared" si="1"/>
        <v>1567775.2200000002</v>
      </c>
      <c r="BL9" s="39">
        <f t="shared" si="1"/>
        <v>1610013.9</v>
      </c>
      <c r="BM9" s="39">
        <f t="shared" si="1"/>
        <v>1652252.5799999998</v>
      </c>
      <c r="BN9" s="39">
        <f t="shared" si="1"/>
        <v>1694491.26</v>
      </c>
      <c r="BO9" s="39">
        <f t="shared" si="1"/>
        <v>1736729.94</v>
      </c>
      <c r="BP9" s="39">
        <f t="shared" si="1"/>
        <v>1778968.62</v>
      </c>
      <c r="BQ9" s="39">
        <f t="shared" si="1"/>
        <v>1821207.3</v>
      </c>
    </row>
    <row r="10" spans="1:72">
      <c r="B10" s="4" t="s">
        <v>126</v>
      </c>
      <c r="J10" s="39">
        <v>0</v>
      </c>
      <c r="K10" s="39">
        <f>J12</f>
        <v>0</v>
      </c>
      <c r="L10" s="39">
        <f t="shared" ref="L10:BE10" si="2">K12</f>
        <v>40500</v>
      </c>
      <c r="M10" s="39">
        <f t="shared" si="2"/>
        <v>17545</v>
      </c>
      <c r="N10" s="39">
        <f t="shared" si="2"/>
        <v>92453</v>
      </c>
      <c r="O10" s="39">
        <f t="shared" si="2"/>
        <v>93407</v>
      </c>
      <c r="P10" s="39">
        <f t="shared" si="2"/>
        <v>220509</v>
      </c>
      <c r="Q10" s="39">
        <f t="shared" si="2"/>
        <v>297259.59999999998</v>
      </c>
      <c r="R10" s="39">
        <f t="shared" si="2"/>
        <v>76688.800000000003</v>
      </c>
      <c r="S10" s="39">
        <f t="shared" si="2"/>
        <v>70752.851851851854</v>
      </c>
      <c r="T10" s="39">
        <f t="shared" si="2"/>
        <v>50949.164951989027</v>
      </c>
      <c r="U10" s="39">
        <f t="shared" si="2"/>
        <v>66731.303456663096</v>
      </c>
      <c r="V10" s="39">
        <f t="shared" si="2"/>
        <v>95545.885379474144</v>
      </c>
      <c r="W10" s="39">
        <f t="shared" si="2"/>
        <v>110583.9443359407</v>
      </c>
      <c r="X10" s="39">
        <f t="shared" si="2"/>
        <v>202757.38936812893</v>
      </c>
      <c r="Y10" s="39">
        <f t="shared" si="2"/>
        <v>257558.41322115291</v>
      </c>
      <c r="Z10" s="39">
        <f t="shared" si="2"/>
        <v>326528.00428463286</v>
      </c>
      <c r="AA10" s="39">
        <f t="shared" si="2"/>
        <v>365049.26064779767</v>
      </c>
      <c r="AB10" s="39">
        <f t="shared" si="2"/>
        <v>393703.0011358604</v>
      </c>
      <c r="AC10" s="39">
        <f t="shared" si="2"/>
        <v>419158.93555328803</v>
      </c>
      <c r="AD10" s="39">
        <f t="shared" si="2"/>
        <v>448378.54392930632</v>
      </c>
      <c r="AE10" s="39">
        <f t="shared" si="2"/>
        <v>478817.86145857145</v>
      </c>
      <c r="AF10" s="39">
        <f t="shared" si="2"/>
        <v>509652.45510231477</v>
      </c>
      <c r="AG10" s="39">
        <f t="shared" si="2"/>
        <v>540615.14748686121</v>
      </c>
      <c r="AH10" s="39">
        <f t="shared" si="2"/>
        <v>571619.35335222352</v>
      </c>
      <c r="AI10" s="39">
        <f t="shared" si="2"/>
        <v>664770.01266044285</v>
      </c>
      <c r="AJ10" s="39">
        <f t="shared" si="2"/>
        <v>721318.12632514338</v>
      </c>
      <c r="AK10" s="39">
        <f t="shared" si="2"/>
        <v>766004.30390166678</v>
      </c>
      <c r="AL10" s="39">
        <f t="shared" si="2"/>
        <v>806846.33552368823</v>
      </c>
      <c r="AM10" s="39">
        <f t="shared" si="2"/>
        <v>846442.57910489908</v>
      </c>
      <c r="AN10" s="39">
        <f t="shared" si="2"/>
        <v>885635.09508029127</v>
      </c>
      <c r="AO10" s="39">
        <f t="shared" si="2"/>
        <v>926016.77340564993</v>
      </c>
      <c r="AP10" s="39">
        <f t="shared" si="2"/>
        <v>966783.82841849769</v>
      </c>
      <c r="AQ10" s="39">
        <f t="shared" si="2"/>
        <v>1007675.7740245131</v>
      </c>
      <c r="AR10" s="39">
        <f t="shared" si="2"/>
        <v>1048608.1934338701</v>
      </c>
      <c r="AS10" s="39">
        <f t="shared" si="2"/>
        <v>1089553.729353569</v>
      </c>
      <c r="AT10" s="39">
        <f t="shared" si="2"/>
        <v>1130503.5159942121</v>
      </c>
      <c r="AU10" s="39">
        <f t="shared" si="2"/>
        <v>1277482.3601833093</v>
      </c>
      <c r="AV10" s="39">
        <f t="shared" si="2"/>
        <v>1359450.5630223686</v>
      </c>
      <c r="AW10" s="39">
        <f t="shared" si="2"/>
        <v>1420350.5024609526</v>
      </c>
      <c r="AX10" s="39">
        <f t="shared" si="2"/>
        <v>1474422.7639456792</v>
      </c>
      <c r="AY10" s="39">
        <f t="shared" si="2"/>
        <v>1526282.3520194332</v>
      </c>
      <c r="AZ10" s="39">
        <f t="shared" si="2"/>
        <v>1577424.8700062977</v>
      </c>
      <c r="BA10" s="39">
        <f t="shared" si="2"/>
        <v>1629932.2041687078</v>
      </c>
      <c r="BB10" s="39">
        <f t="shared" si="2"/>
        <v>1682881.8398694887</v>
      </c>
      <c r="BC10" s="39">
        <f t="shared" si="2"/>
        <v>1735974.8140317784</v>
      </c>
      <c r="BD10" s="39">
        <f t="shared" si="2"/>
        <v>1789114.2404732616</v>
      </c>
      <c r="BE10" s="39">
        <f t="shared" si="2"/>
        <v>1842268.7208941127</v>
      </c>
      <c r="BF10" s="39">
        <f t="shared" ref="BF10" si="3">BE12</f>
        <v>1895428.0799193885</v>
      </c>
      <c r="BG10" s="39">
        <f t="shared" ref="BG10" si="4">BF12</f>
        <v>1980278.9199738761</v>
      </c>
      <c r="BH10" s="39">
        <f t="shared" ref="BH10" si="5">BG12</f>
        <v>2048127.957398941</v>
      </c>
      <c r="BI10" s="39">
        <f t="shared" ref="BI10" si="6">BH12</f>
        <v>2110467.1513792863</v>
      </c>
      <c r="BJ10" s="39">
        <f t="shared" ref="BJ10" si="7">BI12</f>
        <v>2171020.7479469907</v>
      </c>
      <c r="BK10" s="39">
        <f t="shared" ref="BK10" si="8">BJ12</f>
        <v>2230995.6786865243</v>
      </c>
      <c r="BL10" s="39">
        <f t="shared" ref="BL10" si="9">BK12</f>
        <v>2290783.0788335958</v>
      </c>
      <c r="BM10" s="39">
        <f t="shared" ref="BM10" si="10">BL12</f>
        <v>2352397.305177554</v>
      </c>
      <c r="BN10" s="39">
        <f t="shared" ref="BN10" si="11">BM12</f>
        <v>2414603.5585297626</v>
      </c>
      <c r="BO10" s="39">
        <f t="shared" ref="BO10" si="12">BN12</f>
        <v>2477001.6724864971</v>
      </c>
      <c r="BP10" s="39">
        <f t="shared" ref="BP10" si="13">BO12</f>
        <v>2539461.9634909937</v>
      </c>
      <c r="BQ10" s="39">
        <f t="shared" ref="BQ10" si="14">BP12</f>
        <v>2601942.4044646742</v>
      </c>
    </row>
    <row r="11" spans="1:72">
      <c r="B11" s="9" t="s">
        <v>127</v>
      </c>
      <c r="C11" s="9"/>
      <c r="D11" s="9"/>
      <c r="E11" s="9"/>
      <c r="F11" s="9"/>
      <c r="G11" s="9"/>
      <c r="H11" s="9"/>
      <c r="I11" s="9"/>
      <c r="J11" s="42"/>
      <c r="K11" s="41">
        <f>-K10/(Inputs!K9*(12/365))</f>
        <v>0</v>
      </c>
      <c r="L11" s="41">
        <f>-L10/(Inputs!L9*(12/365))</f>
        <v>-27375</v>
      </c>
      <c r="M11" s="41">
        <f>-M10/(Inputs!M9*(12/365))</f>
        <v>-11859.12037037037</v>
      </c>
      <c r="N11" s="41">
        <f>-N10/(Inputs!N9*(12/365))</f>
        <v>-62491.379629629635</v>
      </c>
      <c r="O11" s="41">
        <f>-O10/(Inputs!O9*(12/365))</f>
        <v>-63136.212962962964</v>
      </c>
      <c r="P11" s="41">
        <f>-P10/(Inputs!P9*(12/365))</f>
        <v>-149047.75</v>
      </c>
      <c r="Q11" s="41">
        <f>-Q10/(Inputs!Q9*(12/365))</f>
        <v>-200925.47037037037</v>
      </c>
      <c r="R11" s="41">
        <f>-R10/(Inputs!R9*(12/365))</f>
        <v>-51835.948148148156</v>
      </c>
      <c r="S11" s="41">
        <f>-S10/(Inputs!S9*(12/365))</f>
        <v>-47823.686899862827</v>
      </c>
      <c r="T11" s="41">
        <f>-T10/(Inputs!T9*(12/365))</f>
        <v>-34437.861495325917</v>
      </c>
      <c r="U11" s="41">
        <f>-U10/(Inputs!U9*(12/365))</f>
        <v>-45105.418077188944</v>
      </c>
      <c r="V11" s="41">
        <f>-V10/(Inputs!V9*(12/365))</f>
        <v>-64581.94104353345</v>
      </c>
      <c r="W11" s="41">
        <f>-W10/(Inputs!W9*(12/365))</f>
        <v>-74746.554967811768</v>
      </c>
      <c r="X11" s="41">
        <f>-X10/(Inputs!X9*(12/365))</f>
        <v>-137048.97614697606</v>
      </c>
      <c r="Y11" s="41">
        <f>-Y10/(Inputs!Y9*(12/365))</f>
        <v>-174090.40893652002</v>
      </c>
      <c r="Z11" s="41">
        <f>-Z10/(Inputs!Z9*(12/365))</f>
        <v>-220708.74363683519</v>
      </c>
      <c r="AA11" s="41">
        <f>-AA10/(Inputs!AA9*(12/365))</f>
        <v>-246746.25951193733</v>
      </c>
      <c r="AB11" s="41">
        <f>-AB10/(Inputs!AB9*(12/365))</f>
        <v>-266114.06558257231</v>
      </c>
      <c r="AC11" s="41">
        <f>-AC10/(Inputs!AC9*(12/365))</f>
        <v>-283320.39162398176</v>
      </c>
      <c r="AD11" s="41">
        <f>-AD10/(Inputs!AD9*(12/365))</f>
        <v>-303070.68247073487</v>
      </c>
      <c r="AE11" s="41">
        <f>-AE10/(Inputs!AE9*(12/365))</f>
        <v>-323645.40635625663</v>
      </c>
      <c r="AF11" s="41">
        <f>-AF10/(Inputs!AF9*(12/365))</f>
        <v>-344487.30761545349</v>
      </c>
      <c r="AG11" s="41">
        <f>-AG10/(Inputs!AG9*(12/365))</f>
        <v>-365415.79413463769</v>
      </c>
      <c r="AH11" s="41">
        <f>-AH10/(Inputs!AH9*(12/365))</f>
        <v>-386372.34069178073</v>
      </c>
      <c r="AI11" s="41">
        <f>-AI10/(Inputs!AI9*(12/365))</f>
        <v>-449335.28633529937</v>
      </c>
      <c r="AJ11" s="41">
        <f>-AJ10/(Inputs!AJ9*(12/365))</f>
        <v>-487557.6224234766</v>
      </c>
      <c r="AK11" s="41">
        <f>-AK10/(Inputs!AK9*(12/365))</f>
        <v>-517762.16837797849</v>
      </c>
      <c r="AL11" s="41">
        <f>-AL10/(Inputs!AL9*(12/365))</f>
        <v>-545368.35641878925</v>
      </c>
      <c r="AM11" s="41">
        <f>-AM10/(Inputs!AM9*(12/365))</f>
        <v>-572132.48402460769</v>
      </c>
      <c r="AN11" s="41">
        <f>-AN10/(Inputs!AN9*(12/365))</f>
        <v>-598623.72167464136</v>
      </c>
      <c r="AO11" s="41">
        <f>-AO10/(Inputs!AO9*(12/365))</f>
        <v>-625918.74498715228</v>
      </c>
      <c r="AP11" s="41">
        <f>-AP10/(Inputs!AP9*(12/365))</f>
        <v>-653474.25439398456</v>
      </c>
      <c r="AQ11" s="41">
        <f>-AQ10/(Inputs!AQ9*(12/365))</f>
        <v>-681114.1805906432</v>
      </c>
      <c r="AR11" s="41">
        <f>-AR10/(Inputs!AR9*(12/365))</f>
        <v>-708781.46408030111</v>
      </c>
      <c r="AS11" s="41">
        <f>-AS10/(Inputs!AS9*(12/365))</f>
        <v>-736457.61335935688</v>
      </c>
      <c r="AT11" s="41">
        <f>-AT10/(Inputs!AT9*(12/365))</f>
        <v>-764136.63581090269</v>
      </c>
      <c r="AU11" s="41">
        <f>-AU10/(Inputs!AU9*(12/365))</f>
        <v>-863483.44716094062</v>
      </c>
      <c r="AV11" s="41">
        <f>-AV10/(Inputs!AV9*(12/365))</f>
        <v>-918887.8805614158</v>
      </c>
      <c r="AW11" s="41">
        <f>-AW10/(Inputs!AW9*(12/365))</f>
        <v>-960051.72851527354</v>
      </c>
      <c r="AX11" s="41">
        <f>-AX10/(Inputs!AX9*(12/365))</f>
        <v>-996600.57192624616</v>
      </c>
      <c r="AY11" s="41">
        <f>-AY10/(Inputs!AY9*(12/365))</f>
        <v>-1031653.8120131354</v>
      </c>
      <c r="AZ11" s="41">
        <f>-AZ10/(Inputs!AZ9*(12/365))</f>
        <v>-1066222.3658375901</v>
      </c>
      <c r="BA11" s="41">
        <f>-BA10/(Inputs!BA9*(12/365))</f>
        <v>-1101713.4342992192</v>
      </c>
      <c r="BB11" s="41">
        <f>-BB10/(Inputs!BB9*(12/365))</f>
        <v>-1137503.4658377101</v>
      </c>
      <c r="BC11" s="41">
        <f>-BC10/(Inputs!BC9*(12/365))</f>
        <v>-1173390.3835585169</v>
      </c>
      <c r="BD11" s="41">
        <f>-BD10/(Inputs!BD9*(12/365))</f>
        <v>-1209308.699579149</v>
      </c>
      <c r="BE11" s="41">
        <f>-BE10/(Inputs!BE9*(12/365))</f>
        <v>-1245237.1909747245</v>
      </c>
      <c r="BF11" s="41">
        <f>-BF10/(Inputs!BF9*(12/365))</f>
        <v>-1281168.9799455127</v>
      </c>
      <c r="BG11" s="41">
        <f>-BG10/(Inputs!BG9*(12/365))</f>
        <v>-1338521.8625749347</v>
      </c>
      <c r="BH11" s="41">
        <f>-BH10/(Inputs!BH9*(12/365))</f>
        <v>-1384382.7860196547</v>
      </c>
      <c r="BI11" s="41">
        <f>-BI10/(Inputs!BI9*(12/365))</f>
        <v>-1426519.4634322955</v>
      </c>
      <c r="BJ11" s="41">
        <f>-BJ10/(Inputs!BJ9*(12/365))</f>
        <v>-1467449.209260466</v>
      </c>
      <c r="BK11" s="41">
        <f>-BK10/(Inputs!BK9*(12/365))</f>
        <v>-1507987.8198529286</v>
      </c>
      <c r="BL11" s="41">
        <f>-BL10/(Inputs!BL9*(12/365))</f>
        <v>-1548399.6736560417</v>
      </c>
      <c r="BM11" s="41">
        <f>-BM10/(Inputs!BM9*(12/365))</f>
        <v>-1590046.3266477913</v>
      </c>
      <c r="BN11" s="41">
        <f>-BN10/(Inputs!BN9*(12/365))</f>
        <v>-1632093.1460432655</v>
      </c>
      <c r="BO11" s="41">
        <f>-BO10/(Inputs!BO9*(12/365))</f>
        <v>-1674269.6489955029</v>
      </c>
      <c r="BP11" s="41">
        <f>-BP10/(Inputs!BP9*(12/365))</f>
        <v>-1716488.1790263199</v>
      </c>
      <c r="BQ11" s="41">
        <f>-BQ10/(Inputs!BQ9*(12/365))</f>
        <v>-1758720.328943715</v>
      </c>
    </row>
    <row r="12" spans="1:72">
      <c r="B12" s="3" t="s">
        <v>128</v>
      </c>
      <c r="J12" s="39">
        <f>J9+J10+J11</f>
        <v>0</v>
      </c>
      <c r="K12" s="39">
        <f>K9+K10+K11</f>
        <v>40500</v>
      </c>
      <c r="L12" s="39">
        <v>17545</v>
      </c>
      <c r="M12" s="39">
        <v>92453</v>
      </c>
      <c r="N12" s="39">
        <v>93407</v>
      </c>
      <c r="O12" s="39">
        <v>220509</v>
      </c>
      <c r="P12" s="39">
        <v>297259.59999999998</v>
      </c>
      <c r="Q12" s="39">
        <v>76688.800000000003</v>
      </c>
      <c r="R12" s="39">
        <f t="shared" ref="R12:BE12" si="15">R9+R10+R11</f>
        <v>70752.851851851854</v>
      </c>
      <c r="S12" s="39">
        <f t="shared" si="15"/>
        <v>50949.164951989027</v>
      </c>
      <c r="T12" s="39">
        <f t="shared" si="15"/>
        <v>66731.303456663096</v>
      </c>
      <c r="U12" s="39">
        <f t="shared" si="15"/>
        <v>95545.885379474144</v>
      </c>
      <c r="V12" s="39">
        <f t="shared" si="15"/>
        <v>110583.9443359407</v>
      </c>
      <c r="W12" s="39">
        <f t="shared" si="15"/>
        <v>202757.38936812893</v>
      </c>
      <c r="X12" s="39">
        <f t="shared" si="15"/>
        <v>257558.41322115291</v>
      </c>
      <c r="Y12" s="39">
        <f t="shared" si="15"/>
        <v>326528.00428463286</v>
      </c>
      <c r="Z12" s="39">
        <f t="shared" si="15"/>
        <v>365049.26064779767</v>
      </c>
      <c r="AA12" s="39">
        <f t="shared" si="15"/>
        <v>393703.0011358604</v>
      </c>
      <c r="AB12" s="39">
        <f t="shared" si="15"/>
        <v>419158.93555328803</v>
      </c>
      <c r="AC12" s="39">
        <f t="shared" si="15"/>
        <v>448378.54392930632</v>
      </c>
      <c r="AD12" s="39">
        <f t="shared" si="15"/>
        <v>478817.86145857145</v>
      </c>
      <c r="AE12" s="39">
        <f t="shared" si="15"/>
        <v>509652.45510231477</v>
      </c>
      <c r="AF12" s="39">
        <f t="shared" si="15"/>
        <v>540615.14748686121</v>
      </c>
      <c r="AG12" s="39">
        <f t="shared" si="15"/>
        <v>571619.35335222352</v>
      </c>
      <c r="AH12" s="39">
        <f t="shared" si="15"/>
        <v>664770.01266044285</v>
      </c>
      <c r="AI12" s="39">
        <f t="shared" si="15"/>
        <v>721318.12632514338</v>
      </c>
      <c r="AJ12" s="39">
        <f t="shared" si="15"/>
        <v>766004.30390166678</v>
      </c>
      <c r="AK12" s="39">
        <f t="shared" si="15"/>
        <v>806846.33552368823</v>
      </c>
      <c r="AL12" s="39">
        <f t="shared" si="15"/>
        <v>846442.57910489908</v>
      </c>
      <c r="AM12" s="39">
        <f t="shared" si="15"/>
        <v>885635.09508029127</v>
      </c>
      <c r="AN12" s="39">
        <f t="shared" si="15"/>
        <v>926016.77340564993</v>
      </c>
      <c r="AO12" s="39">
        <f t="shared" si="15"/>
        <v>966783.82841849769</v>
      </c>
      <c r="AP12" s="39">
        <f t="shared" si="15"/>
        <v>1007675.7740245131</v>
      </c>
      <c r="AQ12" s="39">
        <f t="shared" si="15"/>
        <v>1048608.1934338701</v>
      </c>
      <c r="AR12" s="39">
        <f t="shared" si="15"/>
        <v>1089553.729353569</v>
      </c>
      <c r="AS12" s="39">
        <f t="shared" si="15"/>
        <v>1130503.5159942121</v>
      </c>
      <c r="AT12" s="39">
        <f t="shared" si="15"/>
        <v>1277482.3601833093</v>
      </c>
      <c r="AU12" s="39">
        <f t="shared" si="15"/>
        <v>1359450.5630223686</v>
      </c>
      <c r="AV12" s="39">
        <f t="shared" si="15"/>
        <v>1420350.5024609526</v>
      </c>
      <c r="AW12" s="39">
        <f t="shared" si="15"/>
        <v>1474422.7639456792</v>
      </c>
      <c r="AX12" s="39">
        <f t="shared" si="15"/>
        <v>1526282.3520194332</v>
      </c>
      <c r="AY12" s="39">
        <f t="shared" si="15"/>
        <v>1577424.8700062977</v>
      </c>
      <c r="AZ12" s="39">
        <f t="shared" si="15"/>
        <v>1629932.2041687078</v>
      </c>
      <c r="BA12" s="39">
        <f t="shared" si="15"/>
        <v>1682881.8398694887</v>
      </c>
      <c r="BB12" s="39">
        <f t="shared" si="15"/>
        <v>1735974.8140317784</v>
      </c>
      <c r="BC12" s="39">
        <f t="shared" si="15"/>
        <v>1789114.2404732616</v>
      </c>
      <c r="BD12" s="39">
        <f t="shared" si="15"/>
        <v>1842268.7208941127</v>
      </c>
      <c r="BE12" s="39">
        <f t="shared" si="15"/>
        <v>1895428.0799193885</v>
      </c>
      <c r="BF12" s="39">
        <f t="shared" ref="BF12:BQ12" si="16">BF9+BF10+BF11</f>
        <v>1980278.9199738761</v>
      </c>
      <c r="BG12" s="39">
        <f t="shared" si="16"/>
        <v>2048127.957398941</v>
      </c>
      <c r="BH12" s="39">
        <f t="shared" si="16"/>
        <v>2110467.1513792863</v>
      </c>
      <c r="BI12" s="39">
        <f t="shared" si="16"/>
        <v>2171020.7479469907</v>
      </c>
      <c r="BJ12" s="39">
        <f t="shared" si="16"/>
        <v>2230995.6786865243</v>
      </c>
      <c r="BK12" s="39">
        <f t="shared" si="16"/>
        <v>2290783.0788335958</v>
      </c>
      <c r="BL12" s="39">
        <f t="shared" si="16"/>
        <v>2352397.305177554</v>
      </c>
      <c r="BM12" s="39">
        <f t="shared" si="16"/>
        <v>2414603.5585297626</v>
      </c>
      <c r="BN12" s="39">
        <f t="shared" si="16"/>
        <v>2477001.6724864971</v>
      </c>
      <c r="BO12" s="39">
        <f t="shared" si="16"/>
        <v>2539461.9634909937</v>
      </c>
      <c r="BP12" s="39">
        <f t="shared" si="16"/>
        <v>2601942.4044646742</v>
      </c>
      <c r="BQ12" s="39">
        <f t="shared" si="16"/>
        <v>2664429.375520959</v>
      </c>
    </row>
    <row r="13" spans="1:72">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row>
    <row r="14" spans="1:72">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row>
    <row r="15" spans="1:72">
      <c r="B15" s="3" t="s">
        <v>67</v>
      </c>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row>
    <row r="16" spans="1:72">
      <c r="B16" s="4" t="s">
        <v>131</v>
      </c>
      <c r="J16" s="39">
        <v>0</v>
      </c>
      <c r="K16" s="39">
        <f>J18</f>
        <v>0</v>
      </c>
      <c r="L16" s="39">
        <f t="shared" ref="L16:BE16" si="17">K18</f>
        <v>0</v>
      </c>
      <c r="M16" s="39">
        <f t="shared" si="17"/>
        <v>0</v>
      </c>
      <c r="N16" s="39">
        <f t="shared" si="17"/>
        <v>0</v>
      </c>
      <c r="O16" s="39">
        <f t="shared" si="17"/>
        <v>0</v>
      </c>
      <c r="P16" s="39">
        <f t="shared" si="17"/>
        <v>0</v>
      </c>
      <c r="Q16" s="39">
        <f t="shared" si="17"/>
        <v>0</v>
      </c>
      <c r="R16" s="39">
        <f t="shared" si="17"/>
        <v>0</v>
      </c>
      <c r="S16" s="39">
        <f t="shared" si="17"/>
        <v>0</v>
      </c>
      <c r="T16" s="39">
        <f t="shared" si="17"/>
        <v>0</v>
      </c>
      <c r="U16" s="39">
        <f t="shared" si="17"/>
        <v>0</v>
      </c>
      <c r="V16" s="39">
        <f t="shared" si="17"/>
        <v>0</v>
      </c>
      <c r="W16" s="39">
        <f t="shared" si="17"/>
        <v>0</v>
      </c>
      <c r="X16" s="39">
        <f t="shared" si="17"/>
        <v>0</v>
      </c>
      <c r="Y16" s="39">
        <f t="shared" si="17"/>
        <v>0</v>
      </c>
      <c r="Z16" s="39">
        <f t="shared" si="17"/>
        <v>0</v>
      </c>
      <c r="AA16" s="39">
        <f t="shared" si="17"/>
        <v>0</v>
      </c>
      <c r="AB16" s="39">
        <f t="shared" si="17"/>
        <v>0</v>
      </c>
      <c r="AC16" s="39">
        <f t="shared" si="17"/>
        <v>0</v>
      </c>
      <c r="AD16" s="39">
        <f t="shared" si="17"/>
        <v>0</v>
      </c>
      <c r="AE16" s="39">
        <f t="shared" si="17"/>
        <v>0</v>
      </c>
      <c r="AF16" s="39">
        <f t="shared" si="17"/>
        <v>0</v>
      </c>
      <c r="AG16" s="39">
        <f t="shared" si="17"/>
        <v>0</v>
      </c>
      <c r="AH16" s="39">
        <f t="shared" si="17"/>
        <v>0</v>
      </c>
      <c r="AI16" s="39">
        <f t="shared" si="17"/>
        <v>0</v>
      </c>
      <c r="AJ16" s="39">
        <f t="shared" si="17"/>
        <v>0</v>
      </c>
      <c r="AK16" s="39">
        <f t="shared" si="17"/>
        <v>0</v>
      </c>
      <c r="AL16" s="39">
        <f t="shared" si="17"/>
        <v>0</v>
      </c>
      <c r="AM16" s="39">
        <f t="shared" si="17"/>
        <v>0</v>
      </c>
      <c r="AN16" s="39">
        <f t="shared" si="17"/>
        <v>0</v>
      </c>
      <c r="AO16" s="39">
        <f t="shared" si="17"/>
        <v>0</v>
      </c>
      <c r="AP16" s="39">
        <f t="shared" si="17"/>
        <v>0</v>
      </c>
      <c r="AQ16" s="39">
        <f t="shared" si="17"/>
        <v>0</v>
      </c>
      <c r="AR16" s="39">
        <f t="shared" si="17"/>
        <v>0</v>
      </c>
      <c r="AS16" s="39">
        <f t="shared" si="17"/>
        <v>0</v>
      </c>
      <c r="AT16" s="39">
        <f t="shared" si="17"/>
        <v>0</v>
      </c>
      <c r="AU16" s="39">
        <f t="shared" si="17"/>
        <v>0</v>
      </c>
      <c r="AV16" s="39">
        <f t="shared" si="17"/>
        <v>0</v>
      </c>
      <c r="AW16" s="39">
        <f t="shared" si="17"/>
        <v>0</v>
      </c>
      <c r="AX16" s="39">
        <f t="shared" si="17"/>
        <v>0</v>
      </c>
      <c r="AY16" s="39">
        <f t="shared" si="17"/>
        <v>0</v>
      </c>
      <c r="AZ16" s="39">
        <f t="shared" si="17"/>
        <v>0</v>
      </c>
      <c r="BA16" s="39">
        <f t="shared" si="17"/>
        <v>0</v>
      </c>
      <c r="BB16" s="39">
        <f t="shared" si="17"/>
        <v>0</v>
      </c>
      <c r="BC16" s="39">
        <f t="shared" si="17"/>
        <v>0</v>
      </c>
      <c r="BD16" s="39">
        <f t="shared" si="17"/>
        <v>0</v>
      </c>
      <c r="BE16" s="39">
        <f t="shared" si="17"/>
        <v>0</v>
      </c>
      <c r="BF16" s="39">
        <f t="shared" ref="BF16" si="18">BE18</f>
        <v>0</v>
      </c>
      <c r="BG16" s="39">
        <f t="shared" ref="BG16" si="19">BF18</f>
        <v>0</v>
      </c>
      <c r="BH16" s="39">
        <f t="shared" ref="BH16" si="20">BG18</f>
        <v>0</v>
      </c>
      <c r="BI16" s="39">
        <f t="shared" ref="BI16" si="21">BH18</f>
        <v>0</v>
      </c>
      <c r="BJ16" s="39">
        <f t="shared" ref="BJ16" si="22">BI18</f>
        <v>0</v>
      </c>
      <c r="BK16" s="39">
        <f t="shared" ref="BK16" si="23">BJ18</f>
        <v>0</v>
      </c>
      <c r="BL16" s="39">
        <f t="shared" ref="BL16" si="24">BK18</f>
        <v>0</v>
      </c>
      <c r="BM16" s="39">
        <f t="shared" ref="BM16" si="25">BL18</f>
        <v>0</v>
      </c>
      <c r="BN16" s="39">
        <f t="shared" ref="BN16" si="26">BM18</f>
        <v>0</v>
      </c>
      <c r="BO16" s="39">
        <f t="shared" ref="BO16" si="27">BN18</f>
        <v>0</v>
      </c>
      <c r="BP16" s="39">
        <f t="shared" ref="BP16" si="28">BO18</f>
        <v>0</v>
      </c>
      <c r="BQ16" s="39">
        <f t="shared" ref="BQ16" si="29">BP18</f>
        <v>0</v>
      </c>
    </row>
    <row r="17" spans="2:69">
      <c r="B17" s="4" t="s">
        <v>132</v>
      </c>
      <c r="J17" s="39">
        <v>0</v>
      </c>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row>
    <row r="18" spans="2:69">
      <c r="B18" s="3" t="s">
        <v>133</v>
      </c>
      <c r="J18" s="39">
        <f>SUM(J16:J17)</f>
        <v>0</v>
      </c>
      <c r="K18" s="39">
        <f>SUM(K16:K17)</f>
        <v>0</v>
      </c>
      <c r="L18" s="39">
        <f t="shared" ref="L18:BE18" si="30">SUM(L16:L17)</f>
        <v>0</v>
      </c>
      <c r="M18" s="39">
        <f t="shared" si="30"/>
        <v>0</v>
      </c>
      <c r="N18" s="39">
        <f t="shared" si="30"/>
        <v>0</v>
      </c>
      <c r="O18" s="39">
        <f t="shared" si="30"/>
        <v>0</v>
      </c>
      <c r="P18" s="39">
        <f t="shared" si="30"/>
        <v>0</v>
      </c>
      <c r="Q18" s="39">
        <f t="shared" si="30"/>
        <v>0</v>
      </c>
      <c r="R18" s="39">
        <f t="shared" si="30"/>
        <v>0</v>
      </c>
      <c r="S18" s="39">
        <f t="shared" si="30"/>
        <v>0</v>
      </c>
      <c r="T18" s="39">
        <f t="shared" si="30"/>
        <v>0</v>
      </c>
      <c r="U18" s="39">
        <f t="shared" si="30"/>
        <v>0</v>
      </c>
      <c r="V18" s="39">
        <f t="shared" si="30"/>
        <v>0</v>
      </c>
      <c r="W18" s="39">
        <f t="shared" si="30"/>
        <v>0</v>
      </c>
      <c r="X18" s="39">
        <f t="shared" si="30"/>
        <v>0</v>
      </c>
      <c r="Y18" s="39">
        <f t="shared" si="30"/>
        <v>0</v>
      </c>
      <c r="Z18" s="39">
        <f t="shared" si="30"/>
        <v>0</v>
      </c>
      <c r="AA18" s="39">
        <f t="shared" si="30"/>
        <v>0</v>
      </c>
      <c r="AB18" s="39">
        <f t="shared" si="30"/>
        <v>0</v>
      </c>
      <c r="AC18" s="39">
        <f t="shared" si="30"/>
        <v>0</v>
      </c>
      <c r="AD18" s="39">
        <f t="shared" si="30"/>
        <v>0</v>
      </c>
      <c r="AE18" s="39">
        <f t="shared" si="30"/>
        <v>0</v>
      </c>
      <c r="AF18" s="39">
        <f t="shared" si="30"/>
        <v>0</v>
      </c>
      <c r="AG18" s="39">
        <f t="shared" si="30"/>
        <v>0</v>
      </c>
      <c r="AH18" s="39">
        <f t="shared" si="30"/>
        <v>0</v>
      </c>
      <c r="AI18" s="39">
        <f t="shared" si="30"/>
        <v>0</v>
      </c>
      <c r="AJ18" s="39">
        <f t="shared" si="30"/>
        <v>0</v>
      </c>
      <c r="AK18" s="39">
        <f t="shared" si="30"/>
        <v>0</v>
      </c>
      <c r="AL18" s="39">
        <f t="shared" si="30"/>
        <v>0</v>
      </c>
      <c r="AM18" s="39">
        <f t="shared" si="30"/>
        <v>0</v>
      </c>
      <c r="AN18" s="39">
        <f t="shared" si="30"/>
        <v>0</v>
      </c>
      <c r="AO18" s="39">
        <f t="shared" si="30"/>
        <v>0</v>
      </c>
      <c r="AP18" s="39">
        <f t="shared" si="30"/>
        <v>0</v>
      </c>
      <c r="AQ18" s="39">
        <f t="shared" si="30"/>
        <v>0</v>
      </c>
      <c r="AR18" s="39">
        <f t="shared" si="30"/>
        <v>0</v>
      </c>
      <c r="AS18" s="39">
        <f t="shared" si="30"/>
        <v>0</v>
      </c>
      <c r="AT18" s="39">
        <f t="shared" si="30"/>
        <v>0</v>
      </c>
      <c r="AU18" s="39">
        <f t="shared" si="30"/>
        <v>0</v>
      </c>
      <c r="AV18" s="39">
        <f t="shared" si="30"/>
        <v>0</v>
      </c>
      <c r="AW18" s="39">
        <f t="shared" si="30"/>
        <v>0</v>
      </c>
      <c r="AX18" s="39">
        <f t="shared" si="30"/>
        <v>0</v>
      </c>
      <c r="AY18" s="39">
        <f t="shared" si="30"/>
        <v>0</v>
      </c>
      <c r="AZ18" s="39">
        <f t="shared" si="30"/>
        <v>0</v>
      </c>
      <c r="BA18" s="39">
        <f t="shared" si="30"/>
        <v>0</v>
      </c>
      <c r="BB18" s="39">
        <f t="shared" si="30"/>
        <v>0</v>
      </c>
      <c r="BC18" s="39">
        <f t="shared" si="30"/>
        <v>0</v>
      </c>
      <c r="BD18" s="39">
        <f t="shared" si="30"/>
        <v>0</v>
      </c>
      <c r="BE18" s="39">
        <f t="shared" si="30"/>
        <v>0</v>
      </c>
      <c r="BF18" s="39">
        <f t="shared" ref="BF18:BQ18" si="31">SUM(BF16:BF17)</f>
        <v>0</v>
      </c>
      <c r="BG18" s="39">
        <f t="shared" si="31"/>
        <v>0</v>
      </c>
      <c r="BH18" s="39">
        <f t="shared" si="31"/>
        <v>0</v>
      </c>
      <c r="BI18" s="39">
        <f t="shared" si="31"/>
        <v>0</v>
      </c>
      <c r="BJ18" s="39">
        <f t="shared" si="31"/>
        <v>0</v>
      </c>
      <c r="BK18" s="39">
        <f t="shared" si="31"/>
        <v>0</v>
      </c>
      <c r="BL18" s="39">
        <f t="shared" si="31"/>
        <v>0</v>
      </c>
      <c r="BM18" s="39">
        <f t="shared" si="31"/>
        <v>0</v>
      </c>
      <c r="BN18" s="39">
        <f t="shared" si="31"/>
        <v>0</v>
      </c>
      <c r="BO18" s="39">
        <f t="shared" si="31"/>
        <v>0</v>
      </c>
      <c r="BP18" s="39">
        <f t="shared" si="31"/>
        <v>0</v>
      </c>
      <c r="BQ18" s="39">
        <f t="shared" si="31"/>
        <v>0</v>
      </c>
    </row>
    <row r="19" spans="2:6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row>
    <row r="20" spans="2:69">
      <c r="B20" s="3" t="s">
        <v>137</v>
      </c>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row>
    <row r="21" spans="2:69">
      <c r="B21" s="4" t="s">
        <v>134</v>
      </c>
      <c r="J21" s="39">
        <v>0</v>
      </c>
      <c r="K21" s="39">
        <f>J23</f>
        <v>0</v>
      </c>
      <c r="L21" s="39">
        <f t="shared" ref="L21:BE21" si="32">K23</f>
        <v>0</v>
      </c>
      <c r="M21" s="39">
        <f t="shared" si="32"/>
        <v>0</v>
      </c>
      <c r="N21" s="39">
        <f t="shared" si="32"/>
        <v>0</v>
      </c>
      <c r="O21" s="39">
        <f t="shared" si="32"/>
        <v>0</v>
      </c>
      <c r="P21" s="39">
        <f t="shared" si="32"/>
        <v>0</v>
      </c>
      <c r="Q21" s="39">
        <f t="shared" si="32"/>
        <v>0</v>
      </c>
      <c r="R21" s="39">
        <f t="shared" si="32"/>
        <v>0</v>
      </c>
      <c r="S21" s="39">
        <f t="shared" si="32"/>
        <v>0</v>
      </c>
      <c r="T21" s="39">
        <f t="shared" si="32"/>
        <v>0</v>
      </c>
      <c r="U21" s="39">
        <f t="shared" si="32"/>
        <v>0</v>
      </c>
      <c r="V21" s="39">
        <f t="shared" si="32"/>
        <v>0</v>
      </c>
      <c r="W21" s="39">
        <f t="shared" si="32"/>
        <v>0</v>
      </c>
      <c r="X21" s="39">
        <f t="shared" si="32"/>
        <v>0</v>
      </c>
      <c r="Y21" s="39">
        <f t="shared" si="32"/>
        <v>0</v>
      </c>
      <c r="Z21" s="39">
        <f t="shared" si="32"/>
        <v>0</v>
      </c>
      <c r="AA21" s="39">
        <f t="shared" si="32"/>
        <v>0</v>
      </c>
      <c r="AB21" s="39">
        <f t="shared" si="32"/>
        <v>0</v>
      </c>
      <c r="AC21" s="39">
        <f t="shared" si="32"/>
        <v>0</v>
      </c>
      <c r="AD21" s="39">
        <f t="shared" si="32"/>
        <v>0</v>
      </c>
      <c r="AE21" s="39">
        <f t="shared" si="32"/>
        <v>0</v>
      </c>
      <c r="AF21" s="39">
        <f t="shared" si="32"/>
        <v>0</v>
      </c>
      <c r="AG21" s="39">
        <f t="shared" si="32"/>
        <v>0</v>
      </c>
      <c r="AH21" s="39">
        <f t="shared" si="32"/>
        <v>0</v>
      </c>
      <c r="AI21" s="39">
        <f t="shared" si="32"/>
        <v>0</v>
      </c>
      <c r="AJ21" s="39">
        <f t="shared" si="32"/>
        <v>0</v>
      </c>
      <c r="AK21" s="39">
        <f t="shared" si="32"/>
        <v>0</v>
      </c>
      <c r="AL21" s="39">
        <f t="shared" si="32"/>
        <v>0</v>
      </c>
      <c r="AM21" s="39">
        <f t="shared" si="32"/>
        <v>0</v>
      </c>
      <c r="AN21" s="39">
        <f t="shared" si="32"/>
        <v>0</v>
      </c>
      <c r="AO21" s="39">
        <f t="shared" si="32"/>
        <v>0</v>
      </c>
      <c r="AP21" s="39">
        <f t="shared" si="32"/>
        <v>0</v>
      </c>
      <c r="AQ21" s="39">
        <f t="shared" si="32"/>
        <v>0</v>
      </c>
      <c r="AR21" s="39">
        <f t="shared" si="32"/>
        <v>0</v>
      </c>
      <c r="AS21" s="39">
        <f t="shared" si="32"/>
        <v>0</v>
      </c>
      <c r="AT21" s="39">
        <f t="shared" si="32"/>
        <v>0</v>
      </c>
      <c r="AU21" s="39">
        <f t="shared" si="32"/>
        <v>0</v>
      </c>
      <c r="AV21" s="39">
        <f t="shared" si="32"/>
        <v>0</v>
      </c>
      <c r="AW21" s="39">
        <f t="shared" si="32"/>
        <v>0</v>
      </c>
      <c r="AX21" s="39">
        <f t="shared" si="32"/>
        <v>0</v>
      </c>
      <c r="AY21" s="39">
        <f t="shared" si="32"/>
        <v>0</v>
      </c>
      <c r="AZ21" s="39">
        <f t="shared" si="32"/>
        <v>0</v>
      </c>
      <c r="BA21" s="39">
        <f t="shared" si="32"/>
        <v>0</v>
      </c>
      <c r="BB21" s="39">
        <f t="shared" si="32"/>
        <v>0</v>
      </c>
      <c r="BC21" s="39">
        <f t="shared" si="32"/>
        <v>0</v>
      </c>
      <c r="BD21" s="39">
        <f t="shared" si="32"/>
        <v>0</v>
      </c>
      <c r="BE21" s="39">
        <f t="shared" si="32"/>
        <v>0</v>
      </c>
      <c r="BF21" s="39">
        <f t="shared" ref="BF21" si="33">BE23</f>
        <v>0</v>
      </c>
      <c r="BG21" s="39">
        <f t="shared" ref="BG21" si="34">BF23</f>
        <v>0</v>
      </c>
      <c r="BH21" s="39">
        <f t="shared" ref="BH21" si="35">BG23</f>
        <v>0</v>
      </c>
      <c r="BI21" s="39">
        <f t="shared" ref="BI21" si="36">BH23</f>
        <v>0</v>
      </c>
      <c r="BJ21" s="39">
        <f t="shared" ref="BJ21" si="37">BI23</f>
        <v>0</v>
      </c>
      <c r="BK21" s="39">
        <f t="shared" ref="BK21" si="38">BJ23</f>
        <v>0</v>
      </c>
      <c r="BL21" s="39">
        <f t="shared" ref="BL21" si="39">BK23</f>
        <v>0</v>
      </c>
      <c r="BM21" s="39">
        <f t="shared" ref="BM21" si="40">BL23</f>
        <v>0</v>
      </c>
      <c r="BN21" s="39">
        <f t="shared" ref="BN21" si="41">BM23</f>
        <v>0</v>
      </c>
      <c r="BO21" s="39">
        <f t="shared" ref="BO21" si="42">BN23</f>
        <v>0</v>
      </c>
      <c r="BP21" s="39">
        <f t="shared" ref="BP21" si="43">BO23</f>
        <v>0</v>
      </c>
      <c r="BQ21" s="39">
        <f t="shared" ref="BQ21" si="44">BP23</f>
        <v>0</v>
      </c>
    </row>
    <row r="22" spans="2:69">
      <c r="B22" s="4" t="s">
        <v>135</v>
      </c>
      <c r="J22" s="39">
        <v>0</v>
      </c>
      <c r="K22" s="39">
        <v>0</v>
      </c>
      <c r="L22" s="39">
        <v>0</v>
      </c>
      <c r="M22" s="39">
        <v>0</v>
      </c>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row>
    <row r="23" spans="2:69">
      <c r="B23" s="3" t="s">
        <v>136</v>
      </c>
      <c r="J23" s="39">
        <f>SUM(J21:J22)</f>
        <v>0</v>
      </c>
      <c r="K23" s="39">
        <f>SUM(K21:K22)</f>
        <v>0</v>
      </c>
      <c r="L23" s="39">
        <f t="shared" ref="L23:BE23" si="45">SUM(L21:L22)</f>
        <v>0</v>
      </c>
      <c r="M23" s="39">
        <f t="shared" si="45"/>
        <v>0</v>
      </c>
      <c r="N23" s="39">
        <f t="shared" si="45"/>
        <v>0</v>
      </c>
      <c r="O23" s="39">
        <f t="shared" si="45"/>
        <v>0</v>
      </c>
      <c r="P23" s="39">
        <f t="shared" si="45"/>
        <v>0</v>
      </c>
      <c r="Q23" s="39">
        <f t="shared" si="45"/>
        <v>0</v>
      </c>
      <c r="R23" s="39">
        <f t="shared" si="45"/>
        <v>0</v>
      </c>
      <c r="S23" s="39">
        <f t="shared" si="45"/>
        <v>0</v>
      </c>
      <c r="T23" s="39">
        <f t="shared" si="45"/>
        <v>0</v>
      </c>
      <c r="U23" s="39">
        <f t="shared" si="45"/>
        <v>0</v>
      </c>
      <c r="V23" s="39">
        <f t="shared" si="45"/>
        <v>0</v>
      </c>
      <c r="W23" s="39">
        <f t="shared" si="45"/>
        <v>0</v>
      </c>
      <c r="X23" s="39">
        <f t="shared" si="45"/>
        <v>0</v>
      </c>
      <c r="Y23" s="39">
        <f t="shared" si="45"/>
        <v>0</v>
      </c>
      <c r="Z23" s="39">
        <f t="shared" si="45"/>
        <v>0</v>
      </c>
      <c r="AA23" s="39">
        <f t="shared" si="45"/>
        <v>0</v>
      </c>
      <c r="AB23" s="39">
        <f t="shared" si="45"/>
        <v>0</v>
      </c>
      <c r="AC23" s="39">
        <f t="shared" si="45"/>
        <v>0</v>
      </c>
      <c r="AD23" s="39">
        <f t="shared" si="45"/>
        <v>0</v>
      </c>
      <c r="AE23" s="39">
        <f t="shared" si="45"/>
        <v>0</v>
      </c>
      <c r="AF23" s="39">
        <f t="shared" si="45"/>
        <v>0</v>
      </c>
      <c r="AG23" s="39">
        <f t="shared" si="45"/>
        <v>0</v>
      </c>
      <c r="AH23" s="39">
        <f t="shared" si="45"/>
        <v>0</v>
      </c>
      <c r="AI23" s="39">
        <f t="shared" si="45"/>
        <v>0</v>
      </c>
      <c r="AJ23" s="39">
        <f t="shared" si="45"/>
        <v>0</v>
      </c>
      <c r="AK23" s="39">
        <f t="shared" si="45"/>
        <v>0</v>
      </c>
      <c r="AL23" s="39">
        <f t="shared" si="45"/>
        <v>0</v>
      </c>
      <c r="AM23" s="39">
        <f t="shared" si="45"/>
        <v>0</v>
      </c>
      <c r="AN23" s="39">
        <f t="shared" si="45"/>
        <v>0</v>
      </c>
      <c r="AO23" s="39">
        <f t="shared" si="45"/>
        <v>0</v>
      </c>
      <c r="AP23" s="39">
        <f t="shared" si="45"/>
        <v>0</v>
      </c>
      <c r="AQ23" s="39">
        <f t="shared" si="45"/>
        <v>0</v>
      </c>
      <c r="AR23" s="39">
        <f t="shared" si="45"/>
        <v>0</v>
      </c>
      <c r="AS23" s="39">
        <f t="shared" si="45"/>
        <v>0</v>
      </c>
      <c r="AT23" s="39">
        <f t="shared" si="45"/>
        <v>0</v>
      </c>
      <c r="AU23" s="39">
        <f t="shared" si="45"/>
        <v>0</v>
      </c>
      <c r="AV23" s="39">
        <f t="shared" si="45"/>
        <v>0</v>
      </c>
      <c r="AW23" s="39">
        <f t="shared" si="45"/>
        <v>0</v>
      </c>
      <c r="AX23" s="39">
        <f t="shared" si="45"/>
        <v>0</v>
      </c>
      <c r="AY23" s="39">
        <f t="shared" si="45"/>
        <v>0</v>
      </c>
      <c r="AZ23" s="39">
        <f t="shared" si="45"/>
        <v>0</v>
      </c>
      <c r="BA23" s="39">
        <f t="shared" si="45"/>
        <v>0</v>
      </c>
      <c r="BB23" s="39">
        <f t="shared" si="45"/>
        <v>0</v>
      </c>
      <c r="BC23" s="39">
        <f t="shared" si="45"/>
        <v>0</v>
      </c>
      <c r="BD23" s="39">
        <f t="shared" si="45"/>
        <v>0</v>
      </c>
      <c r="BE23" s="39">
        <f t="shared" si="45"/>
        <v>0</v>
      </c>
      <c r="BF23" s="39">
        <f t="shared" ref="BF23:BQ23" si="46">SUM(BF21:BF22)</f>
        <v>0</v>
      </c>
      <c r="BG23" s="39">
        <f t="shared" si="46"/>
        <v>0</v>
      </c>
      <c r="BH23" s="39">
        <f t="shared" si="46"/>
        <v>0</v>
      </c>
      <c r="BI23" s="39">
        <f t="shared" si="46"/>
        <v>0</v>
      </c>
      <c r="BJ23" s="39">
        <f t="shared" si="46"/>
        <v>0</v>
      </c>
      <c r="BK23" s="39">
        <f t="shared" si="46"/>
        <v>0</v>
      </c>
      <c r="BL23" s="39">
        <f t="shared" si="46"/>
        <v>0</v>
      </c>
      <c r="BM23" s="39">
        <f t="shared" si="46"/>
        <v>0</v>
      </c>
      <c r="BN23" s="39">
        <f t="shared" si="46"/>
        <v>0</v>
      </c>
      <c r="BO23" s="39">
        <f t="shared" si="46"/>
        <v>0</v>
      </c>
      <c r="BP23" s="39">
        <f t="shared" si="46"/>
        <v>0</v>
      </c>
      <c r="BQ23" s="39">
        <f t="shared" si="46"/>
        <v>0</v>
      </c>
    </row>
    <row r="24" spans="2:69">
      <c r="B24" s="9"/>
      <c r="C24" s="9"/>
      <c r="D24" s="9"/>
      <c r="E24" s="9"/>
      <c r="F24" s="9"/>
      <c r="G24" s="9"/>
      <c r="H24" s="9"/>
      <c r="I24" s="9"/>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row>
    <row r="25" spans="2:69">
      <c r="B25" s="3" t="s">
        <v>138</v>
      </c>
      <c r="J25" s="39">
        <f>J18+J23</f>
        <v>0</v>
      </c>
      <c r="K25" s="39">
        <f t="shared" ref="K25:BE25" si="47">K18+K23</f>
        <v>0</v>
      </c>
      <c r="L25" s="39">
        <f t="shared" si="47"/>
        <v>0</v>
      </c>
      <c r="M25" s="39">
        <f t="shared" si="47"/>
        <v>0</v>
      </c>
      <c r="N25" s="39">
        <f t="shared" si="47"/>
        <v>0</v>
      </c>
      <c r="O25" s="39">
        <f t="shared" si="47"/>
        <v>0</v>
      </c>
      <c r="P25" s="39">
        <f t="shared" si="47"/>
        <v>0</v>
      </c>
      <c r="Q25" s="39">
        <f t="shared" si="47"/>
        <v>0</v>
      </c>
      <c r="R25" s="39">
        <f t="shared" si="47"/>
        <v>0</v>
      </c>
      <c r="S25" s="39">
        <f t="shared" si="47"/>
        <v>0</v>
      </c>
      <c r="T25" s="39">
        <f t="shared" si="47"/>
        <v>0</v>
      </c>
      <c r="U25" s="39">
        <f t="shared" si="47"/>
        <v>0</v>
      </c>
      <c r="V25" s="39">
        <f t="shared" si="47"/>
        <v>0</v>
      </c>
      <c r="W25" s="39">
        <f t="shared" si="47"/>
        <v>0</v>
      </c>
      <c r="X25" s="39">
        <f t="shared" si="47"/>
        <v>0</v>
      </c>
      <c r="Y25" s="39">
        <f t="shared" si="47"/>
        <v>0</v>
      </c>
      <c r="Z25" s="39">
        <f t="shared" si="47"/>
        <v>0</v>
      </c>
      <c r="AA25" s="39">
        <f t="shared" si="47"/>
        <v>0</v>
      </c>
      <c r="AB25" s="39">
        <f t="shared" si="47"/>
        <v>0</v>
      </c>
      <c r="AC25" s="39">
        <f t="shared" si="47"/>
        <v>0</v>
      </c>
      <c r="AD25" s="39">
        <f t="shared" si="47"/>
        <v>0</v>
      </c>
      <c r="AE25" s="39">
        <f t="shared" si="47"/>
        <v>0</v>
      </c>
      <c r="AF25" s="39">
        <f t="shared" si="47"/>
        <v>0</v>
      </c>
      <c r="AG25" s="39">
        <f t="shared" si="47"/>
        <v>0</v>
      </c>
      <c r="AH25" s="39">
        <f t="shared" si="47"/>
        <v>0</v>
      </c>
      <c r="AI25" s="39">
        <f t="shared" si="47"/>
        <v>0</v>
      </c>
      <c r="AJ25" s="39">
        <f t="shared" si="47"/>
        <v>0</v>
      </c>
      <c r="AK25" s="39">
        <f t="shared" si="47"/>
        <v>0</v>
      </c>
      <c r="AL25" s="39">
        <f t="shared" si="47"/>
        <v>0</v>
      </c>
      <c r="AM25" s="39">
        <f t="shared" si="47"/>
        <v>0</v>
      </c>
      <c r="AN25" s="39">
        <f t="shared" si="47"/>
        <v>0</v>
      </c>
      <c r="AO25" s="39">
        <f t="shared" si="47"/>
        <v>0</v>
      </c>
      <c r="AP25" s="39">
        <f t="shared" si="47"/>
        <v>0</v>
      </c>
      <c r="AQ25" s="39">
        <f t="shared" si="47"/>
        <v>0</v>
      </c>
      <c r="AR25" s="39">
        <f t="shared" si="47"/>
        <v>0</v>
      </c>
      <c r="AS25" s="39">
        <f t="shared" si="47"/>
        <v>0</v>
      </c>
      <c r="AT25" s="39">
        <f t="shared" si="47"/>
        <v>0</v>
      </c>
      <c r="AU25" s="39">
        <f t="shared" si="47"/>
        <v>0</v>
      </c>
      <c r="AV25" s="39">
        <f t="shared" si="47"/>
        <v>0</v>
      </c>
      <c r="AW25" s="39">
        <f t="shared" si="47"/>
        <v>0</v>
      </c>
      <c r="AX25" s="39">
        <f t="shared" si="47"/>
        <v>0</v>
      </c>
      <c r="AY25" s="39">
        <f t="shared" si="47"/>
        <v>0</v>
      </c>
      <c r="AZ25" s="39">
        <f t="shared" si="47"/>
        <v>0</v>
      </c>
      <c r="BA25" s="39">
        <f t="shared" si="47"/>
        <v>0</v>
      </c>
      <c r="BB25" s="39">
        <f t="shared" si="47"/>
        <v>0</v>
      </c>
      <c r="BC25" s="39">
        <f t="shared" si="47"/>
        <v>0</v>
      </c>
      <c r="BD25" s="39">
        <f t="shared" si="47"/>
        <v>0</v>
      </c>
      <c r="BE25" s="39">
        <f t="shared" si="47"/>
        <v>0</v>
      </c>
      <c r="BF25" s="39">
        <f t="shared" ref="BF25:BQ25" si="48">BF18+BF23</f>
        <v>0</v>
      </c>
      <c r="BG25" s="39">
        <f t="shared" si="48"/>
        <v>0</v>
      </c>
      <c r="BH25" s="39">
        <f t="shared" si="48"/>
        <v>0</v>
      </c>
      <c r="BI25" s="39">
        <f t="shared" si="48"/>
        <v>0</v>
      </c>
      <c r="BJ25" s="39">
        <f t="shared" si="48"/>
        <v>0</v>
      </c>
      <c r="BK25" s="39">
        <f t="shared" si="48"/>
        <v>0</v>
      </c>
      <c r="BL25" s="39">
        <f t="shared" si="48"/>
        <v>0</v>
      </c>
      <c r="BM25" s="39">
        <f t="shared" si="48"/>
        <v>0</v>
      </c>
      <c r="BN25" s="39">
        <f t="shared" si="48"/>
        <v>0</v>
      </c>
      <c r="BO25" s="39">
        <f t="shared" si="48"/>
        <v>0</v>
      </c>
      <c r="BP25" s="39">
        <f t="shared" si="48"/>
        <v>0</v>
      </c>
      <c r="BQ25" s="39">
        <f t="shared" si="48"/>
        <v>0</v>
      </c>
    </row>
    <row r="26" spans="2:69">
      <c r="J26" s="39"/>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39"/>
      <c r="AZ26" s="39"/>
      <c r="BA26" s="39"/>
      <c r="BB26" s="39"/>
      <c r="BC26" s="39"/>
      <c r="BD26" s="39"/>
      <c r="BE26" s="39"/>
      <c r="BF26" s="39"/>
      <c r="BG26" s="39"/>
      <c r="BH26" s="39"/>
      <c r="BI26" s="39"/>
      <c r="BJ26" s="39"/>
      <c r="BK26" s="39"/>
      <c r="BL26" s="39"/>
      <c r="BM26" s="39"/>
      <c r="BN26" s="39"/>
      <c r="BO26" s="39"/>
      <c r="BP26" s="39"/>
      <c r="BQ26" s="39"/>
    </row>
    <row r="27" spans="2:6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row>
    <row r="28" spans="2:69" ht="14.4">
      <c r="B28" s="2" t="s">
        <v>69</v>
      </c>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c r="BG28" s="39"/>
      <c r="BH28" s="39"/>
      <c r="BI28" s="39"/>
      <c r="BJ28" s="39"/>
      <c r="BK28" s="39"/>
      <c r="BL28" s="39"/>
      <c r="BM28" s="39"/>
      <c r="BN28" s="39"/>
      <c r="BO28" s="39"/>
      <c r="BP28" s="39"/>
      <c r="BQ28" s="39"/>
    </row>
    <row r="29" spans="2:69" ht="14.4">
      <c r="B29" t="s">
        <v>87</v>
      </c>
      <c r="J29" s="39">
        <v>0</v>
      </c>
      <c r="K29" s="39">
        <f>3125+238</f>
        <v>3363</v>
      </c>
      <c r="L29" s="39">
        <f>'COS and Overheads'!L25</f>
        <v>28805</v>
      </c>
      <c r="M29" s="39">
        <f>'COS and Overheads'!M25</f>
        <v>25039</v>
      </c>
      <c r="N29" s="39">
        <f>'COS and Overheads'!N25</f>
        <v>31307</v>
      </c>
      <c r="O29" s="39">
        <f>'COS and Overheads'!O25</f>
        <v>103407</v>
      </c>
      <c r="P29" s="39">
        <f>'COS and Overheads'!P25</f>
        <v>64290</v>
      </c>
      <c r="Q29" s="39">
        <f>'COS and Overheads'!Q25</f>
        <v>10629</v>
      </c>
      <c r="R29" s="39">
        <f>'COS and Overheads'!R25</f>
        <v>6750</v>
      </c>
      <c r="S29" s="39">
        <f>'COS and Overheads'!S25</f>
        <v>16801</v>
      </c>
      <c r="T29" s="39">
        <f>'COS and Overheads'!T25</f>
        <v>33166</v>
      </c>
      <c r="U29" s="39">
        <f>'COS and Overheads'!U25</f>
        <v>34431</v>
      </c>
      <c r="V29" s="39">
        <f>'COS and Overheads'!V25</f>
        <v>43696</v>
      </c>
      <c r="W29" s="39">
        <f>'COS and Overheads'!W25</f>
        <v>92021</v>
      </c>
      <c r="X29" s="39">
        <f>'COS and Overheads'!X25</f>
        <v>98016</v>
      </c>
      <c r="Y29" s="39">
        <f>'COS and Overheads'!Y25</f>
        <v>104011</v>
      </c>
      <c r="Z29" s="39">
        <f>'COS and Overheads'!Z25</f>
        <v>110006</v>
      </c>
      <c r="AA29" s="39">
        <f>'COS and Overheads'!AA25</f>
        <v>116001</v>
      </c>
      <c r="AB29" s="39">
        <f>'COS and Overheads'!AB25</f>
        <v>121996</v>
      </c>
      <c r="AC29" s="39">
        <f>'COS and Overheads'!AC25</f>
        <v>127991</v>
      </c>
      <c r="AD29" s="39">
        <f>'COS and Overheads'!AD25</f>
        <v>133986</v>
      </c>
      <c r="AE29" s="39">
        <f>'COS and Overheads'!AE25</f>
        <v>139981</v>
      </c>
      <c r="AF29" s="39">
        <f>'COS and Overheads'!AF25</f>
        <v>145976</v>
      </c>
      <c r="AG29" s="39">
        <f>'COS and Overheads'!AG25</f>
        <v>151971</v>
      </c>
      <c r="AH29" s="39">
        <f>'COS and Overheads'!AH25</f>
        <v>167631</v>
      </c>
      <c r="AI29" s="39">
        <f>'COS and Overheads'!AI25</f>
        <v>174825</v>
      </c>
      <c r="AJ29" s="39">
        <f>'COS and Overheads'!AJ25</f>
        <v>182019</v>
      </c>
      <c r="AK29" s="39">
        <f>'COS and Overheads'!AK25</f>
        <v>189213</v>
      </c>
      <c r="AL29" s="39">
        <f>'COS and Overheads'!AL25</f>
        <v>196407</v>
      </c>
      <c r="AM29" s="39">
        <f>'COS and Overheads'!AM25</f>
        <v>203601</v>
      </c>
      <c r="AN29" s="39">
        <f>'COS and Overheads'!AN25</f>
        <v>210795</v>
      </c>
      <c r="AO29" s="39">
        <f>'COS and Overheads'!AO25</f>
        <v>217989</v>
      </c>
      <c r="AP29" s="39">
        <f>'COS and Overheads'!AP25</f>
        <v>225183</v>
      </c>
      <c r="AQ29" s="39">
        <f>'COS and Overheads'!AQ25</f>
        <v>232377</v>
      </c>
      <c r="AR29" s="39">
        <f>'COS and Overheads'!AR25</f>
        <v>239571</v>
      </c>
      <c r="AS29" s="39">
        <f>'COS and Overheads'!AS25</f>
        <v>246765</v>
      </c>
      <c r="AT29" s="39">
        <f>'COS and Overheads'!AT25</f>
        <v>265167.5</v>
      </c>
      <c r="AU29" s="39">
        <f>'COS and Overheads'!AU25</f>
        <v>273693</v>
      </c>
      <c r="AV29" s="39">
        <f>'COS and Overheads'!AV25</f>
        <v>282218.5</v>
      </c>
      <c r="AW29" s="39">
        <f>'COS and Overheads'!AW25</f>
        <v>290744</v>
      </c>
      <c r="AX29" s="39">
        <f>'COS and Overheads'!AX25</f>
        <v>299269.5</v>
      </c>
      <c r="AY29" s="39">
        <f>'COS and Overheads'!AY25</f>
        <v>307795</v>
      </c>
      <c r="AZ29" s="39">
        <f>'COS and Overheads'!AZ25</f>
        <v>316320.5</v>
      </c>
      <c r="BA29" s="39">
        <f>'COS and Overheads'!BA25</f>
        <v>324846</v>
      </c>
      <c r="BB29" s="39">
        <f>'COS and Overheads'!BB25</f>
        <v>333371.5</v>
      </c>
      <c r="BC29" s="39">
        <f>'COS and Overheads'!BC25</f>
        <v>341897</v>
      </c>
      <c r="BD29" s="39">
        <f>'COS and Overheads'!BD25</f>
        <v>350422.5</v>
      </c>
      <c r="BE29" s="39">
        <f>'COS and Overheads'!BE25</f>
        <v>358948</v>
      </c>
      <c r="BF29" s="39">
        <f>'COS and Overheads'!BF25</f>
        <v>381769</v>
      </c>
      <c r="BG29" s="39">
        <f>'COS and Overheads'!BG25</f>
        <v>391891</v>
      </c>
      <c r="BH29" s="39">
        <f>'COS and Overheads'!BH25</f>
        <v>402013</v>
      </c>
      <c r="BI29" s="39">
        <f>'COS and Overheads'!BI25</f>
        <v>412135</v>
      </c>
      <c r="BJ29" s="39">
        <f>'COS and Overheads'!BJ25</f>
        <v>422257</v>
      </c>
      <c r="BK29" s="39">
        <f>'COS and Overheads'!BK25</f>
        <v>432379</v>
      </c>
      <c r="BL29" s="39">
        <f>'COS and Overheads'!BL25</f>
        <v>442501</v>
      </c>
      <c r="BM29" s="39">
        <f>'COS and Overheads'!BM25</f>
        <v>452623</v>
      </c>
      <c r="BN29" s="39">
        <f>'COS and Overheads'!BN25</f>
        <v>462745</v>
      </c>
      <c r="BO29" s="39">
        <f>'COS and Overheads'!BO25</f>
        <v>472867</v>
      </c>
      <c r="BP29" s="39">
        <f>'COS and Overheads'!BP25</f>
        <v>482989</v>
      </c>
      <c r="BQ29" s="39">
        <f>'COS and Overheads'!BQ25</f>
        <v>493111</v>
      </c>
    </row>
    <row r="30" spans="2:69" ht="14.4">
      <c r="B30" t="s">
        <v>144</v>
      </c>
      <c r="J30" s="39">
        <v>2643</v>
      </c>
      <c r="K30" s="39">
        <f>'COS and Overheads'!K46</f>
        <v>2398</v>
      </c>
      <c r="L30" s="39">
        <f>'COS and Overheads'!L46</f>
        <v>16019</v>
      </c>
      <c r="M30" s="39">
        <f>'COS and Overheads'!M46</f>
        <v>35404</v>
      </c>
      <c r="N30" s="39">
        <f>'COS and Overheads'!N46</f>
        <v>33427</v>
      </c>
      <c r="O30" s="39">
        <f>'COS and Overheads'!O46</f>
        <v>31398</v>
      </c>
      <c r="P30" s="39">
        <f>'COS and Overheads'!P46</f>
        <v>31033</v>
      </c>
      <c r="Q30" s="39">
        <f>'COS and Overheads'!Q46</f>
        <v>66424</v>
      </c>
      <c r="R30" s="39">
        <f>'COS and Overheads'!R46</f>
        <v>39148</v>
      </c>
      <c r="S30" s="39">
        <f>'COS and Overheads'!S46</f>
        <v>60648</v>
      </c>
      <c r="T30" s="39">
        <f>'COS and Overheads'!T46</f>
        <v>47461</v>
      </c>
      <c r="U30" s="39">
        <f>'COS and Overheads'!U46</f>
        <v>47547.25</v>
      </c>
      <c r="V30" s="39">
        <f>'COS and Overheads'!V46</f>
        <v>47847.25</v>
      </c>
      <c r="W30" s="39">
        <f>'COS and Overheads'!W46</f>
        <v>53847.25</v>
      </c>
      <c r="X30" s="39">
        <f>'COS and Overheads'!X46</f>
        <v>17933.5</v>
      </c>
      <c r="Y30" s="39">
        <f>'COS and Overheads'!Y46</f>
        <v>18233.5</v>
      </c>
      <c r="Z30" s="39">
        <f>'COS and Overheads'!Z46</f>
        <v>18019.75</v>
      </c>
      <c r="AA30" s="39">
        <f>'COS and Overheads'!AA46</f>
        <v>18019.75</v>
      </c>
      <c r="AB30" s="39">
        <f>'COS and Overheads'!AB46</f>
        <v>18319.75</v>
      </c>
      <c r="AC30" s="39">
        <f>'COS and Overheads'!AC46</f>
        <v>19006</v>
      </c>
      <c r="AD30" s="39">
        <f>'COS and Overheads'!AD46</f>
        <v>19006</v>
      </c>
      <c r="AE30" s="39">
        <f>'COS and Overheads'!AE46</f>
        <v>19892.25</v>
      </c>
      <c r="AF30" s="39">
        <f>'COS and Overheads'!AF46</f>
        <v>21592.25</v>
      </c>
      <c r="AG30" s="39">
        <f>'COS and Overheads'!AG46</f>
        <v>21592.25</v>
      </c>
      <c r="AH30" s="39">
        <f>'COS and Overheads'!AH46</f>
        <v>22428.5</v>
      </c>
      <c r="AI30" s="39">
        <f>'COS and Overheads'!AI46</f>
        <v>21928.5</v>
      </c>
      <c r="AJ30" s="39">
        <f>'COS and Overheads'!AJ46</f>
        <v>22014.75</v>
      </c>
      <c r="AK30" s="39">
        <f>'COS and Overheads'!AK46</f>
        <v>25014.75</v>
      </c>
      <c r="AL30" s="39">
        <f>'COS and Overheads'!AL46</f>
        <v>24601</v>
      </c>
      <c r="AM30" s="39">
        <f>'COS and Overheads'!AM46</f>
        <v>24601</v>
      </c>
      <c r="AN30" s="39">
        <f>'COS and Overheads'!AN46</f>
        <v>25187.25</v>
      </c>
      <c r="AO30" s="39">
        <f>'COS and Overheads'!AO46</f>
        <v>24687.25</v>
      </c>
      <c r="AP30" s="39">
        <f>'COS and Overheads'!AP46</f>
        <v>24773.5</v>
      </c>
      <c r="AQ30" s="39">
        <f>'COS and Overheads'!AQ46</f>
        <v>25273.5</v>
      </c>
      <c r="AR30" s="39">
        <f>'COS and Overheads'!AR46</f>
        <v>24859.75</v>
      </c>
      <c r="AS30" s="39">
        <f>'COS and Overheads'!AS46</f>
        <v>24859.75</v>
      </c>
      <c r="AT30" s="39">
        <f>'COS and Overheads'!AT46</f>
        <v>28746</v>
      </c>
      <c r="AU30" s="39">
        <f>'COS and Overheads'!AU46</f>
        <v>28246</v>
      </c>
      <c r="AV30" s="39">
        <f>'COS and Overheads'!AV46</f>
        <v>28332.25</v>
      </c>
      <c r="AW30" s="39">
        <f>'COS and Overheads'!AW46</f>
        <v>30857.25</v>
      </c>
      <c r="AX30" s="39">
        <f>'COS and Overheads'!AX46</f>
        <v>30443.5</v>
      </c>
      <c r="AY30" s="39">
        <f>'COS and Overheads'!AY46</f>
        <v>30443.5</v>
      </c>
      <c r="AZ30" s="39">
        <f>'COS and Overheads'!AZ46</f>
        <v>31029.75</v>
      </c>
      <c r="BA30" s="39">
        <f>'COS and Overheads'!BA46</f>
        <v>30616</v>
      </c>
      <c r="BB30" s="39">
        <f>'COS and Overheads'!BB46</f>
        <v>30616</v>
      </c>
      <c r="BC30" s="39">
        <f>'COS and Overheads'!BC46</f>
        <v>31202.25</v>
      </c>
      <c r="BD30" s="39">
        <f>'COS and Overheads'!BD46</f>
        <v>30702.25</v>
      </c>
      <c r="BE30" s="39">
        <f>'COS and Overheads'!BE46</f>
        <v>30788.5</v>
      </c>
      <c r="BF30" s="39">
        <f>'COS and Overheads'!BF46</f>
        <v>37705.5</v>
      </c>
      <c r="BG30" s="39">
        <f>'COS and Overheads'!BG46</f>
        <v>37791.75</v>
      </c>
      <c r="BH30" s="39">
        <f>'COS and Overheads'!BH46</f>
        <v>37878</v>
      </c>
      <c r="BI30" s="39">
        <f>'COS and Overheads'!BI46</f>
        <v>37878</v>
      </c>
      <c r="BJ30" s="39">
        <f>'COS and Overheads'!BJ46</f>
        <v>37964.25</v>
      </c>
      <c r="BK30" s="39">
        <f>'COS and Overheads'!BK46</f>
        <v>38050.5</v>
      </c>
      <c r="BL30" s="39">
        <f>'COS and Overheads'!BL46</f>
        <v>38050.5</v>
      </c>
      <c r="BM30" s="39">
        <f>'COS and Overheads'!BM46</f>
        <v>38136.75</v>
      </c>
      <c r="BN30" s="39">
        <f>'COS and Overheads'!BN46</f>
        <v>38223</v>
      </c>
      <c r="BO30" s="39">
        <f>'COS and Overheads'!BO46</f>
        <v>38223</v>
      </c>
      <c r="BP30" s="39">
        <f>'COS and Overheads'!BP46</f>
        <v>38309.25</v>
      </c>
      <c r="BQ30" s="39">
        <f>'COS and Overheads'!BQ46</f>
        <v>38309.25</v>
      </c>
    </row>
    <row r="31" spans="2:69" s="51" customFormat="1" ht="14.4">
      <c r="B31" s="50" t="s">
        <v>3</v>
      </c>
      <c r="J31" s="57">
        <f>'Fixed Assets'!J68</f>
        <v>0</v>
      </c>
      <c r="K31" s="57">
        <f>'Fixed Assets'!K68</f>
        <v>0</v>
      </c>
      <c r="L31" s="57">
        <f>'Fixed Assets'!L68</f>
        <v>0</v>
      </c>
      <c r="M31" s="57">
        <f>'Fixed Assets'!M68</f>
        <v>0</v>
      </c>
      <c r="N31" s="57">
        <f>'Fixed Assets'!N68</f>
        <v>0</v>
      </c>
      <c r="O31" s="57">
        <f>'Fixed Assets'!O68</f>
        <v>0</v>
      </c>
      <c r="P31" s="57">
        <f>'Fixed Assets'!P68</f>
        <v>0</v>
      </c>
      <c r="Q31" s="57">
        <f>'Fixed Assets'!Q68</f>
        <v>0</v>
      </c>
      <c r="R31" s="57">
        <f>'Fixed Assets'!R68</f>
        <v>0</v>
      </c>
      <c r="S31" s="57">
        <f>'Fixed Assets'!S68</f>
        <v>2470</v>
      </c>
      <c r="T31" s="57">
        <f>'Fixed Assets'!T68</f>
        <v>15350</v>
      </c>
      <c r="U31" s="57">
        <f>'Fixed Assets'!U68</f>
        <v>12350</v>
      </c>
      <c r="V31" s="57">
        <f>'Fixed Assets'!V68</f>
        <v>12350</v>
      </c>
      <c r="W31" s="57">
        <f>'Fixed Assets'!W68</f>
        <v>24700</v>
      </c>
      <c r="X31" s="57">
        <f>'Fixed Assets'!X68</f>
        <v>27700</v>
      </c>
      <c r="Y31" s="57">
        <f>'Fixed Assets'!Y68</f>
        <v>24700</v>
      </c>
      <c r="Z31" s="57">
        <f>'Fixed Assets'!Z68</f>
        <v>24700</v>
      </c>
      <c r="AA31" s="57">
        <f>'Fixed Assets'!AA68</f>
        <v>24700</v>
      </c>
      <c r="AB31" s="57">
        <f>'Fixed Assets'!AB68</f>
        <v>27700</v>
      </c>
      <c r="AC31" s="57">
        <f>'Fixed Assets'!AC68</f>
        <v>24700</v>
      </c>
      <c r="AD31" s="57">
        <f>'Fixed Assets'!AD68</f>
        <v>24700</v>
      </c>
      <c r="AE31" s="57">
        <f>'Fixed Assets'!AE68</f>
        <v>24700</v>
      </c>
      <c r="AF31" s="57">
        <f>'Fixed Assets'!AF68</f>
        <v>27700</v>
      </c>
      <c r="AG31" s="57">
        <f>'Fixed Assets'!AG68</f>
        <v>24700</v>
      </c>
      <c r="AH31" s="57">
        <f>'Fixed Assets'!AH68</f>
        <v>29640</v>
      </c>
      <c r="AI31" s="57">
        <f>'Fixed Assets'!AI68</f>
        <v>29640</v>
      </c>
      <c r="AJ31" s="57">
        <f>'Fixed Assets'!AJ68</f>
        <v>32640</v>
      </c>
      <c r="AK31" s="57">
        <f>'Fixed Assets'!AK68</f>
        <v>29640</v>
      </c>
      <c r="AL31" s="57">
        <f>'Fixed Assets'!AL68</f>
        <v>29640</v>
      </c>
      <c r="AM31" s="57">
        <f>'Fixed Assets'!AM68</f>
        <v>29640</v>
      </c>
      <c r="AN31" s="57">
        <f>'Fixed Assets'!AN68</f>
        <v>32640</v>
      </c>
      <c r="AO31" s="57">
        <f>'Fixed Assets'!AO68</f>
        <v>29640</v>
      </c>
      <c r="AP31" s="57">
        <f>'Fixed Assets'!AP68</f>
        <v>29640</v>
      </c>
      <c r="AQ31" s="57">
        <f>'Fixed Assets'!AQ68</f>
        <v>29640</v>
      </c>
      <c r="AR31" s="57">
        <f>'Fixed Assets'!AR68</f>
        <v>32640</v>
      </c>
      <c r="AS31" s="57">
        <f>'Fixed Assets'!AS68</f>
        <v>29640</v>
      </c>
      <c r="AT31" s="57">
        <f>'Fixed Assets'!AT68</f>
        <v>34580</v>
      </c>
      <c r="AU31" s="57">
        <f>'Fixed Assets'!AU68</f>
        <v>34580</v>
      </c>
      <c r="AV31" s="57">
        <f>'Fixed Assets'!AV68</f>
        <v>34580</v>
      </c>
      <c r="AW31" s="57">
        <f>'Fixed Assets'!AW68</f>
        <v>34580</v>
      </c>
      <c r="AX31" s="57">
        <f>'Fixed Assets'!AX68</f>
        <v>34580</v>
      </c>
      <c r="AY31" s="57">
        <f>'Fixed Assets'!AY68</f>
        <v>34580</v>
      </c>
      <c r="AZ31" s="57">
        <f>'Fixed Assets'!AZ68</f>
        <v>34580</v>
      </c>
      <c r="BA31" s="57">
        <f>'Fixed Assets'!BA68</f>
        <v>34580</v>
      </c>
      <c r="BB31" s="57">
        <f>'Fixed Assets'!BB68</f>
        <v>34580</v>
      </c>
      <c r="BC31" s="57">
        <f>'Fixed Assets'!BC68</f>
        <v>34580</v>
      </c>
      <c r="BD31" s="57">
        <f>'Fixed Assets'!BD68</f>
        <v>34580</v>
      </c>
      <c r="BE31" s="57">
        <f>'Fixed Assets'!BE68</f>
        <v>34580</v>
      </c>
      <c r="BF31" s="57">
        <f>'Fixed Assets'!BF68</f>
        <v>39520</v>
      </c>
      <c r="BG31" s="57">
        <f>'Fixed Assets'!BG68</f>
        <v>39520</v>
      </c>
      <c r="BH31" s="57">
        <f>'Fixed Assets'!BH68</f>
        <v>39520</v>
      </c>
      <c r="BI31" s="57">
        <f>'Fixed Assets'!BI68</f>
        <v>39520</v>
      </c>
      <c r="BJ31" s="57">
        <f>'Fixed Assets'!BJ68</f>
        <v>39520</v>
      </c>
      <c r="BK31" s="57">
        <f>'Fixed Assets'!BK68</f>
        <v>39520</v>
      </c>
      <c r="BL31" s="57">
        <f>'Fixed Assets'!BL68</f>
        <v>39520</v>
      </c>
      <c r="BM31" s="57">
        <f>'Fixed Assets'!BM68</f>
        <v>39520</v>
      </c>
      <c r="BN31" s="57">
        <f>'Fixed Assets'!BN68</f>
        <v>39520</v>
      </c>
      <c r="BO31" s="57">
        <f>'Fixed Assets'!BO68</f>
        <v>39520</v>
      </c>
      <c r="BP31" s="57">
        <f>'Fixed Assets'!BP68</f>
        <v>39520</v>
      </c>
      <c r="BQ31" s="57">
        <f>'Fixed Assets'!BQ68</f>
        <v>39520</v>
      </c>
    </row>
    <row r="32" spans="2:69" ht="14.4">
      <c r="B32" t="s">
        <v>145</v>
      </c>
      <c r="J32" s="39">
        <f>SUM(J29:J31)</f>
        <v>2643</v>
      </c>
      <c r="K32" s="39">
        <f t="shared" ref="K32:BE32" si="49">SUM(K29:K31)</f>
        <v>5761</v>
      </c>
      <c r="L32" s="39">
        <f t="shared" si="49"/>
        <v>44824</v>
      </c>
      <c r="M32" s="39">
        <f t="shared" si="49"/>
        <v>60443</v>
      </c>
      <c r="N32" s="39">
        <f t="shared" si="49"/>
        <v>64734</v>
      </c>
      <c r="O32" s="39">
        <f t="shared" si="49"/>
        <v>134805</v>
      </c>
      <c r="P32" s="39">
        <f t="shared" si="49"/>
        <v>95323</v>
      </c>
      <c r="Q32" s="39">
        <f t="shared" si="49"/>
        <v>77053</v>
      </c>
      <c r="R32" s="39">
        <f t="shared" si="49"/>
        <v>45898</v>
      </c>
      <c r="S32" s="39">
        <f t="shared" si="49"/>
        <v>79919</v>
      </c>
      <c r="T32" s="39">
        <f t="shared" si="49"/>
        <v>95977</v>
      </c>
      <c r="U32" s="39">
        <f t="shared" si="49"/>
        <v>94328.25</v>
      </c>
      <c r="V32" s="39">
        <f t="shared" si="49"/>
        <v>103893.25</v>
      </c>
      <c r="W32" s="39">
        <f t="shared" si="49"/>
        <v>170568.25</v>
      </c>
      <c r="X32" s="39">
        <f t="shared" si="49"/>
        <v>143649.5</v>
      </c>
      <c r="Y32" s="39">
        <f t="shared" si="49"/>
        <v>146944.5</v>
      </c>
      <c r="Z32" s="39">
        <f t="shared" si="49"/>
        <v>152725.75</v>
      </c>
      <c r="AA32" s="39">
        <f t="shared" si="49"/>
        <v>158720.75</v>
      </c>
      <c r="AB32" s="39">
        <f t="shared" si="49"/>
        <v>168015.75</v>
      </c>
      <c r="AC32" s="39">
        <f t="shared" si="49"/>
        <v>171697</v>
      </c>
      <c r="AD32" s="39">
        <f t="shared" si="49"/>
        <v>177692</v>
      </c>
      <c r="AE32" s="39">
        <f t="shared" si="49"/>
        <v>184573.25</v>
      </c>
      <c r="AF32" s="39">
        <f t="shared" si="49"/>
        <v>195268.25</v>
      </c>
      <c r="AG32" s="39">
        <f t="shared" si="49"/>
        <v>198263.25</v>
      </c>
      <c r="AH32" s="39">
        <f t="shared" si="49"/>
        <v>219699.5</v>
      </c>
      <c r="AI32" s="39">
        <f t="shared" si="49"/>
        <v>226393.5</v>
      </c>
      <c r="AJ32" s="39">
        <f t="shared" si="49"/>
        <v>236673.75</v>
      </c>
      <c r="AK32" s="39">
        <f t="shared" si="49"/>
        <v>243867.75</v>
      </c>
      <c r="AL32" s="39">
        <f t="shared" si="49"/>
        <v>250648</v>
      </c>
      <c r="AM32" s="39">
        <f t="shared" si="49"/>
        <v>257842</v>
      </c>
      <c r="AN32" s="39">
        <f t="shared" si="49"/>
        <v>268622.25</v>
      </c>
      <c r="AO32" s="39">
        <f t="shared" si="49"/>
        <v>272316.25</v>
      </c>
      <c r="AP32" s="39">
        <f t="shared" si="49"/>
        <v>279596.5</v>
      </c>
      <c r="AQ32" s="39">
        <f t="shared" si="49"/>
        <v>287290.5</v>
      </c>
      <c r="AR32" s="39">
        <f t="shared" si="49"/>
        <v>297070.75</v>
      </c>
      <c r="AS32" s="39">
        <f t="shared" si="49"/>
        <v>301264.75</v>
      </c>
      <c r="AT32" s="39">
        <f t="shared" si="49"/>
        <v>328493.5</v>
      </c>
      <c r="AU32" s="39">
        <f t="shared" si="49"/>
        <v>336519</v>
      </c>
      <c r="AV32" s="39">
        <f t="shared" si="49"/>
        <v>345130.75</v>
      </c>
      <c r="AW32" s="39">
        <f t="shared" si="49"/>
        <v>356181.25</v>
      </c>
      <c r="AX32" s="39">
        <f t="shared" si="49"/>
        <v>364293</v>
      </c>
      <c r="AY32" s="39">
        <f t="shared" si="49"/>
        <v>372818.5</v>
      </c>
      <c r="AZ32" s="39">
        <f t="shared" si="49"/>
        <v>381930.25</v>
      </c>
      <c r="BA32" s="39">
        <f t="shared" si="49"/>
        <v>390042</v>
      </c>
      <c r="BB32" s="39">
        <f t="shared" si="49"/>
        <v>398567.5</v>
      </c>
      <c r="BC32" s="39">
        <f t="shared" si="49"/>
        <v>407679.25</v>
      </c>
      <c r="BD32" s="39">
        <f t="shared" si="49"/>
        <v>415704.75</v>
      </c>
      <c r="BE32" s="39">
        <f t="shared" si="49"/>
        <v>424316.5</v>
      </c>
      <c r="BF32" s="39">
        <f t="shared" ref="BF32:BQ32" si="50">SUM(BF29:BF31)</f>
        <v>458994.5</v>
      </c>
      <c r="BG32" s="39">
        <f t="shared" si="50"/>
        <v>469202.75</v>
      </c>
      <c r="BH32" s="39">
        <f t="shared" si="50"/>
        <v>479411</v>
      </c>
      <c r="BI32" s="39">
        <f t="shared" si="50"/>
        <v>489533</v>
      </c>
      <c r="BJ32" s="39">
        <f t="shared" si="50"/>
        <v>499741.25</v>
      </c>
      <c r="BK32" s="39">
        <f t="shared" si="50"/>
        <v>509949.5</v>
      </c>
      <c r="BL32" s="39">
        <f t="shared" si="50"/>
        <v>520071.5</v>
      </c>
      <c r="BM32" s="39">
        <f t="shared" si="50"/>
        <v>530279.75</v>
      </c>
      <c r="BN32" s="39">
        <f t="shared" si="50"/>
        <v>540488</v>
      </c>
      <c r="BO32" s="39">
        <f t="shared" si="50"/>
        <v>550610</v>
      </c>
      <c r="BP32" s="39">
        <f t="shared" si="50"/>
        <v>560818.25</v>
      </c>
      <c r="BQ32" s="39">
        <f t="shared" si="50"/>
        <v>570940.25</v>
      </c>
    </row>
    <row r="33" spans="2:69" ht="14.4">
      <c r="B33" t="s">
        <v>139</v>
      </c>
      <c r="J33" s="39">
        <f>J32*Inputs!J8</f>
        <v>528.6</v>
      </c>
      <c r="K33" s="39">
        <f>K32*Inputs!K8</f>
        <v>1152.2</v>
      </c>
      <c r="L33" s="39">
        <f>L32*Inputs!L8</f>
        <v>8964.8000000000011</v>
      </c>
      <c r="M33" s="39">
        <f>M32*Inputs!M8</f>
        <v>12088.6</v>
      </c>
      <c r="N33" s="39">
        <f>N32*Inputs!N8</f>
        <v>12946.800000000001</v>
      </c>
      <c r="O33" s="39">
        <f>O32*Inputs!O8</f>
        <v>26961</v>
      </c>
      <c r="P33" s="39">
        <f>P32*Inputs!P8</f>
        <v>19064.600000000002</v>
      </c>
      <c r="Q33" s="39">
        <f>Q32*Inputs!Q8</f>
        <v>15410.6</v>
      </c>
      <c r="R33" s="39">
        <f>R32*Inputs!R8</f>
        <v>9179.6</v>
      </c>
      <c r="S33" s="39">
        <f>S32*Inputs!S8</f>
        <v>15983.800000000001</v>
      </c>
      <c r="T33" s="39">
        <f>T32*Inputs!T8</f>
        <v>19195.400000000001</v>
      </c>
      <c r="U33" s="39">
        <f>U32*Inputs!U8</f>
        <v>18865.650000000001</v>
      </c>
      <c r="V33" s="39">
        <f>V32*Inputs!V8</f>
        <v>20778.650000000001</v>
      </c>
      <c r="W33" s="39">
        <f>W32*Inputs!W8</f>
        <v>34113.65</v>
      </c>
      <c r="X33" s="39">
        <f>X32*Inputs!X8</f>
        <v>28729.9</v>
      </c>
      <c r="Y33" s="39">
        <f>Y32*Inputs!Y8</f>
        <v>29388.9</v>
      </c>
      <c r="Z33" s="39">
        <f>Z32*Inputs!Z8</f>
        <v>30545.15</v>
      </c>
      <c r="AA33" s="39">
        <f>AA32*Inputs!AA8</f>
        <v>31744.15</v>
      </c>
      <c r="AB33" s="39">
        <f>AB32*Inputs!AB8</f>
        <v>33603.15</v>
      </c>
      <c r="AC33" s="39">
        <f>AC32*Inputs!AC8</f>
        <v>34339.4</v>
      </c>
      <c r="AD33" s="39">
        <f>AD32*Inputs!AD8</f>
        <v>35538.400000000001</v>
      </c>
      <c r="AE33" s="39">
        <f>AE32*Inputs!AE8</f>
        <v>36914.65</v>
      </c>
      <c r="AF33" s="39">
        <f>AF32*Inputs!AF8</f>
        <v>39053.65</v>
      </c>
      <c r="AG33" s="39">
        <f>AG32*Inputs!AG8</f>
        <v>39652.65</v>
      </c>
      <c r="AH33" s="39">
        <f>AH32*Inputs!AH8</f>
        <v>43939.9</v>
      </c>
      <c r="AI33" s="39">
        <f>AI32*Inputs!AI8</f>
        <v>45278.700000000004</v>
      </c>
      <c r="AJ33" s="39">
        <f>AJ32*Inputs!AJ8</f>
        <v>47334.75</v>
      </c>
      <c r="AK33" s="39">
        <f>AK32*Inputs!AK8</f>
        <v>48773.55</v>
      </c>
      <c r="AL33" s="39">
        <f>AL32*Inputs!AL8</f>
        <v>50129.600000000006</v>
      </c>
      <c r="AM33" s="39">
        <f>AM32*Inputs!AM8</f>
        <v>51568.4</v>
      </c>
      <c r="AN33" s="39">
        <f>AN32*Inputs!AN8</f>
        <v>53724.450000000004</v>
      </c>
      <c r="AO33" s="39">
        <f>AO32*Inputs!AO8</f>
        <v>54463.25</v>
      </c>
      <c r="AP33" s="39">
        <f>AP32*Inputs!AP8</f>
        <v>55919.3</v>
      </c>
      <c r="AQ33" s="39">
        <f>AQ32*Inputs!AQ8</f>
        <v>57458.100000000006</v>
      </c>
      <c r="AR33" s="39">
        <f>AR32*Inputs!AR8</f>
        <v>59414.15</v>
      </c>
      <c r="AS33" s="39">
        <f>AS32*Inputs!AS8</f>
        <v>60252.950000000004</v>
      </c>
      <c r="AT33" s="39">
        <f>AT32*Inputs!AT8</f>
        <v>65698.7</v>
      </c>
      <c r="AU33" s="39">
        <f>AU32*Inputs!AU8</f>
        <v>67303.8</v>
      </c>
      <c r="AV33" s="39">
        <f>AV32*Inputs!AV8</f>
        <v>69026.150000000009</v>
      </c>
      <c r="AW33" s="39">
        <f>AW32*Inputs!AW8</f>
        <v>71236.25</v>
      </c>
      <c r="AX33" s="39">
        <f>AX32*Inputs!AX8</f>
        <v>72858.600000000006</v>
      </c>
      <c r="AY33" s="39">
        <f>AY32*Inputs!AY8</f>
        <v>74563.7</v>
      </c>
      <c r="AZ33" s="39">
        <f>AZ32*Inputs!AZ8</f>
        <v>76386.05</v>
      </c>
      <c r="BA33" s="39">
        <f>BA32*Inputs!BA8</f>
        <v>78008.400000000009</v>
      </c>
      <c r="BB33" s="39">
        <f>BB32*Inputs!BB8</f>
        <v>79713.5</v>
      </c>
      <c r="BC33" s="39">
        <f>BC32*Inputs!BC8</f>
        <v>81535.850000000006</v>
      </c>
      <c r="BD33" s="39">
        <f>BD32*Inputs!BD8</f>
        <v>83140.950000000012</v>
      </c>
      <c r="BE33" s="39">
        <f>BE32*Inputs!BE8</f>
        <v>84863.3</v>
      </c>
      <c r="BF33" s="39">
        <f>BF32*Inputs!BF8</f>
        <v>91798.900000000009</v>
      </c>
      <c r="BG33" s="39">
        <f>BG32*Inputs!BG8</f>
        <v>93840.55</v>
      </c>
      <c r="BH33" s="39">
        <f>BH32*Inputs!BH8</f>
        <v>95882.200000000012</v>
      </c>
      <c r="BI33" s="39">
        <f>BI32*Inputs!BI8</f>
        <v>97906.6</v>
      </c>
      <c r="BJ33" s="39">
        <f>BJ32*Inputs!BJ8</f>
        <v>99948.25</v>
      </c>
      <c r="BK33" s="39">
        <f>BK32*Inputs!BK8</f>
        <v>101989.90000000001</v>
      </c>
      <c r="BL33" s="39">
        <f>BL32*Inputs!BL8</f>
        <v>104014.3</v>
      </c>
      <c r="BM33" s="39">
        <f>BM32*Inputs!BM8</f>
        <v>106055.95000000001</v>
      </c>
      <c r="BN33" s="39">
        <f>BN32*Inputs!BN8</f>
        <v>108097.60000000001</v>
      </c>
      <c r="BO33" s="39">
        <f>BO32*Inputs!BO8</f>
        <v>110122</v>
      </c>
      <c r="BP33" s="39">
        <f>BP32*Inputs!BP8</f>
        <v>112163.65000000001</v>
      </c>
      <c r="BQ33" s="39">
        <f>BQ32*Inputs!BQ8</f>
        <v>114188.05</v>
      </c>
    </row>
    <row r="34" spans="2:69" ht="14.4">
      <c r="B34" t="s">
        <v>140</v>
      </c>
      <c r="J34" s="39">
        <f>SUM(J32:J33)</f>
        <v>3171.6</v>
      </c>
      <c r="K34" s="39">
        <f t="shared" ref="K34:BE34" si="51">SUM(K32:K33)</f>
        <v>6913.2</v>
      </c>
      <c r="L34" s="39">
        <f t="shared" si="51"/>
        <v>53788.800000000003</v>
      </c>
      <c r="M34" s="39">
        <f t="shared" si="51"/>
        <v>72531.600000000006</v>
      </c>
      <c r="N34" s="39">
        <f t="shared" si="51"/>
        <v>77680.800000000003</v>
      </c>
      <c r="O34" s="39">
        <f t="shared" si="51"/>
        <v>161766</v>
      </c>
      <c r="P34" s="39">
        <f t="shared" si="51"/>
        <v>114387.6</v>
      </c>
      <c r="Q34" s="39">
        <f t="shared" si="51"/>
        <v>92463.6</v>
      </c>
      <c r="R34" s="39">
        <f t="shared" si="51"/>
        <v>55077.599999999999</v>
      </c>
      <c r="S34" s="39">
        <f t="shared" si="51"/>
        <v>95902.8</v>
      </c>
      <c r="T34" s="39">
        <f t="shared" si="51"/>
        <v>115172.4</v>
      </c>
      <c r="U34" s="39">
        <f t="shared" si="51"/>
        <v>113193.9</v>
      </c>
      <c r="V34" s="39">
        <f t="shared" si="51"/>
        <v>124671.9</v>
      </c>
      <c r="W34" s="39">
        <f t="shared" si="51"/>
        <v>204681.9</v>
      </c>
      <c r="X34" s="39">
        <f t="shared" si="51"/>
        <v>172379.4</v>
      </c>
      <c r="Y34" s="39">
        <f t="shared" si="51"/>
        <v>176333.4</v>
      </c>
      <c r="Z34" s="39">
        <f t="shared" si="51"/>
        <v>183270.9</v>
      </c>
      <c r="AA34" s="39">
        <f t="shared" si="51"/>
        <v>190464.9</v>
      </c>
      <c r="AB34" s="39">
        <f t="shared" si="51"/>
        <v>201618.9</v>
      </c>
      <c r="AC34" s="39">
        <f t="shared" si="51"/>
        <v>206036.4</v>
      </c>
      <c r="AD34" s="39">
        <f t="shared" si="51"/>
        <v>213230.4</v>
      </c>
      <c r="AE34" s="39">
        <f t="shared" si="51"/>
        <v>221487.9</v>
      </c>
      <c r="AF34" s="39">
        <f t="shared" si="51"/>
        <v>234321.9</v>
      </c>
      <c r="AG34" s="39">
        <f t="shared" si="51"/>
        <v>237915.9</v>
      </c>
      <c r="AH34" s="39">
        <f t="shared" si="51"/>
        <v>263639.40000000002</v>
      </c>
      <c r="AI34" s="39">
        <f t="shared" si="51"/>
        <v>271672.2</v>
      </c>
      <c r="AJ34" s="39">
        <f t="shared" si="51"/>
        <v>284008.5</v>
      </c>
      <c r="AK34" s="39">
        <f t="shared" si="51"/>
        <v>292641.3</v>
      </c>
      <c r="AL34" s="39">
        <f t="shared" si="51"/>
        <v>300777.59999999998</v>
      </c>
      <c r="AM34" s="39">
        <f t="shared" si="51"/>
        <v>309410.40000000002</v>
      </c>
      <c r="AN34" s="39">
        <f t="shared" si="51"/>
        <v>322346.7</v>
      </c>
      <c r="AO34" s="39">
        <f t="shared" si="51"/>
        <v>326779.5</v>
      </c>
      <c r="AP34" s="39">
        <f t="shared" si="51"/>
        <v>335515.8</v>
      </c>
      <c r="AQ34" s="39">
        <f t="shared" si="51"/>
        <v>344748.6</v>
      </c>
      <c r="AR34" s="39">
        <f t="shared" si="51"/>
        <v>356484.9</v>
      </c>
      <c r="AS34" s="39">
        <f t="shared" si="51"/>
        <v>361517.7</v>
      </c>
      <c r="AT34" s="39">
        <f t="shared" si="51"/>
        <v>394192.2</v>
      </c>
      <c r="AU34" s="39">
        <f t="shared" si="51"/>
        <v>403822.8</v>
      </c>
      <c r="AV34" s="39">
        <f t="shared" si="51"/>
        <v>414156.9</v>
      </c>
      <c r="AW34" s="39">
        <f t="shared" si="51"/>
        <v>427417.5</v>
      </c>
      <c r="AX34" s="39">
        <f t="shared" si="51"/>
        <v>437151.6</v>
      </c>
      <c r="AY34" s="39">
        <f t="shared" si="51"/>
        <v>447382.2</v>
      </c>
      <c r="AZ34" s="39">
        <f t="shared" si="51"/>
        <v>458316.3</v>
      </c>
      <c r="BA34" s="39">
        <f t="shared" si="51"/>
        <v>468050.4</v>
      </c>
      <c r="BB34" s="39">
        <f t="shared" si="51"/>
        <v>478281</v>
      </c>
      <c r="BC34" s="39">
        <f t="shared" si="51"/>
        <v>489215.1</v>
      </c>
      <c r="BD34" s="39">
        <f t="shared" si="51"/>
        <v>498845.7</v>
      </c>
      <c r="BE34" s="39">
        <f t="shared" si="51"/>
        <v>509179.8</v>
      </c>
      <c r="BF34" s="39">
        <f t="shared" ref="BF34:BQ34" si="52">SUM(BF32:BF33)</f>
        <v>550793.4</v>
      </c>
      <c r="BG34" s="39">
        <f t="shared" si="52"/>
        <v>563043.30000000005</v>
      </c>
      <c r="BH34" s="39">
        <f t="shared" si="52"/>
        <v>575293.19999999995</v>
      </c>
      <c r="BI34" s="39">
        <f t="shared" si="52"/>
        <v>587439.6</v>
      </c>
      <c r="BJ34" s="39">
        <f t="shared" si="52"/>
        <v>599689.5</v>
      </c>
      <c r="BK34" s="39">
        <f t="shared" si="52"/>
        <v>611939.4</v>
      </c>
      <c r="BL34" s="39">
        <f t="shared" si="52"/>
        <v>624085.80000000005</v>
      </c>
      <c r="BM34" s="39">
        <f t="shared" si="52"/>
        <v>636335.69999999995</v>
      </c>
      <c r="BN34" s="39">
        <f t="shared" si="52"/>
        <v>648585.6</v>
      </c>
      <c r="BO34" s="39">
        <f t="shared" si="52"/>
        <v>660732</v>
      </c>
      <c r="BP34" s="39">
        <f t="shared" si="52"/>
        <v>672981.9</v>
      </c>
      <c r="BQ34" s="39">
        <f t="shared" si="52"/>
        <v>685128.3</v>
      </c>
    </row>
    <row r="35" spans="2:69" ht="14.4">
      <c r="B35" t="s">
        <v>141</v>
      </c>
      <c r="J35" s="39">
        <v>0</v>
      </c>
      <c r="K35" s="39">
        <f>J37</f>
        <v>3171.6</v>
      </c>
      <c r="L35" s="39">
        <f t="shared" ref="L35:BE35" si="53">K37</f>
        <v>6628.7999999999993</v>
      </c>
      <c r="M35" s="39">
        <f t="shared" si="53"/>
        <v>11647</v>
      </c>
      <c r="N35" s="39">
        <f t="shared" si="53"/>
        <v>79497</v>
      </c>
      <c r="O35" s="39">
        <f t="shared" si="53"/>
        <v>55824.5</v>
      </c>
      <c r="P35" s="39">
        <f t="shared" si="53"/>
        <v>21864.6</v>
      </c>
      <c r="Q35" s="39">
        <f t="shared" si="53"/>
        <v>42040.639999999999</v>
      </c>
      <c r="R35" s="39">
        <f t="shared" si="53"/>
        <v>65244.18</v>
      </c>
      <c r="S35" s="39">
        <f t="shared" si="53"/>
        <v>54171.430833333332</v>
      </c>
      <c r="T35" s="39">
        <f t="shared" si="53"/>
        <v>95150.419016203698</v>
      </c>
      <c r="U35" s="39">
        <f t="shared" si="53"/>
        <v>113850.86640255271</v>
      </c>
      <c r="V35" s="39">
        <f t="shared" si="53"/>
        <v>111612.63796663121</v>
      </c>
      <c r="W35" s="39">
        <f t="shared" si="53"/>
        <v>123121.72447268566</v>
      </c>
      <c r="X35" s="39">
        <f t="shared" si="53"/>
        <v>202971.87604899044</v>
      </c>
      <c r="Y35" s="39">
        <f t="shared" si="53"/>
        <v>169560.34616598624</v>
      </c>
      <c r="Z35" s="39">
        <f t="shared" si="53"/>
        <v>173978.39519213905</v>
      </c>
      <c r="AA35" s="39">
        <f t="shared" si="53"/>
        <v>180854.53340010915</v>
      </c>
      <c r="AB35" s="39">
        <f t="shared" si="53"/>
        <v>187953.03148055405</v>
      </c>
      <c r="AC35" s="39">
        <f t="shared" si="53"/>
        <v>199008.44122943672</v>
      </c>
      <c r="AD35" s="39">
        <f t="shared" si="53"/>
        <v>203272.39387181334</v>
      </c>
      <c r="AE35" s="39">
        <f t="shared" si="53"/>
        <v>210407.17230733592</v>
      </c>
      <c r="AF35" s="39">
        <f t="shared" si="53"/>
        <v>218565.5781623981</v>
      </c>
      <c r="AG35" s="39">
        <f t="shared" si="53"/>
        <v>231286.26696996667</v>
      </c>
      <c r="AH35" s="39">
        <f t="shared" si="53"/>
        <v>234703.59073652822</v>
      </c>
      <c r="AI35" s="39">
        <f t="shared" si="53"/>
        <v>260379.62790643712</v>
      </c>
      <c r="AJ35" s="39">
        <f t="shared" si="53"/>
        <v>268055.8162790772</v>
      </c>
      <c r="AK35" s="39">
        <f t="shared" si="53"/>
        <v>280285.50255167944</v>
      </c>
      <c r="AL35" s="39">
        <f t="shared" si="53"/>
        <v>288748.44579789334</v>
      </c>
      <c r="AM35" s="39">
        <f t="shared" si="53"/>
        <v>296767.20491947368</v>
      </c>
      <c r="AN35" s="39">
        <f t="shared" si="53"/>
        <v>305288.63326500729</v>
      </c>
      <c r="AO35" s="39">
        <f t="shared" si="53"/>
        <v>318106.58009354147</v>
      </c>
      <c r="AP35" s="39">
        <f t="shared" si="53"/>
        <v>322361.35305425629</v>
      </c>
      <c r="AQ35" s="39">
        <f t="shared" si="53"/>
        <v>331038.55898535746</v>
      </c>
      <c r="AR35" s="39">
        <f t="shared" si="53"/>
        <v>340150.84223631449</v>
      </c>
      <c r="AS35" s="39">
        <f t="shared" si="53"/>
        <v>351760.5827467179</v>
      </c>
      <c r="AT35" s="39">
        <f t="shared" si="53"/>
        <v>356632.13635074004</v>
      </c>
      <c r="AU35" s="39">
        <f t="shared" si="53"/>
        <v>389238.97588401748</v>
      </c>
      <c r="AV35" s="39">
        <f t="shared" si="53"/>
        <v>398416.70311272197</v>
      </c>
      <c r="AW35" s="39">
        <f t="shared" si="53"/>
        <v>408623.33467899001</v>
      </c>
      <c r="AX35" s="39">
        <f t="shared" si="53"/>
        <v>421742.17590723629</v>
      </c>
      <c r="AY35" s="39">
        <f t="shared" si="53"/>
        <v>431294.06977906614</v>
      </c>
      <c r="AZ35" s="39">
        <f t="shared" si="53"/>
        <v>441392.0045864018</v>
      </c>
      <c r="BA35" s="39">
        <f t="shared" si="53"/>
        <v>452185.85549185547</v>
      </c>
      <c r="BB35" s="39">
        <f t="shared" si="53"/>
        <v>461770.0408959465</v>
      </c>
      <c r="BC35" s="39">
        <f t="shared" si="53"/>
        <v>471867.52720977855</v>
      </c>
      <c r="BD35" s="39">
        <f t="shared" si="53"/>
        <v>482661.38434430858</v>
      </c>
      <c r="BE35" s="39">
        <f t="shared" si="53"/>
        <v>492142.06966188457</v>
      </c>
      <c r="BF35" s="39">
        <f t="shared" ref="BF35" si="54">BE37</f>
        <v>502344.49347691832</v>
      </c>
      <c r="BG35" s="39">
        <f t="shared" ref="BG35" si="55">BF37</f>
        <v>543816.39314615389</v>
      </c>
      <c r="BH35" s="39">
        <f t="shared" ref="BH35" si="56">BG37</f>
        <v>555490.2945396367</v>
      </c>
      <c r="BI35" s="39">
        <f t="shared" ref="BI35" si="57">BH37</f>
        <v>567578.05702028272</v>
      </c>
      <c r="BJ35" s="39">
        <f t="shared" ref="BJ35" si="58">BI37</f>
        <v>579556.57143027382</v>
      </c>
      <c r="BK35" s="39">
        <f t="shared" ref="BK35" si="59">BJ37</f>
        <v>591640.10317457945</v>
      </c>
      <c r="BL35" s="39">
        <f t="shared" ref="BL35" si="60">BK37</f>
        <v>603722.17634479748</v>
      </c>
      <c r="BM35" s="39">
        <f t="shared" ref="BM35" si="61">BL37</f>
        <v>615700.76977298898</v>
      </c>
      <c r="BN35" s="39">
        <f t="shared" ref="BN35" si="62">BM37</f>
        <v>627784.30041981954</v>
      </c>
      <c r="BO35" s="39">
        <f t="shared" ref="BO35" si="63">BN37</f>
        <v>639866.3736052803</v>
      </c>
      <c r="BP35" s="39">
        <f t="shared" ref="BP35" si="64">BO37</f>
        <v>651844.9670332598</v>
      </c>
      <c r="BQ35" s="39">
        <f t="shared" ref="BQ35" si="65">BP37</f>
        <v>663928.49768009374</v>
      </c>
    </row>
    <row r="36" spans="2:69" ht="14.4">
      <c r="B36" s="12" t="s">
        <v>142</v>
      </c>
      <c r="C36" s="9"/>
      <c r="D36" s="9"/>
      <c r="E36" s="9"/>
      <c r="F36" s="9"/>
      <c r="G36" s="9"/>
      <c r="H36" s="9"/>
      <c r="I36" s="9"/>
      <c r="J36" s="41"/>
      <c r="K36" s="41">
        <v>-3456</v>
      </c>
      <c r="L36" s="41">
        <f>-L35/(Inputs!L10*(12/365))</f>
        <v>-6720.8666666666659</v>
      </c>
      <c r="M36" s="41">
        <f>-M35/(Inputs!M10*(12/365))</f>
        <v>-11808.763888888889</v>
      </c>
      <c r="N36" s="41">
        <f>-N35/(Inputs!N10*(12/365))</f>
        <v>-80601.125</v>
      </c>
      <c r="O36" s="41">
        <f>-O35/(Inputs!O10*(12/365))</f>
        <v>-56599.840277777781</v>
      </c>
      <c r="P36" s="41">
        <f>-P35/(Inputs!P10*(12/365))</f>
        <v>-22168.275000000001</v>
      </c>
      <c r="Q36" s="41">
        <f>-Q35/(Inputs!Q10*(12/365))</f>
        <v>-42624.537777777783</v>
      </c>
      <c r="R36" s="41">
        <f>-R35/(Inputs!R10*(12/365))</f>
        <v>-66150.349166666667</v>
      </c>
      <c r="S36" s="41">
        <f>-S35/(Inputs!S10*(12/365))</f>
        <v>-54923.81181712963</v>
      </c>
      <c r="T36" s="41">
        <f>-T35/(Inputs!T10*(12/365))</f>
        <v>-96471.952613650981</v>
      </c>
      <c r="U36" s="41">
        <f>-U35/(Inputs!U10*(12/365))</f>
        <v>-115432.12843592151</v>
      </c>
      <c r="V36" s="41">
        <f>-V35/(Inputs!V10*(12/365))</f>
        <v>-113162.81349394555</v>
      </c>
      <c r="W36" s="41">
        <f>-W35/(Inputs!W10*(12/365))</f>
        <v>-124831.74842369519</v>
      </c>
      <c r="X36" s="41">
        <f>-X35/(Inputs!X10*(12/365))</f>
        <v>-205790.9298830042</v>
      </c>
      <c r="Y36" s="41">
        <f>-Y35/(Inputs!Y10*(12/365))</f>
        <v>-171915.35097384718</v>
      </c>
      <c r="Z36" s="41">
        <f>-Z35/(Inputs!Z10*(12/365))</f>
        <v>-176394.76179202989</v>
      </c>
      <c r="AA36" s="41">
        <f>-AA35/(Inputs!AA10*(12/365))</f>
        <v>-183366.40191955512</v>
      </c>
      <c r="AB36" s="41">
        <f>-AB35/(Inputs!AB10*(12/365))</f>
        <v>-190563.49025111733</v>
      </c>
      <c r="AC36" s="41">
        <f>-AC35/(Inputs!AC10*(12/365))</f>
        <v>-201772.44735762334</v>
      </c>
      <c r="AD36" s="41">
        <f>-AD35/(Inputs!AD10*(12/365))</f>
        <v>-206095.62156447742</v>
      </c>
      <c r="AE36" s="41">
        <f>-AE35/(Inputs!AE10*(12/365))</f>
        <v>-213329.49414493781</v>
      </c>
      <c r="AF36" s="41">
        <f>-AF35/(Inputs!AF10*(12/365))</f>
        <v>-221601.21119243142</v>
      </c>
      <c r="AG36" s="41">
        <f>-AG35/(Inputs!AG10*(12/365))</f>
        <v>-234498.57623343845</v>
      </c>
      <c r="AH36" s="41">
        <f>-AH35/(Inputs!AH10*(12/365))</f>
        <v>-237963.36283009112</v>
      </c>
      <c r="AI36" s="41">
        <f>-AI35/(Inputs!AI10*(12/365))</f>
        <v>-263996.0116273599</v>
      </c>
      <c r="AJ36" s="41">
        <f>-AJ35/(Inputs!AJ10*(12/365))</f>
        <v>-271778.81372739776</v>
      </c>
      <c r="AK36" s="41">
        <f>-AK35/(Inputs!AK10*(12/365))</f>
        <v>-284178.35675378609</v>
      </c>
      <c r="AL36" s="41">
        <f>-AL35/(Inputs!AL10*(12/365))</f>
        <v>-292758.84087841964</v>
      </c>
      <c r="AM36" s="41">
        <f>-AM35/(Inputs!AM10*(12/365))</f>
        <v>-300888.97165446635</v>
      </c>
      <c r="AN36" s="41">
        <f>-AN35/(Inputs!AN10*(12/365))</f>
        <v>-309528.75317146577</v>
      </c>
      <c r="AO36" s="41">
        <f>-AO35/(Inputs!AO10*(12/365))</f>
        <v>-322524.72703928512</v>
      </c>
      <c r="AP36" s="41">
        <f>-AP35/(Inputs!AP10*(12/365))</f>
        <v>-326838.59406889876</v>
      </c>
      <c r="AQ36" s="41">
        <f>-AQ35/(Inputs!AQ10*(12/365))</f>
        <v>-335636.31674904301</v>
      </c>
      <c r="AR36" s="41">
        <f>-AR35/(Inputs!AR10*(12/365))</f>
        <v>-344875.15948959667</v>
      </c>
      <c r="AS36" s="41">
        <f>-AS35/(Inputs!AS10*(12/365))</f>
        <v>-356646.14639597788</v>
      </c>
      <c r="AT36" s="41">
        <f>-AT35/(Inputs!AT10*(12/365))</f>
        <v>-361585.36046672257</v>
      </c>
      <c r="AU36" s="41">
        <f>-AU35/(Inputs!AU10*(12/365))</f>
        <v>-394645.0727712955</v>
      </c>
      <c r="AV36" s="41">
        <f>-AV35/(Inputs!AV10*(12/365))</f>
        <v>-403950.26843373204</v>
      </c>
      <c r="AW36" s="41">
        <f>-AW35/(Inputs!AW10*(12/365))</f>
        <v>-414298.65877175378</v>
      </c>
      <c r="AX36" s="41">
        <f>-AX35/(Inputs!AX10*(12/365))</f>
        <v>-427599.70612817013</v>
      </c>
      <c r="AY36" s="41">
        <f>-AY35/(Inputs!AY10*(12/365))</f>
        <v>-437284.26519266429</v>
      </c>
      <c r="AZ36" s="41">
        <f>-AZ35/(Inputs!AZ10*(12/365))</f>
        <v>-447522.44909454632</v>
      </c>
      <c r="BA36" s="41">
        <f>-BA35/(Inputs!BA10*(12/365))</f>
        <v>-458466.21459590906</v>
      </c>
      <c r="BB36" s="41">
        <f>-BB35/(Inputs!BB10*(12/365))</f>
        <v>-468183.51368616801</v>
      </c>
      <c r="BC36" s="41">
        <f>-BC35/(Inputs!BC10*(12/365))</f>
        <v>-478421.24286546995</v>
      </c>
      <c r="BD36" s="41">
        <f>-BD35/(Inputs!BD10*(12/365))</f>
        <v>-489365.01468242402</v>
      </c>
      <c r="BE36" s="41">
        <f>-BE35/(Inputs!BE10*(12/365))</f>
        <v>-498977.3761849663</v>
      </c>
      <c r="BF36" s="41">
        <f>-BF35/(Inputs!BF10*(12/365))</f>
        <v>-509321.50033076445</v>
      </c>
      <c r="BG36" s="41">
        <f>-BG35/(Inputs!BG10*(12/365))</f>
        <v>-551369.39860651712</v>
      </c>
      <c r="BH36" s="41">
        <f>-BH35/(Inputs!BH10*(12/365))</f>
        <v>-563205.43751935393</v>
      </c>
      <c r="BI36" s="41">
        <f>-BI35/(Inputs!BI10*(12/365))</f>
        <v>-575461.08559000888</v>
      </c>
      <c r="BJ36" s="41">
        <f>-BJ35/(Inputs!BJ10*(12/365))</f>
        <v>-587605.96825569437</v>
      </c>
      <c r="BK36" s="41">
        <f>-BK35/(Inputs!BK10*(12/365))</f>
        <v>-599857.32682978199</v>
      </c>
      <c r="BL36" s="41">
        <f>-BL35/(Inputs!BL10*(12/365))</f>
        <v>-612107.20657180855</v>
      </c>
      <c r="BM36" s="41">
        <f>-BM35/(Inputs!BM10*(12/365))</f>
        <v>-624252.16935316939</v>
      </c>
      <c r="BN36" s="41">
        <f>-BN35/(Inputs!BN10*(12/365))</f>
        <v>-636503.52681453933</v>
      </c>
      <c r="BO36" s="41">
        <f>-BO35/(Inputs!BO10*(12/365))</f>
        <v>-648753.40657202038</v>
      </c>
      <c r="BP36" s="41">
        <f>-BP35/(Inputs!BP10*(12/365))</f>
        <v>-660898.3693531662</v>
      </c>
      <c r="BQ36" s="41">
        <f>-BQ35/(Inputs!BQ10*(12/365))</f>
        <v>-673149.72681453952</v>
      </c>
    </row>
    <row r="37" spans="2:69" ht="14.4">
      <c r="B37" s="2" t="s">
        <v>143</v>
      </c>
      <c r="J37" s="39">
        <f>SUM(J34:J36)</f>
        <v>3171.6</v>
      </c>
      <c r="K37" s="39">
        <f t="shared" ref="K37:BE37" si="66">SUM(K34:K36)</f>
        <v>6628.7999999999993</v>
      </c>
      <c r="L37" s="39">
        <v>11647</v>
      </c>
      <c r="M37" s="39">
        <v>79497</v>
      </c>
      <c r="N37" s="39">
        <v>55824.5</v>
      </c>
      <c r="O37" s="39">
        <v>21864.6</v>
      </c>
      <c r="P37" s="39">
        <v>42040.639999999999</v>
      </c>
      <c r="Q37" s="39">
        <v>65244.18</v>
      </c>
      <c r="R37" s="39">
        <f t="shared" si="66"/>
        <v>54171.430833333332</v>
      </c>
      <c r="S37" s="39">
        <f t="shared" si="66"/>
        <v>95150.419016203698</v>
      </c>
      <c r="T37" s="39">
        <f t="shared" si="66"/>
        <v>113850.86640255271</v>
      </c>
      <c r="U37" s="39">
        <f t="shared" si="66"/>
        <v>111612.63796663121</v>
      </c>
      <c r="V37" s="39">
        <f t="shared" si="66"/>
        <v>123121.72447268566</v>
      </c>
      <c r="W37" s="39">
        <f t="shared" si="66"/>
        <v>202971.87604899044</v>
      </c>
      <c r="X37" s="39">
        <f t="shared" si="66"/>
        <v>169560.34616598624</v>
      </c>
      <c r="Y37" s="39">
        <f t="shared" si="66"/>
        <v>173978.39519213905</v>
      </c>
      <c r="Z37" s="39">
        <f t="shared" si="66"/>
        <v>180854.53340010915</v>
      </c>
      <c r="AA37" s="39">
        <f t="shared" si="66"/>
        <v>187953.03148055405</v>
      </c>
      <c r="AB37" s="39">
        <f t="shared" si="66"/>
        <v>199008.44122943672</v>
      </c>
      <c r="AC37" s="39">
        <f t="shared" si="66"/>
        <v>203272.39387181334</v>
      </c>
      <c r="AD37" s="39">
        <f t="shared" si="66"/>
        <v>210407.17230733592</v>
      </c>
      <c r="AE37" s="39">
        <f t="shared" si="66"/>
        <v>218565.5781623981</v>
      </c>
      <c r="AF37" s="39">
        <f t="shared" si="66"/>
        <v>231286.26696996667</v>
      </c>
      <c r="AG37" s="39">
        <f t="shared" si="66"/>
        <v>234703.59073652822</v>
      </c>
      <c r="AH37" s="39">
        <f t="shared" si="66"/>
        <v>260379.62790643712</v>
      </c>
      <c r="AI37" s="39">
        <f t="shared" si="66"/>
        <v>268055.8162790772</v>
      </c>
      <c r="AJ37" s="39">
        <f t="shared" si="66"/>
        <v>280285.50255167944</v>
      </c>
      <c r="AK37" s="39">
        <f t="shared" si="66"/>
        <v>288748.44579789334</v>
      </c>
      <c r="AL37" s="39">
        <f t="shared" si="66"/>
        <v>296767.20491947368</v>
      </c>
      <c r="AM37" s="39">
        <f t="shared" si="66"/>
        <v>305288.63326500729</v>
      </c>
      <c r="AN37" s="39">
        <f t="shared" si="66"/>
        <v>318106.58009354147</v>
      </c>
      <c r="AO37" s="39">
        <f t="shared" si="66"/>
        <v>322361.35305425629</v>
      </c>
      <c r="AP37" s="39">
        <f t="shared" si="66"/>
        <v>331038.55898535746</v>
      </c>
      <c r="AQ37" s="39">
        <f t="shared" si="66"/>
        <v>340150.84223631449</v>
      </c>
      <c r="AR37" s="39">
        <f t="shared" si="66"/>
        <v>351760.5827467179</v>
      </c>
      <c r="AS37" s="39">
        <f t="shared" si="66"/>
        <v>356632.13635074004</v>
      </c>
      <c r="AT37" s="39">
        <f t="shared" si="66"/>
        <v>389238.97588401748</v>
      </c>
      <c r="AU37" s="39">
        <f t="shared" si="66"/>
        <v>398416.70311272197</v>
      </c>
      <c r="AV37" s="39">
        <f t="shared" si="66"/>
        <v>408623.33467899001</v>
      </c>
      <c r="AW37" s="39">
        <f t="shared" si="66"/>
        <v>421742.17590723629</v>
      </c>
      <c r="AX37" s="39">
        <f t="shared" si="66"/>
        <v>431294.06977906614</v>
      </c>
      <c r="AY37" s="39">
        <f t="shared" si="66"/>
        <v>441392.0045864018</v>
      </c>
      <c r="AZ37" s="39">
        <f t="shared" si="66"/>
        <v>452185.85549185547</v>
      </c>
      <c r="BA37" s="39">
        <f t="shared" si="66"/>
        <v>461770.0408959465</v>
      </c>
      <c r="BB37" s="39">
        <f t="shared" si="66"/>
        <v>471867.52720977855</v>
      </c>
      <c r="BC37" s="39">
        <f t="shared" si="66"/>
        <v>482661.38434430858</v>
      </c>
      <c r="BD37" s="39">
        <f t="shared" si="66"/>
        <v>492142.06966188457</v>
      </c>
      <c r="BE37" s="39">
        <f t="shared" si="66"/>
        <v>502344.49347691832</v>
      </c>
      <c r="BF37" s="39">
        <f t="shared" ref="BF37:BQ37" si="67">SUM(BF34:BF36)</f>
        <v>543816.39314615389</v>
      </c>
      <c r="BG37" s="39">
        <f t="shared" si="67"/>
        <v>555490.2945396367</v>
      </c>
      <c r="BH37" s="39">
        <f t="shared" si="67"/>
        <v>567578.05702028272</v>
      </c>
      <c r="BI37" s="39">
        <f t="shared" si="67"/>
        <v>579556.57143027382</v>
      </c>
      <c r="BJ37" s="39">
        <f t="shared" si="67"/>
        <v>591640.10317457945</v>
      </c>
      <c r="BK37" s="39">
        <f t="shared" si="67"/>
        <v>603722.17634479748</v>
      </c>
      <c r="BL37" s="39">
        <f t="shared" si="67"/>
        <v>615700.76977298898</v>
      </c>
      <c r="BM37" s="39">
        <f t="shared" si="67"/>
        <v>627784.30041981954</v>
      </c>
      <c r="BN37" s="39">
        <f t="shared" si="67"/>
        <v>639866.3736052803</v>
      </c>
      <c r="BO37" s="39">
        <f t="shared" si="67"/>
        <v>651844.9670332598</v>
      </c>
      <c r="BP37" s="39">
        <f t="shared" si="67"/>
        <v>663928.49768009374</v>
      </c>
      <c r="BQ37" s="39">
        <f t="shared" si="67"/>
        <v>675907.07086555439</v>
      </c>
    </row>
    <row r="38" spans="2:69">
      <c r="J38" s="39"/>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39"/>
      <c r="AY38" s="39"/>
      <c r="AZ38" s="39"/>
      <c r="BA38" s="39"/>
      <c r="BB38" s="39"/>
      <c r="BC38" s="39"/>
      <c r="BD38" s="39"/>
      <c r="BE38" s="39"/>
      <c r="BF38" s="39"/>
      <c r="BG38" s="39"/>
      <c r="BH38" s="39"/>
      <c r="BI38" s="39"/>
      <c r="BJ38" s="39"/>
      <c r="BK38" s="39"/>
      <c r="BL38" s="39"/>
      <c r="BM38" s="39"/>
      <c r="BN38" s="39"/>
      <c r="BO38" s="39"/>
      <c r="BP38" s="39"/>
      <c r="BQ38" s="39"/>
    </row>
    <row r="39" spans="2:6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c r="BM39" s="39"/>
      <c r="BN39" s="39"/>
      <c r="BO39" s="39"/>
      <c r="BP39" s="39"/>
      <c r="BQ39" s="39"/>
    </row>
    <row r="40" spans="2:69" ht="14.4">
      <c r="B40" s="2" t="s">
        <v>70</v>
      </c>
      <c r="J40" s="39"/>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39"/>
      <c r="AY40" s="39"/>
      <c r="AZ40" s="39"/>
      <c r="BA40" s="39"/>
      <c r="BB40" s="39"/>
      <c r="BC40" s="39"/>
      <c r="BD40" s="39"/>
      <c r="BE40" s="39"/>
      <c r="BF40" s="39"/>
      <c r="BG40" s="39"/>
      <c r="BH40" s="39"/>
      <c r="BI40" s="39"/>
      <c r="BJ40" s="39"/>
      <c r="BK40" s="39"/>
      <c r="BL40" s="39"/>
      <c r="BM40" s="39"/>
      <c r="BN40" s="39"/>
      <c r="BO40" s="39"/>
      <c r="BP40" s="39"/>
      <c r="BQ40" s="39"/>
    </row>
    <row r="41" spans="2:69" ht="14.4">
      <c r="B41" t="s">
        <v>148</v>
      </c>
      <c r="J41" s="39">
        <v>0</v>
      </c>
      <c r="K41" s="39">
        <f>J43</f>
        <v>0</v>
      </c>
      <c r="L41" s="39">
        <f t="shared" ref="L41:BE41" si="68">K43</f>
        <v>0</v>
      </c>
      <c r="M41" s="39">
        <f t="shared" si="68"/>
        <v>0</v>
      </c>
      <c r="N41" s="39">
        <f t="shared" si="68"/>
        <v>0</v>
      </c>
      <c r="O41" s="39">
        <f t="shared" si="68"/>
        <v>0</v>
      </c>
      <c r="P41" s="39">
        <f t="shared" si="68"/>
        <v>0</v>
      </c>
      <c r="Q41" s="39">
        <f t="shared" si="68"/>
        <v>0</v>
      </c>
      <c r="R41" s="39">
        <f t="shared" si="68"/>
        <v>0</v>
      </c>
      <c r="S41" s="39">
        <f t="shared" si="68"/>
        <v>0</v>
      </c>
      <c r="T41" s="39">
        <f t="shared" si="68"/>
        <v>0</v>
      </c>
      <c r="U41" s="39">
        <f t="shared" si="68"/>
        <v>0</v>
      </c>
      <c r="V41" s="39">
        <f t="shared" si="68"/>
        <v>0</v>
      </c>
      <c r="W41" s="39">
        <f t="shared" si="68"/>
        <v>0</v>
      </c>
      <c r="X41" s="39">
        <f t="shared" si="68"/>
        <v>0</v>
      </c>
      <c r="Y41" s="39">
        <f t="shared" si="68"/>
        <v>0</v>
      </c>
      <c r="Z41" s="39">
        <f t="shared" si="68"/>
        <v>0</v>
      </c>
      <c r="AA41" s="39">
        <f t="shared" si="68"/>
        <v>0</v>
      </c>
      <c r="AB41" s="39">
        <f t="shared" si="68"/>
        <v>0</v>
      </c>
      <c r="AC41" s="39">
        <f t="shared" si="68"/>
        <v>0</v>
      </c>
      <c r="AD41" s="39">
        <f t="shared" si="68"/>
        <v>0</v>
      </c>
      <c r="AE41" s="39">
        <f t="shared" si="68"/>
        <v>0</v>
      </c>
      <c r="AF41" s="39">
        <f t="shared" si="68"/>
        <v>0</v>
      </c>
      <c r="AG41" s="39">
        <f t="shared" si="68"/>
        <v>0</v>
      </c>
      <c r="AH41" s="39">
        <f t="shared" si="68"/>
        <v>0</v>
      </c>
      <c r="AI41" s="39">
        <f t="shared" si="68"/>
        <v>0</v>
      </c>
      <c r="AJ41" s="39">
        <f t="shared" si="68"/>
        <v>0</v>
      </c>
      <c r="AK41" s="39">
        <f t="shared" si="68"/>
        <v>0</v>
      </c>
      <c r="AL41" s="39">
        <f t="shared" si="68"/>
        <v>0</v>
      </c>
      <c r="AM41" s="39">
        <f t="shared" si="68"/>
        <v>0</v>
      </c>
      <c r="AN41" s="39">
        <f t="shared" si="68"/>
        <v>0</v>
      </c>
      <c r="AO41" s="39">
        <f t="shared" si="68"/>
        <v>0</v>
      </c>
      <c r="AP41" s="39">
        <f t="shared" si="68"/>
        <v>0</v>
      </c>
      <c r="AQ41" s="39">
        <f t="shared" si="68"/>
        <v>0</v>
      </c>
      <c r="AR41" s="39">
        <f t="shared" si="68"/>
        <v>0</v>
      </c>
      <c r="AS41" s="39">
        <f t="shared" si="68"/>
        <v>0</v>
      </c>
      <c r="AT41" s="39">
        <f t="shared" si="68"/>
        <v>0</v>
      </c>
      <c r="AU41" s="39">
        <f t="shared" si="68"/>
        <v>0</v>
      </c>
      <c r="AV41" s="39">
        <f t="shared" si="68"/>
        <v>0</v>
      </c>
      <c r="AW41" s="39">
        <f t="shared" si="68"/>
        <v>0</v>
      </c>
      <c r="AX41" s="39">
        <f t="shared" si="68"/>
        <v>0</v>
      </c>
      <c r="AY41" s="39">
        <f t="shared" si="68"/>
        <v>0</v>
      </c>
      <c r="AZ41" s="39">
        <f t="shared" si="68"/>
        <v>0</v>
      </c>
      <c r="BA41" s="39">
        <f t="shared" si="68"/>
        <v>0</v>
      </c>
      <c r="BB41" s="39">
        <f t="shared" si="68"/>
        <v>0</v>
      </c>
      <c r="BC41" s="39">
        <f t="shared" si="68"/>
        <v>0</v>
      </c>
      <c r="BD41" s="39">
        <f t="shared" si="68"/>
        <v>0</v>
      </c>
      <c r="BE41" s="39">
        <f t="shared" si="68"/>
        <v>0</v>
      </c>
      <c r="BF41" s="39">
        <f t="shared" ref="BF41" si="69">BE43</f>
        <v>0</v>
      </c>
      <c r="BG41" s="39">
        <f t="shared" ref="BG41" si="70">BF43</f>
        <v>0</v>
      </c>
      <c r="BH41" s="39">
        <f t="shared" ref="BH41" si="71">BG43</f>
        <v>0</v>
      </c>
      <c r="BI41" s="39">
        <f t="shared" ref="BI41" si="72">BH43</f>
        <v>0</v>
      </c>
      <c r="BJ41" s="39">
        <f t="shared" ref="BJ41" si="73">BI43</f>
        <v>0</v>
      </c>
      <c r="BK41" s="39">
        <f t="shared" ref="BK41" si="74">BJ43</f>
        <v>0</v>
      </c>
      <c r="BL41" s="39">
        <f t="shared" ref="BL41" si="75">BK43</f>
        <v>0</v>
      </c>
      <c r="BM41" s="39">
        <f t="shared" ref="BM41" si="76">BL43</f>
        <v>0</v>
      </c>
      <c r="BN41" s="39">
        <f t="shared" ref="BN41" si="77">BM43</f>
        <v>0</v>
      </c>
      <c r="BO41" s="39">
        <f t="shared" ref="BO41" si="78">BN43</f>
        <v>0</v>
      </c>
      <c r="BP41" s="39">
        <f t="shared" ref="BP41" si="79">BO43</f>
        <v>0</v>
      </c>
      <c r="BQ41" s="39">
        <f t="shared" ref="BQ41" si="80">BP43</f>
        <v>0</v>
      </c>
    </row>
    <row r="42" spans="2:69" ht="14.4">
      <c r="B42" s="12" t="s">
        <v>149</v>
      </c>
      <c r="C42" s="9"/>
      <c r="D42" s="9"/>
      <c r="E42" s="9"/>
      <c r="F42" s="9"/>
      <c r="G42" s="9"/>
      <c r="H42" s="9"/>
      <c r="I42" s="9"/>
      <c r="J42" s="42">
        <v>0</v>
      </c>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c r="BI42" s="42"/>
      <c r="BJ42" s="42"/>
      <c r="BK42" s="42"/>
      <c r="BL42" s="42"/>
      <c r="BM42" s="42"/>
      <c r="BN42" s="42"/>
      <c r="BO42" s="42"/>
      <c r="BP42" s="42"/>
      <c r="BQ42" s="42"/>
    </row>
    <row r="43" spans="2:69" ht="14.4">
      <c r="B43" s="2" t="s">
        <v>150</v>
      </c>
      <c r="J43" s="39">
        <f>SUM(J41:J42)</f>
        <v>0</v>
      </c>
      <c r="K43" s="39">
        <f>SUM(K41:K42)</f>
        <v>0</v>
      </c>
      <c r="L43" s="39">
        <f t="shared" ref="L43:BE43" si="81">SUM(L41:L42)</f>
        <v>0</v>
      </c>
      <c r="M43" s="39">
        <f t="shared" si="81"/>
        <v>0</v>
      </c>
      <c r="N43" s="39">
        <f t="shared" si="81"/>
        <v>0</v>
      </c>
      <c r="O43" s="39">
        <f t="shared" si="81"/>
        <v>0</v>
      </c>
      <c r="P43" s="39">
        <f t="shared" si="81"/>
        <v>0</v>
      </c>
      <c r="Q43" s="39">
        <f t="shared" si="81"/>
        <v>0</v>
      </c>
      <c r="R43" s="39">
        <f t="shared" si="81"/>
        <v>0</v>
      </c>
      <c r="S43" s="39">
        <f t="shared" si="81"/>
        <v>0</v>
      </c>
      <c r="T43" s="39">
        <f t="shared" si="81"/>
        <v>0</v>
      </c>
      <c r="U43" s="39">
        <f t="shared" si="81"/>
        <v>0</v>
      </c>
      <c r="V43" s="39">
        <f t="shared" si="81"/>
        <v>0</v>
      </c>
      <c r="W43" s="39">
        <f t="shared" si="81"/>
        <v>0</v>
      </c>
      <c r="X43" s="39">
        <f t="shared" si="81"/>
        <v>0</v>
      </c>
      <c r="Y43" s="39">
        <f t="shared" si="81"/>
        <v>0</v>
      </c>
      <c r="Z43" s="39">
        <f t="shared" si="81"/>
        <v>0</v>
      </c>
      <c r="AA43" s="39">
        <f t="shared" si="81"/>
        <v>0</v>
      </c>
      <c r="AB43" s="39">
        <f t="shared" si="81"/>
        <v>0</v>
      </c>
      <c r="AC43" s="39">
        <f t="shared" si="81"/>
        <v>0</v>
      </c>
      <c r="AD43" s="39">
        <f t="shared" si="81"/>
        <v>0</v>
      </c>
      <c r="AE43" s="39">
        <f t="shared" si="81"/>
        <v>0</v>
      </c>
      <c r="AF43" s="39">
        <f t="shared" si="81"/>
        <v>0</v>
      </c>
      <c r="AG43" s="39">
        <f t="shared" si="81"/>
        <v>0</v>
      </c>
      <c r="AH43" s="39">
        <f t="shared" si="81"/>
        <v>0</v>
      </c>
      <c r="AI43" s="39">
        <f t="shared" si="81"/>
        <v>0</v>
      </c>
      <c r="AJ43" s="39">
        <f t="shared" si="81"/>
        <v>0</v>
      </c>
      <c r="AK43" s="39">
        <f t="shared" si="81"/>
        <v>0</v>
      </c>
      <c r="AL43" s="39">
        <f t="shared" si="81"/>
        <v>0</v>
      </c>
      <c r="AM43" s="39">
        <f t="shared" si="81"/>
        <v>0</v>
      </c>
      <c r="AN43" s="39">
        <f t="shared" si="81"/>
        <v>0</v>
      </c>
      <c r="AO43" s="39">
        <f t="shared" si="81"/>
        <v>0</v>
      </c>
      <c r="AP43" s="39">
        <f t="shared" si="81"/>
        <v>0</v>
      </c>
      <c r="AQ43" s="39">
        <f t="shared" si="81"/>
        <v>0</v>
      </c>
      <c r="AR43" s="39">
        <f t="shared" si="81"/>
        <v>0</v>
      </c>
      <c r="AS43" s="39">
        <f t="shared" si="81"/>
        <v>0</v>
      </c>
      <c r="AT43" s="39">
        <f t="shared" si="81"/>
        <v>0</v>
      </c>
      <c r="AU43" s="39">
        <f t="shared" si="81"/>
        <v>0</v>
      </c>
      <c r="AV43" s="39">
        <f t="shared" si="81"/>
        <v>0</v>
      </c>
      <c r="AW43" s="39">
        <f t="shared" si="81"/>
        <v>0</v>
      </c>
      <c r="AX43" s="39">
        <f t="shared" si="81"/>
        <v>0</v>
      </c>
      <c r="AY43" s="39">
        <f t="shared" si="81"/>
        <v>0</v>
      </c>
      <c r="AZ43" s="39">
        <f t="shared" si="81"/>
        <v>0</v>
      </c>
      <c r="BA43" s="39">
        <f t="shared" si="81"/>
        <v>0</v>
      </c>
      <c r="BB43" s="39">
        <f t="shared" si="81"/>
        <v>0</v>
      </c>
      <c r="BC43" s="39">
        <f t="shared" si="81"/>
        <v>0</v>
      </c>
      <c r="BD43" s="39">
        <f t="shared" si="81"/>
        <v>0</v>
      </c>
      <c r="BE43" s="39">
        <f t="shared" si="81"/>
        <v>0</v>
      </c>
      <c r="BF43" s="39">
        <f t="shared" ref="BF43:BQ43" si="82">SUM(BF41:BF42)</f>
        <v>0</v>
      </c>
      <c r="BG43" s="39">
        <f t="shared" si="82"/>
        <v>0</v>
      </c>
      <c r="BH43" s="39">
        <f t="shared" si="82"/>
        <v>0</v>
      </c>
      <c r="BI43" s="39">
        <f t="shared" si="82"/>
        <v>0</v>
      </c>
      <c r="BJ43" s="39">
        <f t="shared" si="82"/>
        <v>0</v>
      </c>
      <c r="BK43" s="39">
        <f t="shared" si="82"/>
        <v>0</v>
      </c>
      <c r="BL43" s="39">
        <f t="shared" si="82"/>
        <v>0</v>
      </c>
      <c r="BM43" s="39">
        <f t="shared" si="82"/>
        <v>0</v>
      </c>
      <c r="BN43" s="39">
        <f t="shared" si="82"/>
        <v>0</v>
      </c>
      <c r="BO43" s="39">
        <f t="shared" si="82"/>
        <v>0</v>
      </c>
      <c r="BP43" s="39">
        <f t="shared" si="82"/>
        <v>0</v>
      </c>
      <c r="BQ43" s="39">
        <f t="shared" si="82"/>
        <v>0</v>
      </c>
    </row>
    <row r="44" spans="2:6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row>
    <row r="45" spans="2:69">
      <c r="J45" s="39"/>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39"/>
      <c r="AY45" s="39"/>
      <c r="AZ45" s="39"/>
      <c r="BA45" s="39"/>
      <c r="BB45" s="39"/>
      <c r="BC45" s="39"/>
      <c r="BD45" s="39"/>
      <c r="BE45" s="39"/>
      <c r="BF45" s="39"/>
      <c r="BG45" s="39"/>
      <c r="BH45" s="39"/>
      <c r="BI45" s="39"/>
      <c r="BJ45" s="39"/>
      <c r="BK45" s="39"/>
      <c r="BL45" s="39"/>
      <c r="BM45" s="39"/>
      <c r="BN45" s="39"/>
      <c r="BO45" s="39"/>
      <c r="BP45" s="39"/>
      <c r="BQ45" s="39"/>
    </row>
    <row r="46" spans="2:69" ht="14.4">
      <c r="B46" s="2" t="s">
        <v>155</v>
      </c>
      <c r="J46" s="39"/>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39"/>
      <c r="AY46" s="39"/>
      <c r="AZ46" s="39"/>
      <c r="BA46" s="39"/>
      <c r="BB46" s="39"/>
      <c r="BC46" s="39"/>
      <c r="BD46" s="39"/>
      <c r="BE46" s="39"/>
      <c r="BF46" s="39"/>
      <c r="BG46" s="39"/>
      <c r="BH46" s="39"/>
      <c r="BI46" s="39"/>
      <c r="BJ46" s="39"/>
      <c r="BK46" s="39"/>
      <c r="BL46" s="39"/>
      <c r="BM46" s="39"/>
      <c r="BN46" s="39"/>
      <c r="BO46" s="39"/>
      <c r="BP46" s="39"/>
      <c r="BQ46" s="39"/>
    </row>
    <row r="47" spans="2:69" ht="14.4">
      <c r="B47" t="s">
        <v>151</v>
      </c>
      <c r="J47" s="39">
        <v>0</v>
      </c>
      <c r="K47" s="39">
        <f>J50</f>
        <v>2280.75</v>
      </c>
      <c r="L47" s="39">
        <f t="shared" ref="L47:BE47" si="83">K50</f>
        <v>11915.25</v>
      </c>
      <c r="M47" s="39">
        <f t="shared" si="83"/>
        <v>3114.25</v>
      </c>
      <c r="N47" s="39">
        <f t="shared" si="83"/>
        <v>2359.25</v>
      </c>
      <c r="O47" s="39">
        <f t="shared" si="83"/>
        <v>0</v>
      </c>
      <c r="P47" s="39">
        <f t="shared" si="83"/>
        <v>4351.5</v>
      </c>
      <c r="Q47" s="39">
        <f t="shared" si="83"/>
        <v>11453.75</v>
      </c>
      <c r="R47" s="39">
        <f t="shared" si="83"/>
        <v>846.75</v>
      </c>
      <c r="S47" s="39">
        <f t="shared" si="83"/>
        <v>0</v>
      </c>
      <c r="T47" s="39">
        <f t="shared" si="83"/>
        <v>0</v>
      </c>
      <c r="U47" s="39">
        <f t="shared" si="83"/>
        <v>0</v>
      </c>
      <c r="V47" s="39">
        <f t="shared" si="83"/>
        <v>0</v>
      </c>
      <c r="W47" s="39">
        <f t="shared" si="83"/>
        <v>0</v>
      </c>
      <c r="X47" s="39">
        <f t="shared" si="83"/>
        <v>0</v>
      </c>
      <c r="Y47" s="39">
        <f t="shared" si="83"/>
        <v>0</v>
      </c>
      <c r="Z47" s="39">
        <f t="shared" si="83"/>
        <v>0</v>
      </c>
      <c r="AA47" s="39">
        <f t="shared" si="83"/>
        <v>0</v>
      </c>
      <c r="AB47" s="39">
        <f t="shared" si="83"/>
        <v>0</v>
      </c>
      <c r="AC47" s="39">
        <f t="shared" si="83"/>
        <v>0</v>
      </c>
      <c r="AD47" s="39">
        <f t="shared" si="83"/>
        <v>0</v>
      </c>
      <c r="AE47" s="39">
        <f t="shared" si="83"/>
        <v>0</v>
      </c>
      <c r="AF47" s="39">
        <f t="shared" si="83"/>
        <v>0</v>
      </c>
      <c r="AG47" s="39">
        <f t="shared" si="83"/>
        <v>0</v>
      </c>
      <c r="AH47" s="39">
        <f t="shared" si="83"/>
        <v>0</v>
      </c>
      <c r="AI47" s="39">
        <f t="shared" si="83"/>
        <v>29117.9375</v>
      </c>
      <c r="AJ47" s="39">
        <f t="shared" si="83"/>
        <v>61899.749999999993</v>
      </c>
      <c r="AK47" s="39">
        <f t="shared" si="83"/>
        <v>98179.916666666657</v>
      </c>
      <c r="AL47" s="39">
        <f t="shared" si="83"/>
        <v>137248.95833333331</v>
      </c>
      <c r="AM47" s="39">
        <f t="shared" si="83"/>
        <v>179960.31249999997</v>
      </c>
      <c r="AN47" s="39">
        <f t="shared" si="83"/>
        <v>226210.54166666663</v>
      </c>
      <c r="AO47" s="39">
        <f t="shared" si="83"/>
        <v>276109.12499999994</v>
      </c>
      <c r="AP47" s="39">
        <f t="shared" si="83"/>
        <v>329946.58333333326</v>
      </c>
      <c r="AQ47" s="39">
        <f t="shared" si="83"/>
        <v>387576.35416666657</v>
      </c>
      <c r="AR47" s="39">
        <f t="shared" si="83"/>
        <v>448894.99999999988</v>
      </c>
      <c r="AS47" s="39">
        <f t="shared" si="83"/>
        <v>514111.99999999988</v>
      </c>
      <c r="AT47" s="39">
        <f t="shared" si="83"/>
        <v>582159.54166666651</v>
      </c>
      <c r="AU47" s="39">
        <f t="shared" si="83"/>
        <v>670343.97499999986</v>
      </c>
      <c r="AV47" s="39">
        <f t="shared" si="83"/>
        <v>763495.29791666649</v>
      </c>
      <c r="AW47" s="39">
        <f t="shared" si="83"/>
        <v>861466.94791666651</v>
      </c>
      <c r="AX47" s="39">
        <f t="shared" si="83"/>
        <v>963649.23749999981</v>
      </c>
      <c r="AY47" s="39">
        <f t="shared" si="83"/>
        <v>1070776.8541666665</v>
      </c>
      <c r="AZ47" s="39">
        <f t="shared" si="83"/>
        <v>1182746.3604166666</v>
      </c>
      <c r="BA47" s="39">
        <f t="shared" si="83"/>
        <v>1299743.9437499999</v>
      </c>
      <c r="BB47" s="39">
        <f t="shared" si="83"/>
        <v>1422019.6041666665</v>
      </c>
      <c r="BC47" s="39">
        <f t="shared" si="83"/>
        <v>967310.36250000005</v>
      </c>
      <c r="BD47" s="39">
        <f t="shared" si="83"/>
        <v>1099788.7395833335</v>
      </c>
      <c r="BE47" s="39">
        <f t="shared" si="83"/>
        <v>1237566.7562500001</v>
      </c>
      <c r="BF47" s="39">
        <f t="shared" ref="BF47" si="84">BE50</f>
        <v>1380497.85</v>
      </c>
      <c r="BG47" s="39">
        <f t="shared" ref="BG47" si="85">BF50</f>
        <v>1527910.1250000002</v>
      </c>
      <c r="BH47" s="39">
        <f t="shared" ref="BH47" si="86">BG50</f>
        <v>1680970.979166667</v>
      </c>
      <c r="BI47" s="39">
        <f t="shared" ref="BI47" si="87">BH50</f>
        <v>1839680.4125000003</v>
      </c>
      <c r="BJ47" s="39">
        <f t="shared" ref="BJ47" si="88">BI50</f>
        <v>2004059.9875000003</v>
      </c>
      <c r="BK47" s="39">
        <f t="shared" ref="BK47" si="89">BJ50</f>
        <v>2174088.1416666671</v>
      </c>
      <c r="BL47" s="39">
        <f t="shared" ref="BL47" si="90">BK50</f>
        <v>2349764.8750000005</v>
      </c>
      <c r="BM47" s="39">
        <f t="shared" ref="BM47" si="91">BL50</f>
        <v>2531505.0000000005</v>
      </c>
      <c r="BN47" s="39">
        <f t="shared" ref="BN47" si="92">BM50</f>
        <v>2719286.9541666671</v>
      </c>
      <c r="BO47" s="39">
        <f t="shared" ref="BO47" si="93">BN50</f>
        <v>1532612.8875000002</v>
      </c>
      <c r="BP47" s="39">
        <f t="shared" ref="BP47" si="94">BO50</f>
        <v>1732500.0625000002</v>
      </c>
      <c r="BQ47" s="39">
        <f t="shared" ref="BQ47" si="95">BP50</f>
        <v>1938429.0666666669</v>
      </c>
    </row>
    <row r="48" spans="2:69" ht="14.4">
      <c r="B48" t="s">
        <v>152</v>
      </c>
      <c r="J48" s="39">
        <f>'Corporation tax'!J34</f>
        <v>2280.75</v>
      </c>
      <c r="K48" s="39">
        <f>'Corporation tax'!K34</f>
        <v>9634.5</v>
      </c>
      <c r="L48" s="39">
        <f>'Corporation tax'!L34</f>
        <v>-8801</v>
      </c>
      <c r="M48" s="39">
        <f>'Corporation tax'!M34</f>
        <v>-755</v>
      </c>
      <c r="N48" s="39">
        <f>'Corporation tax'!N34</f>
        <v>-2359.25</v>
      </c>
      <c r="O48" s="39">
        <f>'Corporation tax'!O34</f>
        <v>4351.5</v>
      </c>
      <c r="P48" s="39">
        <f>'Corporation tax'!P34</f>
        <v>7102.25</v>
      </c>
      <c r="Q48" s="39">
        <f>'Corporation tax'!Q34</f>
        <v>-10607</v>
      </c>
      <c r="R48" s="39">
        <f>'Corporation tax'!R34</f>
        <v>-846.75</v>
      </c>
      <c r="S48" s="39">
        <f>'Corporation tax'!S34</f>
        <v>0</v>
      </c>
      <c r="T48" s="39">
        <f>'Corporation tax'!T34</f>
        <v>0</v>
      </c>
      <c r="U48" s="39">
        <f>'Corporation tax'!U34</f>
        <v>0</v>
      </c>
      <c r="V48" s="39">
        <f>'Corporation tax'!V34</f>
        <v>0</v>
      </c>
      <c r="W48" s="39">
        <f>'Corporation tax'!W34</f>
        <v>0</v>
      </c>
      <c r="X48" s="39">
        <f>'Corporation tax'!X34</f>
        <v>0</v>
      </c>
      <c r="Y48" s="39">
        <f>'Corporation tax'!Y34</f>
        <v>0</v>
      </c>
      <c r="Z48" s="39">
        <f>'Corporation tax'!Z34</f>
        <v>0</v>
      </c>
      <c r="AA48" s="39">
        <f>'Corporation tax'!AA34</f>
        <v>0</v>
      </c>
      <c r="AB48" s="39">
        <f>'Corporation tax'!AB34</f>
        <v>0</v>
      </c>
      <c r="AC48" s="39">
        <f>'Corporation tax'!AC34</f>
        <v>0</v>
      </c>
      <c r="AD48" s="39">
        <f>'Corporation tax'!AD34</f>
        <v>0</v>
      </c>
      <c r="AE48" s="39">
        <f>'Corporation tax'!AE34</f>
        <v>0</v>
      </c>
      <c r="AF48" s="39">
        <f>'Corporation tax'!AF34</f>
        <v>0</v>
      </c>
      <c r="AG48" s="39">
        <f>'Corporation tax'!AG34</f>
        <v>0</v>
      </c>
      <c r="AH48" s="39">
        <f>'Corporation tax'!AH34</f>
        <v>29117.9375</v>
      </c>
      <c r="AI48" s="39">
        <f>'Corporation tax'!AI34</f>
        <v>32781.812499999993</v>
      </c>
      <c r="AJ48" s="39">
        <f>'Corporation tax'!AJ34</f>
        <v>36280.166666666664</v>
      </c>
      <c r="AK48" s="39">
        <f>'Corporation tax'!AK34</f>
        <v>39069.041666666664</v>
      </c>
      <c r="AL48" s="39">
        <f>'Corporation tax'!AL34</f>
        <v>42711.354166666664</v>
      </c>
      <c r="AM48" s="39">
        <f>'Corporation tax'!AM34</f>
        <v>46250.229166666664</v>
      </c>
      <c r="AN48" s="39">
        <f>'Corporation tax'!AN34</f>
        <v>49898.583333333328</v>
      </c>
      <c r="AO48" s="39">
        <f>'Corporation tax'!AO34</f>
        <v>53837.458333333328</v>
      </c>
      <c r="AP48" s="39">
        <f>'Corporation tax'!AP34</f>
        <v>57629.770833333328</v>
      </c>
      <c r="AQ48" s="39">
        <f>'Corporation tax'!AQ34</f>
        <v>61318.645833333328</v>
      </c>
      <c r="AR48" s="39">
        <f>'Corporation tax'!AR34</f>
        <v>65216.999999999993</v>
      </c>
      <c r="AS48" s="39">
        <f>'Corporation tax'!AS34</f>
        <v>68047.541666666672</v>
      </c>
      <c r="AT48" s="39">
        <f>'Corporation tax'!AT34</f>
        <v>88184.433333333349</v>
      </c>
      <c r="AU48" s="39">
        <f>'Corporation tax'!AU34</f>
        <v>93151.322916666672</v>
      </c>
      <c r="AV48" s="39">
        <f>'Corporation tax'!AV34</f>
        <v>97971.650000000009</v>
      </c>
      <c r="AW48" s="39">
        <f>'Corporation tax'!AW34</f>
        <v>102182.28958333333</v>
      </c>
      <c r="AX48" s="39">
        <f>'Corporation tax'!AX34</f>
        <v>107127.61666666668</v>
      </c>
      <c r="AY48" s="39">
        <f>'Corporation tax'!AY34</f>
        <v>111969.50624999999</v>
      </c>
      <c r="AZ48" s="39">
        <f>'Corporation tax'!AZ34</f>
        <v>116997.58333333334</v>
      </c>
      <c r="BA48" s="39">
        <f>'Corporation tax'!BA34</f>
        <v>122275.66041666664</v>
      </c>
      <c r="BB48" s="39">
        <f>'Corporation tax'!BB34</f>
        <v>127450.3</v>
      </c>
      <c r="BC48" s="39">
        <f>'Corporation tax'!BC34</f>
        <v>132478.37708333335</v>
      </c>
      <c r="BD48" s="39">
        <f>'Corporation tax'!BD34</f>
        <v>137778.01666666666</v>
      </c>
      <c r="BE48" s="39">
        <f>'Corporation tax'!BE34</f>
        <v>142931.09375</v>
      </c>
      <c r="BF48" s="39">
        <f>'Corporation tax'!BF34</f>
        <v>147412.27500000005</v>
      </c>
      <c r="BG48" s="39">
        <f>'Corporation tax'!BG34</f>
        <v>153060.85416666669</v>
      </c>
      <c r="BH48" s="39">
        <f>'Corporation tax'!BH34</f>
        <v>158709.43333333332</v>
      </c>
      <c r="BI48" s="39">
        <f>'Corporation tax'!BI34</f>
        <v>164379.57500000004</v>
      </c>
      <c r="BJ48" s="39">
        <f>'Corporation tax'!BJ34</f>
        <v>170028.15416666667</v>
      </c>
      <c r="BK48" s="39">
        <f>'Corporation tax'!BK34</f>
        <v>175676.73333333337</v>
      </c>
      <c r="BL48" s="39">
        <f>'Corporation tax'!BL34</f>
        <v>181740.12500000003</v>
      </c>
      <c r="BM48" s="39">
        <f>'Corporation tax'!BM34</f>
        <v>187781.95416666666</v>
      </c>
      <c r="BN48" s="39">
        <f>'Corporation tax'!BN34</f>
        <v>193823.78333333335</v>
      </c>
      <c r="BO48" s="39">
        <f>'Corporation tax'!BO34</f>
        <v>199887.17500000002</v>
      </c>
      <c r="BP48" s="39">
        <f>'Corporation tax'!BP34</f>
        <v>205929.00416666671</v>
      </c>
      <c r="BQ48" s="39">
        <f>'Corporation tax'!BQ34</f>
        <v>211992.39583333331</v>
      </c>
    </row>
    <row r="49" spans="2:69" ht="14.4">
      <c r="B49" s="12" t="s">
        <v>153</v>
      </c>
      <c r="C49" s="9"/>
      <c r="D49" s="9"/>
      <c r="E49" s="9"/>
      <c r="F49" s="9"/>
      <c r="G49" s="9"/>
      <c r="H49" s="9"/>
      <c r="I49" s="9"/>
      <c r="J49" s="42"/>
      <c r="K49" s="42"/>
      <c r="L49" s="42"/>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f>-AG50</f>
        <v>0</v>
      </c>
      <c r="AQ49" s="42"/>
      <c r="AR49" s="42"/>
      <c r="AS49" s="42"/>
      <c r="AT49" s="42"/>
      <c r="AU49" s="42"/>
      <c r="AV49" s="42"/>
      <c r="AW49" s="42"/>
      <c r="AX49" s="42"/>
      <c r="AY49" s="42"/>
      <c r="AZ49" s="42"/>
      <c r="BA49" s="42"/>
      <c r="BB49" s="42">
        <f>-AS50</f>
        <v>-582159.54166666651</v>
      </c>
      <c r="BC49" s="42"/>
      <c r="BD49" s="42"/>
      <c r="BE49" s="42"/>
      <c r="BF49" s="42"/>
      <c r="BG49" s="42"/>
      <c r="BH49" s="42"/>
      <c r="BI49" s="42"/>
      <c r="BJ49" s="42"/>
      <c r="BK49" s="42"/>
      <c r="BL49" s="42"/>
      <c r="BM49" s="42"/>
      <c r="BN49" s="42">
        <f>-BE50</f>
        <v>-1380497.85</v>
      </c>
      <c r="BO49" s="42"/>
      <c r="BP49" s="42"/>
      <c r="BQ49" s="42"/>
    </row>
    <row r="50" spans="2:69" ht="14.4">
      <c r="B50" s="2" t="s">
        <v>154</v>
      </c>
      <c r="J50" s="39">
        <f>SUM(J47:J49)</f>
        <v>2280.75</v>
      </c>
      <c r="K50" s="39">
        <f>SUM(K47:K49)</f>
        <v>11915.25</v>
      </c>
      <c r="L50" s="39">
        <f t="shared" ref="L50:BE50" si="96">SUM(L47:L49)</f>
        <v>3114.25</v>
      </c>
      <c r="M50" s="39">
        <f t="shared" si="96"/>
        <v>2359.25</v>
      </c>
      <c r="N50" s="39">
        <f t="shared" si="96"/>
        <v>0</v>
      </c>
      <c r="O50" s="39">
        <f t="shared" si="96"/>
        <v>4351.5</v>
      </c>
      <c r="P50" s="39">
        <f t="shared" si="96"/>
        <v>11453.75</v>
      </c>
      <c r="Q50" s="39">
        <f t="shared" si="96"/>
        <v>846.75</v>
      </c>
      <c r="R50" s="39">
        <f t="shared" si="96"/>
        <v>0</v>
      </c>
      <c r="S50" s="39">
        <f t="shared" si="96"/>
        <v>0</v>
      </c>
      <c r="T50" s="39">
        <f t="shared" si="96"/>
        <v>0</v>
      </c>
      <c r="U50" s="39">
        <f t="shared" si="96"/>
        <v>0</v>
      </c>
      <c r="V50" s="39">
        <f t="shared" si="96"/>
        <v>0</v>
      </c>
      <c r="W50" s="39">
        <f t="shared" si="96"/>
        <v>0</v>
      </c>
      <c r="X50" s="39">
        <f t="shared" si="96"/>
        <v>0</v>
      </c>
      <c r="Y50" s="39">
        <f t="shared" si="96"/>
        <v>0</v>
      </c>
      <c r="Z50" s="39">
        <f t="shared" si="96"/>
        <v>0</v>
      </c>
      <c r="AA50" s="39">
        <f t="shared" si="96"/>
        <v>0</v>
      </c>
      <c r="AB50" s="39">
        <f t="shared" si="96"/>
        <v>0</v>
      </c>
      <c r="AC50" s="39">
        <f t="shared" si="96"/>
        <v>0</v>
      </c>
      <c r="AD50" s="39">
        <f t="shared" si="96"/>
        <v>0</v>
      </c>
      <c r="AE50" s="39">
        <f t="shared" si="96"/>
        <v>0</v>
      </c>
      <c r="AF50" s="39">
        <f t="shared" si="96"/>
        <v>0</v>
      </c>
      <c r="AG50" s="39">
        <f t="shared" si="96"/>
        <v>0</v>
      </c>
      <c r="AH50" s="39">
        <f t="shared" si="96"/>
        <v>29117.9375</v>
      </c>
      <c r="AI50" s="39">
        <f t="shared" si="96"/>
        <v>61899.749999999993</v>
      </c>
      <c r="AJ50" s="39">
        <f t="shared" si="96"/>
        <v>98179.916666666657</v>
      </c>
      <c r="AK50" s="39">
        <f t="shared" si="96"/>
        <v>137248.95833333331</v>
      </c>
      <c r="AL50" s="39">
        <f t="shared" si="96"/>
        <v>179960.31249999997</v>
      </c>
      <c r="AM50" s="39">
        <f t="shared" si="96"/>
        <v>226210.54166666663</v>
      </c>
      <c r="AN50" s="39">
        <f t="shared" si="96"/>
        <v>276109.12499999994</v>
      </c>
      <c r="AO50" s="39">
        <f t="shared" si="96"/>
        <v>329946.58333333326</v>
      </c>
      <c r="AP50" s="39">
        <f t="shared" si="96"/>
        <v>387576.35416666657</v>
      </c>
      <c r="AQ50" s="39">
        <f t="shared" si="96"/>
        <v>448894.99999999988</v>
      </c>
      <c r="AR50" s="39">
        <f t="shared" si="96"/>
        <v>514111.99999999988</v>
      </c>
      <c r="AS50" s="39">
        <f t="shared" si="96"/>
        <v>582159.54166666651</v>
      </c>
      <c r="AT50" s="39">
        <f t="shared" si="96"/>
        <v>670343.97499999986</v>
      </c>
      <c r="AU50" s="39">
        <f t="shared" si="96"/>
        <v>763495.29791666649</v>
      </c>
      <c r="AV50" s="39">
        <f t="shared" si="96"/>
        <v>861466.94791666651</v>
      </c>
      <c r="AW50" s="39">
        <f t="shared" si="96"/>
        <v>963649.23749999981</v>
      </c>
      <c r="AX50" s="39">
        <f t="shared" si="96"/>
        <v>1070776.8541666665</v>
      </c>
      <c r="AY50" s="39">
        <f t="shared" si="96"/>
        <v>1182746.3604166666</v>
      </c>
      <c r="AZ50" s="39">
        <f t="shared" si="96"/>
        <v>1299743.9437499999</v>
      </c>
      <c r="BA50" s="39">
        <f t="shared" si="96"/>
        <v>1422019.6041666665</v>
      </c>
      <c r="BB50" s="39">
        <f t="shared" si="96"/>
        <v>967310.36250000005</v>
      </c>
      <c r="BC50" s="39">
        <f t="shared" si="96"/>
        <v>1099788.7395833335</v>
      </c>
      <c r="BD50" s="39">
        <f t="shared" si="96"/>
        <v>1237566.7562500001</v>
      </c>
      <c r="BE50" s="39">
        <f t="shared" si="96"/>
        <v>1380497.85</v>
      </c>
      <c r="BF50" s="39">
        <f t="shared" ref="BF50:BQ50" si="97">SUM(BF47:BF49)</f>
        <v>1527910.1250000002</v>
      </c>
      <c r="BG50" s="39">
        <f t="shared" si="97"/>
        <v>1680970.979166667</v>
      </c>
      <c r="BH50" s="39">
        <f t="shared" si="97"/>
        <v>1839680.4125000003</v>
      </c>
      <c r="BI50" s="39">
        <f t="shared" si="97"/>
        <v>2004059.9875000003</v>
      </c>
      <c r="BJ50" s="39">
        <f t="shared" si="97"/>
        <v>2174088.1416666671</v>
      </c>
      <c r="BK50" s="39">
        <f t="shared" si="97"/>
        <v>2349764.8750000005</v>
      </c>
      <c r="BL50" s="39">
        <f t="shared" si="97"/>
        <v>2531505.0000000005</v>
      </c>
      <c r="BM50" s="39">
        <f t="shared" si="97"/>
        <v>2719286.9541666671</v>
      </c>
      <c r="BN50" s="39">
        <f t="shared" si="97"/>
        <v>1532612.8875000002</v>
      </c>
      <c r="BO50" s="39">
        <f t="shared" si="97"/>
        <v>1732500.0625000002</v>
      </c>
      <c r="BP50" s="39">
        <f t="shared" si="97"/>
        <v>1938429.0666666669</v>
      </c>
      <c r="BQ50" s="39">
        <f t="shared" si="97"/>
        <v>2150421.4625000004</v>
      </c>
    </row>
    <row r="51" spans="2:6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39"/>
      <c r="AZ51" s="39"/>
      <c r="BA51" s="39"/>
      <c r="BB51" s="39"/>
      <c r="BC51" s="39"/>
      <c r="BD51" s="39"/>
      <c r="BE51" s="39"/>
      <c r="BF51" s="39"/>
      <c r="BG51" s="39"/>
      <c r="BH51" s="39"/>
      <c r="BI51" s="39"/>
      <c r="BJ51" s="39"/>
      <c r="BK51" s="39"/>
      <c r="BL51" s="39"/>
      <c r="BM51" s="39"/>
      <c r="BN51" s="39"/>
      <c r="BO51" s="39"/>
      <c r="BP51" s="39"/>
      <c r="BQ51" s="39"/>
    </row>
    <row r="52" spans="2:6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39"/>
      <c r="BC52" s="39"/>
      <c r="BD52" s="39"/>
      <c r="BE52" s="39"/>
      <c r="BF52" s="39"/>
      <c r="BG52" s="39"/>
      <c r="BH52" s="39"/>
      <c r="BI52" s="39"/>
      <c r="BJ52" s="39"/>
      <c r="BK52" s="39"/>
      <c r="BL52" s="39"/>
      <c r="BM52" s="39"/>
      <c r="BN52" s="39"/>
      <c r="BO52" s="39"/>
      <c r="BP52" s="39"/>
      <c r="BQ52" s="39"/>
    </row>
    <row r="53" spans="2:69">
      <c r="B53" s="3" t="s">
        <v>72</v>
      </c>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c r="BB53" s="39"/>
      <c r="BC53" s="39"/>
      <c r="BD53" s="39"/>
      <c r="BE53" s="39"/>
      <c r="BF53" s="39"/>
      <c r="BG53" s="39"/>
      <c r="BH53" s="39"/>
      <c r="BI53" s="39"/>
      <c r="BJ53" s="39"/>
      <c r="BK53" s="39"/>
      <c r="BL53" s="39"/>
      <c r="BM53" s="39"/>
      <c r="BN53" s="39"/>
      <c r="BO53" s="39"/>
      <c r="BP53" s="39"/>
      <c r="BQ53" s="39"/>
    </row>
    <row r="54" spans="2:6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39"/>
      <c r="BP54" s="39"/>
      <c r="BQ54" s="39"/>
    </row>
    <row r="55" spans="2:69" ht="14.4">
      <c r="B55" s="2" t="s">
        <v>156</v>
      </c>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c r="BB55" s="39"/>
      <c r="BC55" s="39"/>
      <c r="BD55" s="39"/>
      <c r="BE55" s="39"/>
      <c r="BF55" s="39"/>
      <c r="BG55" s="39"/>
      <c r="BH55" s="39"/>
      <c r="BI55" s="39"/>
      <c r="BJ55" s="39"/>
      <c r="BK55" s="39"/>
      <c r="BL55" s="39"/>
      <c r="BM55" s="39"/>
      <c r="BN55" s="39"/>
      <c r="BO55" s="39"/>
      <c r="BP55" s="39"/>
      <c r="BQ55" s="39"/>
    </row>
    <row r="56" spans="2:69" ht="14.4">
      <c r="B56" t="s">
        <v>157</v>
      </c>
      <c r="J56" s="39">
        <v>0</v>
      </c>
      <c r="K56" s="39">
        <f>J59</f>
        <v>0</v>
      </c>
      <c r="L56" s="39">
        <f t="shared" ref="L56:BE56" si="98">K59</f>
        <v>0</v>
      </c>
      <c r="M56" s="39">
        <f t="shared" si="98"/>
        <v>0</v>
      </c>
      <c r="N56" s="39">
        <f t="shared" si="98"/>
        <v>0</v>
      </c>
      <c r="O56" s="39">
        <f t="shared" si="98"/>
        <v>0</v>
      </c>
      <c r="P56" s="39">
        <f t="shared" si="98"/>
        <v>0</v>
      </c>
      <c r="Q56" s="39">
        <f t="shared" si="98"/>
        <v>0</v>
      </c>
      <c r="R56" s="39">
        <f t="shared" si="98"/>
        <v>0</v>
      </c>
      <c r="S56" s="39">
        <f t="shared" si="98"/>
        <v>0</v>
      </c>
      <c r="T56" s="39">
        <f t="shared" si="98"/>
        <v>3825</v>
      </c>
      <c r="U56" s="39">
        <f t="shared" si="98"/>
        <v>7200</v>
      </c>
      <c r="V56" s="39">
        <f t="shared" si="98"/>
        <v>7200.0000000000009</v>
      </c>
      <c r="W56" s="39">
        <f t="shared" si="98"/>
        <v>7200.0000000000009</v>
      </c>
      <c r="X56" s="39">
        <f t="shared" si="98"/>
        <v>23100</v>
      </c>
      <c r="Y56" s="39">
        <f t="shared" si="98"/>
        <v>37350</v>
      </c>
      <c r="Z56" s="39">
        <f t="shared" si="98"/>
        <v>37350</v>
      </c>
      <c r="AA56" s="39">
        <f t="shared" si="98"/>
        <v>37350</v>
      </c>
      <c r="AB56" s="39">
        <f t="shared" si="98"/>
        <v>37350</v>
      </c>
      <c r="AC56" s="39">
        <f t="shared" si="98"/>
        <v>37350</v>
      </c>
      <c r="AD56" s="39">
        <f t="shared" si="98"/>
        <v>37350</v>
      </c>
      <c r="AE56" s="39">
        <f t="shared" si="98"/>
        <v>37350</v>
      </c>
      <c r="AF56" s="39">
        <f t="shared" si="98"/>
        <v>37350</v>
      </c>
      <c r="AG56" s="39">
        <f t="shared" si="98"/>
        <v>37350</v>
      </c>
      <c r="AH56" s="39">
        <f t="shared" si="98"/>
        <v>37350</v>
      </c>
      <c r="AI56" s="39">
        <f t="shared" si="98"/>
        <v>40500</v>
      </c>
      <c r="AJ56" s="39">
        <f t="shared" si="98"/>
        <v>40500</v>
      </c>
      <c r="AK56" s="39">
        <f t="shared" si="98"/>
        <v>40500</v>
      </c>
      <c r="AL56" s="39">
        <f t="shared" si="98"/>
        <v>40500</v>
      </c>
      <c r="AM56" s="39">
        <f t="shared" si="98"/>
        <v>40500</v>
      </c>
      <c r="AN56" s="39">
        <f t="shared" si="98"/>
        <v>40500</v>
      </c>
      <c r="AO56" s="39">
        <f t="shared" si="98"/>
        <v>40500</v>
      </c>
      <c r="AP56" s="39">
        <f t="shared" si="98"/>
        <v>40500</v>
      </c>
      <c r="AQ56" s="39">
        <f t="shared" si="98"/>
        <v>40500</v>
      </c>
      <c r="AR56" s="39">
        <f t="shared" si="98"/>
        <v>40500</v>
      </c>
      <c r="AS56" s="39">
        <f t="shared" si="98"/>
        <v>40500</v>
      </c>
      <c r="AT56" s="39">
        <f t="shared" si="98"/>
        <v>42300</v>
      </c>
      <c r="AU56" s="39">
        <f t="shared" si="98"/>
        <v>45900</v>
      </c>
      <c r="AV56" s="39">
        <f t="shared" si="98"/>
        <v>45900</v>
      </c>
      <c r="AW56" s="39">
        <f t="shared" si="98"/>
        <v>45900</v>
      </c>
      <c r="AX56" s="39">
        <f t="shared" si="98"/>
        <v>45900</v>
      </c>
      <c r="AY56" s="39">
        <f t="shared" si="98"/>
        <v>45900</v>
      </c>
      <c r="AZ56" s="39">
        <f t="shared" si="98"/>
        <v>45900</v>
      </c>
      <c r="BA56" s="39">
        <f t="shared" si="98"/>
        <v>45900</v>
      </c>
      <c r="BB56" s="39">
        <f t="shared" si="98"/>
        <v>45900</v>
      </c>
      <c r="BC56" s="39">
        <f t="shared" si="98"/>
        <v>45900</v>
      </c>
      <c r="BD56" s="39">
        <f t="shared" si="98"/>
        <v>45900</v>
      </c>
      <c r="BE56" s="39">
        <f t="shared" si="98"/>
        <v>45900</v>
      </c>
      <c r="BF56" s="39">
        <f t="shared" ref="BF56" si="99">BE59</f>
        <v>45900</v>
      </c>
      <c r="BG56" s="39">
        <f t="shared" ref="BG56" si="100">BF59</f>
        <v>49500</v>
      </c>
      <c r="BH56" s="39">
        <f t="shared" ref="BH56" si="101">BG59</f>
        <v>49500</v>
      </c>
      <c r="BI56" s="39">
        <f t="shared" ref="BI56" si="102">BH59</f>
        <v>49500</v>
      </c>
      <c r="BJ56" s="39">
        <f t="shared" ref="BJ56" si="103">BI59</f>
        <v>49500</v>
      </c>
      <c r="BK56" s="39">
        <f t="shared" ref="BK56" si="104">BJ59</f>
        <v>49500</v>
      </c>
      <c r="BL56" s="39">
        <f t="shared" ref="BL56" si="105">BK59</f>
        <v>49500</v>
      </c>
      <c r="BM56" s="39">
        <f t="shared" ref="BM56" si="106">BL59</f>
        <v>49500</v>
      </c>
      <c r="BN56" s="39">
        <f t="shared" ref="BN56" si="107">BM59</f>
        <v>49500</v>
      </c>
      <c r="BO56" s="39">
        <f t="shared" ref="BO56" si="108">BN59</f>
        <v>49500</v>
      </c>
      <c r="BP56" s="39">
        <f t="shared" ref="BP56" si="109">BO59</f>
        <v>49500</v>
      </c>
      <c r="BQ56" s="39">
        <f t="shared" ref="BQ56" si="110">BP59</f>
        <v>49500</v>
      </c>
    </row>
    <row r="57" spans="2:69" ht="14.4">
      <c r="B57" t="s">
        <v>158</v>
      </c>
      <c r="J57" s="39">
        <f>'Wages and Salaries'!J88</f>
        <v>0</v>
      </c>
      <c r="K57" s="39">
        <f>'Wages and Salaries'!K88</f>
        <v>0</v>
      </c>
      <c r="L57" s="39">
        <f>'Wages and Salaries'!L88</f>
        <v>0</v>
      </c>
      <c r="M57" s="39">
        <f>'Wages and Salaries'!M88</f>
        <v>0</v>
      </c>
      <c r="N57" s="39">
        <f>'Wages and Salaries'!N88</f>
        <v>0</v>
      </c>
      <c r="O57" s="39">
        <f>'Wages and Salaries'!O88</f>
        <v>0</v>
      </c>
      <c r="P57" s="39">
        <f>'Wages and Salaries'!P88</f>
        <v>0</v>
      </c>
      <c r="Q57" s="39">
        <f>'Wages and Salaries'!Q88</f>
        <v>0</v>
      </c>
      <c r="R57" s="39">
        <f>'Wages and Salaries'!R88</f>
        <v>0</v>
      </c>
      <c r="S57" s="39">
        <f>'Wages and Salaries'!S88</f>
        <v>3825</v>
      </c>
      <c r="T57" s="39">
        <f>'Wages and Salaries'!T88</f>
        <v>7199.9999999999991</v>
      </c>
      <c r="U57" s="39">
        <f>'Wages and Salaries'!U88</f>
        <v>7199.9999999999991</v>
      </c>
      <c r="V57" s="39">
        <f>'Wages and Salaries'!V88</f>
        <v>7199.9999999999991</v>
      </c>
      <c r="W57" s="39">
        <f>'Wages and Salaries'!W88</f>
        <v>23100</v>
      </c>
      <c r="X57" s="39">
        <f>'Wages and Salaries'!X88</f>
        <v>37350</v>
      </c>
      <c r="Y57" s="39">
        <f>'Wages and Salaries'!Y88</f>
        <v>37350</v>
      </c>
      <c r="Z57" s="39">
        <f>'Wages and Salaries'!Z88</f>
        <v>37350</v>
      </c>
      <c r="AA57" s="39">
        <f>'Wages and Salaries'!AA88</f>
        <v>37350</v>
      </c>
      <c r="AB57" s="39">
        <f>'Wages and Salaries'!AB88</f>
        <v>37350</v>
      </c>
      <c r="AC57" s="39">
        <f>'Wages and Salaries'!AC88</f>
        <v>37350</v>
      </c>
      <c r="AD57" s="39">
        <f>'Wages and Salaries'!AD88</f>
        <v>37350</v>
      </c>
      <c r="AE57" s="39">
        <f>'Wages and Salaries'!AE88</f>
        <v>37350</v>
      </c>
      <c r="AF57" s="39">
        <f>'Wages and Salaries'!AF88</f>
        <v>37350</v>
      </c>
      <c r="AG57" s="39">
        <f>'Wages and Salaries'!AG88</f>
        <v>37350</v>
      </c>
      <c r="AH57" s="39">
        <f>'Wages and Salaries'!AH88</f>
        <v>40500</v>
      </c>
      <c r="AI57" s="39">
        <f>'Wages and Salaries'!AI88</f>
        <v>40500</v>
      </c>
      <c r="AJ57" s="39">
        <f>'Wages and Salaries'!AJ88</f>
        <v>40500</v>
      </c>
      <c r="AK57" s="39">
        <f>'Wages and Salaries'!AK88</f>
        <v>40500</v>
      </c>
      <c r="AL57" s="39">
        <f>'Wages and Salaries'!AL88</f>
        <v>40500</v>
      </c>
      <c r="AM57" s="39">
        <f>'Wages and Salaries'!AM88</f>
        <v>40500</v>
      </c>
      <c r="AN57" s="39">
        <f>'Wages and Salaries'!AN88</f>
        <v>40500</v>
      </c>
      <c r="AO57" s="39">
        <f>'Wages and Salaries'!AO88</f>
        <v>40500</v>
      </c>
      <c r="AP57" s="39">
        <f>'Wages and Salaries'!AP88</f>
        <v>40500</v>
      </c>
      <c r="AQ57" s="39">
        <f>'Wages and Salaries'!AQ88</f>
        <v>40500</v>
      </c>
      <c r="AR57" s="39">
        <f>'Wages and Salaries'!AR88</f>
        <v>40500</v>
      </c>
      <c r="AS57" s="39">
        <f>'Wages and Salaries'!AS88</f>
        <v>42300</v>
      </c>
      <c r="AT57" s="39">
        <f>'Wages and Salaries'!AT88</f>
        <v>45900</v>
      </c>
      <c r="AU57" s="39">
        <f>'Wages and Salaries'!AU88</f>
        <v>45900</v>
      </c>
      <c r="AV57" s="39">
        <f>'Wages and Salaries'!AV88</f>
        <v>45900</v>
      </c>
      <c r="AW57" s="39">
        <f>'Wages and Salaries'!AW88</f>
        <v>45900</v>
      </c>
      <c r="AX57" s="39">
        <f>'Wages and Salaries'!AX88</f>
        <v>45900</v>
      </c>
      <c r="AY57" s="39">
        <f>'Wages and Salaries'!AY88</f>
        <v>45900</v>
      </c>
      <c r="AZ57" s="39">
        <f>'Wages and Salaries'!AZ88</f>
        <v>45900</v>
      </c>
      <c r="BA57" s="39">
        <f>'Wages and Salaries'!BA88</f>
        <v>45900</v>
      </c>
      <c r="BB57" s="39">
        <f>'Wages and Salaries'!BB88</f>
        <v>45900</v>
      </c>
      <c r="BC57" s="39">
        <f>'Wages and Salaries'!BC88</f>
        <v>45900</v>
      </c>
      <c r="BD57" s="39">
        <f>'Wages and Salaries'!BD88</f>
        <v>45900</v>
      </c>
      <c r="BE57" s="39">
        <f>'Wages and Salaries'!BE88</f>
        <v>45900</v>
      </c>
      <c r="BF57" s="39">
        <f>'Wages and Salaries'!BF88</f>
        <v>49500</v>
      </c>
      <c r="BG57" s="39">
        <f>'Wages and Salaries'!BG88</f>
        <v>49500</v>
      </c>
      <c r="BH57" s="39">
        <f>'Wages and Salaries'!BH88</f>
        <v>49500</v>
      </c>
      <c r="BI57" s="39">
        <f>'Wages and Salaries'!BI88</f>
        <v>49500</v>
      </c>
      <c r="BJ57" s="39">
        <f>'Wages and Salaries'!BJ88</f>
        <v>49500</v>
      </c>
      <c r="BK57" s="39">
        <f>'Wages and Salaries'!BK88</f>
        <v>49500</v>
      </c>
      <c r="BL57" s="39">
        <f>'Wages and Salaries'!BL88</f>
        <v>49500</v>
      </c>
      <c r="BM57" s="39">
        <f>'Wages and Salaries'!BM88</f>
        <v>49500</v>
      </c>
      <c r="BN57" s="39">
        <f>'Wages and Salaries'!BN88</f>
        <v>49500</v>
      </c>
      <c r="BO57" s="39">
        <f>'Wages and Salaries'!BO88</f>
        <v>49500</v>
      </c>
      <c r="BP57" s="39">
        <f>'Wages and Salaries'!BP88</f>
        <v>49500</v>
      </c>
      <c r="BQ57" s="39">
        <f>'Wages and Salaries'!BQ88</f>
        <v>49500</v>
      </c>
    </row>
    <row r="58" spans="2:69" ht="14.4">
      <c r="B58" s="12" t="s">
        <v>159</v>
      </c>
      <c r="C58" s="9"/>
      <c r="D58" s="9"/>
      <c r="E58" s="9"/>
      <c r="F58" s="9"/>
      <c r="G58" s="9"/>
      <c r="H58" s="9"/>
      <c r="I58" s="9"/>
      <c r="J58" s="41"/>
      <c r="K58" s="41">
        <f>-J57</f>
        <v>0</v>
      </c>
      <c r="L58" s="41">
        <f t="shared" ref="L58:BE58" si="111">-K57</f>
        <v>0</v>
      </c>
      <c r="M58" s="41">
        <f t="shared" si="111"/>
        <v>0</v>
      </c>
      <c r="N58" s="41">
        <f t="shared" si="111"/>
        <v>0</v>
      </c>
      <c r="O58" s="41">
        <f t="shared" si="111"/>
        <v>0</v>
      </c>
      <c r="P58" s="41">
        <f t="shared" si="111"/>
        <v>0</v>
      </c>
      <c r="Q58" s="41">
        <f t="shared" si="111"/>
        <v>0</v>
      </c>
      <c r="R58" s="41">
        <f t="shared" si="111"/>
        <v>0</v>
      </c>
      <c r="S58" s="41">
        <f t="shared" si="111"/>
        <v>0</v>
      </c>
      <c r="T58" s="41">
        <f t="shared" si="111"/>
        <v>-3825</v>
      </c>
      <c r="U58" s="41">
        <f t="shared" si="111"/>
        <v>-7199.9999999999991</v>
      </c>
      <c r="V58" s="41">
        <f t="shared" si="111"/>
        <v>-7199.9999999999991</v>
      </c>
      <c r="W58" s="41">
        <f t="shared" si="111"/>
        <v>-7199.9999999999991</v>
      </c>
      <c r="X58" s="41">
        <f t="shared" si="111"/>
        <v>-23100</v>
      </c>
      <c r="Y58" s="41">
        <f t="shared" si="111"/>
        <v>-37350</v>
      </c>
      <c r="Z58" s="41">
        <f t="shared" si="111"/>
        <v>-37350</v>
      </c>
      <c r="AA58" s="41">
        <f t="shared" si="111"/>
        <v>-37350</v>
      </c>
      <c r="AB58" s="41">
        <f t="shared" si="111"/>
        <v>-37350</v>
      </c>
      <c r="AC58" s="41">
        <f t="shared" si="111"/>
        <v>-37350</v>
      </c>
      <c r="AD58" s="41">
        <f t="shared" si="111"/>
        <v>-37350</v>
      </c>
      <c r="AE58" s="41">
        <f t="shared" si="111"/>
        <v>-37350</v>
      </c>
      <c r="AF58" s="41">
        <f t="shared" si="111"/>
        <v>-37350</v>
      </c>
      <c r="AG58" s="41">
        <f t="shared" si="111"/>
        <v>-37350</v>
      </c>
      <c r="AH58" s="41">
        <f t="shared" si="111"/>
        <v>-37350</v>
      </c>
      <c r="AI58" s="41">
        <f t="shared" si="111"/>
        <v>-40500</v>
      </c>
      <c r="AJ58" s="41">
        <f t="shared" si="111"/>
        <v>-40500</v>
      </c>
      <c r="AK58" s="41">
        <f t="shared" si="111"/>
        <v>-40500</v>
      </c>
      <c r="AL58" s="41">
        <f t="shared" si="111"/>
        <v>-40500</v>
      </c>
      <c r="AM58" s="41">
        <f t="shared" si="111"/>
        <v>-40500</v>
      </c>
      <c r="AN58" s="41">
        <f t="shared" si="111"/>
        <v>-40500</v>
      </c>
      <c r="AO58" s="41">
        <f t="shared" si="111"/>
        <v>-40500</v>
      </c>
      <c r="AP58" s="41">
        <f t="shared" si="111"/>
        <v>-40500</v>
      </c>
      <c r="AQ58" s="41">
        <f t="shared" si="111"/>
        <v>-40500</v>
      </c>
      <c r="AR58" s="41">
        <f t="shared" si="111"/>
        <v>-40500</v>
      </c>
      <c r="AS58" s="41">
        <f t="shared" si="111"/>
        <v>-40500</v>
      </c>
      <c r="AT58" s="41">
        <f t="shared" si="111"/>
        <v>-42300</v>
      </c>
      <c r="AU58" s="41">
        <f t="shared" si="111"/>
        <v>-45900</v>
      </c>
      <c r="AV58" s="41">
        <f t="shared" si="111"/>
        <v>-45900</v>
      </c>
      <c r="AW58" s="41">
        <f t="shared" si="111"/>
        <v>-45900</v>
      </c>
      <c r="AX58" s="41">
        <f t="shared" si="111"/>
        <v>-45900</v>
      </c>
      <c r="AY58" s="41">
        <f t="shared" si="111"/>
        <v>-45900</v>
      </c>
      <c r="AZ58" s="41">
        <f t="shared" si="111"/>
        <v>-45900</v>
      </c>
      <c r="BA58" s="41">
        <f t="shared" si="111"/>
        <v>-45900</v>
      </c>
      <c r="BB58" s="41">
        <f t="shared" si="111"/>
        <v>-45900</v>
      </c>
      <c r="BC58" s="41">
        <f t="shared" si="111"/>
        <v>-45900</v>
      </c>
      <c r="BD58" s="41">
        <f t="shared" si="111"/>
        <v>-45900</v>
      </c>
      <c r="BE58" s="41">
        <f t="shared" si="111"/>
        <v>-45900</v>
      </c>
      <c r="BF58" s="41">
        <f t="shared" ref="BF58" si="112">-BE57</f>
        <v>-45900</v>
      </c>
      <c r="BG58" s="41">
        <f t="shared" ref="BG58" si="113">-BF57</f>
        <v>-49500</v>
      </c>
      <c r="BH58" s="41">
        <f t="shared" ref="BH58" si="114">-BG57</f>
        <v>-49500</v>
      </c>
      <c r="BI58" s="41">
        <f t="shared" ref="BI58" si="115">-BH57</f>
        <v>-49500</v>
      </c>
      <c r="BJ58" s="41">
        <f t="shared" ref="BJ58" si="116">-BI57</f>
        <v>-49500</v>
      </c>
      <c r="BK58" s="41">
        <f t="shared" ref="BK58" si="117">-BJ57</f>
        <v>-49500</v>
      </c>
      <c r="BL58" s="41">
        <f t="shared" ref="BL58" si="118">-BK57</f>
        <v>-49500</v>
      </c>
      <c r="BM58" s="41">
        <f t="shared" ref="BM58" si="119">-BL57</f>
        <v>-49500</v>
      </c>
      <c r="BN58" s="41">
        <f t="shared" ref="BN58" si="120">-BM57</f>
        <v>-49500</v>
      </c>
      <c r="BO58" s="41">
        <f t="shared" ref="BO58" si="121">-BN57</f>
        <v>-49500</v>
      </c>
      <c r="BP58" s="41">
        <f t="shared" ref="BP58" si="122">-BO57</f>
        <v>-49500</v>
      </c>
      <c r="BQ58" s="41">
        <f t="shared" ref="BQ58" si="123">-BP57</f>
        <v>-49500</v>
      </c>
    </row>
    <row r="59" spans="2:69" ht="14.4">
      <c r="B59" s="2" t="s">
        <v>160</v>
      </c>
      <c r="J59" s="39">
        <f>SUM(J56:J58)</f>
        <v>0</v>
      </c>
      <c r="K59" s="39">
        <f>SUM(K56:K58)</f>
        <v>0</v>
      </c>
      <c r="L59" s="39">
        <f t="shared" ref="L59:BE59" si="124">SUM(L56:L58)</f>
        <v>0</v>
      </c>
      <c r="M59" s="39">
        <f t="shared" si="124"/>
        <v>0</v>
      </c>
      <c r="N59" s="39">
        <f t="shared" si="124"/>
        <v>0</v>
      </c>
      <c r="O59" s="39">
        <f t="shared" si="124"/>
        <v>0</v>
      </c>
      <c r="P59" s="39">
        <f t="shared" si="124"/>
        <v>0</v>
      </c>
      <c r="Q59" s="39">
        <f t="shared" si="124"/>
        <v>0</v>
      </c>
      <c r="R59" s="39">
        <f t="shared" si="124"/>
        <v>0</v>
      </c>
      <c r="S59" s="39">
        <f t="shared" si="124"/>
        <v>3825</v>
      </c>
      <c r="T59" s="39">
        <f t="shared" si="124"/>
        <v>7200</v>
      </c>
      <c r="U59" s="39">
        <f t="shared" si="124"/>
        <v>7200.0000000000009</v>
      </c>
      <c r="V59" s="39">
        <f t="shared" si="124"/>
        <v>7200.0000000000009</v>
      </c>
      <c r="W59" s="39">
        <f t="shared" si="124"/>
        <v>23100</v>
      </c>
      <c r="X59" s="39">
        <f t="shared" si="124"/>
        <v>37350</v>
      </c>
      <c r="Y59" s="39">
        <f t="shared" si="124"/>
        <v>37350</v>
      </c>
      <c r="Z59" s="39">
        <f t="shared" si="124"/>
        <v>37350</v>
      </c>
      <c r="AA59" s="39">
        <f t="shared" si="124"/>
        <v>37350</v>
      </c>
      <c r="AB59" s="39">
        <f t="shared" si="124"/>
        <v>37350</v>
      </c>
      <c r="AC59" s="39">
        <f t="shared" si="124"/>
        <v>37350</v>
      </c>
      <c r="AD59" s="39">
        <f t="shared" si="124"/>
        <v>37350</v>
      </c>
      <c r="AE59" s="39">
        <f t="shared" si="124"/>
        <v>37350</v>
      </c>
      <c r="AF59" s="39">
        <f t="shared" si="124"/>
        <v>37350</v>
      </c>
      <c r="AG59" s="39">
        <f t="shared" si="124"/>
        <v>37350</v>
      </c>
      <c r="AH59" s="39">
        <f t="shared" si="124"/>
        <v>40500</v>
      </c>
      <c r="AI59" s="39">
        <f t="shared" si="124"/>
        <v>40500</v>
      </c>
      <c r="AJ59" s="39">
        <f t="shared" si="124"/>
        <v>40500</v>
      </c>
      <c r="AK59" s="39">
        <f t="shared" si="124"/>
        <v>40500</v>
      </c>
      <c r="AL59" s="39">
        <f t="shared" si="124"/>
        <v>40500</v>
      </c>
      <c r="AM59" s="39">
        <f t="shared" si="124"/>
        <v>40500</v>
      </c>
      <c r="AN59" s="39">
        <f t="shared" si="124"/>
        <v>40500</v>
      </c>
      <c r="AO59" s="39">
        <f t="shared" si="124"/>
        <v>40500</v>
      </c>
      <c r="AP59" s="39">
        <f t="shared" si="124"/>
        <v>40500</v>
      </c>
      <c r="AQ59" s="39">
        <f t="shared" si="124"/>
        <v>40500</v>
      </c>
      <c r="AR59" s="39">
        <f t="shared" si="124"/>
        <v>40500</v>
      </c>
      <c r="AS59" s="39">
        <f t="shared" si="124"/>
        <v>42300</v>
      </c>
      <c r="AT59" s="39">
        <f t="shared" si="124"/>
        <v>45900</v>
      </c>
      <c r="AU59" s="39">
        <f t="shared" si="124"/>
        <v>45900</v>
      </c>
      <c r="AV59" s="39">
        <f t="shared" si="124"/>
        <v>45900</v>
      </c>
      <c r="AW59" s="39">
        <f t="shared" si="124"/>
        <v>45900</v>
      </c>
      <c r="AX59" s="39">
        <f t="shared" si="124"/>
        <v>45900</v>
      </c>
      <c r="AY59" s="39">
        <f t="shared" si="124"/>
        <v>45900</v>
      </c>
      <c r="AZ59" s="39">
        <f t="shared" si="124"/>
        <v>45900</v>
      </c>
      <c r="BA59" s="39">
        <f t="shared" si="124"/>
        <v>45900</v>
      </c>
      <c r="BB59" s="39">
        <f t="shared" si="124"/>
        <v>45900</v>
      </c>
      <c r="BC59" s="39">
        <f t="shared" si="124"/>
        <v>45900</v>
      </c>
      <c r="BD59" s="39">
        <f t="shared" si="124"/>
        <v>45900</v>
      </c>
      <c r="BE59" s="39">
        <f t="shared" si="124"/>
        <v>45900</v>
      </c>
      <c r="BF59" s="39">
        <f t="shared" ref="BF59:BQ59" si="125">SUM(BF56:BF58)</f>
        <v>49500</v>
      </c>
      <c r="BG59" s="39">
        <f t="shared" si="125"/>
        <v>49500</v>
      </c>
      <c r="BH59" s="39">
        <f t="shared" si="125"/>
        <v>49500</v>
      </c>
      <c r="BI59" s="39">
        <f t="shared" si="125"/>
        <v>49500</v>
      </c>
      <c r="BJ59" s="39">
        <f t="shared" si="125"/>
        <v>49500</v>
      </c>
      <c r="BK59" s="39">
        <f t="shared" si="125"/>
        <v>49500</v>
      </c>
      <c r="BL59" s="39">
        <f t="shared" si="125"/>
        <v>49500</v>
      </c>
      <c r="BM59" s="39">
        <f t="shared" si="125"/>
        <v>49500</v>
      </c>
      <c r="BN59" s="39">
        <f t="shared" si="125"/>
        <v>49500</v>
      </c>
      <c r="BO59" s="39">
        <f t="shared" si="125"/>
        <v>49500</v>
      </c>
      <c r="BP59" s="39">
        <f t="shared" si="125"/>
        <v>49500</v>
      </c>
      <c r="BQ59" s="39">
        <f t="shared" si="125"/>
        <v>49500</v>
      </c>
    </row>
    <row r="60" spans="2:6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39"/>
      <c r="AY60" s="39"/>
      <c r="AZ60" s="39"/>
      <c r="BA60" s="39"/>
      <c r="BB60" s="39"/>
      <c r="BC60" s="39"/>
      <c r="BD60" s="39"/>
      <c r="BE60" s="39"/>
      <c r="BF60" s="39"/>
      <c r="BG60" s="39"/>
      <c r="BH60" s="39"/>
      <c r="BI60" s="39"/>
      <c r="BJ60" s="39"/>
      <c r="BK60" s="39"/>
      <c r="BL60" s="39"/>
      <c r="BM60" s="39"/>
      <c r="BN60" s="39"/>
      <c r="BO60" s="39"/>
      <c r="BP60" s="39"/>
      <c r="BQ60" s="39"/>
    </row>
    <row r="61" spans="2:69" ht="14.4">
      <c r="B61" s="2" t="s">
        <v>165</v>
      </c>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39"/>
      <c r="AY61" s="39"/>
      <c r="AZ61" s="39"/>
      <c r="BA61" s="39"/>
      <c r="BB61" s="39"/>
      <c r="BC61" s="39"/>
      <c r="BD61" s="39"/>
      <c r="BE61" s="39"/>
      <c r="BF61" s="39"/>
      <c r="BG61" s="39"/>
      <c r="BH61" s="39"/>
      <c r="BI61" s="39"/>
      <c r="BJ61" s="39"/>
      <c r="BK61" s="39"/>
      <c r="BL61" s="39"/>
      <c r="BM61" s="39"/>
      <c r="BN61" s="39"/>
      <c r="BO61" s="39"/>
      <c r="BP61" s="39"/>
      <c r="BQ61" s="39"/>
    </row>
    <row r="62" spans="2:69" ht="14.4">
      <c r="B62" t="s">
        <v>161</v>
      </c>
      <c r="J62" s="32">
        <v>0</v>
      </c>
      <c r="K62" s="32">
        <f>J67</f>
        <v>3460.4</v>
      </c>
      <c r="L62" s="32">
        <f t="shared" ref="L62:BE62" si="126">K67</f>
        <v>11425.199999999999</v>
      </c>
      <c r="M62" s="32">
        <f t="shared" si="126"/>
        <v>7553</v>
      </c>
      <c r="N62" s="32">
        <f t="shared" si="126"/>
        <v>12993</v>
      </c>
      <c r="O62" s="32">
        <f t="shared" si="126"/>
        <v>17147.98</v>
      </c>
      <c r="P62" s="32">
        <f t="shared" si="126"/>
        <v>46741.15</v>
      </c>
      <c r="Q62" s="32">
        <f t="shared" si="126"/>
        <v>52686.59</v>
      </c>
      <c r="R62" s="32">
        <f t="shared" si="126"/>
        <v>32914.870000000003</v>
      </c>
      <c r="S62" s="32">
        <f t="shared" si="126"/>
        <v>-21037.679999999993</v>
      </c>
      <c r="T62" s="32">
        <f t="shared" si="126"/>
        <v>-32351.479999999996</v>
      </c>
      <c r="U62" s="32">
        <f t="shared" si="126"/>
        <v>-43176.88</v>
      </c>
      <c r="V62" s="32">
        <f t="shared" si="126"/>
        <v>-17371.050000000003</v>
      </c>
      <c r="W62" s="32">
        <f t="shared" si="126"/>
        <v>-24879.700000000004</v>
      </c>
      <c r="X62" s="32">
        <f t="shared" si="126"/>
        <v>-31173.350000000006</v>
      </c>
      <c r="Y62" s="32">
        <f t="shared" si="126"/>
        <v>-3048.5500000000029</v>
      </c>
      <c r="Z62" s="32">
        <f t="shared" si="126"/>
        <v>8072.5499999999956</v>
      </c>
      <c r="AA62" s="32">
        <f t="shared" si="126"/>
        <v>20732.399999999994</v>
      </c>
      <c r="AB62" s="32">
        <f t="shared" si="126"/>
        <v>26815.699999999997</v>
      </c>
      <c r="AC62" s="32">
        <f t="shared" si="126"/>
        <v>41807.549999999996</v>
      </c>
      <c r="AD62" s="32">
        <f t="shared" si="126"/>
        <v>59558.149999999987</v>
      </c>
      <c r="AE62" s="32">
        <f t="shared" si="126"/>
        <v>37797.200000000004</v>
      </c>
      <c r="AF62" s="32">
        <f t="shared" si="126"/>
        <v>59962.55000000001</v>
      </c>
      <c r="AG62" s="32">
        <f t="shared" si="126"/>
        <v>83483.900000000023</v>
      </c>
      <c r="AH62" s="32">
        <f t="shared" si="126"/>
        <v>49938.700000000019</v>
      </c>
      <c r="AI62" s="32">
        <f t="shared" si="126"/>
        <v>85919.300000000017</v>
      </c>
      <c r="AJ62" s="32">
        <f t="shared" si="126"/>
        <v>124954.5</v>
      </c>
      <c r="AK62" s="32">
        <f t="shared" si="126"/>
        <v>80407.749999999971</v>
      </c>
      <c r="AL62" s="32">
        <f t="shared" si="126"/>
        <v>124734.89999999998</v>
      </c>
      <c r="AM62" s="32">
        <f t="shared" si="126"/>
        <v>172099.4</v>
      </c>
      <c r="AN62" s="32">
        <f t="shared" si="126"/>
        <v>97683.600000000049</v>
      </c>
      <c r="AO62" s="32">
        <f t="shared" si="126"/>
        <v>150460.05000000005</v>
      </c>
      <c r="AP62" s="32">
        <f t="shared" si="126"/>
        <v>207111.10000000003</v>
      </c>
      <c r="AQ62" s="32">
        <f t="shared" si="126"/>
        <v>116459.45000000001</v>
      </c>
      <c r="AR62" s="32">
        <f t="shared" si="126"/>
        <v>179342.45</v>
      </c>
      <c r="AS62" s="32">
        <f t="shared" si="126"/>
        <v>244882.80000000002</v>
      </c>
      <c r="AT62" s="32">
        <f t="shared" si="126"/>
        <v>134855.29999999999</v>
      </c>
      <c r="AU62" s="32">
        <f t="shared" si="126"/>
        <v>221009.18</v>
      </c>
      <c r="AV62" s="32">
        <f t="shared" si="126"/>
        <v>311280.65500000003</v>
      </c>
      <c r="AW62" s="32">
        <f t="shared" si="126"/>
        <v>184543.29499999998</v>
      </c>
      <c r="AX62" s="32">
        <f t="shared" si="126"/>
        <v>282327.70999999996</v>
      </c>
      <c r="AY62" s="32">
        <f t="shared" si="126"/>
        <v>384212.47</v>
      </c>
      <c r="AZ62" s="32">
        <f t="shared" si="126"/>
        <v>207787.11500000005</v>
      </c>
      <c r="BA62" s="32">
        <f t="shared" si="126"/>
        <v>317856.01500000007</v>
      </c>
      <c r="BB62" s="32">
        <f t="shared" si="126"/>
        <v>432291.46000000008</v>
      </c>
      <c r="BC62" s="32">
        <f t="shared" si="126"/>
        <v>233154.685</v>
      </c>
      <c r="BD62" s="32">
        <f t="shared" si="126"/>
        <v>356040.47</v>
      </c>
      <c r="BE62" s="32">
        <f t="shared" si="126"/>
        <v>483310.05</v>
      </c>
      <c r="BF62" s="32">
        <f>BE67</f>
        <v>258805.70499999996</v>
      </c>
      <c r="BG62" s="32">
        <f t="shared" ref="BG62" si="127">BF67</f>
        <v>394676.77499999997</v>
      </c>
      <c r="BH62" s="32">
        <f t="shared" ref="BH62" si="128">BG67</f>
        <v>535231.375</v>
      </c>
      <c r="BI62" s="32">
        <f t="shared" ref="BI62" si="129">BH67</f>
        <v>285792.72999999992</v>
      </c>
      <c r="BJ62" s="32">
        <f t="shared" ref="BJ62" si="130">BI67</f>
        <v>435731.64</v>
      </c>
      <c r="BK62" s="32">
        <f t="shared" ref="BK62" si="131">BJ67</f>
        <v>590354.08000000007</v>
      </c>
      <c r="BL62" s="32">
        <f t="shared" ref="BL62" si="132">BK67</f>
        <v>313928.41000000003</v>
      </c>
      <c r="BM62" s="32">
        <f t="shared" ref="BM62" si="133">BL67</f>
        <v>478249.76000000007</v>
      </c>
      <c r="BN62" s="32">
        <f t="shared" ref="BN62" si="134">BM67</f>
        <v>647569.24</v>
      </c>
      <c r="BO62" s="32">
        <f t="shared" ref="BO62" si="135">BN67</f>
        <v>343637.08999999991</v>
      </c>
      <c r="BP62" s="32">
        <f t="shared" ref="BP62" si="136">BO67</f>
        <v>522970.07999999984</v>
      </c>
      <c r="BQ62" s="32">
        <f t="shared" ref="BQ62" si="137">BP67</f>
        <v>707301.19999999984</v>
      </c>
    </row>
    <row r="63" spans="2:69" ht="14.4">
      <c r="B63" t="s">
        <v>124</v>
      </c>
      <c r="J63" s="32">
        <v>3989</v>
      </c>
      <c r="K63" s="39">
        <f>K8+2367</f>
        <v>9117</v>
      </c>
      <c r="L63" s="39">
        <f t="shared" ref="L63:BE63" si="138">L8</f>
        <v>2924</v>
      </c>
      <c r="M63" s="39">
        <f t="shared" si="138"/>
        <v>12484.6</v>
      </c>
      <c r="N63" s="39">
        <f t="shared" si="138"/>
        <v>11954.800000000001</v>
      </c>
      <c r="O63" s="39">
        <f t="shared" si="138"/>
        <v>31546.800000000003</v>
      </c>
      <c r="P63" s="39">
        <f t="shared" si="138"/>
        <v>24746.400000000001</v>
      </c>
      <c r="Q63" s="39">
        <f t="shared" si="138"/>
        <v>6925</v>
      </c>
      <c r="R63" s="39">
        <f t="shared" si="138"/>
        <v>7650</v>
      </c>
      <c r="S63" s="39">
        <f t="shared" si="138"/>
        <v>4670</v>
      </c>
      <c r="T63" s="39">
        <f t="shared" si="138"/>
        <v>8370</v>
      </c>
      <c r="U63" s="39">
        <f t="shared" si="138"/>
        <v>12320</v>
      </c>
      <c r="V63" s="39">
        <f t="shared" si="138"/>
        <v>13270</v>
      </c>
      <c r="W63" s="39">
        <f t="shared" si="138"/>
        <v>27820</v>
      </c>
      <c r="X63" s="39">
        <f t="shared" si="138"/>
        <v>31975</v>
      </c>
      <c r="Y63" s="39">
        <f t="shared" si="138"/>
        <v>40510</v>
      </c>
      <c r="Z63" s="39">
        <f t="shared" si="138"/>
        <v>43205</v>
      </c>
      <c r="AA63" s="39">
        <f t="shared" si="138"/>
        <v>45900</v>
      </c>
      <c r="AB63" s="39">
        <f t="shared" si="138"/>
        <v>48595</v>
      </c>
      <c r="AC63" s="39">
        <f t="shared" si="138"/>
        <v>52090</v>
      </c>
      <c r="AD63" s="39">
        <f t="shared" si="138"/>
        <v>55585</v>
      </c>
      <c r="AE63" s="39">
        <f t="shared" si="138"/>
        <v>59080</v>
      </c>
      <c r="AF63" s="39">
        <f t="shared" si="138"/>
        <v>62575</v>
      </c>
      <c r="AG63" s="39">
        <f t="shared" si="138"/>
        <v>66070</v>
      </c>
      <c r="AH63" s="39">
        <f t="shared" si="138"/>
        <v>79920.5</v>
      </c>
      <c r="AI63" s="39">
        <f t="shared" si="138"/>
        <v>84313.900000000009</v>
      </c>
      <c r="AJ63" s="39">
        <f t="shared" si="138"/>
        <v>88707.3</v>
      </c>
      <c r="AK63" s="39">
        <f t="shared" si="138"/>
        <v>93100.700000000012</v>
      </c>
      <c r="AL63" s="39">
        <f t="shared" si="138"/>
        <v>97494.1</v>
      </c>
      <c r="AM63" s="39">
        <f t="shared" si="138"/>
        <v>101887.5</v>
      </c>
      <c r="AN63" s="39">
        <f t="shared" si="138"/>
        <v>106500.90000000001</v>
      </c>
      <c r="AO63" s="39">
        <f t="shared" si="138"/>
        <v>111114.3</v>
      </c>
      <c r="AP63" s="39">
        <f t="shared" si="138"/>
        <v>115727.70000000001</v>
      </c>
      <c r="AQ63" s="39">
        <f t="shared" si="138"/>
        <v>120341.1</v>
      </c>
      <c r="AR63" s="39">
        <f t="shared" si="138"/>
        <v>124954.5</v>
      </c>
      <c r="AS63" s="39">
        <f t="shared" si="138"/>
        <v>129567.90000000001</v>
      </c>
      <c r="AT63" s="39">
        <f t="shared" si="138"/>
        <v>151852.58000000002</v>
      </c>
      <c r="AU63" s="39">
        <f t="shared" si="138"/>
        <v>157575.27500000002</v>
      </c>
      <c r="AV63" s="39">
        <f t="shared" si="138"/>
        <v>163297.97</v>
      </c>
      <c r="AW63" s="39">
        <f t="shared" si="138"/>
        <v>169020.66500000001</v>
      </c>
      <c r="AX63" s="39">
        <f t="shared" si="138"/>
        <v>174743.36000000002</v>
      </c>
      <c r="AY63" s="39">
        <f t="shared" si="138"/>
        <v>180466.05500000002</v>
      </c>
      <c r="AZ63" s="39">
        <f t="shared" si="138"/>
        <v>186454.95</v>
      </c>
      <c r="BA63" s="39">
        <f t="shared" si="138"/>
        <v>192443.845</v>
      </c>
      <c r="BB63" s="39">
        <f t="shared" si="138"/>
        <v>198432.74</v>
      </c>
      <c r="BC63" s="39">
        <f t="shared" si="138"/>
        <v>204421.63500000001</v>
      </c>
      <c r="BD63" s="39">
        <f t="shared" si="138"/>
        <v>210410.53</v>
      </c>
      <c r="BE63" s="39">
        <f t="shared" si="138"/>
        <v>216399.42500000002</v>
      </c>
      <c r="BF63" s="39">
        <f>BF8</f>
        <v>227669.97000000003</v>
      </c>
      <c r="BG63" s="39">
        <f t="shared" ref="BG63:BQ63" si="139">BG8</f>
        <v>234395.15000000002</v>
      </c>
      <c r="BH63" s="39">
        <f t="shared" si="139"/>
        <v>241120.33</v>
      </c>
      <c r="BI63" s="39">
        <f t="shared" si="139"/>
        <v>247845.51</v>
      </c>
      <c r="BJ63" s="39">
        <f t="shared" si="139"/>
        <v>254570.69</v>
      </c>
      <c r="BK63" s="39">
        <f t="shared" si="139"/>
        <v>261295.87000000002</v>
      </c>
      <c r="BL63" s="39">
        <f t="shared" si="139"/>
        <v>268335.65000000002</v>
      </c>
      <c r="BM63" s="39">
        <f t="shared" si="139"/>
        <v>275375.43</v>
      </c>
      <c r="BN63" s="39">
        <f t="shared" si="139"/>
        <v>282415.21000000002</v>
      </c>
      <c r="BO63" s="39">
        <f t="shared" si="139"/>
        <v>289454.99</v>
      </c>
      <c r="BP63" s="39">
        <f t="shared" si="139"/>
        <v>296494.77</v>
      </c>
      <c r="BQ63" s="39">
        <f t="shared" si="139"/>
        <v>303534.55</v>
      </c>
    </row>
    <row r="64" spans="2:69" ht="14.4">
      <c r="B64" t="s">
        <v>139</v>
      </c>
      <c r="J64" s="32">
        <f>-J33</f>
        <v>-528.6</v>
      </c>
      <c r="K64" s="32">
        <f t="shared" ref="K64:BE64" si="140">-K33</f>
        <v>-1152.2</v>
      </c>
      <c r="L64" s="32">
        <f t="shared" si="140"/>
        <v>-8964.8000000000011</v>
      </c>
      <c r="M64" s="32">
        <f t="shared" si="140"/>
        <v>-12088.6</v>
      </c>
      <c r="N64" s="32">
        <f t="shared" si="140"/>
        <v>-12946.800000000001</v>
      </c>
      <c r="O64" s="32">
        <f t="shared" si="140"/>
        <v>-26961</v>
      </c>
      <c r="P64" s="32">
        <f t="shared" si="140"/>
        <v>-19064.600000000002</v>
      </c>
      <c r="Q64" s="32">
        <f t="shared" si="140"/>
        <v>-15410.6</v>
      </c>
      <c r="R64" s="32">
        <f t="shared" si="140"/>
        <v>-9179.6</v>
      </c>
      <c r="S64" s="32">
        <f t="shared" si="140"/>
        <v>-15983.800000000001</v>
      </c>
      <c r="T64" s="32">
        <f t="shared" si="140"/>
        <v>-19195.400000000001</v>
      </c>
      <c r="U64" s="32">
        <f t="shared" si="140"/>
        <v>-18865.650000000001</v>
      </c>
      <c r="V64" s="32">
        <f t="shared" si="140"/>
        <v>-20778.650000000001</v>
      </c>
      <c r="W64" s="32">
        <f t="shared" si="140"/>
        <v>-34113.65</v>
      </c>
      <c r="X64" s="32">
        <f t="shared" si="140"/>
        <v>-28729.9</v>
      </c>
      <c r="Y64" s="32">
        <f t="shared" si="140"/>
        <v>-29388.9</v>
      </c>
      <c r="Z64" s="32">
        <f t="shared" si="140"/>
        <v>-30545.15</v>
      </c>
      <c r="AA64" s="32">
        <f t="shared" si="140"/>
        <v>-31744.15</v>
      </c>
      <c r="AB64" s="32">
        <f t="shared" si="140"/>
        <v>-33603.15</v>
      </c>
      <c r="AC64" s="32">
        <f t="shared" si="140"/>
        <v>-34339.4</v>
      </c>
      <c r="AD64" s="32">
        <f t="shared" si="140"/>
        <v>-35538.400000000001</v>
      </c>
      <c r="AE64" s="32">
        <f t="shared" si="140"/>
        <v>-36914.65</v>
      </c>
      <c r="AF64" s="32">
        <f t="shared" si="140"/>
        <v>-39053.65</v>
      </c>
      <c r="AG64" s="32">
        <f t="shared" si="140"/>
        <v>-39652.65</v>
      </c>
      <c r="AH64" s="32">
        <f t="shared" si="140"/>
        <v>-43939.9</v>
      </c>
      <c r="AI64" s="32">
        <f t="shared" si="140"/>
        <v>-45278.700000000004</v>
      </c>
      <c r="AJ64" s="32">
        <f t="shared" si="140"/>
        <v>-47334.75</v>
      </c>
      <c r="AK64" s="32">
        <f t="shared" si="140"/>
        <v>-48773.55</v>
      </c>
      <c r="AL64" s="32">
        <f t="shared" si="140"/>
        <v>-50129.600000000006</v>
      </c>
      <c r="AM64" s="32">
        <f t="shared" si="140"/>
        <v>-51568.4</v>
      </c>
      <c r="AN64" s="32">
        <f t="shared" si="140"/>
        <v>-53724.450000000004</v>
      </c>
      <c r="AO64" s="32">
        <f t="shared" si="140"/>
        <v>-54463.25</v>
      </c>
      <c r="AP64" s="32">
        <f t="shared" si="140"/>
        <v>-55919.3</v>
      </c>
      <c r="AQ64" s="32">
        <f t="shared" si="140"/>
        <v>-57458.100000000006</v>
      </c>
      <c r="AR64" s="32">
        <f t="shared" si="140"/>
        <v>-59414.15</v>
      </c>
      <c r="AS64" s="32">
        <f t="shared" si="140"/>
        <v>-60252.950000000004</v>
      </c>
      <c r="AT64" s="32">
        <f t="shared" si="140"/>
        <v>-65698.7</v>
      </c>
      <c r="AU64" s="32">
        <f t="shared" si="140"/>
        <v>-67303.8</v>
      </c>
      <c r="AV64" s="32">
        <f t="shared" si="140"/>
        <v>-69026.150000000009</v>
      </c>
      <c r="AW64" s="32">
        <f t="shared" si="140"/>
        <v>-71236.25</v>
      </c>
      <c r="AX64" s="32">
        <f t="shared" si="140"/>
        <v>-72858.600000000006</v>
      </c>
      <c r="AY64" s="32">
        <f t="shared" si="140"/>
        <v>-74563.7</v>
      </c>
      <c r="AZ64" s="32">
        <f t="shared" si="140"/>
        <v>-76386.05</v>
      </c>
      <c r="BA64" s="32">
        <f t="shared" si="140"/>
        <v>-78008.400000000009</v>
      </c>
      <c r="BB64" s="32">
        <f t="shared" si="140"/>
        <v>-79713.5</v>
      </c>
      <c r="BC64" s="32">
        <f t="shared" si="140"/>
        <v>-81535.850000000006</v>
      </c>
      <c r="BD64" s="32">
        <f t="shared" si="140"/>
        <v>-83140.950000000012</v>
      </c>
      <c r="BE64" s="32">
        <f t="shared" si="140"/>
        <v>-84863.3</v>
      </c>
      <c r="BF64" s="32">
        <f t="shared" ref="BF64:BQ64" si="141">-BF33</f>
        <v>-91798.900000000009</v>
      </c>
      <c r="BG64" s="32">
        <f t="shared" si="141"/>
        <v>-93840.55</v>
      </c>
      <c r="BH64" s="32">
        <f t="shared" si="141"/>
        <v>-95882.200000000012</v>
      </c>
      <c r="BI64" s="32">
        <f t="shared" si="141"/>
        <v>-97906.6</v>
      </c>
      <c r="BJ64" s="32">
        <f t="shared" si="141"/>
        <v>-99948.25</v>
      </c>
      <c r="BK64" s="32">
        <f t="shared" si="141"/>
        <v>-101989.90000000001</v>
      </c>
      <c r="BL64" s="32">
        <f t="shared" si="141"/>
        <v>-104014.3</v>
      </c>
      <c r="BM64" s="32">
        <f t="shared" si="141"/>
        <v>-106055.95000000001</v>
      </c>
      <c r="BN64" s="32">
        <f t="shared" si="141"/>
        <v>-108097.60000000001</v>
      </c>
      <c r="BO64" s="32">
        <f t="shared" si="141"/>
        <v>-110122</v>
      </c>
      <c r="BP64" s="32">
        <f t="shared" si="141"/>
        <v>-112163.65000000001</v>
      </c>
      <c r="BQ64" s="32">
        <f t="shared" si="141"/>
        <v>-114188.05</v>
      </c>
    </row>
    <row r="65" spans="2:69" ht="14.4">
      <c r="B65" s="2" t="s">
        <v>162</v>
      </c>
      <c r="J65" s="32">
        <f>SUM(J62:J64)</f>
        <v>3460.4</v>
      </c>
      <c r="K65" s="32">
        <f t="shared" ref="K65:BE65" si="142">SUM(K62:K64)</f>
        <v>11425.199999999999</v>
      </c>
      <c r="L65" s="32">
        <f t="shared" si="142"/>
        <v>5384.3999999999978</v>
      </c>
      <c r="M65" s="32">
        <f t="shared" si="142"/>
        <v>7948.9999999999982</v>
      </c>
      <c r="N65" s="32">
        <f t="shared" si="142"/>
        <v>12001.000000000002</v>
      </c>
      <c r="O65" s="32">
        <f t="shared" si="142"/>
        <v>21733.78</v>
      </c>
      <c r="P65" s="32">
        <f t="shared" si="142"/>
        <v>52422.95</v>
      </c>
      <c r="Q65" s="32">
        <f t="shared" si="142"/>
        <v>44200.99</v>
      </c>
      <c r="R65" s="32">
        <f t="shared" si="142"/>
        <v>31385.270000000004</v>
      </c>
      <c r="S65" s="32">
        <f t="shared" si="142"/>
        <v>-32351.479999999996</v>
      </c>
      <c r="T65" s="32">
        <f t="shared" si="142"/>
        <v>-43176.88</v>
      </c>
      <c r="U65" s="32">
        <f t="shared" si="142"/>
        <v>-49722.53</v>
      </c>
      <c r="V65" s="32">
        <f t="shared" si="142"/>
        <v>-24879.700000000004</v>
      </c>
      <c r="W65" s="32">
        <f t="shared" si="142"/>
        <v>-31173.350000000006</v>
      </c>
      <c r="X65" s="32">
        <f t="shared" si="142"/>
        <v>-27928.250000000007</v>
      </c>
      <c r="Y65" s="32">
        <f t="shared" si="142"/>
        <v>8072.5499999999956</v>
      </c>
      <c r="Z65" s="32">
        <f t="shared" si="142"/>
        <v>20732.399999999994</v>
      </c>
      <c r="AA65" s="32">
        <f t="shared" si="142"/>
        <v>34888.249999999993</v>
      </c>
      <c r="AB65" s="32">
        <f t="shared" si="142"/>
        <v>41807.549999999996</v>
      </c>
      <c r="AC65" s="32">
        <f t="shared" si="142"/>
        <v>59558.149999999987</v>
      </c>
      <c r="AD65" s="32">
        <f t="shared" si="142"/>
        <v>79604.75</v>
      </c>
      <c r="AE65" s="32">
        <f t="shared" si="142"/>
        <v>59962.55000000001</v>
      </c>
      <c r="AF65" s="32">
        <f t="shared" si="142"/>
        <v>83483.900000000023</v>
      </c>
      <c r="AG65" s="32">
        <f t="shared" si="142"/>
        <v>109901.25000000003</v>
      </c>
      <c r="AH65" s="32">
        <f t="shared" si="142"/>
        <v>85919.300000000017</v>
      </c>
      <c r="AI65" s="32">
        <f t="shared" si="142"/>
        <v>124954.5</v>
      </c>
      <c r="AJ65" s="32">
        <f t="shared" si="142"/>
        <v>166327.04999999999</v>
      </c>
      <c r="AK65" s="32">
        <f t="shared" si="142"/>
        <v>124734.89999999998</v>
      </c>
      <c r="AL65" s="32">
        <f t="shared" si="142"/>
        <v>172099.4</v>
      </c>
      <c r="AM65" s="32">
        <f t="shared" si="142"/>
        <v>222418.50000000003</v>
      </c>
      <c r="AN65" s="32">
        <f t="shared" si="142"/>
        <v>150460.05000000005</v>
      </c>
      <c r="AO65" s="32">
        <f t="shared" si="142"/>
        <v>207111.10000000003</v>
      </c>
      <c r="AP65" s="32">
        <f t="shared" si="142"/>
        <v>266919.50000000006</v>
      </c>
      <c r="AQ65" s="32">
        <f t="shared" si="142"/>
        <v>179342.45</v>
      </c>
      <c r="AR65" s="32">
        <f t="shared" si="142"/>
        <v>244882.80000000002</v>
      </c>
      <c r="AS65" s="32">
        <f t="shared" si="142"/>
        <v>314197.75</v>
      </c>
      <c r="AT65" s="32">
        <f t="shared" si="142"/>
        <v>221009.18</v>
      </c>
      <c r="AU65" s="32">
        <f t="shared" si="142"/>
        <v>311280.65500000003</v>
      </c>
      <c r="AV65" s="32">
        <f t="shared" si="142"/>
        <v>405552.47499999998</v>
      </c>
      <c r="AW65" s="32">
        <f t="shared" si="142"/>
        <v>282327.70999999996</v>
      </c>
      <c r="AX65" s="32">
        <f t="shared" si="142"/>
        <v>384212.47</v>
      </c>
      <c r="AY65" s="32">
        <f t="shared" si="142"/>
        <v>490114.82500000001</v>
      </c>
      <c r="AZ65" s="32">
        <f t="shared" si="142"/>
        <v>317856.01500000007</v>
      </c>
      <c r="BA65" s="32">
        <f t="shared" si="142"/>
        <v>432291.46000000008</v>
      </c>
      <c r="BB65" s="32">
        <f t="shared" si="142"/>
        <v>551010.70000000007</v>
      </c>
      <c r="BC65" s="32">
        <f t="shared" si="142"/>
        <v>356040.47</v>
      </c>
      <c r="BD65" s="32">
        <f t="shared" si="142"/>
        <v>483310.05</v>
      </c>
      <c r="BE65" s="32">
        <f t="shared" si="142"/>
        <v>614846.17499999993</v>
      </c>
      <c r="BF65" s="32">
        <f t="shared" ref="BF65:BQ65" si="143">SUM(BF62:BF64)</f>
        <v>394676.77499999997</v>
      </c>
      <c r="BG65" s="32">
        <f t="shared" si="143"/>
        <v>535231.375</v>
      </c>
      <c r="BH65" s="32">
        <f t="shared" si="143"/>
        <v>680469.50499999989</v>
      </c>
      <c r="BI65" s="32">
        <f t="shared" si="143"/>
        <v>435731.64</v>
      </c>
      <c r="BJ65" s="32">
        <f t="shared" si="143"/>
        <v>590354.08000000007</v>
      </c>
      <c r="BK65" s="32">
        <f t="shared" si="143"/>
        <v>749660.05</v>
      </c>
      <c r="BL65" s="32">
        <f t="shared" si="143"/>
        <v>478249.76000000007</v>
      </c>
      <c r="BM65" s="32">
        <f t="shared" si="143"/>
        <v>647569.24</v>
      </c>
      <c r="BN65" s="32">
        <f t="shared" si="143"/>
        <v>821886.85</v>
      </c>
      <c r="BO65" s="32">
        <f t="shared" si="143"/>
        <v>522970.07999999984</v>
      </c>
      <c r="BP65" s="32">
        <f t="shared" si="143"/>
        <v>707301.19999999984</v>
      </c>
      <c r="BQ65" s="32">
        <f t="shared" si="143"/>
        <v>896647.69999999972</v>
      </c>
    </row>
    <row r="66" spans="2:69" ht="14.4">
      <c r="B66" s="12" t="s">
        <v>163</v>
      </c>
      <c r="C66" s="9"/>
      <c r="D66" s="9"/>
      <c r="E66" s="9"/>
      <c r="F66" s="9"/>
      <c r="G66" s="9"/>
      <c r="H66" s="9"/>
      <c r="I66" s="9"/>
      <c r="J66" s="42">
        <v>0</v>
      </c>
      <c r="K66" s="42"/>
      <c r="L66" s="42"/>
      <c r="M66" s="42"/>
      <c r="N66" s="42"/>
      <c r="O66" s="42">
        <f>-M65</f>
        <v>-7948.9999999999982</v>
      </c>
      <c r="P66" s="42"/>
      <c r="Q66" s="42"/>
      <c r="R66" s="42">
        <f>-P65</f>
        <v>-52422.95</v>
      </c>
      <c r="S66" s="42"/>
      <c r="T66" s="42"/>
      <c r="U66" s="42">
        <f>-S65</f>
        <v>32351.479999999996</v>
      </c>
      <c r="V66" s="42"/>
      <c r="W66" s="42"/>
      <c r="X66" s="42">
        <f>-V65</f>
        <v>24879.700000000004</v>
      </c>
      <c r="Y66" s="42"/>
      <c r="Z66" s="42"/>
      <c r="AA66" s="42">
        <f>-Y65</f>
        <v>-8072.5499999999956</v>
      </c>
      <c r="AB66" s="42"/>
      <c r="AC66" s="42"/>
      <c r="AD66" s="42">
        <f>-AB65</f>
        <v>-41807.549999999996</v>
      </c>
      <c r="AE66" s="42"/>
      <c r="AF66" s="42"/>
      <c r="AG66" s="42">
        <f>-AE65</f>
        <v>-59962.55000000001</v>
      </c>
      <c r="AH66" s="42"/>
      <c r="AI66" s="42"/>
      <c r="AJ66" s="42">
        <f>-AH65</f>
        <v>-85919.300000000017</v>
      </c>
      <c r="AK66" s="42"/>
      <c r="AL66" s="42"/>
      <c r="AM66" s="42">
        <f>-AK65</f>
        <v>-124734.89999999998</v>
      </c>
      <c r="AN66" s="42"/>
      <c r="AO66" s="42"/>
      <c r="AP66" s="42">
        <f>-AN65</f>
        <v>-150460.05000000005</v>
      </c>
      <c r="AQ66" s="42"/>
      <c r="AR66" s="42"/>
      <c r="AS66" s="42">
        <f>-AQ65</f>
        <v>-179342.45</v>
      </c>
      <c r="AT66" s="42"/>
      <c r="AU66" s="42"/>
      <c r="AV66" s="42">
        <f>-AT65</f>
        <v>-221009.18</v>
      </c>
      <c r="AW66" s="42"/>
      <c r="AX66" s="42"/>
      <c r="AY66" s="42">
        <f>-AW65</f>
        <v>-282327.70999999996</v>
      </c>
      <c r="AZ66" s="42"/>
      <c r="BA66" s="42"/>
      <c r="BB66" s="42">
        <f>-AZ65</f>
        <v>-317856.01500000007</v>
      </c>
      <c r="BC66" s="42"/>
      <c r="BD66" s="42"/>
      <c r="BE66" s="42">
        <f>-BC65</f>
        <v>-356040.47</v>
      </c>
      <c r="BF66" s="42"/>
      <c r="BG66" s="42"/>
      <c r="BH66" s="42">
        <f t="shared" ref="BH66:BQ66" si="144">-BF65</f>
        <v>-394676.77499999997</v>
      </c>
      <c r="BI66" s="42"/>
      <c r="BJ66" s="42"/>
      <c r="BK66" s="42">
        <f t="shared" si="144"/>
        <v>-435731.64</v>
      </c>
      <c r="BL66" s="42"/>
      <c r="BM66" s="42"/>
      <c r="BN66" s="42">
        <f t="shared" si="144"/>
        <v>-478249.76000000007</v>
      </c>
      <c r="BO66" s="42"/>
      <c r="BP66" s="42"/>
      <c r="BQ66" s="42">
        <f t="shared" si="144"/>
        <v>-522970.07999999984</v>
      </c>
    </row>
    <row r="67" spans="2:69" ht="14.4">
      <c r="B67" s="2" t="s">
        <v>164</v>
      </c>
      <c r="J67" s="39">
        <f>SUM(J65:J66)</f>
        <v>3460.4</v>
      </c>
      <c r="K67" s="39">
        <f t="shared" ref="K67:BE67" si="145">SUM(K65:K66)</f>
        <v>11425.199999999999</v>
      </c>
      <c r="L67" s="39">
        <v>7553</v>
      </c>
      <c r="M67" s="39">
        <v>12993</v>
      </c>
      <c r="N67" s="39">
        <v>17147.98</v>
      </c>
      <c r="O67" s="39">
        <v>46741.15</v>
      </c>
      <c r="P67" s="39">
        <v>52686.59</v>
      </c>
      <c r="Q67" s="39">
        <v>32914.870000000003</v>
      </c>
      <c r="R67" s="39">
        <f t="shared" si="145"/>
        <v>-21037.679999999993</v>
      </c>
      <c r="S67" s="39">
        <f t="shared" si="145"/>
        <v>-32351.479999999996</v>
      </c>
      <c r="T67" s="39">
        <f t="shared" si="145"/>
        <v>-43176.88</v>
      </c>
      <c r="U67" s="39">
        <f t="shared" si="145"/>
        <v>-17371.050000000003</v>
      </c>
      <c r="V67" s="39">
        <f t="shared" si="145"/>
        <v>-24879.700000000004</v>
      </c>
      <c r="W67" s="39">
        <f t="shared" si="145"/>
        <v>-31173.350000000006</v>
      </c>
      <c r="X67" s="39">
        <f t="shared" si="145"/>
        <v>-3048.5500000000029</v>
      </c>
      <c r="Y67" s="39">
        <f t="shared" si="145"/>
        <v>8072.5499999999956</v>
      </c>
      <c r="Z67" s="39">
        <f t="shared" si="145"/>
        <v>20732.399999999994</v>
      </c>
      <c r="AA67" s="39">
        <f t="shared" si="145"/>
        <v>26815.699999999997</v>
      </c>
      <c r="AB67" s="39">
        <f t="shared" si="145"/>
        <v>41807.549999999996</v>
      </c>
      <c r="AC67" s="39">
        <f t="shared" si="145"/>
        <v>59558.149999999987</v>
      </c>
      <c r="AD67" s="39">
        <f t="shared" si="145"/>
        <v>37797.200000000004</v>
      </c>
      <c r="AE67" s="39">
        <f t="shared" si="145"/>
        <v>59962.55000000001</v>
      </c>
      <c r="AF67" s="39">
        <f t="shared" si="145"/>
        <v>83483.900000000023</v>
      </c>
      <c r="AG67" s="39">
        <f t="shared" si="145"/>
        <v>49938.700000000019</v>
      </c>
      <c r="AH67" s="39">
        <f t="shared" si="145"/>
        <v>85919.300000000017</v>
      </c>
      <c r="AI67" s="39">
        <f t="shared" si="145"/>
        <v>124954.5</v>
      </c>
      <c r="AJ67" s="39">
        <f t="shared" si="145"/>
        <v>80407.749999999971</v>
      </c>
      <c r="AK67" s="39">
        <f t="shared" si="145"/>
        <v>124734.89999999998</v>
      </c>
      <c r="AL67" s="39">
        <f t="shared" si="145"/>
        <v>172099.4</v>
      </c>
      <c r="AM67" s="39">
        <f t="shared" si="145"/>
        <v>97683.600000000049</v>
      </c>
      <c r="AN67" s="39">
        <f t="shared" si="145"/>
        <v>150460.05000000005</v>
      </c>
      <c r="AO67" s="39">
        <f t="shared" si="145"/>
        <v>207111.10000000003</v>
      </c>
      <c r="AP67" s="39">
        <f t="shared" si="145"/>
        <v>116459.45000000001</v>
      </c>
      <c r="AQ67" s="39">
        <f t="shared" si="145"/>
        <v>179342.45</v>
      </c>
      <c r="AR67" s="39">
        <f t="shared" si="145"/>
        <v>244882.80000000002</v>
      </c>
      <c r="AS67" s="39">
        <f t="shared" si="145"/>
        <v>134855.29999999999</v>
      </c>
      <c r="AT67" s="39">
        <f t="shared" si="145"/>
        <v>221009.18</v>
      </c>
      <c r="AU67" s="39">
        <f t="shared" si="145"/>
        <v>311280.65500000003</v>
      </c>
      <c r="AV67" s="39">
        <f t="shared" si="145"/>
        <v>184543.29499999998</v>
      </c>
      <c r="AW67" s="39">
        <f t="shared" si="145"/>
        <v>282327.70999999996</v>
      </c>
      <c r="AX67" s="39">
        <f t="shared" si="145"/>
        <v>384212.47</v>
      </c>
      <c r="AY67" s="39">
        <f t="shared" si="145"/>
        <v>207787.11500000005</v>
      </c>
      <c r="AZ67" s="39">
        <f t="shared" si="145"/>
        <v>317856.01500000007</v>
      </c>
      <c r="BA67" s="39">
        <f t="shared" si="145"/>
        <v>432291.46000000008</v>
      </c>
      <c r="BB67" s="39">
        <f t="shared" si="145"/>
        <v>233154.685</v>
      </c>
      <c r="BC67" s="39">
        <f t="shared" si="145"/>
        <v>356040.47</v>
      </c>
      <c r="BD67" s="39">
        <f t="shared" si="145"/>
        <v>483310.05</v>
      </c>
      <c r="BE67" s="39">
        <f t="shared" si="145"/>
        <v>258805.70499999996</v>
      </c>
      <c r="BF67" s="39">
        <f t="shared" ref="BF67:BQ67" si="146">SUM(BF65:BF66)</f>
        <v>394676.77499999997</v>
      </c>
      <c r="BG67" s="39">
        <f t="shared" si="146"/>
        <v>535231.375</v>
      </c>
      <c r="BH67" s="39">
        <f t="shared" si="146"/>
        <v>285792.72999999992</v>
      </c>
      <c r="BI67" s="39">
        <f t="shared" si="146"/>
        <v>435731.64</v>
      </c>
      <c r="BJ67" s="39">
        <f t="shared" si="146"/>
        <v>590354.08000000007</v>
      </c>
      <c r="BK67" s="39">
        <f t="shared" si="146"/>
        <v>313928.41000000003</v>
      </c>
      <c r="BL67" s="39">
        <f t="shared" si="146"/>
        <v>478249.76000000007</v>
      </c>
      <c r="BM67" s="39">
        <f t="shared" si="146"/>
        <v>647569.24</v>
      </c>
      <c r="BN67" s="39">
        <f t="shared" si="146"/>
        <v>343637.08999999991</v>
      </c>
      <c r="BO67" s="39">
        <f t="shared" si="146"/>
        <v>522970.07999999984</v>
      </c>
      <c r="BP67" s="39">
        <f t="shared" si="146"/>
        <v>707301.19999999984</v>
      </c>
      <c r="BQ67" s="39">
        <f t="shared" si="146"/>
        <v>373677.61999999988</v>
      </c>
    </row>
    <row r="68" spans="2:69">
      <c r="B68" s="9"/>
      <c r="C68" s="9"/>
      <c r="D68" s="9"/>
      <c r="E68" s="9"/>
      <c r="F68" s="9"/>
      <c r="G68" s="9"/>
      <c r="H68" s="9"/>
      <c r="I68" s="9"/>
      <c r="J68" s="42"/>
      <c r="K68" s="42"/>
      <c r="L68" s="42"/>
      <c r="M68" s="42"/>
      <c r="N68" s="42"/>
      <c r="O68" s="42"/>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42"/>
      <c r="BE68" s="42"/>
      <c r="BF68" s="42"/>
      <c r="BG68" s="42"/>
      <c r="BH68" s="42"/>
      <c r="BI68" s="42"/>
      <c r="BJ68" s="42"/>
      <c r="BK68" s="42"/>
      <c r="BL68" s="42"/>
      <c r="BM68" s="42"/>
      <c r="BN68" s="42"/>
      <c r="BO68" s="42"/>
      <c r="BP68" s="42"/>
      <c r="BQ68" s="42"/>
    </row>
    <row r="69" spans="2:69">
      <c r="B69" s="3" t="s">
        <v>166</v>
      </c>
      <c r="J69" s="39">
        <f>J59+J67</f>
        <v>3460.4</v>
      </c>
      <c r="K69" s="39">
        <f t="shared" ref="K69:BE69" si="147">K59+K67</f>
        <v>11425.199999999999</v>
      </c>
      <c r="L69" s="39">
        <f t="shared" si="147"/>
        <v>7553</v>
      </c>
      <c r="M69" s="39">
        <f>M59+M67</f>
        <v>12993</v>
      </c>
      <c r="N69" s="39">
        <f t="shared" si="147"/>
        <v>17147.98</v>
      </c>
      <c r="O69" s="39">
        <f t="shared" si="147"/>
        <v>46741.15</v>
      </c>
      <c r="P69" s="39">
        <f t="shared" si="147"/>
        <v>52686.59</v>
      </c>
      <c r="Q69" s="39">
        <f t="shared" si="147"/>
        <v>32914.870000000003</v>
      </c>
      <c r="R69" s="39">
        <f t="shared" si="147"/>
        <v>-21037.679999999993</v>
      </c>
      <c r="S69" s="39">
        <f t="shared" si="147"/>
        <v>-28526.479999999996</v>
      </c>
      <c r="T69" s="39">
        <f t="shared" si="147"/>
        <v>-35976.879999999997</v>
      </c>
      <c r="U69" s="39">
        <f t="shared" si="147"/>
        <v>-10171.050000000003</v>
      </c>
      <c r="V69" s="39">
        <f t="shared" si="147"/>
        <v>-17679.700000000004</v>
      </c>
      <c r="W69" s="39">
        <f t="shared" si="147"/>
        <v>-8073.3500000000058</v>
      </c>
      <c r="X69" s="39">
        <f t="shared" si="147"/>
        <v>34301.449999999997</v>
      </c>
      <c r="Y69" s="39">
        <f t="shared" si="147"/>
        <v>45422.549999999996</v>
      </c>
      <c r="Z69" s="39">
        <f t="shared" si="147"/>
        <v>58082.399999999994</v>
      </c>
      <c r="AA69" s="39">
        <f t="shared" si="147"/>
        <v>64165.7</v>
      </c>
      <c r="AB69" s="39">
        <f t="shared" si="147"/>
        <v>79157.549999999988</v>
      </c>
      <c r="AC69" s="39">
        <f t="shared" si="147"/>
        <v>96908.15</v>
      </c>
      <c r="AD69" s="39">
        <f t="shared" si="147"/>
        <v>75147.200000000012</v>
      </c>
      <c r="AE69" s="39">
        <f t="shared" si="147"/>
        <v>97312.550000000017</v>
      </c>
      <c r="AF69" s="39">
        <f t="shared" si="147"/>
        <v>120833.90000000002</v>
      </c>
      <c r="AG69" s="39">
        <f t="shared" si="147"/>
        <v>87288.700000000012</v>
      </c>
      <c r="AH69" s="39">
        <f t="shared" si="147"/>
        <v>126419.30000000002</v>
      </c>
      <c r="AI69" s="39">
        <f t="shared" si="147"/>
        <v>165454.5</v>
      </c>
      <c r="AJ69" s="39">
        <f t="shared" si="147"/>
        <v>120907.74999999997</v>
      </c>
      <c r="AK69" s="39">
        <f t="shared" si="147"/>
        <v>165234.89999999997</v>
      </c>
      <c r="AL69" s="39">
        <f t="shared" si="147"/>
        <v>212599.4</v>
      </c>
      <c r="AM69" s="39">
        <f t="shared" si="147"/>
        <v>138183.60000000003</v>
      </c>
      <c r="AN69" s="39">
        <f t="shared" si="147"/>
        <v>190960.05000000005</v>
      </c>
      <c r="AO69" s="39">
        <f t="shared" si="147"/>
        <v>247611.10000000003</v>
      </c>
      <c r="AP69" s="39">
        <f t="shared" si="147"/>
        <v>156959.45000000001</v>
      </c>
      <c r="AQ69" s="39">
        <f t="shared" si="147"/>
        <v>219842.45</v>
      </c>
      <c r="AR69" s="39">
        <f t="shared" si="147"/>
        <v>285382.80000000005</v>
      </c>
      <c r="AS69" s="39">
        <f t="shared" si="147"/>
        <v>177155.3</v>
      </c>
      <c r="AT69" s="39">
        <f t="shared" si="147"/>
        <v>266909.18</v>
      </c>
      <c r="AU69" s="39">
        <f t="shared" si="147"/>
        <v>357180.65500000003</v>
      </c>
      <c r="AV69" s="39">
        <f t="shared" si="147"/>
        <v>230443.29499999998</v>
      </c>
      <c r="AW69" s="39">
        <f t="shared" si="147"/>
        <v>328227.70999999996</v>
      </c>
      <c r="AX69" s="39">
        <f t="shared" si="147"/>
        <v>430112.47</v>
      </c>
      <c r="AY69" s="39">
        <f t="shared" si="147"/>
        <v>253687.11500000005</v>
      </c>
      <c r="AZ69" s="39">
        <f t="shared" si="147"/>
        <v>363756.01500000007</v>
      </c>
      <c r="BA69" s="39">
        <f t="shared" si="147"/>
        <v>478191.46000000008</v>
      </c>
      <c r="BB69" s="39">
        <f t="shared" si="147"/>
        <v>279054.685</v>
      </c>
      <c r="BC69" s="39">
        <f t="shared" si="147"/>
        <v>401940.47</v>
      </c>
      <c r="BD69" s="39">
        <f t="shared" si="147"/>
        <v>529210.05000000005</v>
      </c>
      <c r="BE69" s="39">
        <f t="shared" si="147"/>
        <v>304705.70499999996</v>
      </c>
      <c r="BF69" s="39">
        <f t="shared" ref="BF69:BQ69" si="148">BF59+BF67</f>
        <v>444176.77499999997</v>
      </c>
      <c r="BG69" s="39">
        <f t="shared" si="148"/>
        <v>584731.375</v>
      </c>
      <c r="BH69" s="39">
        <f t="shared" si="148"/>
        <v>335292.72999999992</v>
      </c>
      <c r="BI69" s="39">
        <f t="shared" si="148"/>
        <v>485231.64</v>
      </c>
      <c r="BJ69" s="39">
        <f t="shared" si="148"/>
        <v>639854.08000000007</v>
      </c>
      <c r="BK69" s="39">
        <f t="shared" si="148"/>
        <v>363428.41000000003</v>
      </c>
      <c r="BL69" s="39">
        <f t="shared" si="148"/>
        <v>527749.76</v>
      </c>
      <c r="BM69" s="39">
        <f t="shared" si="148"/>
        <v>697069.24</v>
      </c>
      <c r="BN69" s="39">
        <f t="shared" si="148"/>
        <v>393137.08999999991</v>
      </c>
      <c r="BO69" s="39">
        <f t="shared" si="148"/>
        <v>572470.07999999984</v>
      </c>
      <c r="BP69" s="39">
        <f t="shared" si="148"/>
        <v>756801.19999999984</v>
      </c>
      <c r="BQ69" s="39">
        <f t="shared" si="148"/>
        <v>423177.61999999988</v>
      </c>
    </row>
    <row r="70" spans="2:6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39"/>
      <c r="AY70" s="39"/>
      <c r="AZ70" s="39"/>
      <c r="BA70" s="39"/>
      <c r="BB70" s="39"/>
      <c r="BC70" s="39"/>
      <c r="BD70" s="39"/>
      <c r="BE70" s="39"/>
      <c r="BF70" s="39"/>
      <c r="BG70" s="39"/>
      <c r="BH70" s="39"/>
      <c r="BI70" s="39"/>
      <c r="BJ70" s="39"/>
      <c r="BK70" s="39"/>
      <c r="BL70" s="39"/>
      <c r="BM70" s="39"/>
      <c r="BN70" s="39"/>
      <c r="BO70" s="39"/>
      <c r="BP70" s="39"/>
      <c r="BQ70" s="39"/>
    </row>
    <row r="71" spans="2:69">
      <c r="J71" s="39"/>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c r="AX71" s="39"/>
      <c r="AY71" s="39"/>
      <c r="AZ71" s="39"/>
      <c r="BA71" s="39"/>
      <c r="BB71" s="39"/>
      <c r="BC71" s="39"/>
      <c r="BD71" s="39"/>
      <c r="BE71" s="39"/>
      <c r="BF71" s="39"/>
      <c r="BG71" s="39"/>
      <c r="BH71" s="39"/>
      <c r="BI71" s="39"/>
      <c r="BJ71" s="39"/>
      <c r="BK71" s="39"/>
      <c r="BL71" s="39"/>
      <c r="BM71" s="39"/>
      <c r="BN71" s="39"/>
      <c r="BO71" s="39"/>
      <c r="BP71" s="39"/>
      <c r="BQ71" s="39"/>
    </row>
    <row r="72" spans="2:69" ht="14.4">
      <c r="B72" s="2" t="s">
        <v>170</v>
      </c>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c r="AX72" s="39"/>
      <c r="AY72" s="39"/>
      <c r="AZ72" s="39"/>
      <c r="BA72" s="39"/>
      <c r="BB72" s="39"/>
      <c r="BC72" s="39"/>
      <c r="BD72" s="39"/>
      <c r="BE72" s="39"/>
      <c r="BF72" s="39"/>
      <c r="BG72" s="39"/>
      <c r="BH72" s="39"/>
      <c r="BI72" s="39"/>
      <c r="BJ72" s="39"/>
      <c r="BK72" s="39"/>
      <c r="BL72" s="39"/>
      <c r="BM72" s="39"/>
      <c r="BN72" s="39"/>
      <c r="BO72" s="39"/>
      <c r="BP72" s="39"/>
      <c r="BQ72" s="39"/>
    </row>
    <row r="73" spans="2:69" ht="14.4">
      <c r="B73" t="s">
        <v>167</v>
      </c>
      <c r="J73" s="39">
        <v>0</v>
      </c>
      <c r="K73" s="39">
        <f>J75</f>
        <v>0</v>
      </c>
      <c r="L73" s="39">
        <f>K75</f>
        <v>0</v>
      </c>
      <c r="M73" s="39">
        <f>L75</f>
        <v>0</v>
      </c>
      <c r="N73" s="39">
        <f t="shared" ref="N73:BE73" si="149">M75</f>
        <v>0</v>
      </c>
      <c r="O73" s="39">
        <f t="shared" si="149"/>
        <v>24500</v>
      </c>
      <c r="P73" s="39">
        <f t="shared" si="149"/>
        <v>142987.03</v>
      </c>
      <c r="Q73" s="39">
        <f t="shared" si="149"/>
        <v>156664.18</v>
      </c>
      <c r="R73" s="39">
        <f t="shared" si="149"/>
        <v>53690</v>
      </c>
      <c r="S73" s="39">
        <f t="shared" si="149"/>
        <v>33690</v>
      </c>
      <c r="T73" s="39">
        <f t="shared" si="149"/>
        <v>0</v>
      </c>
      <c r="U73" s="39">
        <f t="shared" si="149"/>
        <v>0</v>
      </c>
      <c r="V73" s="39">
        <f t="shared" si="149"/>
        <v>0</v>
      </c>
      <c r="W73" s="39">
        <f t="shared" si="149"/>
        <v>0</v>
      </c>
      <c r="X73" s="39">
        <f t="shared" si="149"/>
        <v>0</v>
      </c>
      <c r="Y73" s="39">
        <f t="shared" si="149"/>
        <v>0</v>
      </c>
      <c r="Z73" s="39">
        <f t="shared" si="149"/>
        <v>0</v>
      </c>
      <c r="AA73" s="39">
        <f t="shared" si="149"/>
        <v>0</v>
      </c>
      <c r="AB73" s="39">
        <f t="shared" si="149"/>
        <v>0</v>
      </c>
      <c r="AC73" s="39">
        <f t="shared" si="149"/>
        <v>0</v>
      </c>
      <c r="AD73" s="39">
        <f t="shared" si="149"/>
        <v>0</v>
      </c>
      <c r="AE73" s="39">
        <f t="shared" si="149"/>
        <v>0</v>
      </c>
      <c r="AF73" s="39">
        <f t="shared" si="149"/>
        <v>0</v>
      </c>
      <c r="AG73" s="39">
        <f t="shared" si="149"/>
        <v>0</v>
      </c>
      <c r="AH73" s="39">
        <f t="shared" si="149"/>
        <v>0</v>
      </c>
      <c r="AI73" s="39">
        <f t="shared" si="149"/>
        <v>0</v>
      </c>
      <c r="AJ73" s="39">
        <f t="shared" si="149"/>
        <v>0</v>
      </c>
      <c r="AK73" s="39">
        <f t="shared" si="149"/>
        <v>0</v>
      </c>
      <c r="AL73" s="39">
        <f t="shared" si="149"/>
        <v>0</v>
      </c>
      <c r="AM73" s="39">
        <f t="shared" si="149"/>
        <v>0</v>
      </c>
      <c r="AN73" s="39">
        <f t="shared" si="149"/>
        <v>0</v>
      </c>
      <c r="AO73" s="39">
        <f t="shared" si="149"/>
        <v>0</v>
      </c>
      <c r="AP73" s="39">
        <f t="shared" si="149"/>
        <v>0</v>
      </c>
      <c r="AQ73" s="39">
        <f t="shared" si="149"/>
        <v>0</v>
      </c>
      <c r="AR73" s="39">
        <f t="shared" si="149"/>
        <v>0</v>
      </c>
      <c r="AS73" s="39">
        <f t="shared" si="149"/>
        <v>0</v>
      </c>
      <c r="AT73" s="39">
        <f t="shared" si="149"/>
        <v>0</v>
      </c>
      <c r="AU73" s="39">
        <f t="shared" si="149"/>
        <v>0</v>
      </c>
      <c r="AV73" s="39">
        <f t="shared" si="149"/>
        <v>0</v>
      </c>
      <c r="AW73" s="39">
        <f t="shared" si="149"/>
        <v>0</v>
      </c>
      <c r="AX73" s="39">
        <f t="shared" si="149"/>
        <v>0</v>
      </c>
      <c r="AY73" s="39">
        <f t="shared" si="149"/>
        <v>0</v>
      </c>
      <c r="AZ73" s="39">
        <f t="shared" si="149"/>
        <v>0</v>
      </c>
      <c r="BA73" s="39">
        <f t="shared" si="149"/>
        <v>0</v>
      </c>
      <c r="BB73" s="39">
        <f t="shared" si="149"/>
        <v>0</v>
      </c>
      <c r="BC73" s="39">
        <f t="shared" si="149"/>
        <v>0</v>
      </c>
      <c r="BD73" s="39">
        <f t="shared" si="149"/>
        <v>0</v>
      </c>
      <c r="BE73" s="39">
        <f t="shared" si="149"/>
        <v>0</v>
      </c>
      <c r="BF73" s="39">
        <f t="shared" ref="BF73" si="150">BE75</f>
        <v>0</v>
      </c>
      <c r="BG73" s="39">
        <f t="shared" ref="BG73" si="151">BF75</f>
        <v>0</v>
      </c>
      <c r="BH73" s="39">
        <f t="shared" ref="BH73" si="152">BG75</f>
        <v>0</v>
      </c>
      <c r="BI73" s="39">
        <f t="shared" ref="BI73" si="153">BH75</f>
        <v>0</v>
      </c>
      <c r="BJ73" s="39">
        <f t="shared" ref="BJ73" si="154">BI75</f>
        <v>0</v>
      </c>
      <c r="BK73" s="39">
        <f t="shared" ref="BK73" si="155">BJ75</f>
        <v>0</v>
      </c>
      <c r="BL73" s="39">
        <f t="shared" ref="BL73" si="156">BK75</f>
        <v>0</v>
      </c>
      <c r="BM73" s="39">
        <f t="shared" ref="BM73" si="157">BL75</f>
        <v>0</v>
      </c>
      <c r="BN73" s="39">
        <f t="shared" ref="BN73" si="158">BM75</f>
        <v>0</v>
      </c>
      <c r="BO73" s="39">
        <f t="shared" ref="BO73" si="159">BN75</f>
        <v>0</v>
      </c>
      <c r="BP73" s="39">
        <f t="shared" ref="BP73" si="160">BO75</f>
        <v>0</v>
      </c>
      <c r="BQ73" s="39">
        <f t="shared" ref="BQ73" si="161">BP75</f>
        <v>0</v>
      </c>
    </row>
    <row r="74" spans="2:69" ht="14.4">
      <c r="B74" t="s">
        <v>168</v>
      </c>
      <c r="J74" s="39">
        <v>0</v>
      </c>
      <c r="K74" s="39"/>
      <c r="L74" s="39"/>
      <c r="M74" s="39"/>
      <c r="N74" s="39">
        <v>24500</v>
      </c>
      <c r="O74" s="39">
        <v>118487.03</v>
      </c>
      <c r="P74" s="39">
        <v>13677.15</v>
      </c>
      <c r="Q74" s="39">
        <v>-102974.18</v>
      </c>
      <c r="R74" s="39">
        <v>-20000</v>
      </c>
      <c r="S74" s="39">
        <v>-33690</v>
      </c>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c r="AX74" s="39"/>
      <c r="AY74" s="39"/>
      <c r="AZ74" s="39"/>
      <c r="BA74" s="39"/>
      <c r="BB74" s="39"/>
      <c r="BC74" s="39"/>
      <c r="BD74" s="39"/>
      <c r="BE74" s="39"/>
      <c r="BF74" s="39"/>
      <c r="BG74" s="39"/>
      <c r="BH74" s="39"/>
      <c r="BI74" s="39"/>
      <c r="BJ74" s="39"/>
      <c r="BK74" s="39"/>
      <c r="BL74" s="39"/>
      <c r="BM74" s="39"/>
      <c r="BN74" s="39"/>
      <c r="BO74" s="39"/>
      <c r="BP74" s="39"/>
      <c r="BQ74" s="39"/>
    </row>
    <row r="75" spans="2:69" ht="14.4">
      <c r="B75" s="2" t="s">
        <v>169</v>
      </c>
      <c r="J75" s="39">
        <f>SUM(J73:J74)</f>
        <v>0</v>
      </c>
      <c r="K75" s="39">
        <f>SUM(K73:K74)</f>
        <v>0</v>
      </c>
      <c r="L75" s="39">
        <f>SUM(L73:L74)</f>
        <v>0</v>
      </c>
      <c r="M75" s="39">
        <f>SUM(M73:M74)</f>
        <v>0</v>
      </c>
      <c r="N75" s="39">
        <f t="shared" ref="N75:BE75" si="162">SUM(N73:N74)</f>
        <v>24500</v>
      </c>
      <c r="O75" s="39">
        <f t="shared" si="162"/>
        <v>142987.03</v>
      </c>
      <c r="P75" s="39">
        <f t="shared" si="162"/>
        <v>156664.18</v>
      </c>
      <c r="Q75" s="39">
        <f t="shared" si="162"/>
        <v>53690</v>
      </c>
      <c r="R75" s="39">
        <f t="shared" si="162"/>
        <v>33690</v>
      </c>
      <c r="S75" s="39">
        <f t="shared" si="162"/>
        <v>0</v>
      </c>
      <c r="T75" s="39">
        <f t="shared" si="162"/>
        <v>0</v>
      </c>
      <c r="U75" s="39">
        <f t="shared" si="162"/>
        <v>0</v>
      </c>
      <c r="V75" s="39">
        <f t="shared" si="162"/>
        <v>0</v>
      </c>
      <c r="W75" s="39">
        <f t="shared" si="162"/>
        <v>0</v>
      </c>
      <c r="X75" s="39">
        <f t="shared" si="162"/>
        <v>0</v>
      </c>
      <c r="Y75" s="39">
        <f t="shared" si="162"/>
        <v>0</v>
      </c>
      <c r="Z75" s="39">
        <f t="shared" si="162"/>
        <v>0</v>
      </c>
      <c r="AA75" s="39">
        <f t="shared" si="162"/>
        <v>0</v>
      </c>
      <c r="AB75" s="39">
        <f t="shared" si="162"/>
        <v>0</v>
      </c>
      <c r="AC75" s="39">
        <f t="shared" si="162"/>
        <v>0</v>
      </c>
      <c r="AD75" s="39">
        <f t="shared" si="162"/>
        <v>0</v>
      </c>
      <c r="AE75" s="39">
        <f t="shared" si="162"/>
        <v>0</v>
      </c>
      <c r="AF75" s="39">
        <f t="shared" si="162"/>
        <v>0</v>
      </c>
      <c r="AG75" s="39">
        <f t="shared" si="162"/>
        <v>0</v>
      </c>
      <c r="AH75" s="39">
        <f t="shared" si="162"/>
        <v>0</v>
      </c>
      <c r="AI75" s="39">
        <f t="shared" si="162"/>
        <v>0</v>
      </c>
      <c r="AJ75" s="39">
        <f t="shared" si="162"/>
        <v>0</v>
      </c>
      <c r="AK75" s="39">
        <f t="shared" si="162"/>
        <v>0</v>
      </c>
      <c r="AL75" s="39">
        <f t="shared" si="162"/>
        <v>0</v>
      </c>
      <c r="AM75" s="39">
        <f t="shared" si="162"/>
        <v>0</v>
      </c>
      <c r="AN75" s="39">
        <f t="shared" si="162"/>
        <v>0</v>
      </c>
      <c r="AO75" s="39">
        <f t="shared" si="162"/>
        <v>0</v>
      </c>
      <c r="AP75" s="39">
        <f t="shared" si="162"/>
        <v>0</v>
      </c>
      <c r="AQ75" s="39">
        <f t="shared" si="162"/>
        <v>0</v>
      </c>
      <c r="AR75" s="39">
        <f t="shared" si="162"/>
        <v>0</v>
      </c>
      <c r="AS75" s="39">
        <f t="shared" si="162"/>
        <v>0</v>
      </c>
      <c r="AT75" s="39">
        <f t="shared" si="162"/>
        <v>0</v>
      </c>
      <c r="AU75" s="39">
        <f t="shared" si="162"/>
        <v>0</v>
      </c>
      <c r="AV75" s="39">
        <f t="shared" si="162"/>
        <v>0</v>
      </c>
      <c r="AW75" s="39">
        <f t="shared" si="162"/>
        <v>0</v>
      </c>
      <c r="AX75" s="39">
        <f t="shared" si="162"/>
        <v>0</v>
      </c>
      <c r="AY75" s="39">
        <f t="shared" si="162"/>
        <v>0</v>
      </c>
      <c r="AZ75" s="39">
        <f t="shared" si="162"/>
        <v>0</v>
      </c>
      <c r="BA75" s="39">
        <f t="shared" si="162"/>
        <v>0</v>
      </c>
      <c r="BB75" s="39">
        <f t="shared" si="162"/>
        <v>0</v>
      </c>
      <c r="BC75" s="39">
        <f t="shared" si="162"/>
        <v>0</v>
      </c>
      <c r="BD75" s="39">
        <f t="shared" si="162"/>
        <v>0</v>
      </c>
      <c r="BE75" s="39">
        <f t="shared" si="162"/>
        <v>0</v>
      </c>
      <c r="BF75" s="39">
        <f t="shared" ref="BF75:BQ75" si="163">SUM(BF73:BF74)</f>
        <v>0</v>
      </c>
      <c r="BG75" s="39">
        <f t="shared" si="163"/>
        <v>0</v>
      </c>
      <c r="BH75" s="39">
        <f t="shared" si="163"/>
        <v>0</v>
      </c>
      <c r="BI75" s="39">
        <f t="shared" si="163"/>
        <v>0</v>
      </c>
      <c r="BJ75" s="39">
        <f t="shared" si="163"/>
        <v>0</v>
      </c>
      <c r="BK75" s="39">
        <f t="shared" si="163"/>
        <v>0</v>
      </c>
      <c r="BL75" s="39">
        <f t="shared" si="163"/>
        <v>0</v>
      </c>
      <c r="BM75" s="39">
        <f t="shared" si="163"/>
        <v>0</v>
      </c>
      <c r="BN75" s="39">
        <f t="shared" si="163"/>
        <v>0</v>
      </c>
      <c r="BO75" s="39">
        <f t="shared" si="163"/>
        <v>0</v>
      </c>
      <c r="BP75" s="39">
        <f t="shared" si="163"/>
        <v>0</v>
      </c>
      <c r="BQ75" s="39">
        <f t="shared" si="163"/>
        <v>0</v>
      </c>
    </row>
    <row r="76" spans="2:6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c r="AX76" s="39"/>
      <c r="AY76" s="39"/>
      <c r="AZ76" s="39"/>
      <c r="BA76" s="39"/>
      <c r="BB76" s="39"/>
      <c r="BC76" s="39"/>
      <c r="BD76" s="39"/>
      <c r="BE76" s="39"/>
      <c r="BF76" s="39"/>
      <c r="BG76" s="39"/>
      <c r="BH76" s="39"/>
      <c r="BI76" s="39"/>
      <c r="BJ76" s="39"/>
      <c r="BK76" s="39"/>
      <c r="BL76" s="39"/>
      <c r="BM76" s="39"/>
      <c r="BN76" s="39"/>
      <c r="BO76" s="39"/>
      <c r="BP76" s="39"/>
      <c r="BQ76" s="39"/>
    </row>
    <row r="77" spans="2:6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39"/>
      <c r="AZ77" s="39"/>
      <c r="BA77" s="39"/>
      <c r="BB77" s="39"/>
      <c r="BC77" s="39"/>
      <c r="BD77" s="39"/>
      <c r="BE77" s="39"/>
      <c r="BF77" s="39"/>
      <c r="BG77" s="39"/>
      <c r="BH77" s="39"/>
      <c r="BI77" s="39"/>
      <c r="BJ77" s="39"/>
      <c r="BK77" s="39"/>
      <c r="BL77" s="39"/>
      <c r="BM77" s="39"/>
      <c r="BN77" s="39"/>
      <c r="BO77" s="39"/>
      <c r="BP77" s="39"/>
      <c r="BQ77" s="39"/>
    </row>
    <row r="78" spans="2:69">
      <c r="B78" s="3" t="s">
        <v>172</v>
      </c>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row>
    <row r="79" spans="2:69" ht="14.4">
      <c r="B79" t="s">
        <v>173</v>
      </c>
      <c r="J79" s="39">
        <v>0</v>
      </c>
      <c r="K79" s="39">
        <f>J81</f>
        <v>0</v>
      </c>
      <c r="L79" s="39">
        <f t="shared" ref="L79:BE79" si="164">K81</f>
        <v>0</v>
      </c>
      <c r="M79" s="39">
        <f t="shared" si="164"/>
        <v>0</v>
      </c>
      <c r="N79" s="39">
        <f t="shared" si="164"/>
        <v>0</v>
      </c>
      <c r="O79" s="39">
        <f t="shared" si="164"/>
        <v>0</v>
      </c>
      <c r="P79" s="39">
        <f t="shared" si="164"/>
        <v>0</v>
      </c>
      <c r="Q79" s="39">
        <f t="shared" si="164"/>
        <v>0</v>
      </c>
      <c r="R79" s="39">
        <f t="shared" si="164"/>
        <v>0</v>
      </c>
      <c r="S79" s="39">
        <f t="shared" si="164"/>
        <v>0</v>
      </c>
      <c r="T79" s="39">
        <f t="shared" si="164"/>
        <v>0</v>
      </c>
      <c r="U79" s="39">
        <f t="shared" si="164"/>
        <v>0</v>
      </c>
      <c r="V79" s="39">
        <f t="shared" si="164"/>
        <v>0</v>
      </c>
      <c r="W79" s="39">
        <f t="shared" si="164"/>
        <v>0</v>
      </c>
      <c r="X79" s="39">
        <f t="shared" si="164"/>
        <v>0</v>
      </c>
      <c r="Y79" s="39">
        <f t="shared" si="164"/>
        <v>0</v>
      </c>
      <c r="Z79" s="39">
        <f t="shared" si="164"/>
        <v>0</v>
      </c>
      <c r="AA79" s="39">
        <f t="shared" si="164"/>
        <v>0</v>
      </c>
      <c r="AB79" s="39">
        <f t="shared" si="164"/>
        <v>0</v>
      </c>
      <c r="AC79" s="39">
        <f t="shared" si="164"/>
        <v>0</v>
      </c>
      <c r="AD79" s="39">
        <f t="shared" si="164"/>
        <v>0</v>
      </c>
      <c r="AE79" s="39">
        <f t="shared" si="164"/>
        <v>0</v>
      </c>
      <c r="AF79" s="39">
        <f t="shared" si="164"/>
        <v>0</v>
      </c>
      <c r="AG79" s="39">
        <f t="shared" si="164"/>
        <v>0</v>
      </c>
      <c r="AH79" s="39">
        <f t="shared" si="164"/>
        <v>0</v>
      </c>
      <c r="AI79" s="39">
        <f t="shared" si="164"/>
        <v>0</v>
      </c>
      <c r="AJ79" s="39">
        <f t="shared" si="164"/>
        <v>0</v>
      </c>
      <c r="AK79" s="39">
        <f t="shared" si="164"/>
        <v>0</v>
      </c>
      <c r="AL79" s="39">
        <f t="shared" si="164"/>
        <v>0</v>
      </c>
      <c r="AM79" s="39">
        <f t="shared" si="164"/>
        <v>0</v>
      </c>
      <c r="AN79" s="39">
        <f t="shared" si="164"/>
        <v>0</v>
      </c>
      <c r="AO79" s="39">
        <f t="shared" si="164"/>
        <v>0</v>
      </c>
      <c r="AP79" s="39">
        <f t="shared" si="164"/>
        <v>0</v>
      </c>
      <c r="AQ79" s="39">
        <f t="shared" si="164"/>
        <v>0</v>
      </c>
      <c r="AR79" s="39">
        <f t="shared" si="164"/>
        <v>0</v>
      </c>
      <c r="AS79" s="39">
        <f t="shared" si="164"/>
        <v>0</v>
      </c>
      <c r="AT79" s="39">
        <f t="shared" si="164"/>
        <v>0</v>
      </c>
      <c r="AU79" s="39">
        <f t="shared" si="164"/>
        <v>0</v>
      </c>
      <c r="AV79" s="39">
        <f t="shared" si="164"/>
        <v>0</v>
      </c>
      <c r="AW79" s="39">
        <f t="shared" si="164"/>
        <v>0</v>
      </c>
      <c r="AX79" s="39">
        <f t="shared" si="164"/>
        <v>0</v>
      </c>
      <c r="AY79" s="39">
        <f t="shared" si="164"/>
        <v>0</v>
      </c>
      <c r="AZ79" s="39">
        <f t="shared" si="164"/>
        <v>0</v>
      </c>
      <c r="BA79" s="39">
        <f t="shared" si="164"/>
        <v>0</v>
      </c>
      <c r="BB79" s="39">
        <f t="shared" si="164"/>
        <v>0</v>
      </c>
      <c r="BC79" s="39">
        <f t="shared" si="164"/>
        <v>0</v>
      </c>
      <c r="BD79" s="39">
        <f t="shared" si="164"/>
        <v>0</v>
      </c>
      <c r="BE79" s="39">
        <f t="shared" si="164"/>
        <v>0</v>
      </c>
      <c r="BF79" s="39">
        <f t="shared" ref="BF79" si="165">BE81</f>
        <v>0</v>
      </c>
      <c r="BG79" s="39">
        <f t="shared" ref="BG79" si="166">BF81</f>
        <v>0</v>
      </c>
      <c r="BH79" s="39">
        <f t="shared" ref="BH79" si="167">BG81</f>
        <v>0</v>
      </c>
      <c r="BI79" s="39">
        <f t="shared" ref="BI79" si="168">BH81</f>
        <v>0</v>
      </c>
      <c r="BJ79" s="39">
        <f t="shared" ref="BJ79" si="169">BI81</f>
        <v>0</v>
      </c>
      <c r="BK79" s="39">
        <f t="shared" ref="BK79" si="170">BJ81</f>
        <v>0</v>
      </c>
      <c r="BL79" s="39">
        <f t="shared" ref="BL79" si="171">BK81</f>
        <v>0</v>
      </c>
      <c r="BM79" s="39">
        <f t="shared" ref="BM79" si="172">BL81</f>
        <v>0</v>
      </c>
      <c r="BN79" s="39">
        <f t="shared" ref="BN79" si="173">BM81</f>
        <v>0</v>
      </c>
      <c r="BO79" s="39">
        <f t="shared" ref="BO79" si="174">BN81</f>
        <v>0</v>
      </c>
      <c r="BP79" s="39">
        <f t="shared" ref="BP79" si="175">BO81</f>
        <v>0</v>
      </c>
      <c r="BQ79" s="39">
        <f t="shared" ref="BQ79" si="176">BP81</f>
        <v>0</v>
      </c>
    </row>
    <row r="80" spans="2:69" ht="14.4">
      <c r="B80" s="12" t="s">
        <v>174</v>
      </c>
      <c r="C80" s="9"/>
      <c r="D80" s="9"/>
      <c r="E80" s="9"/>
      <c r="F80" s="9"/>
      <c r="G80" s="9"/>
      <c r="H80" s="9"/>
      <c r="I80" s="9"/>
      <c r="J80" s="42">
        <v>0</v>
      </c>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42"/>
      <c r="BE80" s="42"/>
      <c r="BF80" s="42"/>
      <c r="BG80" s="42"/>
      <c r="BH80" s="42"/>
      <c r="BI80" s="42"/>
      <c r="BJ80" s="42"/>
      <c r="BK80" s="42"/>
      <c r="BL80" s="42"/>
      <c r="BM80" s="42"/>
      <c r="BN80" s="42"/>
      <c r="BO80" s="42"/>
      <c r="BP80" s="42"/>
      <c r="BQ80" s="42"/>
    </row>
    <row r="81" spans="2:69" ht="14.4">
      <c r="B81" s="2" t="s">
        <v>175</v>
      </c>
      <c r="J81" s="39">
        <f>SUM(J79:J80)</f>
        <v>0</v>
      </c>
      <c r="K81" s="39">
        <f>SUM(K79:K80)</f>
        <v>0</v>
      </c>
      <c r="L81" s="39">
        <f t="shared" ref="L81:BE81" si="177">SUM(L79:L80)</f>
        <v>0</v>
      </c>
      <c r="M81" s="39">
        <f t="shared" si="177"/>
        <v>0</v>
      </c>
      <c r="N81" s="39">
        <f t="shared" si="177"/>
        <v>0</v>
      </c>
      <c r="O81" s="39">
        <f t="shared" si="177"/>
        <v>0</v>
      </c>
      <c r="P81" s="39">
        <f t="shared" si="177"/>
        <v>0</v>
      </c>
      <c r="Q81" s="39">
        <f t="shared" si="177"/>
        <v>0</v>
      </c>
      <c r="R81" s="39">
        <f t="shared" si="177"/>
        <v>0</v>
      </c>
      <c r="S81" s="39">
        <f t="shared" si="177"/>
        <v>0</v>
      </c>
      <c r="T81" s="39">
        <f t="shared" si="177"/>
        <v>0</v>
      </c>
      <c r="U81" s="39">
        <f t="shared" si="177"/>
        <v>0</v>
      </c>
      <c r="V81" s="39">
        <f t="shared" si="177"/>
        <v>0</v>
      </c>
      <c r="W81" s="39">
        <f t="shared" si="177"/>
        <v>0</v>
      </c>
      <c r="X81" s="39">
        <f t="shared" si="177"/>
        <v>0</v>
      </c>
      <c r="Y81" s="39">
        <f t="shared" si="177"/>
        <v>0</v>
      </c>
      <c r="Z81" s="39">
        <f t="shared" si="177"/>
        <v>0</v>
      </c>
      <c r="AA81" s="39">
        <f t="shared" si="177"/>
        <v>0</v>
      </c>
      <c r="AB81" s="39">
        <f t="shared" si="177"/>
        <v>0</v>
      </c>
      <c r="AC81" s="39">
        <f t="shared" si="177"/>
        <v>0</v>
      </c>
      <c r="AD81" s="39">
        <f t="shared" si="177"/>
        <v>0</v>
      </c>
      <c r="AE81" s="39">
        <f t="shared" si="177"/>
        <v>0</v>
      </c>
      <c r="AF81" s="39">
        <f t="shared" si="177"/>
        <v>0</v>
      </c>
      <c r="AG81" s="39">
        <f t="shared" si="177"/>
        <v>0</v>
      </c>
      <c r="AH81" s="39">
        <f t="shared" si="177"/>
        <v>0</v>
      </c>
      <c r="AI81" s="39">
        <f t="shared" si="177"/>
        <v>0</v>
      </c>
      <c r="AJ81" s="39">
        <f t="shared" si="177"/>
        <v>0</v>
      </c>
      <c r="AK81" s="39">
        <f t="shared" si="177"/>
        <v>0</v>
      </c>
      <c r="AL81" s="39">
        <f t="shared" si="177"/>
        <v>0</v>
      </c>
      <c r="AM81" s="39">
        <f t="shared" si="177"/>
        <v>0</v>
      </c>
      <c r="AN81" s="39">
        <f t="shared" si="177"/>
        <v>0</v>
      </c>
      <c r="AO81" s="39">
        <f t="shared" si="177"/>
        <v>0</v>
      </c>
      <c r="AP81" s="39">
        <f t="shared" si="177"/>
        <v>0</v>
      </c>
      <c r="AQ81" s="39">
        <f t="shared" si="177"/>
        <v>0</v>
      </c>
      <c r="AR81" s="39">
        <f t="shared" si="177"/>
        <v>0</v>
      </c>
      <c r="AS81" s="39">
        <f t="shared" si="177"/>
        <v>0</v>
      </c>
      <c r="AT81" s="39">
        <f t="shared" si="177"/>
        <v>0</v>
      </c>
      <c r="AU81" s="39">
        <f t="shared" si="177"/>
        <v>0</v>
      </c>
      <c r="AV81" s="39">
        <f t="shared" si="177"/>
        <v>0</v>
      </c>
      <c r="AW81" s="39">
        <f t="shared" si="177"/>
        <v>0</v>
      </c>
      <c r="AX81" s="39">
        <f t="shared" si="177"/>
        <v>0</v>
      </c>
      <c r="AY81" s="39">
        <f t="shared" si="177"/>
        <v>0</v>
      </c>
      <c r="AZ81" s="39">
        <f t="shared" si="177"/>
        <v>0</v>
      </c>
      <c r="BA81" s="39">
        <f t="shared" si="177"/>
        <v>0</v>
      </c>
      <c r="BB81" s="39">
        <f t="shared" si="177"/>
        <v>0</v>
      </c>
      <c r="BC81" s="39">
        <f t="shared" si="177"/>
        <v>0</v>
      </c>
      <c r="BD81" s="39">
        <f t="shared" si="177"/>
        <v>0</v>
      </c>
      <c r="BE81" s="39">
        <f t="shared" si="177"/>
        <v>0</v>
      </c>
      <c r="BF81" s="39">
        <f t="shared" ref="BF81:BQ81" si="178">SUM(BF79:BF80)</f>
        <v>0</v>
      </c>
      <c r="BG81" s="39">
        <f t="shared" si="178"/>
        <v>0</v>
      </c>
      <c r="BH81" s="39">
        <f t="shared" si="178"/>
        <v>0</v>
      </c>
      <c r="BI81" s="39">
        <f t="shared" si="178"/>
        <v>0</v>
      </c>
      <c r="BJ81" s="39">
        <f t="shared" si="178"/>
        <v>0</v>
      </c>
      <c r="BK81" s="39">
        <f t="shared" si="178"/>
        <v>0</v>
      </c>
      <c r="BL81" s="39">
        <f t="shared" si="178"/>
        <v>0</v>
      </c>
      <c r="BM81" s="39">
        <f t="shared" si="178"/>
        <v>0</v>
      </c>
      <c r="BN81" s="39">
        <f t="shared" si="178"/>
        <v>0</v>
      </c>
      <c r="BO81" s="39">
        <f t="shared" si="178"/>
        <v>0</v>
      </c>
      <c r="BP81" s="39">
        <f t="shared" si="178"/>
        <v>0</v>
      </c>
      <c r="BQ81" s="39">
        <f t="shared" si="178"/>
        <v>0</v>
      </c>
    </row>
    <row r="82" spans="2:6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row>
    <row r="83" spans="2:6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row>
    <row r="84" spans="2:6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row>
    <row r="85" spans="2:6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row>
    <row r="86" spans="2:6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row>
    <row r="87" spans="2:6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row>
    <row r="88" spans="2:69">
      <c r="J88" s="39"/>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c r="AX88" s="39"/>
      <c r="AY88" s="39"/>
      <c r="AZ88" s="39"/>
      <c r="BA88" s="39"/>
      <c r="BB88" s="39"/>
      <c r="BC88" s="39"/>
      <c r="BD88" s="39"/>
      <c r="BE88" s="39"/>
    </row>
    <row r="89" spans="2:69">
      <c r="J89" s="39"/>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c r="AY89" s="39"/>
      <c r="AZ89" s="39"/>
      <c r="BA89" s="39"/>
      <c r="BB89" s="39"/>
      <c r="BC89" s="39"/>
      <c r="BD89" s="39"/>
      <c r="BE89" s="39"/>
    </row>
    <row r="90" spans="2:69">
      <c r="J90" s="39"/>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c r="AX90" s="39"/>
      <c r="AY90" s="39"/>
      <c r="AZ90" s="39"/>
      <c r="BA90" s="39"/>
      <c r="BB90" s="39"/>
      <c r="BC90" s="39"/>
      <c r="BD90" s="39"/>
      <c r="BE90" s="39"/>
    </row>
    <row r="91" spans="2:69">
      <c r="J91" s="39"/>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c r="AX91" s="39"/>
      <c r="AY91" s="39"/>
      <c r="AZ91" s="39"/>
      <c r="BA91" s="39"/>
      <c r="BB91" s="39"/>
      <c r="BC91" s="39"/>
      <c r="BD91" s="39"/>
      <c r="BE91" s="39"/>
    </row>
    <row r="92" spans="2:69">
      <c r="J92" s="39"/>
      <c r="K92" s="39"/>
      <c r="L92" s="39"/>
      <c r="M92" s="39"/>
      <c r="N92" s="39"/>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c r="AY92" s="39"/>
      <c r="AZ92" s="39"/>
      <c r="BA92" s="39"/>
      <c r="BB92" s="39"/>
      <c r="BC92" s="39"/>
      <c r="BD92" s="39"/>
      <c r="BE92" s="39"/>
    </row>
    <row r="93" spans="2:69">
      <c r="J93" s="39"/>
      <c r="K93" s="39"/>
      <c r="L93" s="39"/>
      <c r="M93" s="39"/>
      <c r="N93" s="39"/>
      <c r="O93" s="39"/>
      <c r="P93" s="39"/>
      <c r="Q93" s="39"/>
      <c r="R93" s="39"/>
      <c r="S93" s="39"/>
      <c r="T93" s="39"/>
      <c r="U93" s="39"/>
      <c r="V93" s="39"/>
      <c r="W93" s="39"/>
      <c r="X93" s="39"/>
      <c r="Y93" s="39"/>
      <c r="Z93" s="39"/>
      <c r="AA93" s="39"/>
      <c r="AB93" s="39"/>
      <c r="AC93" s="39"/>
      <c r="AD93" s="39"/>
      <c r="AE93" s="39"/>
      <c r="AF93" s="39"/>
      <c r="AG93" s="39"/>
      <c r="AH93" s="39"/>
      <c r="AI93" s="39"/>
      <c r="AJ93" s="39"/>
      <c r="AK93" s="39"/>
      <c r="AL93" s="39"/>
      <c r="AM93" s="39"/>
      <c r="AN93" s="39"/>
      <c r="AO93" s="39"/>
      <c r="AP93" s="39"/>
      <c r="AQ93" s="39"/>
      <c r="AR93" s="39"/>
      <c r="AS93" s="39"/>
      <c r="AT93" s="39"/>
      <c r="AU93" s="39"/>
      <c r="AV93" s="39"/>
      <c r="AW93" s="39"/>
      <c r="AX93" s="39"/>
      <c r="AY93" s="39"/>
      <c r="AZ93" s="39"/>
      <c r="BA93" s="39"/>
      <c r="BB93" s="39"/>
      <c r="BC93" s="39"/>
      <c r="BD93" s="39"/>
      <c r="BE93" s="39"/>
    </row>
    <row r="94" spans="2:69">
      <c r="J94" s="39"/>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c r="AY94" s="39"/>
      <c r="AZ94" s="39"/>
      <c r="BA94" s="39"/>
      <c r="BB94" s="39"/>
      <c r="BC94" s="39"/>
      <c r="BD94" s="39"/>
      <c r="BE94" s="39"/>
    </row>
    <row r="95" spans="2:69">
      <c r="J95" s="39"/>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c r="AX95" s="39"/>
      <c r="AY95" s="39"/>
      <c r="AZ95" s="39"/>
      <c r="BA95" s="39"/>
      <c r="BB95" s="39"/>
      <c r="BC95" s="39"/>
      <c r="BD95" s="39"/>
      <c r="BE95" s="39"/>
    </row>
    <row r="96" spans="2:69">
      <c r="J96" s="39"/>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c r="AX96" s="39"/>
      <c r="AY96" s="39"/>
      <c r="AZ96" s="39"/>
      <c r="BA96" s="39"/>
      <c r="BB96" s="39"/>
      <c r="BC96" s="39"/>
      <c r="BD96" s="39"/>
      <c r="BE96" s="39"/>
    </row>
    <row r="97" spans="10:57">
      <c r="J97" s="39"/>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c r="AX97" s="39"/>
      <c r="AY97" s="39"/>
      <c r="AZ97" s="39"/>
      <c r="BA97" s="39"/>
      <c r="BB97" s="39"/>
      <c r="BC97" s="39"/>
      <c r="BD97" s="39"/>
      <c r="BE97" s="39"/>
    </row>
    <row r="98" spans="10:57">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c r="AX98" s="39"/>
      <c r="AY98" s="39"/>
      <c r="AZ98" s="39"/>
      <c r="BA98" s="39"/>
      <c r="BB98" s="39"/>
      <c r="BC98" s="39"/>
      <c r="BD98" s="39"/>
      <c r="BE98" s="39"/>
    </row>
    <row r="99" spans="10:57">
      <c r="J99" s="39"/>
      <c r="K99" s="39"/>
      <c r="L99" s="39"/>
      <c r="M99" s="39"/>
      <c r="N99" s="39"/>
      <c r="O99" s="39"/>
      <c r="P99" s="39"/>
      <c r="Q99" s="39"/>
      <c r="R99" s="39"/>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c r="AX99" s="39"/>
      <c r="AY99" s="39"/>
      <c r="AZ99" s="39"/>
      <c r="BA99" s="39"/>
      <c r="BB99" s="39"/>
      <c r="BC99" s="39"/>
      <c r="BD99" s="39"/>
      <c r="BE99" s="39"/>
    </row>
    <row r="100" spans="10:57">
      <c r="J100" s="39"/>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c r="AX100" s="39"/>
      <c r="AY100" s="39"/>
      <c r="AZ100" s="39"/>
      <c r="BA100" s="39"/>
      <c r="BB100" s="39"/>
      <c r="BC100" s="39"/>
      <c r="BD100" s="39"/>
      <c r="BE100" s="39"/>
    </row>
    <row r="101" spans="10:57">
      <c r="J101" s="39"/>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c r="AX101" s="39"/>
      <c r="AY101" s="39"/>
      <c r="AZ101" s="39"/>
      <c r="BA101" s="39"/>
      <c r="BB101" s="39"/>
      <c r="BC101" s="39"/>
      <c r="BD101" s="39"/>
      <c r="BE101" s="39"/>
    </row>
    <row r="102" spans="10:57">
      <c r="J102" s="39"/>
      <c r="K102" s="39"/>
      <c r="L102" s="39"/>
      <c r="M102" s="39"/>
      <c r="N102" s="39"/>
      <c r="O102" s="39"/>
      <c r="P102" s="39"/>
      <c r="Q102" s="39"/>
      <c r="R102" s="39"/>
      <c r="S102" s="39"/>
      <c r="T102" s="39"/>
      <c r="U102" s="39"/>
      <c r="V102" s="39"/>
      <c r="W102" s="39"/>
      <c r="X102" s="39"/>
      <c r="Y102" s="39"/>
      <c r="Z102" s="39"/>
      <c r="AA102" s="39"/>
      <c r="AB102" s="39"/>
      <c r="AC102" s="39"/>
      <c r="AD102" s="39"/>
      <c r="AE102" s="39"/>
      <c r="AF102" s="39"/>
      <c r="AG102" s="39"/>
      <c r="AH102" s="39"/>
      <c r="AI102" s="39"/>
      <c r="AJ102" s="39"/>
      <c r="AK102" s="39"/>
      <c r="AL102" s="39"/>
      <c r="AM102" s="39"/>
      <c r="AN102" s="39"/>
      <c r="AO102" s="39"/>
      <c r="AP102" s="39"/>
      <c r="AQ102" s="39"/>
      <c r="AR102" s="39"/>
      <c r="AS102" s="39"/>
      <c r="AT102" s="39"/>
      <c r="AU102" s="39"/>
      <c r="AV102" s="39"/>
      <c r="AW102" s="39"/>
      <c r="AX102" s="39"/>
      <c r="AY102" s="39"/>
      <c r="AZ102" s="39"/>
      <c r="BA102" s="39"/>
      <c r="BB102" s="39"/>
      <c r="BC102" s="39"/>
      <c r="BD102" s="39"/>
      <c r="BE102" s="39"/>
    </row>
    <row r="103" spans="10:57">
      <c r="J103" s="39"/>
      <c r="K103" s="39"/>
      <c r="L103" s="39"/>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c r="AX103" s="39"/>
      <c r="AY103" s="39"/>
      <c r="AZ103" s="39"/>
      <c r="BA103" s="39"/>
      <c r="BB103" s="39"/>
      <c r="BC103" s="39"/>
      <c r="BD103" s="39"/>
      <c r="BE103" s="39"/>
    </row>
    <row r="104" spans="10:57">
      <c r="J104" s="39"/>
      <c r="K104" s="39"/>
      <c r="L104" s="39"/>
      <c r="M104" s="39"/>
      <c r="N104" s="39"/>
      <c r="O104" s="39"/>
      <c r="P104" s="39"/>
      <c r="Q104" s="39"/>
      <c r="R104" s="39"/>
      <c r="S104" s="39"/>
      <c r="T104" s="39"/>
      <c r="U104" s="39"/>
      <c r="V104" s="39"/>
      <c r="W104" s="39"/>
      <c r="X104" s="39"/>
      <c r="Y104" s="39"/>
      <c r="Z104" s="39"/>
      <c r="AA104" s="39"/>
      <c r="AB104" s="39"/>
      <c r="AC104" s="39"/>
      <c r="AD104" s="39"/>
      <c r="AE104" s="39"/>
      <c r="AF104" s="39"/>
      <c r="AG104" s="39"/>
      <c r="AH104" s="39"/>
      <c r="AI104" s="39"/>
      <c r="AJ104" s="39"/>
      <c r="AK104" s="39"/>
      <c r="AL104" s="39"/>
      <c r="AM104" s="39"/>
      <c r="AN104" s="39"/>
      <c r="AO104" s="39"/>
      <c r="AP104" s="39"/>
      <c r="AQ104" s="39"/>
      <c r="AR104" s="39"/>
      <c r="AS104" s="39"/>
      <c r="AT104" s="39"/>
      <c r="AU104" s="39"/>
      <c r="AV104" s="39"/>
      <c r="AW104" s="39"/>
      <c r="AX104" s="39"/>
      <c r="AY104" s="39"/>
      <c r="AZ104" s="39"/>
      <c r="BA104" s="39"/>
      <c r="BB104" s="39"/>
      <c r="BC104" s="39"/>
      <c r="BD104" s="39"/>
      <c r="BE104" s="39"/>
    </row>
    <row r="105" spans="10:57">
      <c r="J105" s="39"/>
      <c r="K105" s="39"/>
      <c r="L105" s="39"/>
      <c r="M105" s="39"/>
      <c r="N105" s="39"/>
      <c r="O105" s="39"/>
      <c r="P105" s="39"/>
      <c r="Q105" s="39"/>
      <c r="R105" s="39"/>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c r="AX105" s="39"/>
      <c r="AY105" s="39"/>
      <c r="AZ105" s="39"/>
      <c r="BA105" s="39"/>
      <c r="BB105" s="39"/>
      <c r="BC105" s="39"/>
      <c r="BD105" s="39"/>
      <c r="BE105" s="39"/>
    </row>
    <row r="106" spans="10:57">
      <c r="J106" s="39"/>
      <c r="K106" s="39"/>
      <c r="L106" s="39"/>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39"/>
    </row>
    <row r="107" spans="10:57">
      <c r="J107" s="39"/>
      <c r="K107" s="39"/>
      <c r="L107" s="39"/>
      <c r="M107" s="39"/>
      <c r="N107" s="39"/>
      <c r="O107" s="39"/>
      <c r="P107" s="39"/>
      <c r="Q107" s="39"/>
      <c r="R107" s="39"/>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c r="AX107" s="39"/>
      <c r="AY107" s="39"/>
      <c r="AZ107" s="39"/>
      <c r="BA107" s="39"/>
      <c r="BB107" s="39"/>
      <c r="BC107" s="39"/>
      <c r="BD107" s="39"/>
      <c r="BE107" s="39"/>
    </row>
    <row r="108" spans="10:57">
      <c r="J108" s="39"/>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39"/>
      <c r="AJ108" s="39"/>
      <c r="AK108" s="39"/>
      <c r="AL108" s="39"/>
      <c r="AM108" s="39"/>
      <c r="AN108" s="39"/>
      <c r="AO108" s="39"/>
      <c r="AP108" s="39"/>
      <c r="AQ108" s="39"/>
      <c r="AR108" s="39"/>
      <c r="AS108" s="39"/>
      <c r="AT108" s="39"/>
      <c r="AU108" s="39"/>
      <c r="AV108" s="39"/>
      <c r="AW108" s="39"/>
      <c r="AX108" s="39"/>
      <c r="AY108" s="39"/>
      <c r="AZ108" s="39"/>
      <c r="BA108" s="39"/>
      <c r="BB108" s="39"/>
      <c r="BC108" s="39"/>
      <c r="BD108" s="39"/>
      <c r="BE108" s="39"/>
    </row>
    <row r="109" spans="10:57">
      <c r="J109" s="39"/>
      <c r="K109" s="39"/>
      <c r="L109" s="39"/>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c r="AX109" s="39"/>
      <c r="AY109" s="39"/>
      <c r="AZ109" s="39"/>
      <c r="BA109" s="39"/>
      <c r="BB109" s="39"/>
      <c r="BC109" s="39"/>
      <c r="BD109" s="39"/>
      <c r="BE109" s="39"/>
    </row>
    <row r="110" spans="10:57">
      <c r="J110" s="39"/>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row>
    <row r="111" spans="10:57">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row>
    <row r="112" spans="10:57">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row>
    <row r="113" spans="10:57">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row>
    <row r="114" spans="10:57">
      <c r="J114" s="39"/>
      <c r="K114" s="39"/>
      <c r="L114" s="39"/>
      <c r="M114" s="39"/>
      <c r="N114" s="39"/>
      <c r="O114" s="39"/>
      <c r="P114" s="39"/>
      <c r="Q114" s="39"/>
      <c r="R114" s="39"/>
      <c r="S114" s="39"/>
      <c r="T114" s="39"/>
      <c r="U114" s="39"/>
      <c r="V114" s="39"/>
      <c r="W114" s="39"/>
      <c r="X114" s="39"/>
      <c r="Y114" s="39"/>
      <c r="Z114" s="39"/>
      <c r="AA114" s="39"/>
      <c r="AB114" s="39"/>
      <c r="AC114" s="39"/>
      <c r="AD114" s="39"/>
      <c r="AE114" s="39"/>
      <c r="AF114" s="39"/>
      <c r="AG114" s="39"/>
      <c r="AH114" s="39"/>
      <c r="AI114" s="39"/>
      <c r="AJ114" s="39"/>
      <c r="AK114" s="39"/>
      <c r="AL114" s="39"/>
      <c r="AM114" s="39"/>
      <c r="AN114" s="39"/>
      <c r="AO114" s="39"/>
      <c r="AP114" s="39"/>
      <c r="AQ114" s="39"/>
      <c r="AR114" s="39"/>
      <c r="AS114" s="39"/>
      <c r="AT114" s="39"/>
      <c r="AU114" s="39"/>
      <c r="AV114" s="39"/>
      <c r="AW114" s="39"/>
      <c r="AX114" s="39"/>
      <c r="AY114" s="39"/>
      <c r="AZ114" s="39"/>
      <c r="BA114" s="39"/>
      <c r="BB114" s="39"/>
      <c r="BC114" s="39"/>
      <c r="BD114" s="39"/>
      <c r="BE114" s="39"/>
    </row>
    <row r="115" spans="10:57">
      <c r="J115" s="39"/>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c r="AX115" s="39"/>
      <c r="AY115" s="39"/>
      <c r="AZ115" s="39"/>
      <c r="BA115" s="39"/>
      <c r="BB115" s="39"/>
      <c r="BC115" s="39"/>
      <c r="BD115" s="39"/>
      <c r="BE115" s="39"/>
    </row>
    <row r="116" spans="10:57">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39"/>
      <c r="BB116" s="39"/>
      <c r="BC116" s="39"/>
      <c r="BD116" s="39"/>
      <c r="BE116" s="39"/>
    </row>
    <row r="117" spans="10:57">
      <c r="J117" s="39"/>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c r="AX117" s="39"/>
      <c r="AY117" s="39"/>
      <c r="AZ117" s="39"/>
      <c r="BA117" s="39"/>
      <c r="BB117" s="39"/>
      <c r="BC117" s="39"/>
      <c r="BD117" s="39"/>
      <c r="BE117" s="39"/>
    </row>
    <row r="118" spans="10:57">
      <c r="J118" s="39"/>
      <c r="K118" s="39"/>
      <c r="L118" s="39"/>
      <c r="M118" s="39"/>
      <c r="N118" s="39"/>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c r="AY118" s="39"/>
      <c r="AZ118" s="39"/>
      <c r="BA118" s="39"/>
      <c r="BB118" s="39"/>
      <c r="BC118" s="39"/>
      <c r="BD118" s="39"/>
      <c r="BE118" s="39"/>
    </row>
    <row r="119" spans="10:57">
      <c r="J119" s="39"/>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c r="AX119" s="39"/>
      <c r="AY119" s="39"/>
      <c r="AZ119" s="39"/>
      <c r="BA119" s="39"/>
      <c r="BB119" s="39"/>
      <c r="BC119" s="39"/>
      <c r="BD119" s="39"/>
      <c r="BE119" s="39"/>
    </row>
    <row r="120" spans="10:57">
      <c r="J120" s="39"/>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c r="AX120" s="39"/>
      <c r="AY120" s="39"/>
      <c r="AZ120" s="39"/>
      <c r="BA120" s="39"/>
      <c r="BB120" s="39"/>
      <c r="BC120" s="39"/>
      <c r="BD120" s="39"/>
      <c r="BE120" s="39"/>
    </row>
    <row r="121" spans="10:57">
      <c r="J121" s="39"/>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c r="AX121" s="39"/>
      <c r="AY121" s="39"/>
      <c r="AZ121" s="39"/>
      <c r="BA121" s="39"/>
      <c r="BB121" s="39"/>
      <c r="BC121" s="39"/>
      <c r="BD121" s="39"/>
      <c r="BE121" s="39"/>
    </row>
    <row r="122" spans="10:57">
      <c r="J122" s="39"/>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39"/>
      <c r="AJ122" s="39"/>
      <c r="AK122" s="39"/>
      <c r="AL122" s="39"/>
      <c r="AM122" s="39"/>
      <c r="AN122" s="39"/>
      <c r="AO122" s="39"/>
      <c r="AP122" s="39"/>
      <c r="AQ122" s="39"/>
      <c r="AR122" s="39"/>
      <c r="AS122" s="39"/>
      <c r="AT122" s="39"/>
      <c r="AU122" s="39"/>
      <c r="AV122" s="39"/>
      <c r="AW122" s="39"/>
      <c r="AX122" s="39"/>
      <c r="AY122" s="39"/>
      <c r="AZ122" s="39"/>
      <c r="BA122" s="39"/>
      <c r="BB122" s="39"/>
      <c r="BC122" s="39"/>
      <c r="BD122" s="39"/>
      <c r="BE122" s="39"/>
    </row>
    <row r="123" spans="10:57">
      <c r="J123" s="39"/>
      <c r="K123" s="39"/>
      <c r="L123" s="39"/>
      <c r="M123" s="39"/>
      <c r="N123" s="39"/>
      <c r="O123" s="39"/>
      <c r="P123" s="39"/>
      <c r="Q123" s="39"/>
      <c r="R123" s="39"/>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c r="AX123" s="39"/>
      <c r="AY123" s="39"/>
      <c r="AZ123" s="39"/>
      <c r="BA123" s="39"/>
      <c r="BB123" s="39"/>
      <c r="BC123" s="39"/>
      <c r="BD123" s="39"/>
      <c r="BE123" s="39"/>
    </row>
    <row r="124" spans="10:57">
      <c r="J124" s="39"/>
      <c r="K124" s="39"/>
      <c r="L124" s="39"/>
      <c r="M124" s="39"/>
      <c r="N124" s="39"/>
      <c r="O124" s="39"/>
      <c r="P124" s="39"/>
      <c r="Q124" s="39"/>
      <c r="R124" s="39"/>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c r="AX124" s="39"/>
      <c r="AY124" s="39"/>
      <c r="AZ124" s="39"/>
      <c r="BA124" s="39"/>
      <c r="BB124" s="39"/>
      <c r="BC124" s="39"/>
      <c r="BD124" s="39"/>
      <c r="BE124" s="39"/>
    </row>
    <row r="125" spans="10:57">
      <c r="J125" s="39"/>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c r="AX125" s="39"/>
      <c r="AY125" s="39"/>
      <c r="AZ125" s="39"/>
      <c r="BA125" s="39"/>
      <c r="BB125" s="39"/>
      <c r="BC125" s="39"/>
      <c r="BD125" s="39"/>
      <c r="BE125" s="39"/>
    </row>
    <row r="126" spans="10:57">
      <c r="J126" s="39"/>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39"/>
      <c r="AJ126" s="39"/>
      <c r="AK126" s="39"/>
      <c r="AL126" s="39"/>
      <c r="AM126" s="39"/>
      <c r="AN126" s="39"/>
      <c r="AO126" s="39"/>
      <c r="AP126" s="39"/>
      <c r="AQ126" s="39"/>
      <c r="AR126" s="39"/>
      <c r="AS126" s="39"/>
      <c r="AT126" s="39"/>
      <c r="AU126" s="39"/>
      <c r="AV126" s="39"/>
      <c r="AW126" s="39"/>
      <c r="AX126" s="39"/>
      <c r="AY126" s="39"/>
      <c r="AZ126" s="39"/>
      <c r="BA126" s="39"/>
      <c r="BB126" s="39"/>
      <c r="BC126" s="39"/>
      <c r="BD126" s="39"/>
      <c r="BE126" s="39"/>
    </row>
    <row r="127" spans="10:57">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c r="AX127" s="39"/>
      <c r="AY127" s="39"/>
      <c r="AZ127" s="39"/>
      <c r="BA127" s="39"/>
      <c r="BB127" s="39"/>
      <c r="BC127" s="39"/>
      <c r="BD127" s="39"/>
      <c r="BE127" s="39"/>
    </row>
    <row r="128" spans="10:57">
      <c r="J128" s="39"/>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c r="AY128" s="39"/>
      <c r="AZ128" s="39"/>
      <c r="BA128" s="39"/>
      <c r="BB128" s="39"/>
      <c r="BC128" s="39"/>
      <c r="BD128" s="39"/>
      <c r="BE128" s="39"/>
    </row>
    <row r="129" spans="10:57">
      <c r="J129" s="39"/>
      <c r="K129" s="39"/>
      <c r="L129" s="39"/>
      <c r="M129" s="39"/>
      <c r="N129" s="39"/>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c r="AY129" s="39"/>
      <c r="AZ129" s="39"/>
      <c r="BA129" s="39"/>
      <c r="BB129" s="39"/>
      <c r="BC129" s="39"/>
      <c r="BD129" s="39"/>
      <c r="BE129" s="39"/>
    </row>
    <row r="130" spans="10:57">
      <c r="J130" s="39"/>
      <c r="K130" s="39"/>
      <c r="L130" s="39"/>
      <c r="M130" s="39"/>
      <c r="N130" s="39"/>
      <c r="O130" s="39"/>
      <c r="P130" s="39"/>
      <c r="Q130" s="39"/>
      <c r="R130" s="39"/>
      <c r="S130" s="39"/>
      <c r="T130" s="39"/>
      <c r="U130" s="39"/>
      <c r="V130" s="39"/>
      <c r="W130" s="39"/>
      <c r="X130" s="39"/>
      <c r="Y130" s="39"/>
      <c r="Z130" s="39"/>
      <c r="AA130" s="39"/>
      <c r="AB130" s="39"/>
      <c r="AC130" s="39"/>
      <c r="AD130" s="39"/>
      <c r="AE130" s="39"/>
      <c r="AF130" s="39"/>
      <c r="AG130" s="39"/>
      <c r="AH130" s="39"/>
      <c r="AI130" s="39"/>
      <c r="AJ130" s="39"/>
      <c r="AK130" s="39"/>
      <c r="AL130" s="39"/>
      <c r="AM130" s="39"/>
      <c r="AN130" s="39"/>
      <c r="AO130" s="39"/>
      <c r="AP130" s="39"/>
      <c r="AQ130" s="39"/>
      <c r="AR130" s="39"/>
      <c r="AS130" s="39"/>
      <c r="AT130" s="39"/>
      <c r="AU130" s="39"/>
      <c r="AV130" s="39"/>
      <c r="AW130" s="39"/>
      <c r="AX130" s="39"/>
      <c r="AY130" s="39"/>
      <c r="AZ130" s="39"/>
      <c r="BA130" s="39"/>
      <c r="BB130" s="39"/>
      <c r="BC130" s="39"/>
      <c r="BD130" s="39"/>
      <c r="BE130" s="39"/>
    </row>
    <row r="131" spans="10:57">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c r="AY131" s="39"/>
      <c r="AZ131" s="39"/>
      <c r="BA131" s="39"/>
      <c r="BB131" s="39"/>
      <c r="BC131" s="39"/>
      <c r="BD131" s="39"/>
      <c r="BE131" s="39"/>
    </row>
    <row r="132" spans="10:57">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c r="AX132" s="39"/>
      <c r="AY132" s="39"/>
      <c r="AZ132" s="39"/>
      <c r="BA132" s="39"/>
      <c r="BB132" s="39"/>
      <c r="BC132" s="39"/>
      <c r="BD132" s="39"/>
      <c r="BE132" s="39"/>
    </row>
    <row r="133" spans="10:57">
      <c r="J133" s="39"/>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c r="AX133" s="39"/>
      <c r="AY133" s="39"/>
      <c r="AZ133" s="39"/>
      <c r="BA133" s="39"/>
      <c r="BB133" s="39"/>
      <c r="BC133" s="39"/>
      <c r="BD133" s="39"/>
      <c r="BE133" s="39"/>
    </row>
    <row r="134" spans="10:57">
      <c r="J134" s="39"/>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39"/>
      <c r="AJ134" s="39"/>
      <c r="AK134" s="39"/>
      <c r="AL134" s="39"/>
      <c r="AM134" s="39"/>
      <c r="AN134" s="39"/>
      <c r="AO134" s="39"/>
      <c r="AP134" s="39"/>
      <c r="AQ134" s="39"/>
      <c r="AR134" s="39"/>
      <c r="AS134" s="39"/>
      <c r="AT134" s="39"/>
      <c r="AU134" s="39"/>
      <c r="AV134" s="39"/>
      <c r="AW134" s="39"/>
      <c r="AX134" s="39"/>
      <c r="AY134" s="39"/>
      <c r="AZ134" s="39"/>
      <c r="BA134" s="39"/>
      <c r="BB134" s="39"/>
      <c r="BC134" s="39"/>
      <c r="BD134" s="39"/>
      <c r="BE134" s="39"/>
    </row>
    <row r="135" spans="10:57">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c r="AX135" s="39"/>
      <c r="AY135" s="39"/>
      <c r="AZ135" s="39"/>
      <c r="BA135" s="39"/>
      <c r="BB135" s="39"/>
      <c r="BC135" s="39"/>
      <c r="BD135" s="39"/>
      <c r="BE135" s="39"/>
    </row>
    <row r="136" spans="10:57">
      <c r="J136" s="39"/>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c r="AX136" s="39"/>
      <c r="AY136" s="39"/>
      <c r="AZ136" s="39"/>
      <c r="BA136" s="39"/>
      <c r="BB136" s="39"/>
      <c r="BC136" s="39"/>
      <c r="BD136" s="39"/>
      <c r="BE136" s="39"/>
    </row>
  </sheetData>
  <pageMargins left="0.7" right="0.7" top="0.75" bottom="0.75" header="0.3" footer="0.3"/>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B245-6624-423D-826D-87651F8B1920}">
  <dimension ref="A1:BT34"/>
  <sheetViews>
    <sheetView workbookViewId="0">
      <pane xSplit="3" ySplit="3" topLeftCell="E23" activePane="bottomRight" state="frozen"/>
      <selection pane="topRight" activeCell="D1" sqref="D1"/>
      <selection pane="bottomLeft" activeCell="A4" sqref="A4"/>
      <selection pane="bottomRight" activeCell="S34" sqref="S34"/>
    </sheetView>
  </sheetViews>
  <sheetFormatPr defaultRowHeight="14.4"/>
  <cols>
    <col min="2" max="2" width="25.44140625" bestFit="1" customWidth="1"/>
    <col min="10" max="10" width="9.33203125" bestFit="1" customWidth="1"/>
    <col min="12" max="12" width="9.5546875" bestFit="1" customWidth="1"/>
    <col min="18" max="18" width="9.21875" bestFit="1" customWidth="1"/>
    <col min="22" max="22" width="9.33203125" bestFit="1" customWidth="1"/>
    <col min="24" max="24" width="9.5546875" bestFit="1" customWidth="1"/>
    <col min="25" max="28" width="9.33203125" bestFit="1" customWidth="1"/>
    <col min="29" max="45" width="10.33203125" bestFit="1" customWidth="1"/>
    <col min="46" max="69" width="11.33203125" bestFit="1" customWidth="1"/>
  </cols>
  <sheetData>
    <row r="1" spans="1:72" s="4" customFormat="1" ht="13.8">
      <c r="A1" s="3" t="s">
        <v>80</v>
      </c>
    </row>
    <row r="2" spans="1:72" s="4" customFormat="1" ht="13.8">
      <c r="A2" s="3" t="s">
        <v>397</v>
      </c>
      <c r="J2" s="6">
        <f>Timing!J2</f>
        <v>44986</v>
      </c>
      <c r="K2" s="6">
        <f>Timing!K2</f>
        <v>45017</v>
      </c>
      <c r="L2" s="6">
        <f>Timing!L2</f>
        <v>45047</v>
      </c>
      <c r="M2" s="6">
        <f>Timing!M2</f>
        <v>45078</v>
      </c>
      <c r="N2" s="6">
        <f>Timing!N2</f>
        <v>45108</v>
      </c>
      <c r="O2" s="6">
        <f>Timing!O2</f>
        <v>45139</v>
      </c>
      <c r="P2" s="6">
        <f>Timing!P2</f>
        <v>45170</v>
      </c>
      <c r="Q2" s="6">
        <f>Timing!Q2</f>
        <v>45200</v>
      </c>
      <c r="R2" s="6">
        <f>Timing!R2</f>
        <v>45231</v>
      </c>
      <c r="S2" s="6">
        <f>Timing!S2</f>
        <v>45261</v>
      </c>
      <c r="T2" s="6">
        <f>Timing!T2</f>
        <v>45292</v>
      </c>
      <c r="U2" s="6">
        <f>Timing!U2</f>
        <v>45323</v>
      </c>
      <c r="V2" s="6">
        <f>Timing!V2</f>
        <v>45352</v>
      </c>
      <c r="W2" s="6">
        <f>Timing!W2</f>
        <v>45383</v>
      </c>
      <c r="X2" s="6">
        <f>Timing!X2</f>
        <v>45413</v>
      </c>
      <c r="Y2" s="6">
        <f>Timing!Y2</f>
        <v>45444</v>
      </c>
      <c r="Z2" s="6">
        <f>Timing!Z2</f>
        <v>45474</v>
      </c>
      <c r="AA2" s="6">
        <f>Timing!AA2</f>
        <v>45505</v>
      </c>
      <c r="AB2" s="6">
        <f>Timing!AB2</f>
        <v>45536</v>
      </c>
      <c r="AC2" s="6">
        <f>Timing!AC2</f>
        <v>45566</v>
      </c>
      <c r="AD2" s="6">
        <f>Timing!AD2</f>
        <v>45597</v>
      </c>
      <c r="AE2" s="6">
        <f>Timing!AE2</f>
        <v>45627</v>
      </c>
      <c r="AF2" s="6">
        <f>Timing!AF2</f>
        <v>45658</v>
      </c>
      <c r="AG2" s="6">
        <f>Timing!AG2</f>
        <v>45689</v>
      </c>
      <c r="AH2" s="6">
        <f>Timing!AH2</f>
        <v>45717</v>
      </c>
      <c r="AI2" s="6">
        <f>Timing!AI2</f>
        <v>45748</v>
      </c>
      <c r="AJ2" s="6">
        <f>Timing!AJ2</f>
        <v>45778</v>
      </c>
      <c r="AK2" s="6">
        <f>Timing!AK2</f>
        <v>45809</v>
      </c>
      <c r="AL2" s="6">
        <f>Timing!AL2</f>
        <v>45839</v>
      </c>
      <c r="AM2" s="6">
        <f>Timing!AM2</f>
        <v>45870</v>
      </c>
      <c r="AN2" s="6">
        <f>Timing!AN2</f>
        <v>45901</v>
      </c>
      <c r="AO2" s="6">
        <f>Timing!AO2</f>
        <v>45931</v>
      </c>
      <c r="AP2" s="6">
        <f>Timing!AP2</f>
        <v>45962</v>
      </c>
      <c r="AQ2" s="6">
        <f>Timing!AQ2</f>
        <v>45992</v>
      </c>
      <c r="AR2" s="6">
        <f>Timing!AR2</f>
        <v>46023</v>
      </c>
      <c r="AS2" s="6">
        <f>Timing!AS2</f>
        <v>46054</v>
      </c>
      <c r="AT2" s="6">
        <f>Timing!AT2</f>
        <v>46082</v>
      </c>
      <c r="AU2" s="6">
        <f>Timing!AU2</f>
        <v>46113</v>
      </c>
      <c r="AV2" s="6">
        <f>Timing!AV2</f>
        <v>46143</v>
      </c>
      <c r="AW2" s="6">
        <f>Timing!AW2</f>
        <v>46174</v>
      </c>
      <c r="AX2" s="6">
        <f>Timing!AX2</f>
        <v>46204</v>
      </c>
      <c r="AY2" s="6">
        <f>Timing!AY2</f>
        <v>46235</v>
      </c>
      <c r="AZ2" s="6">
        <f>Timing!AZ2</f>
        <v>46266</v>
      </c>
      <c r="BA2" s="6">
        <f>Timing!BA2</f>
        <v>46296</v>
      </c>
      <c r="BB2" s="6">
        <f>Timing!BB2</f>
        <v>46327</v>
      </c>
      <c r="BC2" s="6">
        <f>Timing!BC2</f>
        <v>46357</v>
      </c>
      <c r="BD2" s="6">
        <f>Timing!BD2</f>
        <v>46388</v>
      </c>
      <c r="BE2" s="6">
        <f>Timing!BE2</f>
        <v>46419</v>
      </c>
      <c r="BF2" s="6">
        <f>Timing!BF2</f>
        <v>46447</v>
      </c>
      <c r="BG2" s="6">
        <f>Timing!BG2</f>
        <v>46478</v>
      </c>
      <c r="BH2" s="6">
        <f>Timing!BH2</f>
        <v>46508</v>
      </c>
      <c r="BI2" s="6">
        <f>Timing!BI2</f>
        <v>46539</v>
      </c>
      <c r="BJ2" s="6">
        <f>Timing!BJ2</f>
        <v>46569</v>
      </c>
      <c r="BK2" s="6">
        <f>Timing!BK2</f>
        <v>46600</v>
      </c>
      <c r="BL2" s="6">
        <f>Timing!BL2</f>
        <v>46631</v>
      </c>
      <c r="BM2" s="6">
        <f>Timing!BM2</f>
        <v>46661</v>
      </c>
      <c r="BN2" s="6">
        <f>Timing!BN2</f>
        <v>46692</v>
      </c>
      <c r="BO2" s="6">
        <f>Timing!BO2</f>
        <v>46722</v>
      </c>
      <c r="BP2" s="6">
        <f>Timing!BP2</f>
        <v>46753</v>
      </c>
      <c r="BQ2" s="6">
        <f>Timing!BQ2</f>
        <v>46784</v>
      </c>
      <c r="BR2" s="6"/>
      <c r="BS2" s="6"/>
      <c r="BT2" s="6"/>
    </row>
    <row r="3" spans="1:72" s="4" customFormat="1" ht="13.8">
      <c r="J3" s="6">
        <f>Timing!J3</f>
        <v>45016</v>
      </c>
      <c r="K3" s="6">
        <f>Timing!K3</f>
        <v>45046</v>
      </c>
      <c r="L3" s="6">
        <f>Timing!L3</f>
        <v>45077</v>
      </c>
      <c r="M3" s="6">
        <f>Timing!M3</f>
        <v>45107</v>
      </c>
      <c r="N3" s="6">
        <f>Timing!N3</f>
        <v>45138</v>
      </c>
      <c r="O3" s="6">
        <f>Timing!O3</f>
        <v>45169</v>
      </c>
      <c r="P3" s="6">
        <f>Timing!P3</f>
        <v>45199</v>
      </c>
      <c r="Q3" s="6">
        <f>Timing!Q3</f>
        <v>45230</v>
      </c>
      <c r="R3" s="6">
        <f>Timing!R3</f>
        <v>45260</v>
      </c>
      <c r="S3" s="6">
        <f>Timing!S3</f>
        <v>45291</v>
      </c>
      <c r="T3" s="6">
        <f>Timing!T3</f>
        <v>45322</v>
      </c>
      <c r="U3" s="6">
        <f>Timing!U3</f>
        <v>45351</v>
      </c>
      <c r="V3" s="6">
        <f>Timing!V3</f>
        <v>45382</v>
      </c>
      <c r="W3" s="6">
        <f>Timing!W3</f>
        <v>45412</v>
      </c>
      <c r="X3" s="6">
        <f>Timing!X3</f>
        <v>45443</v>
      </c>
      <c r="Y3" s="6">
        <f>Timing!Y3</f>
        <v>45473</v>
      </c>
      <c r="Z3" s="6">
        <f>Timing!Z3</f>
        <v>45504</v>
      </c>
      <c r="AA3" s="6">
        <f>Timing!AA3</f>
        <v>45535</v>
      </c>
      <c r="AB3" s="6">
        <f>Timing!AB3</f>
        <v>45565</v>
      </c>
      <c r="AC3" s="6">
        <f>Timing!AC3</f>
        <v>45596</v>
      </c>
      <c r="AD3" s="6">
        <f>Timing!AD3</f>
        <v>45626</v>
      </c>
      <c r="AE3" s="6">
        <f>Timing!AE3</f>
        <v>45657</v>
      </c>
      <c r="AF3" s="6">
        <f>Timing!AF3</f>
        <v>45688</v>
      </c>
      <c r="AG3" s="6">
        <f>Timing!AG3</f>
        <v>45716</v>
      </c>
      <c r="AH3" s="6">
        <f>Timing!AH3</f>
        <v>45747</v>
      </c>
      <c r="AI3" s="6">
        <f>Timing!AI3</f>
        <v>45777</v>
      </c>
      <c r="AJ3" s="6">
        <f>Timing!AJ3</f>
        <v>45808</v>
      </c>
      <c r="AK3" s="6">
        <f>Timing!AK3</f>
        <v>45838</v>
      </c>
      <c r="AL3" s="6">
        <f>Timing!AL3</f>
        <v>45869</v>
      </c>
      <c r="AM3" s="6">
        <f>Timing!AM3</f>
        <v>45900</v>
      </c>
      <c r="AN3" s="6">
        <f>Timing!AN3</f>
        <v>45930</v>
      </c>
      <c r="AO3" s="6">
        <f>Timing!AO3</f>
        <v>45961</v>
      </c>
      <c r="AP3" s="6">
        <f>Timing!AP3</f>
        <v>45991</v>
      </c>
      <c r="AQ3" s="6">
        <f>Timing!AQ3</f>
        <v>46022</v>
      </c>
      <c r="AR3" s="6">
        <f>Timing!AR3</f>
        <v>46053</v>
      </c>
      <c r="AS3" s="6">
        <f>Timing!AS3</f>
        <v>46081</v>
      </c>
      <c r="AT3" s="6">
        <f>Timing!AT3</f>
        <v>46112</v>
      </c>
      <c r="AU3" s="6">
        <f>Timing!AU3</f>
        <v>46142</v>
      </c>
      <c r="AV3" s="6">
        <f>Timing!AV3</f>
        <v>46173</v>
      </c>
      <c r="AW3" s="6">
        <f>Timing!AW3</f>
        <v>46203</v>
      </c>
      <c r="AX3" s="6">
        <f>Timing!AX3</f>
        <v>46234</v>
      </c>
      <c r="AY3" s="6">
        <f>Timing!AY3</f>
        <v>46265</v>
      </c>
      <c r="AZ3" s="6">
        <f>Timing!AZ3</f>
        <v>46295</v>
      </c>
      <c r="BA3" s="6">
        <f>Timing!BA3</f>
        <v>46326</v>
      </c>
      <c r="BB3" s="6">
        <f>Timing!BB3</f>
        <v>46356</v>
      </c>
      <c r="BC3" s="6">
        <f>Timing!BC3</f>
        <v>46387</v>
      </c>
      <c r="BD3" s="6">
        <f>Timing!BD3</f>
        <v>46418</v>
      </c>
      <c r="BE3" s="6">
        <f>Timing!BE3</f>
        <v>46446</v>
      </c>
      <c r="BF3" s="6">
        <f>Timing!BF3</f>
        <v>46477</v>
      </c>
      <c r="BG3" s="6">
        <f>Timing!BG3</f>
        <v>46507</v>
      </c>
      <c r="BH3" s="6">
        <f>Timing!BH3</f>
        <v>46538</v>
      </c>
      <c r="BI3" s="6">
        <f>Timing!BI3</f>
        <v>46568</v>
      </c>
      <c r="BJ3" s="6">
        <f>Timing!BJ3</f>
        <v>46599</v>
      </c>
      <c r="BK3" s="6">
        <f>Timing!BK3</f>
        <v>46630</v>
      </c>
      <c r="BL3" s="6">
        <f>Timing!BL3</f>
        <v>46660</v>
      </c>
      <c r="BM3" s="6">
        <f>Timing!BM3</f>
        <v>46691</v>
      </c>
      <c r="BN3" s="6">
        <f>Timing!BN3</f>
        <v>46721</v>
      </c>
      <c r="BO3" s="6">
        <f>Timing!BO3</f>
        <v>46752</v>
      </c>
      <c r="BP3" s="6">
        <f>Timing!BP3</f>
        <v>46783</v>
      </c>
      <c r="BQ3" s="6">
        <f>Timing!BQ3</f>
        <v>46812</v>
      </c>
      <c r="BR3" s="6"/>
      <c r="BS3" s="6"/>
      <c r="BT3" s="6"/>
    </row>
    <row r="4" spans="1:72" s="4" customFormat="1" ht="13.8"/>
    <row r="5" spans="1:72" s="4" customFormat="1" ht="13.8"/>
    <row r="6" spans="1:72" s="126" customFormat="1" ht="13.8">
      <c r="B6" s="127" t="s">
        <v>396</v>
      </c>
      <c r="J6" s="128">
        <f>'Financials Monthly'!J50</f>
        <v>9123</v>
      </c>
      <c r="K6" s="128">
        <f>'Financials Monthly'!K50</f>
        <v>38538</v>
      </c>
      <c r="L6" s="128">
        <f>'Financials Monthly'!L50</f>
        <v>-35204</v>
      </c>
      <c r="M6" s="128">
        <f>'Financials Monthly'!M50</f>
        <v>-3020</v>
      </c>
      <c r="N6" s="128">
        <f>'Financials Monthly'!N50</f>
        <v>-9960</v>
      </c>
      <c r="O6" s="128">
        <f>'Financials Monthly'!O50</f>
        <v>17929</v>
      </c>
      <c r="P6" s="128">
        <f>'Financials Monthly'!P50</f>
        <v>28409</v>
      </c>
      <c r="Q6" s="128">
        <f>'Financials Monthly'!Q50</f>
        <v>-42428</v>
      </c>
      <c r="R6" s="128">
        <f>'Financials Monthly'!R50</f>
        <v>-7648</v>
      </c>
      <c r="S6" s="128">
        <f>'Financials Monthly'!S50</f>
        <v>-62508.791666666679</v>
      </c>
      <c r="T6" s="128">
        <f>'Financials Monthly'!T50</f>
        <v>-54894.916666666664</v>
      </c>
      <c r="U6" s="128">
        <f>'Financials Monthly'!U50</f>
        <v>-36753.458333333328</v>
      </c>
      <c r="V6" s="128">
        <f>'Financials Monthly'!V50</f>
        <v>-41825.749999999993</v>
      </c>
      <c r="W6" s="128">
        <f>'Financials Monthly'!W50</f>
        <v>-57715.333333333343</v>
      </c>
      <c r="X6" s="128">
        <f>'Financials Monthly'!X50</f>
        <v>-36862.000000000007</v>
      </c>
      <c r="Y6" s="128">
        <f>'Financials Monthly'!Y50</f>
        <v>-996.58333333334303</v>
      </c>
      <c r="Z6" s="128">
        <f>'Financials Monthly'!Z50</f>
        <v>6182.5833333333385</v>
      </c>
      <c r="AA6" s="128">
        <f>'Financials Monthly'!AA50</f>
        <v>13148.000000000005</v>
      </c>
      <c r="AB6" s="128">
        <f>'Financials Monthly'!AB50</f>
        <v>19737.583333333336</v>
      </c>
      <c r="AC6" s="128">
        <f>'Financials Monthly'!AC50</f>
        <v>30016.750000000004</v>
      </c>
      <c r="AD6" s="128">
        <f>'Financials Monthly'!AD50</f>
        <v>40982.166666666672</v>
      </c>
      <c r="AE6" s="128">
        <f>'Financials Monthly'!AE50</f>
        <v>51061.333333333336</v>
      </c>
      <c r="AF6" s="128">
        <f>'Financials Monthly'!AF50</f>
        <v>60250.916666666672</v>
      </c>
      <c r="AG6" s="128">
        <f>'Financials Monthly'!AG50</f>
        <v>71216.333333333343</v>
      </c>
      <c r="AH6" s="128">
        <f>'Financials Monthly'!AH50</f>
        <v>116471.75</v>
      </c>
      <c r="AI6" s="128">
        <f>'Financials Monthly'!AI50</f>
        <v>131127.24999999997</v>
      </c>
      <c r="AJ6" s="128">
        <f>'Financials Monthly'!AJ50</f>
        <v>145120.66666666666</v>
      </c>
      <c r="AK6" s="128">
        <f>'Financials Monthly'!AK50</f>
        <v>156276.16666666666</v>
      </c>
      <c r="AL6" s="128">
        <f>'Financials Monthly'!AL50</f>
        <v>170845.41666666666</v>
      </c>
      <c r="AM6" s="128">
        <f>'Financials Monthly'!AM50</f>
        <v>185000.91666666666</v>
      </c>
      <c r="AN6" s="128">
        <f>'Financials Monthly'!AN50</f>
        <v>199594.33333333331</v>
      </c>
      <c r="AO6" s="128">
        <f>'Financials Monthly'!AO50</f>
        <v>215349.83333333331</v>
      </c>
      <c r="AP6" s="128">
        <f>'Financials Monthly'!AP50</f>
        <v>230519.08333333331</v>
      </c>
      <c r="AQ6" s="128">
        <f>'Financials Monthly'!AQ50</f>
        <v>245274.58333333331</v>
      </c>
      <c r="AR6" s="128">
        <f>'Financials Monthly'!AR50</f>
        <v>260867.99999999997</v>
      </c>
      <c r="AS6" s="128">
        <f>'Financials Monthly'!AS50</f>
        <v>272190.16666666669</v>
      </c>
      <c r="AT6" s="128">
        <f>'Financials Monthly'!AT50</f>
        <v>352737.7333333334</v>
      </c>
      <c r="AU6" s="128">
        <f>'Financials Monthly'!AU50</f>
        <v>372605.29166666669</v>
      </c>
      <c r="AV6" s="128">
        <f>'Financials Monthly'!AV50</f>
        <v>391886.60000000003</v>
      </c>
      <c r="AW6" s="128">
        <f>'Financials Monthly'!AW50</f>
        <v>408729.15833333333</v>
      </c>
      <c r="AX6" s="128">
        <f>'Financials Monthly'!AX50</f>
        <v>428510.46666666673</v>
      </c>
      <c r="AY6" s="128">
        <f>'Financials Monthly'!AY50</f>
        <v>447878.02499999997</v>
      </c>
      <c r="AZ6" s="128">
        <f>'Financials Monthly'!AZ50</f>
        <v>467990.33333333337</v>
      </c>
      <c r="BA6" s="128">
        <f>'Financials Monthly'!BA50</f>
        <v>489102.64166666655</v>
      </c>
      <c r="BB6" s="128">
        <f>'Financials Monthly'!BB50</f>
        <v>509801.2</v>
      </c>
      <c r="BC6" s="128">
        <f>'Financials Monthly'!BC50</f>
        <v>529913.50833333342</v>
      </c>
      <c r="BD6" s="128">
        <f>'Financials Monthly'!BD50</f>
        <v>551112.06666666665</v>
      </c>
      <c r="BE6" s="128">
        <f>'Financials Monthly'!BE50</f>
        <v>571724.375</v>
      </c>
      <c r="BF6" s="128">
        <f>'Financials Monthly'!BF50</f>
        <v>589649.10000000021</v>
      </c>
      <c r="BG6" s="128">
        <f>'Financials Monthly'!BG50</f>
        <v>612243.41666666674</v>
      </c>
      <c r="BH6" s="128">
        <f>'Financials Monthly'!BH50</f>
        <v>634837.73333333328</v>
      </c>
      <c r="BI6" s="128">
        <f>'Financials Monthly'!BI50</f>
        <v>657518.30000000016</v>
      </c>
      <c r="BJ6" s="128">
        <f>'Financials Monthly'!BJ50</f>
        <v>680112.6166666667</v>
      </c>
      <c r="BK6" s="128">
        <f>'Financials Monthly'!BK50</f>
        <v>702706.93333333347</v>
      </c>
      <c r="BL6" s="128">
        <f>'Financials Monthly'!BL50</f>
        <v>726960.50000000012</v>
      </c>
      <c r="BM6" s="128">
        <f>'Financials Monthly'!BM50</f>
        <v>751127.81666666665</v>
      </c>
      <c r="BN6" s="128">
        <f>'Financials Monthly'!BN50</f>
        <v>775295.13333333342</v>
      </c>
      <c r="BO6" s="128">
        <f>'Financials Monthly'!BO50</f>
        <v>799548.70000000007</v>
      </c>
      <c r="BP6" s="128">
        <f>'Financials Monthly'!BP50</f>
        <v>823716.01666666684</v>
      </c>
      <c r="BQ6" s="128">
        <f>'Financials Monthly'!BQ50</f>
        <v>847969.58333333326</v>
      </c>
    </row>
    <row r="7" spans="1:72" s="4" customFormat="1" ht="13.8">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row>
    <row r="8" spans="1:72" s="4" customFormat="1" ht="13.8">
      <c r="B8" s="3" t="s">
        <v>397</v>
      </c>
      <c r="J8" s="32">
        <f>J6*Inputs!J27</f>
        <v>2280.75</v>
      </c>
      <c r="K8" s="32">
        <f>K6*Inputs!K27</f>
        <v>9634.5</v>
      </c>
      <c r="L8" s="32">
        <f>L6*Inputs!L27</f>
        <v>-8801</v>
      </c>
      <c r="M8" s="32">
        <f>M6*Inputs!M27</f>
        <v>-755</v>
      </c>
      <c r="N8" s="32">
        <f>N6*Inputs!N27</f>
        <v>-2490</v>
      </c>
      <c r="O8" s="32">
        <f>O6*Inputs!O27</f>
        <v>4482.25</v>
      </c>
      <c r="P8" s="32">
        <f>P6*Inputs!P27</f>
        <v>7102.25</v>
      </c>
      <c r="Q8" s="32">
        <f>Q6*Inputs!Q27</f>
        <v>-10607</v>
      </c>
      <c r="R8" s="32">
        <f>R6*Inputs!R27</f>
        <v>-1912</v>
      </c>
      <c r="S8" s="32">
        <f>S6*Inputs!S27</f>
        <v>-15627.19791666667</v>
      </c>
      <c r="T8" s="32">
        <f>T6*Inputs!T27</f>
        <v>-13723.729166666666</v>
      </c>
      <c r="U8" s="32">
        <f>U6*Inputs!U27</f>
        <v>-9188.3645833333321</v>
      </c>
      <c r="V8" s="32">
        <f>V6*Inputs!V27</f>
        <v>-10456.437499999998</v>
      </c>
      <c r="W8" s="32">
        <f>W6*Inputs!W27</f>
        <v>-14428.833333333336</v>
      </c>
      <c r="X8" s="32">
        <f>X6*Inputs!X27</f>
        <v>-9215.5000000000018</v>
      </c>
      <c r="Y8" s="32">
        <f>Y6*Inputs!Y27</f>
        <v>-249.14583333333576</v>
      </c>
      <c r="Z8" s="32">
        <f>Z6*Inputs!Z27</f>
        <v>1545.6458333333346</v>
      </c>
      <c r="AA8" s="32">
        <f>AA6*Inputs!AA27</f>
        <v>3287.0000000000014</v>
      </c>
      <c r="AB8" s="32">
        <f>AB6*Inputs!AB27</f>
        <v>4934.3958333333339</v>
      </c>
      <c r="AC8" s="32">
        <f>AC6*Inputs!AC27</f>
        <v>7504.1875000000009</v>
      </c>
      <c r="AD8" s="32">
        <f>AD6*Inputs!AD27</f>
        <v>10245.541666666668</v>
      </c>
      <c r="AE8" s="32">
        <f>AE6*Inputs!AE27</f>
        <v>12765.333333333334</v>
      </c>
      <c r="AF8" s="32">
        <f>AF6*Inputs!AF27</f>
        <v>15062.729166666668</v>
      </c>
      <c r="AG8" s="32">
        <f>AG6*Inputs!AG27</f>
        <v>17804.083333333336</v>
      </c>
      <c r="AH8" s="32">
        <f>AH6*Inputs!AH27</f>
        <v>29117.9375</v>
      </c>
      <c r="AI8" s="32">
        <f>AI6*Inputs!AI27</f>
        <v>32781.812499999993</v>
      </c>
      <c r="AJ8" s="32">
        <f>AJ6*Inputs!AJ27</f>
        <v>36280.166666666664</v>
      </c>
      <c r="AK8" s="32">
        <f>AK6*Inputs!AK27</f>
        <v>39069.041666666664</v>
      </c>
      <c r="AL8" s="32">
        <f>AL6*Inputs!AL27</f>
        <v>42711.354166666664</v>
      </c>
      <c r="AM8" s="32">
        <f>AM6*Inputs!AM27</f>
        <v>46250.229166666664</v>
      </c>
      <c r="AN8" s="32">
        <f>AN6*Inputs!AN27</f>
        <v>49898.583333333328</v>
      </c>
      <c r="AO8" s="32">
        <f>AO6*Inputs!AO27</f>
        <v>53837.458333333328</v>
      </c>
      <c r="AP8" s="32">
        <f>AP6*Inputs!AP27</f>
        <v>57629.770833333328</v>
      </c>
      <c r="AQ8" s="32">
        <f>AQ6*Inputs!AQ27</f>
        <v>61318.645833333328</v>
      </c>
      <c r="AR8" s="32">
        <f>AR6*Inputs!AR27</f>
        <v>65216.999999999993</v>
      </c>
      <c r="AS8" s="32">
        <f>AS6*Inputs!AS27</f>
        <v>68047.541666666672</v>
      </c>
      <c r="AT8" s="32">
        <f>AT6*Inputs!AT27</f>
        <v>88184.433333333349</v>
      </c>
      <c r="AU8" s="32">
        <f>AU6*Inputs!AU27</f>
        <v>93151.322916666672</v>
      </c>
      <c r="AV8" s="32">
        <f>AV6*Inputs!AV27</f>
        <v>97971.650000000009</v>
      </c>
      <c r="AW8" s="32">
        <f>AW6*Inputs!AW27</f>
        <v>102182.28958333333</v>
      </c>
      <c r="AX8" s="32">
        <f>AX6*Inputs!AX27</f>
        <v>107127.61666666668</v>
      </c>
      <c r="AY8" s="32">
        <f>AY6*Inputs!AY27</f>
        <v>111969.50624999999</v>
      </c>
      <c r="AZ8" s="32">
        <f>AZ6*Inputs!AZ27</f>
        <v>116997.58333333334</v>
      </c>
      <c r="BA8" s="32">
        <f>BA6*Inputs!BA27</f>
        <v>122275.66041666664</v>
      </c>
      <c r="BB8" s="32">
        <f>BB6*Inputs!BB27</f>
        <v>127450.3</v>
      </c>
      <c r="BC8" s="32">
        <f>BC6*Inputs!BC27</f>
        <v>132478.37708333335</v>
      </c>
      <c r="BD8" s="32">
        <f>BD6*Inputs!BD27</f>
        <v>137778.01666666666</v>
      </c>
      <c r="BE8" s="32">
        <f>BE6*Inputs!BE27</f>
        <v>142931.09375</v>
      </c>
      <c r="BF8" s="32">
        <f>BF6*Inputs!BF27</f>
        <v>147412.27500000005</v>
      </c>
      <c r="BG8" s="32">
        <f>BG6*Inputs!BG27</f>
        <v>153060.85416666669</v>
      </c>
      <c r="BH8" s="32">
        <f>BH6*Inputs!BH27</f>
        <v>158709.43333333332</v>
      </c>
      <c r="BI8" s="32">
        <f>BI6*Inputs!BI27</f>
        <v>164379.57500000004</v>
      </c>
      <c r="BJ8" s="32">
        <f>BJ6*Inputs!BJ27</f>
        <v>170028.15416666667</v>
      </c>
      <c r="BK8" s="32">
        <f>BK6*Inputs!BK27</f>
        <v>175676.73333333337</v>
      </c>
      <c r="BL8" s="32">
        <f>BL6*Inputs!BL27</f>
        <v>181740.12500000003</v>
      </c>
      <c r="BM8" s="32">
        <f>BM6*Inputs!BM27</f>
        <v>187781.95416666666</v>
      </c>
      <c r="BN8" s="32">
        <f>BN6*Inputs!BN27</f>
        <v>193823.78333333335</v>
      </c>
      <c r="BO8" s="32">
        <f>BO6*Inputs!BO27</f>
        <v>199887.17500000002</v>
      </c>
      <c r="BP8" s="32">
        <f>BP6*Inputs!BP27</f>
        <v>205929.00416666671</v>
      </c>
      <c r="BQ8" s="32">
        <f>BQ6*Inputs!BQ27</f>
        <v>211992.39583333331</v>
      </c>
    </row>
    <row r="9" spans="1:72" s="4" customFormat="1" ht="13.8">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row>
    <row r="10" spans="1:72" s="4" customFormat="1" ht="13.8">
      <c r="B10" s="4" t="str">
        <f>B24</f>
        <v>Current period taxable profits</v>
      </c>
      <c r="J10" s="39">
        <f>J24</f>
        <v>9123</v>
      </c>
      <c r="K10" s="39">
        <f t="shared" ref="K10:BT10" si="0">K24</f>
        <v>38538</v>
      </c>
      <c r="L10" s="39">
        <f t="shared" si="0"/>
        <v>0</v>
      </c>
      <c r="M10" s="39">
        <f t="shared" si="0"/>
        <v>0</v>
      </c>
      <c r="N10" s="39">
        <f t="shared" si="0"/>
        <v>0</v>
      </c>
      <c r="O10" s="39">
        <f t="shared" si="0"/>
        <v>17929</v>
      </c>
      <c r="P10" s="39">
        <f t="shared" si="0"/>
        <v>28409</v>
      </c>
      <c r="Q10" s="39">
        <f t="shared" si="0"/>
        <v>0</v>
      </c>
      <c r="R10" s="39">
        <f t="shared" si="0"/>
        <v>0</v>
      </c>
      <c r="S10" s="39">
        <f t="shared" si="0"/>
        <v>0</v>
      </c>
      <c r="T10" s="39">
        <f t="shared" si="0"/>
        <v>0</v>
      </c>
      <c r="U10" s="39">
        <f t="shared" si="0"/>
        <v>0</v>
      </c>
      <c r="V10" s="39">
        <f t="shared" si="0"/>
        <v>0</v>
      </c>
      <c r="W10" s="39">
        <f t="shared" si="0"/>
        <v>0</v>
      </c>
      <c r="X10" s="39">
        <f t="shared" si="0"/>
        <v>0</v>
      </c>
      <c r="Y10" s="39">
        <f t="shared" si="0"/>
        <v>0</v>
      </c>
      <c r="Z10" s="39">
        <f t="shared" si="0"/>
        <v>6182.5833333333385</v>
      </c>
      <c r="AA10" s="39">
        <f t="shared" si="0"/>
        <v>13148.000000000005</v>
      </c>
      <c r="AB10" s="39">
        <f t="shared" si="0"/>
        <v>19737.583333333336</v>
      </c>
      <c r="AC10" s="39">
        <f t="shared" si="0"/>
        <v>30016.750000000004</v>
      </c>
      <c r="AD10" s="39">
        <f t="shared" si="0"/>
        <v>40982.166666666672</v>
      </c>
      <c r="AE10" s="39">
        <f t="shared" si="0"/>
        <v>51061.333333333336</v>
      </c>
      <c r="AF10" s="39">
        <f t="shared" si="0"/>
        <v>60250.916666666672</v>
      </c>
      <c r="AG10" s="39">
        <f t="shared" si="0"/>
        <v>71216.333333333343</v>
      </c>
      <c r="AH10" s="39">
        <f t="shared" si="0"/>
        <v>116471.75</v>
      </c>
      <c r="AI10" s="39">
        <f t="shared" si="0"/>
        <v>131127.24999999997</v>
      </c>
      <c r="AJ10" s="39">
        <f t="shared" si="0"/>
        <v>145120.66666666666</v>
      </c>
      <c r="AK10" s="39">
        <f t="shared" si="0"/>
        <v>156276.16666666666</v>
      </c>
      <c r="AL10" s="39">
        <f t="shared" si="0"/>
        <v>170845.41666666666</v>
      </c>
      <c r="AM10" s="39">
        <f t="shared" si="0"/>
        <v>185000.91666666666</v>
      </c>
      <c r="AN10" s="39">
        <f t="shared" si="0"/>
        <v>199594.33333333331</v>
      </c>
      <c r="AO10" s="39">
        <f t="shared" si="0"/>
        <v>215349.83333333331</v>
      </c>
      <c r="AP10" s="39">
        <f t="shared" si="0"/>
        <v>230519.08333333331</v>
      </c>
      <c r="AQ10" s="39">
        <f t="shared" si="0"/>
        <v>245274.58333333331</v>
      </c>
      <c r="AR10" s="39">
        <f t="shared" si="0"/>
        <v>260867.99999999997</v>
      </c>
      <c r="AS10" s="39">
        <f t="shared" si="0"/>
        <v>272190.16666666669</v>
      </c>
      <c r="AT10" s="39">
        <f t="shared" si="0"/>
        <v>352737.7333333334</v>
      </c>
      <c r="AU10" s="39">
        <f t="shared" si="0"/>
        <v>372605.29166666669</v>
      </c>
      <c r="AV10" s="39">
        <f t="shared" si="0"/>
        <v>391886.60000000003</v>
      </c>
      <c r="AW10" s="39">
        <f t="shared" si="0"/>
        <v>408729.15833333333</v>
      </c>
      <c r="AX10" s="39">
        <f t="shared" si="0"/>
        <v>428510.46666666673</v>
      </c>
      <c r="AY10" s="39">
        <f t="shared" si="0"/>
        <v>447878.02499999997</v>
      </c>
      <c r="AZ10" s="39">
        <f t="shared" si="0"/>
        <v>467990.33333333337</v>
      </c>
      <c r="BA10" s="39">
        <f t="shared" si="0"/>
        <v>489102.64166666655</v>
      </c>
      <c r="BB10" s="39">
        <f t="shared" si="0"/>
        <v>509801.2</v>
      </c>
      <c r="BC10" s="39">
        <f t="shared" si="0"/>
        <v>529913.50833333342</v>
      </c>
      <c r="BD10" s="39">
        <f t="shared" si="0"/>
        <v>551112.06666666665</v>
      </c>
      <c r="BE10" s="39">
        <f t="shared" si="0"/>
        <v>571724.375</v>
      </c>
      <c r="BF10" s="39">
        <f t="shared" si="0"/>
        <v>589649.10000000021</v>
      </c>
      <c r="BG10" s="39">
        <f t="shared" si="0"/>
        <v>612243.41666666674</v>
      </c>
      <c r="BH10" s="39">
        <f t="shared" si="0"/>
        <v>634837.73333333328</v>
      </c>
      <c r="BI10" s="39">
        <f t="shared" si="0"/>
        <v>657518.30000000016</v>
      </c>
      <c r="BJ10" s="39">
        <f t="shared" si="0"/>
        <v>680112.6166666667</v>
      </c>
      <c r="BK10" s="39">
        <f t="shared" si="0"/>
        <v>702706.93333333347</v>
      </c>
      <c r="BL10" s="39">
        <f t="shared" si="0"/>
        <v>726960.50000000012</v>
      </c>
      <c r="BM10" s="39">
        <f t="shared" si="0"/>
        <v>751127.81666666665</v>
      </c>
      <c r="BN10" s="39">
        <f t="shared" si="0"/>
        <v>775295.13333333342</v>
      </c>
      <c r="BO10" s="39">
        <f t="shared" si="0"/>
        <v>799548.70000000007</v>
      </c>
      <c r="BP10" s="39">
        <f t="shared" si="0"/>
        <v>823716.01666666684</v>
      </c>
      <c r="BQ10" s="39">
        <f t="shared" si="0"/>
        <v>847969.58333333326</v>
      </c>
      <c r="BR10" s="39">
        <f t="shared" si="0"/>
        <v>0</v>
      </c>
      <c r="BS10" s="39">
        <f t="shared" si="0"/>
        <v>0</v>
      </c>
      <c r="BT10" s="39">
        <f t="shared" si="0"/>
        <v>0</v>
      </c>
    </row>
    <row r="11" spans="1:72" s="4" customFormat="1" ht="13.8">
      <c r="B11" s="4" t="str">
        <f>B18</f>
        <v>Losses b/f balance</v>
      </c>
      <c r="J11" s="39">
        <f>J18</f>
        <v>0</v>
      </c>
      <c r="K11" s="39">
        <f t="shared" ref="K11:BP11" si="1">K18</f>
        <v>0</v>
      </c>
      <c r="L11" s="39">
        <f t="shared" si="1"/>
        <v>0</v>
      </c>
      <c r="M11" s="39">
        <f t="shared" si="1"/>
        <v>0</v>
      </c>
      <c r="N11" s="39">
        <f t="shared" si="1"/>
        <v>0</v>
      </c>
      <c r="O11" s="39">
        <f>O18</f>
        <v>523</v>
      </c>
      <c r="P11" s="39">
        <f t="shared" si="1"/>
        <v>0</v>
      </c>
      <c r="Q11" s="39">
        <f t="shared" si="1"/>
        <v>0</v>
      </c>
      <c r="R11" s="39">
        <f t="shared" si="1"/>
        <v>0</v>
      </c>
      <c r="S11" s="39">
        <f t="shared" si="1"/>
        <v>4261</v>
      </c>
      <c r="T11" s="39">
        <f t="shared" si="1"/>
        <v>66769.791666666686</v>
      </c>
      <c r="U11" s="39">
        <f t="shared" si="1"/>
        <v>121664.70833333334</v>
      </c>
      <c r="V11" s="39">
        <f t="shared" si="1"/>
        <v>158418.16666666669</v>
      </c>
      <c r="W11" s="39">
        <f t="shared" si="1"/>
        <v>200243.91666666669</v>
      </c>
      <c r="X11" s="39">
        <f t="shared" si="1"/>
        <v>257959.25000000003</v>
      </c>
      <c r="Y11" s="39">
        <f t="shared" si="1"/>
        <v>294821.25000000006</v>
      </c>
      <c r="Z11" s="39">
        <f t="shared" si="1"/>
        <v>295817.83333333337</v>
      </c>
      <c r="AA11" s="39">
        <f t="shared" si="1"/>
        <v>289635.25000000006</v>
      </c>
      <c r="AB11" s="39">
        <f t="shared" si="1"/>
        <v>276487.25000000006</v>
      </c>
      <c r="AC11" s="39">
        <f t="shared" si="1"/>
        <v>256749.66666666672</v>
      </c>
      <c r="AD11" s="39">
        <f t="shared" si="1"/>
        <v>226732.91666666672</v>
      </c>
      <c r="AE11" s="39">
        <f t="shared" si="1"/>
        <v>185750.75000000006</v>
      </c>
      <c r="AF11" s="39">
        <f t="shared" si="1"/>
        <v>134689.41666666672</v>
      </c>
      <c r="AG11" s="39">
        <f t="shared" si="1"/>
        <v>74438.500000000044</v>
      </c>
      <c r="AH11" s="39">
        <f t="shared" si="1"/>
        <v>3222.1666666667006</v>
      </c>
      <c r="AI11" s="39">
        <f t="shared" si="1"/>
        <v>3222.1666666667006</v>
      </c>
      <c r="AJ11" s="39">
        <f t="shared" si="1"/>
        <v>3222.1666666667006</v>
      </c>
      <c r="AK11" s="39">
        <f t="shared" si="1"/>
        <v>3222.1666666667006</v>
      </c>
      <c r="AL11" s="39">
        <f t="shared" si="1"/>
        <v>3222.1666666667006</v>
      </c>
      <c r="AM11" s="39">
        <f t="shared" si="1"/>
        <v>3222.1666666667006</v>
      </c>
      <c r="AN11" s="39">
        <f t="shared" si="1"/>
        <v>3222.1666666667006</v>
      </c>
      <c r="AO11" s="39">
        <f t="shared" si="1"/>
        <v>3222.1666666667006</v>
      </c>
      <c r="AP11" s="39">
        <f t="shared" si="1"/>
        <v>3222.1666666667006</v>
      </c>
      <c r="AQ11" s="39">
        <f t="shared" si="1"/>
        <v>3222.1666666667006</v>
      </c>
      <c r="AR11" s="39">
        <f t="shared" si="1"/>
        <v>3222.1666666667006</v>
      </c>
      <c r="AS11" s="39">
        <f t="shared" si="1"/>
        <v>3222.1666666667006</v>
      </c>
      <c r="AT11" s="39">
        <f t="shared" si="1"/>
        <v>3222.1666666667006</v>
      </c>
      <c r="AU11" s="39">
        <f t="shared" si="1"/>
        <v>3222.1666666667006</v>
      </c>
      <c r="AV11" s="39">
        <f t="shared" si="1"/>
        <v>3222.1666666667006</v>
      </c>
      <c r="AW11" s="39">
        <f t="shared" si="1"/>
        <v>3222.1666666667006</v>
      </c>
      <c r="AX11" s="39">
        <f t="shared" si="1"/>
        <v>3222.1666666667006</v>
      </c>
      <c r="AY11" s="39">
        <f t="shared" si="1"/>
        <v>3222.1666666667006</v>
      </c>
      <c r="AZ11" s="39">
        <f t="shared" si="1"/>
        <v>3222.1666666667006</v>
      </c>
      <c r="BA11" s="39">
        <f t="shared" si="1"/>
        <v>3222.1666666667006</v>
      </c>
      <c r="BB11" s="39">
        <f t="shared" si="1"/>
        <v>3222.1666666667006</v>
      </c>
      <c r="BC11" s="39">
        <f t="shared" si="1"/>
        <v>3222.1666666667006</v>
      </c>
      <c r="BD11" s="39">
        <f t="shared" si="1"/>
        <v>3222.1666666667006</v>
      </c>
      <c r="BE11" s="39">
        <f t="shared" si="1"/>
        <v>3222.1666666667006</v>
      </c>
      <c r="BF11" s="39">
        <f t="shared" si="1"/>
        <v>3222.1666666667006</v>
      </c>
      <c r="BG11" s="39">
        <f t="shared" si="1"/>
        <v>3222.1666666667006</v>
      </c>
      <c r="BH11" s="39">
        <f t="shared" si="1"/>
        <v>3222.1666666667006</v>
      </c>
      <c r="BI11" s="39">
        <f t="shared" si="1"/>
        <v>3222.1666666667006</v>
      </c>
      <c r="BJ11" s="39">
        <f t="shared" si="1"/>
        <v>3222.1666666667006</v>
      </c>
      <c r="BK11" s="39">
        <f t="shared" si="1"/>
        <v>3222.1666666667006</v>
      </c>
      <c r="BL11" s="39">
        <f t="shared" si="1"/>
        <v>3222.1666666667006</v>
      </c>
      <c r="BM11" s="39">
        <f t="shared" si="1"/>
        <v>3222.1666666667006</v>
      </c>
      <c r="BN11" s="39">
        <f t="shared" si="1"/>
        <v>3222.1666666667006</v>
      </c>
      <c r="BO11" s="39">
        <f t="shared" si="1"/>
        <v>3222.1666666667006</v>
      </c>
      <c r="BP11" s="39">
        <f t="shared" si="1"/>
        <v>3222.1666666667006</v>
      </c>
      <c r="BQ11" s="39">
        <f>BQ18</f>
        <v>3222.1666666667006</v>
      </c>
    </row>
    <row r="12" spans="1:72" s="4" customFormat="1" ht="13.8">
      <c r="B12" s="4" t="str">
        <f>B20</f>
        <v>Use of Tax</v>
      </c>
      <c r="J12" s="39">
        <f>MIN(J10,J11)</f>
        <v>0</v>
      </c>
      <c r="K12" s="39">
        <f t="shared" ref="K12:N12" si="2">MIN(K10,K11)</f>
        <v>0</v>
      </c>
      <c r="L12" s="39">
        <f>MIN(L10,L11)</f>
        <v>0</v>
      </c>
      <c r="M12" s="39">
        <f t="shared" si="2"/>
        <v>0</v>
      </c>
      <c r="N12" s="39">
        <f t="shared" si="2"/>
        <v>0</v>
      </c>
      <c r="O12" s="39">
        <f>MIN(O10,O11)</f>
        <v>523</v>
      </c>
      <c r="P12" s="39">
        <f>MIN(P10,P11)</f>
        <v>0</v>
      </c>
      <c r="Q12" s="39">
        <f t="shared" ref="Q12:Z12" si="3">MIN(Q10,Q11)</f>
        <v>0</v>
      </c>
      <c r="R12" s="39">
        <f t="shared" si="3"/>
        <v>0</v>
      </c>
      <c r="S12" s="39">
        <f t="shared" si="3"/>
        <v>0</v>
      </c>
      <c r="T12" s="39">
        <f t="shared" si="3"/>
        <v>0</v>
      </c>
      <c r="U12" s="39">
        <f t="shared" si="3"/>
        <v>0</v>
      </c>
      <c r="V12" s="39">
        <f t="shared" si="3"/>
        <v>0</v>
      </c>
      <c r="W12" s="39">
        <f t="shared" si="3"/>
        <v>0</v>
      </c>
      <c r="X12" s="39">
        <f t="shared" si="3"/>
        <v>0</v>
      </c>
      <c r="Y12" s="39">
        <f t="shared" si="3"/>
        <v>0</v>
      </c>
      <c r="Z12" s="39">
        <f t="shared" si="3"/>
        <v>6182.5833333333385</v>
      </c>
      <c r="AA12" s="39">
        <f t="shared" ref="AA12" si="4">MIN(AA10,AA11)</f>
        <v>13148.000000000005</v>
      </c>
      <c r="AB12" s="39">
        <f t="shared" ref="AB12" si="5">MIN(AB10,AB11)</f>
        <v>19737.583333333336</v>
      </c>
      <c r="AC12" s="39">
        <f t="shared" ref="AC12" si="6">MIN(AC10,AC11)</f>
        <v>30016.750000000004</v>
      </c>
      <c r="AD12" s="39">
        <f t="shared" ref="AD12" si="7">MIN(AD10,AD11)</f>
        <v>40982.166666666672</v>
      </c>
      <c r="AE12" s="39">
        <f t="shared" ref="AE12" si="8">MIN(AE10,AE11)</f>
        <v>51061.333333333336</v>
      </c>
      <c r="AF12" s="39">
        <f t="shared" ref="AF12" si="9">MIN(AF10,AF11)</f>
        <v>60250.916666666672</v>
      </c>
      <c r="AG12" s="39">
        <f t="shared" ref="AG12" si="10">MIN(AG10,AG11)</f>
        <v>71216.333333333343</v>
      </c>
      <c r="AH12" s="39">
        <f t="shared" ref="AH12" si="11">MIN(AH10,AH11)</f>
        <v>3222.1666666667006</v>
      </c>
      <c r="AI12" s="39">
        <f t="shared" ref="AI12" si="12">MIN(AI10,AI11)</f>
        <v>3222.1666666667006</v>
      </c>
      <c r="AJ12" s="39">
        <f t="shared" ref="AJ12" si="13">MIN(AJ10,AJ11)</f>
        <v>3222.1666666667006</v>
      </c>
      <c r="AK12" s="39">
        <f t="shared" ref="AK12" si="14">MIN(AK10,AK11)</f>
        <v>3222.1666666667006</v>
      </c>
      <c r="AL12" s="39">
        <f t="shared" ref="AL12" si="15">MIN(AL10,AL11)</f>
        <v>3222.1666666667006</v>
      </c>
      <c r="AM12" s="39">
        <f t="shared" ref="AM12" si="16">MIN(AM10,AM11)</f>
        <v>3222.1666666667006</v>
      </c>
      <c r="AN12" s="39">
        <f t="shared" ref="AN12" si="17">MIN(AN10,AN11)</f>
        <v>3222.1666666667006</v>
      </c>
      <c r="AO12" s="39">
        <f t="shared" ref="AO12" si="18">MIN(AO10,AO11)</f>
        <v>3222.1666666667006</v>
      </c>
      <c r="AP12" s="39">
        <f t="shared" ref="AP12" si="19">MIN(AP10,AP11)</f>
        <v>3222.1666666667006</v>
      </c>
      <c r="AQ12" s="39">
        <f t="shared" ref="AQ12" si="20">MIN(AQ10,AQ11)</f>
        <v>3222.1666666667006</v>
      </c>
      <c r="AR12" s="39">
        <f t="shared" ref="AR12" si="21">MIN(AR10,AR11)</f>
        <v>3222.1666666667006</v>
      </c>
      <c r="AS12" s="39">
        <f t="shared" ref="AS12" si="22">MIN(AS10,AS11)</f>
        <v>3222.1666666667006</v>
      </c>
      <c r="AT12" s="39">
        <f t="shared" ref="AT12" si="23">MIN(AT10,AT11)</f>
        <v>3222.1666666667006</v>
      </c>
      <c r="AU12" s="39">
        <f t="shared" ref="AU12" si="24">MIN(AU10,AU11)</f>
        <v>3222.1666666667006</v>
      </c>
      <c r="AV12" s="39">
        <f t="shared" ref="AV12" si="25">MIN(AV10,AV11)</f>
        <v>3222.1666666667006</v>
      </c>
      <c r="AW12" s="39">
        <f t="shared" ref="AW12" si="26">MIN(AW10,AW11)</f>
        <v>3222.1666666667006</v>
      </c>
      <c r="AX12" s="39">
        <f t="shared" ref="AX12" si="27">MIN(AX10,AX11)</f>
        <v>3222.1666666667006</v>
      </c>
      <c r="AY12" s="39">
        <f t="shared" ref="AY12" si="28">MIN(AY10,AY11)</f>
        <v>3222.1666666667006</v>
      </c>
      <c r="AZ12" s="39">
        <f t="shared" ref="AZ12" si="29">MIN(AZ10,AZ11)</f>
        <v>3222.1666666667006</v>
      </c>
      <c r="BA12" s="39">
        <f t="shared" ref="BA12" si="30">MIN(BA10,BA11)</f>
        <v>3222.1666666667006</v>
      </c>
      <c r="BB12" s="39">
        <f t="shared" ref="BB12" si="31">MIN(BB10,BB11)</f>
        <v>3222.1666666667006</v>
      </c>
      <c r="BC12" s="39">
        <f t="shared" ref="BC12" si="32">MIN(BC10,BC11)</f>
        <v>3222.1666666667006</v>
      </c>
      <c r="BD12" s="39">
        <f t="shared" ref="BD12" si="33">MIN(BD10,BD11)</f>
        <v>3222.1666666667006</v>
      </c>
      <c r="BE12" s="39">
        <f t="shared" ref="BE12" si="34">MIN(BE10,BE11)</f>
        <v>3222.1666666667006</v>
      </c>
      <c r="BF12" s="39">
        <f t="shared" ref="BF12" si="35">MIN(BF10,BF11)</f>
        <v>3222.1666666667006</v>
      </c>
      <c r="BG12" s="39">
        <f t="shared" ref="BG12" si="36">MIN(BG10,BG11)</f>
        <v>3222.1666666667006</v>
      </c>
      <c r="BH12" s="39">
        <f t="shared" ref="BH12" si="37">MIN(BH10,BH11)</f>
        <v>3222.1666666667006</v>
      </c>
      <c r="BI12" s="39">
        <f t="shared" ref="BI12" si="38">MIN(BI10,BI11)</f>
        <v>3222.1666666667006</v>
      </c>
      <c r="BJ12" s="39">
        <f t="shared" ref="BJ12" si="39">MIN(BJ10,BJ11)</f>
        <v>3222.1666666667006</v>
      </c>
      <c r="BK12" s="39">
        <f t="shared" ref="BK12" si="40">MIN(BK10,BK11)</f>
        <v>3222.1666666667006</v>
      </c>
      <c r="BL12" s="39">
        <f t="shared" ref="BL12" si="41">MIN(BL10,BL11)</f>
        <v>3222.1666666667006</v>
      </c>
      <c r="BM12" s="39">
        <f t="shared" ref="BM12" si="42">MIN(BM10,BM11)</f>
        <v>3222.1666666667006</v>
      </c>
      <c r="BN12" s="39">
        <f t="shared" ref="BN12" si="43">MIN(BN10,BN11)</f>
        <v>3222.1666666667006</v>
      </c>
      <c r="BO12" s="39">
        <f t="shared" ref="BO12" si="44">MIN(BO10,BO11)</f>
        <v>3222.1666666667006</v>
      </c>
      <c r="BP12" s="39">
        <f t="shared" ref="BP12:BQ12" si="45">MIN(BP10,BP11)</f>
        <v>3222.1666666667006</v>
      </c>
      <c r="BQ12" s="39">
        <f t="shared" si="45"/>
        <v>3222.1666666667006</v>
      </c>
    </row>
    <row r="13" spans="1:72" s="4" customFormat="1" ht="13.8">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row>
    <row r="14" spans="1:72" s="4" customFormat="1" ht="13.8">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row>
    <row r="15" spans="1:72" s="4" customFormat="1" ht="13.8">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row>
    <row r="16" spans="1:72" s="4" customFormat="1" ht="13.8">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c r="BL16" s="39"/>
      <c r="BM16" s="39"/>
      <c r="BN16" s="39"/>
      <c r="BO16" s="39"/>
      <c r="BP16" s="39"/>
      <c r="BQ16" s="39"/>
    </row>
    <row r="17" spans="1:72" s="4" customFormat="1" ht="13.8">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c r="BL17" s="39"/>
      <c r="BM17" s="39"/>
      <c r="BN17" s="39"/>
      <c r="BO17" s="39"/>
      <c r="BP17" s="39"/>
      <c r="BQ17" s="39"/>
    </row>
    <row r="18" spans="1:72" s="4" customFormat="1" ht="13.8">
      <c r="B18" s="4" t="s">
        <v>407</v>
      </c>
      <c r="J18" s="39">
        <f>I21</f>
        <v>0</v>
      </c>
      <c r="K18" s="39">
        <f t="shared" ref="K18:BQ18" si="46">J21</f>
        <v>0</v>
      </c>
      <c r="L18" s="39">
        <f t="shared" si="46"/>
        <v>0</v>
      </c>
      <c r="M18" s="39">
        <f t="shared" si="46"/>
        <v>0</v>
      </c>
      <c r="N18" s="39">
        <f t="shared" si="46"/>
        <v>0</v>
      </c>
      <c r="O18" s="39">
        <f t="shared" si="46"/>
        <v>523</v>
      </c>
      <c r="P18" s="39">
        <f t="shared" si="46"/>
        <v>0</v>
      </c>
      <c r="Q18" s="39">
        <f t="shared" si="46"/>
        <v>0</v>
      </c>
      <c r="R18" s="39">
        <f t="shared" si="46"/>
        <v>0</v>
      </c>
      <c r="S18" s="39">
        <f t="shared" si="46"/>
        <v>4261</v>
      </c>
      <c r="T18" s="39">
        <f t="shared" si="46"/>
        <v>66769.791666666686</v>
      </c>
      <c r="U18" s="39">
        <f t="shared" si="46"/>
        <v>121664.70833333334</v>
      </c>
      <c r="V18" s="39">
        <f t="shared" si="46"/>
        <v>158418.16666666669</v>
      </c>
      <c r="W18" s="39">
        <f t="shared" si="46"/>
        <v>200243.91666666669</v>
      </c>
      <c r="X18" s="39">
        <f t="shared" si="46"/>
        <v>257959.25000000003</v>
      </c>
      <c r="Y18" s="39">
        <f t="shared" si="46"/>
        <v>294821.25000000006</v>
      </c>
      <c r="Z18" s="39">
        <f t="shared" si="46"/>
        <v>295817.83333333337</v>
      </c>
      <c r="AA18" s="39">
        <f t="shared" si="46"/>
        <v>289635.25000000006</v>
      </c>
      <c r="AB18" s="39">
        <f t="shared" si="46"/>
        <v>276487.25000000006</v>
      </c>
      <c r="AC18" s="39">
        <f t="shared" si="46"/>
        <v>256749.66666666672</v>
      </c>
      <c r="AD18" s="39">
        <f t="shared" si="46"/>
        <v>226732.91666666672</v>
      </c>
      <c r="AE18" s="39">
        <f t="shared" si="46"/>
        <v>185750.75000000006</v>
      </c>
      <c r="AF18" s="39">
        <f t="shared" si="46"/>
        <v>134689.41666666672</v>
      </c>
      <c r="AG18" s="39">
        <f t="shared" si="46"/>
        <v>74438.500000000044</v>
      </c>
      <c r="AH18" s="39">
        <f t="shared" si="46"/>
        <v>3222.1666666667006</v>
      </c>
      <c r="AI18" s="39">
        <f t="shared" si="46"/>
        <v>3222.1666666667006</v>
      </c>
      <c r="AJ18" s="39">
        <f t="shared" si="46"/>
        <v>3222.1666666667006</v>
      </c>
      <c r="AK18" s="39">
        <f t="shared" si="46"/>
        <v>3222.1666666667006</v>
      </c>
      <c r="AL18" s="39">
        <f t="shared" si="46"/>
        <v>3222.1666666667006</v>
      </c>
      <c r="AM18" s="39">
        <f t="shared" si="46"/>
        <v>3222.1666666667006</v>
      </c>
      <c r="AN18" s="39">
        <f t="shared" si="46"/>
        <v>3222.1666666667006</v>
      </c>
      <c r="AO18" s="39">
        <f t="shared" si="46"/>
        <v>3222.1666666667006</v>
      </c>
      <c r="AP18" s="39">
        <f t="shared" si="46"/>
        <v>3222.1666666667006</v>
      </c>
      <c r="AQ18" s="39">
        <f t="shared" si="46"/>
        <v>3222.1666666667006</v>
      </c>
      <c r="AR18" s="39">
        <f t="shared" si="46"/>
        <v>3222.1666666667006</v>
      </c>
      <c r="AS18" s="39">
        <f t="shared" si="46"/>
        <v>3222.1666666667006</v>
      </c>
      <c r="AT18" s="39">
        <f t="shared" si="46"/>
        <v>3222.1666666667006</v>
      </c>
      <c r="AU18" s="39">
        <f t="shared" si="46"/>
        <v>3222.1666666667006</v>
      </c>
      <c r="AV18" s="39">
        <f t="shared" si="46"/>
        <v>3222.1666666667006</v>
      </c>
      <c r="AW18" s="39">
        <f t="shared" si="46"/>
        <v>3222.1666666667006</v>
      </c>
      <c r="AX18" s="39">
        <f t="shared" si="46"/>
        <v>3222.1666666667006</v>
      </c>
      <c r="AY18" s="39">
        <f t="shared" si="46"/>
        <v>3222.1666666667006</v>
      </c>
      <c r="AZ18" s="39">
        <f t="shared" si="46"/>
        <v>3222.1666666667006</v>
      </c>
      <c r="BA18" s="39">
        <f t="shared" si="46"/>
        <v>3222.1666666667006</v>
      </c>
      <c r="BB18" s="39">
        <f t="shared" si="46"/>
        <v>3222.1666666667006</v>
      </c>
      <c r="BC18" s="39">
        <f t="shared" si="46"/>
        <v>3222.1666666667006</v>
      </c>
      <c r="BD18" s="39">
        <f t="shared" si="46"/>
        <v>3222.1666666667006</v>
      </c>
      <c r="BE18" s="39">
        <f t="shared" si="46"/>
        <v>3222.1666666667006</v>
      </c>
      <c r="BF18" s="39">
        <f t="shared" si="46"/>
        <v>3222.1666666667006</v>
      </c>
      <c r="BG18" s="39">
        <f t="shared" si="46"/>
        <v>3222.1666666667006</v>
      </c>
      <c r="BH18" s="39">
        <f t="shared" si="46"/>
        <v>3222.1666666667006</v>
      </c>
      <c r="BI18" s="39">
        <f t="shared" si="46"/>
        <v>3222.1666666667006</v>
      </c>
      <c r="BJ18" s="39">
        <f t="shared" si="46"/>
        <v>3222.1666666667006</v>
      </c>
      <c r="BK18" s="39">
        <f t="shared" si="46"/>
        <v>3222.1666666667006</v>
      </c>
      <c r="BL18" s="39">
        <f t="shared" si="46"/>
        <v>3222.1666666667006</v>
      </c>
      <c r="BM18" s="39">
        <f t="shared" si="46"/>
        <v>3222.1666666667006</v>
      </c>
      <c r="BN18" s="39">
        <f t="shared" si="46"/>
        <v>3222.1666666667006</v>
      </c>
      <c r="BO18" s="39">
        <f t="shared" si="46"/>
        <v>3222.1666666667006</v>
      </c>
      <c r="BP18" s="39">
        <f t="shared" si="46"/>
        <v>3222.1666666667006</v>
      </c>
      <c r="BQ18" s="39">
        <f t="shared" si="46"/>
        <v>3222.1666666667006</v>
      </c>
    </row>
    <row r="19" spans="1:72" s="4" customFormat="1" ht="13.8">
      <c r="A19" s="129" t="s">
        <v>399</v>
      </c>
      <c r="B19" s="129" t="str">
        <f>B25</f>
        <v>Current period losses</v>
      </c>
      <c r="J19" s="39">
        <f>J25</f>
        <v>0</v>
      </c>
      <c r="K19" s="39">
        <f t="shared" ref="K19:BQ19" si="47">K25</f>
        <v>0</v>
      </c>
      <c r="L19" s="39">
        <f t="shared" si="47"/>
        <v>35204</v>
      </c>
      <c r="M19" s="39">
        <f t="shared" si="47"/>
        <v>3020</v>
      </c>
      <c r="N19" s="39">
        <f t="shared" si="47"/>
        <v>9960</v>
      </c>
      <c r="O19" s="39">
        <f t="shared" si="47"/>
        <v>0</v>
      </c>
      <c r="P19" s="39">
        <f t="shared" si="47"/>
        <v>0</v>
      </c>
      <c r="Q19" s="39">
        <f t="shared" si="47"/>
        <v>42428</v>
      </c>
      <c r="R19" s="39">
        <f t="shared" si="47"/>
        <v>7648</v>
      </c>
      <c r="S19" s="39">
        <f t="shared" si="47"/>
        <v>62508.791666666679</v>
      </c>
      <c r="T19" s="39">
        <f t="shared" si="47"/>
        <v>54894.916666666664</v>
      </c>
      <c r="U19" s="39">
        <f t="shared" si="47"/>
        <v>36753.458333333328</v>
      </c>
      <c r="V19" s="39">
        <f t="shared" si="47"/>
        <v>41825.749999999993</v>
      </c>
      <c r="W19" s="39">
        <f t="shared" si="47"/>
        <v>57715.333333333343</v>
      </c>
      <c r="X19" s="39">
        <f t="shared" si="47"/>
        <v>36862.000000000007</v>
      </c>
      <c r="Y19" s="39">
        <f t="shared" si="47"/>
        <v>996.58333333334303</v>
      </c>
      <c r="Z19" s="39">
        <f t="shared" si="47"/>
        <v>0</v>
      </c>
      <c r="AA19" s="39">
        <f t="shared" si="47"/>
        <v>0</v>
      </c>
      <c r="AB19" s="39">
        <f t="shared" si="47"/>
        <v>0</v>
      </c>
      <c r="AC19" s="39">
        <f t="shared" si="47"/>
        <v>0</v>
      </c>
      <c r="AD19" s="39">
        <f t="shared" si="47"/>
        <v>0</v>
      </c>
      <c r="AE19" s="39">
        <f t="shared" si="47"/>
        <v>0</v>
      </c>
      <c r="AF19" s="39">
        <f t="shared" si="47"/>
        <v>0</v>
      </c>
      <c r="AG19" s="39">
        <f t="shared" si="47"/>
        <v>0</v>
      </c>
      <c r="AH19" s="39">
        <f t="shared" si="47"/>
        <v>0</v>
      </c>
      <c r="AI19" s="39">
        <f t="shared" si="47"/>
        <v>0</v>
      </c>
      <c r="AJ19" s="39">
        <f t="shared" si="47"/>
        <v>0</v>
      </c>
      <c r="AK19" s="39">
        <f t="shared" si="47"/>
        <v>0</v>
      </c>
      <c r="AL19" s="39">
        <f t="shared" si="47"/>
        <v>0</v>
      </c>
      <c r="AM19" s="39">
        <f t="shared" si="47"/>
        <v>0</v>
      </c>
      <c r="AN19" s="39">
        <f t="shared" si="47"/>
        <v>0</v>
      </c>
      <c r="AO19" s="39">
        <f t="shared" si="47"/>
        <v>0</v>
      </c>
      <c r="AP19" s="39">
        <f t="shared" si="47"/>
        <v>0</v>
      </c>
      <c r="AQ19" s="39">
        <f t="shared" si="47"/>
        <v>0</v>
      </c>
      <c r="AR19" s="39">
        <f t="shared" si="47"/>
        <v>0</v>
      </c>
      <c r="AS19" s="39">
        <f t="shared" si="47"/>
        <v>0</v>
      </c>
      <c r="AT19" s="39">
        <f t="shared" si="47"/>
        <v>0</v>
      </c>
      <c r="AU19" s="39">
        <f t="shared" si="47"/>
        <v>0</v>
      </c>
      <c r="AV19" s="39">
        <f t="shared" si="47"/>
        <v>0</v>
      </c>
      <c r="AW19" s="39">
        <f t="shared" si="47"/>
        <v>0</v>
      </c>
      <c r="AX19" s="39">
        <f t="shared" si="47"/>
        <v>0</v>
      </c>
      <c r="AY19" s="39">
        <f t="shared" si="47"/>
        <v>0</v>
      </c>
      <c r="AZ19" s="39">
        <f t="shared" si="47"/>
        <v>0</v>
      </c>
      <c r="BA19" s="39">
        <f t="shared" si="47"/>
        <v>0</v>
      </c>
      <c r="BB19" s="39">
        <f t="shared" si="47"/>
        <v>0</v>
      </c>
      <c r="BC19" s="39">
        <f t="shared" si="47"/>
        <v>0</v>
      </c>
      <c r="BD19" s="39">
        <f t="shared" si="47"/>
        <v>0</v>
      </c>
      <c r="BE19" s="39">
        <f t="shared" si="47"/>
        <v>0</v>
      </c>
      <c r="BF19" s="39">
        <f t="shared" si="47"/>
        <v>0</v>
      </c>
      <c r="BG19" s="39">
        <f t="shared" si="47"/>
        <v>0</v>
      </c>
      <c r="BH19" s="39">
        <f t="shared" si="47"/>
        <v>0</v>
      </c>
      <c r="BI19" s="39">
        <f t="shared" si="47"/>
        <v>0</v>
      </c>
      <c r="BJ19" s="39">
        <f t="shared" si="47"/>
        <v>0</v>
      </c>
      <c r="BK19" s="39">
        <f t="shared" si="47"/>
        <v>0</v>
      </c>
      <c r="BL19" s="39">
        <f t="shared" si="47"/>
        <v>0</v>
      </c>
      <c r="BM19" s="39">
        <f t="shared" si="47"/>
        <v>0</v>
      </c>
      <c r="BN19" s="39">
        <f t="shared" si="47"/>
        <v>0</v>
      </c>
      <c r="BO19" s="39">
        <f t="shared" si="47"/>
        <v>0</v>
      </c>
      <c r="BP19" s="39">
        <f t="shared" si="47"/>
        <v>0</v>
      </c>
      <c r="BQ19" s="39">
        <f t="shared" si="47"/>
        <v>0</v>
      </c>
    </row>
    <row r="20" spans="1:72" s="4" customFormat="1" ht="13.8">
      <c r="A20" s="129" t="s">
        <v>400</v>
      </c>
      <c r="B20" s="129" t="s">
        <v>401</v>
      </c>
      <c r="J20" s="39">
        <f>J12</f>
        <v>0</v>
      </c>
      <c r="K20" s="39">
        <f t="shared" ref="K20:AG20" si="48">K12</f>
        <v>0</v>
      </c>
      <c r="L20" s="39">
        <v>35204</v>
      </c>
      <c r="M20" s="39">
        <v>3020</v>
      </c>
      <c r="N20" s="39">
        <v>9437</v>
      </c>
      <c r="O20" s="39">
        <f>O12</f>
        <v>523</v>
      </c>
      <c r="P20" s="39">
        <f t="shared" si="48"/>
        <v>0</v>
      </c>
      <c r="Q20" s="39">
        <v>42428</v>
      </c>
      <c r="R20" s="39">
        <v>3387</v>
      </c>
      <c r="S20" s="39">
        <f t="shared" si="48"/>
        <v>0</v>
      </c>
      <c r="T20" s="39">
        <f t="shared" si="48"/>
        <v>0</v>
      </c>
      <c r="U20" s="39">
        <f t="shared" si="48"/>
        <v>0</v>
      </c>
      <c r="V20" s="39">
        <f t="shared" si="48"/>
        <v>0</v>
      </c>
      <c r="W20" s="39">
        <f t="shared" si="48"/>
        <v>0</v>
      </c>
      <c r="X20" s="39">
        <f t="shared" si="48"/>
        <v>0</v>
      </c>
      <c r="Y20" s="39">
        <f t="shared" si="48"/>
        <v>0</v>
      </c>
      <c r="Z20" s="39">
        <f>Z12</f>
        <v>6182.5833333333385</v>
      </c>
      <c r="AA20" s="39">
        <f t="shared" si="48"/>
        <v>13148.000000000005</v>
      </c>
      <c r="AB20" s="39">
        <f t="shared" si="48"/>
        <v>19737.583333333336</v>
      </c>
      <c r="AC20" s="39">
        <f t="shared" si="48"/>
        <v>30016.750000000004</v>
      </c>
      <c r="AD20" s="39">
        <f t="shared" si="48"/>
        <v>40982.166666666672</v>
      </c>
      <c r="AE20" s="39">
        <f t="shared" si="48"/>
        <v>51061.333333333336</v>
      </c>
      <c r="AF20" s="39">
        <f t="shared" si="48"/>
        <v>60250.916666666672</v>
      </c>
      <c r="AG20" s="39">
        <f t="shared" si="48"/>
        <v>71216.333333333343</v>
      </c>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row>
    <row r="21" spans="1:72" s="4" customFormat="1" ht="13.8">
      <c r="B21" s="4" t="s">
        <v>398</v>
      </c>
      <c r="J21" s="39">
        <f>J18+J19-J20</f>
        <v>0</v>
      </c>
      <c r="K21" s="39">
        <f t="shared" ref="K21:BR21" si="49">K18+K19-K20</f>
        <v>0</v>
      </c>
      <c r="L21" s="39">
        <f t="shared" si="49"/>
        <v>0</v>
      </c>
      <c r="M21" s="39">
        <f t="shared" si="49"/>
        <v>0</v>
      </c>
      <c r="N21" s="39">
        <f t="shared" si="49"/>
        <v>523</v>
      </c>
      <c r="O21" s="39">
        <f t="shared" si="49"/>
        <v>0</v>
      </c>
      <c r="P21" s="39">
        <f t="shared" si="49"/>
        <v>0</v>
      </c>
      <c r="Q21" s="39">
        <f t="shared" si="49"/>
        <v>0</v>
      </c>
      <c r="R21" s="39">
        <f t="shared" si="49"/>
        <v>4261</v>
      </c>
      <c r="S21" s="39">
        <f t="shared" si="49"/>
        <v>66769.791666666686</v>
      </c>
      <c r="T21" s="39">
        <f t="shared" si="49"/>
        <v>121664.70833333334</v>
      </c>
      <c r="U21" s="39">
        <f t="shared" si="49"/>
        <v>158418.16666666669</v>
      </c>
      <c r="V21" s="39">
        <f t="shared" si="49"/>
        <v>200243.91666666669</v>
      </c>
      <c r="W21" s="39">
        <f t="shared" si="49"/>
        <v>257959.25000000003</v>
      </c>
      <c r="X21" s="39">
        <f t="shared" si="49"/>
        <v>294821.25000000006</v>
      </c>
      <c r="Y21" s="39">
        <f t="shared" si="49"/>
        <v>295817.83333333337</v>
      </c>
      <c r="Z21" s="39">
        <f t="shared" si="49"/>
        <v>289635.25000000006</v>
      </c>
      <c r="AA21" s="39">
        <f t="shared" si="49"/>
        <v>276487.25000000006</v>
      </c>
      <c r="AB21" s="39">
        <f t="shared" si="49"/>
        <v>256749.66666666672</v>
      </c>
      <c r="AC21" s="39">
        <f t="shared" si="49"/>
        <v>226732.91666666672</v>
      </c>
      <c r="AD21" s="39">
        <f t="shared" si="49"/>
        <v>185750.75000000006</v>
      </c>
      <c r="AE21" s="39">
        <f t="shared" si="49"/>
        <v>134689.41666666672</v>
      </c>
      <c r="AF21" s="39">
        <f t="shared" si="49"/>
        <v>74438.500000000044</v>
      </c>
      <c r="AG21" s="39">
        <f t="shared" si="49"/>
        <v>3222.1666666667006</v>
      </c>
      <c r="AH21" s="39">
        <f t="shared" si="49"/>
        <v>3222.1666666667006</v>
      </c>
      <c r="AI21" s="39">
        <f t="shared" si="49"/>
        <v>3222.1666666667006</v>
      </c>
      <c r="AJ21" s="39">
        <f t="shared" si="49"/>
        <v>3222.1666666667006</v>
      </c>
      <c r="AK21" s="39">
        <f t="shared" si="49"/>
        <v>3222.1666666667006</v>
      </c>
      <c r="AL21" s="39">
        <f t="shared" si="49"/>
        <v>3222.1666666667006</v>
      </c>
      <c r="AM21" s="39">
        <f t="shared" si="49"/>
        <v>3222.1666666667006</v>
      </c>
      <c r="AN21" s="39">
        <f t="shared" si="49"/>
        <v>3222.1666666667006</v>
      </c>
      <c r="AO21" s="39">
        <f t="shared" si="49"/>
        <v>3222.1666666667006</v>
      </c>
      <c r="AP21" s="39">
        <f t="shared" si="49"/>
        <v>3222.1666666667006</v>
      </c>
      <c r="AQ21" s="39">
        <f t="shared" si="49"/>
        <v>3222.1666666667006</v>
      </c>
      <c r="AR21" s="39">
        <f t="shared" si="49"/>
        <v>3222.1666666667006</v>
      </c>
      <c r="AS21" s="39">
        <f t="shared" si="49"/>
        <v>3222.1666666667006</v>
      </c>
      <c r="AT21" s="39">
        <f t="shared" si="49"/>
        <v>3222.1666666667006</v>
      </c>
      <c r="AU21" s="39">
        <f t="shared" si="49"/>
        <v>3222.1666666667006</v>
      </c>
      <c r="AV21" s="39">
        <f t="shared" si="49"/>
        <v>3222.1666666667006</v>
      </c>
      <c r="AW21" s="39">
        <f t="shared" si="49"/>
        <v>3222.1666666667006</v>
      </c>
      <c r="AX21" s="39">
        <f t="shared" si="49"/>
        <v>3222.1666666667006</v>
      </c>
      <c r="AY21" s="39">
        <f t="shared" si="49"/>
        <v>3222.1666666667006</v>
      </c>
      <c r="AZ21" s="39">
        <f t="shared" si="49"/>
        <v>3222.1666666667006</v>
      </c>
      <c r="BA21" s="39">
        <f t="shared" si="49"/>
        <v>3222.1666666667006</v>
      </c>
      <c r="BB21" s="39">
        <f t="shared" si="49"/>
        <v>3222.1666666667006</v>
      </c>
      <c r="BC21" s="39">
        <f t="shared" si="49"/>
        <v>3222.1666666667006</v>
      </c>
      <c r="BD21" s="39">
        <f t="shared" si="49"/>
        <v>3222.1666666667006</v>
      </c>
      <c r="BE21" s="39">
        <f t="shared" si="49"/>
        <v>3222.1666666667006</v>
      </c>
      <c r="BF21" s="39">
        <f t="shared" si="49"/>
        <v>3222.1666666667006</v>
      </c>
      <c r="BG21" s="39">
        <f t="shared" si="49"/>
        <v>3222.1666666667006</v>
      </c>
      <c r="BH21" s="39">
        <f t="shared" si="49"/>
        <v>3222.1666666667006</v>
      </c>
      <c r="BI21" s="39">
        <f t="shared" si="49"/>
        <v>3222.1666666667006</v>
      </c>
      <c r="BJ21" s="39">
        <f t="shared" si="49"/>
        <v>3222.1666666667006</v>
      </c>
      <c r="BK21" s="39">
        <f t="shared" si="49"/>
        <v>3222.1666666667006</v>
      </c>
      <c r="BL21" s="39">
        <f t="shared" si="49"/>
        <v>3222.1666666667006</v>
      </c>
      <c r="BM21" s="39">
        <f t="shared" si="49"/>
        <v>3222.1666666667006</v>
      </c>
      <c r="BN21" s="39">
        <f t="shared" si="49"/>
        <v>3222.1666666667006</v>
      </c>
      <c r="BO21" s="39">
        <f t="shared" si="49"/>
        <v>3222.1666666667006</v>
      </c>
      <c r="BP21" s="39">
        <f t="shared" si="49"/>
        <v>3222.1666666667006</v>
      </c>
      <c r="BQ21" s="39">
        <f t="shared" si="49"/>
        <v>3222.1666666667006</v>
      </c>
      <c r="BR21" s="39">
        <f t="shared" si="49"/>
        <v>0</v>
      </c>
    </row>
    <row r="22" spans="1:72" s="4" customFormat="1" ht="13.8">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row>
    <row r="23" spans="1:72" s="4" customFormat="1" ht="13.8">
      <c r="B23" s="3" t="s">
        <v>405</v>
      </c>
      <c r="J23" s="121">
        <f>J6</f>
        <v>9123</v>
      </c>
      <c r="K23" s="121">
        <f t="shared" ref="K23:BQ23" si="50">K6</f>
        <v>38538</v>
      </c>
      <c r="L23" s="121">
        <f t="shared" si="50"/>
        <v>-35204</v>
      </c>
      <c r="M23" s="121">
        <f t="shared" si="50"/>
        <v>-3020</v>
      </c>
      <c r="N23" s="121">
        <f t="shared" si="50"/>
        <v>-9960</v>
      </c>
      <c r="O23" s="121">
        <f t="shared" si="50"/>
        <v>17929</v>
      </c>
      <c r="P23" s="121">
        <f t="shared" si="50"/>
        <v>28409</v>
      </c>
      <c r="Q23" s="121">
        <f t="shared" si="50"/>
        <v>-42428</v>
      </c>
      <c r="R23" s="121">
        <f t="shared" si="50"/>
        <v>-7648</v>
      </c>
      <c r="S23" s="121">
        <f t="shared" si="50"/>
        <v>-62508.791666666679</v>
      </c>
      <c r="T23" s="121">
        <f t="shared" si="50"/>
        <v>-54894.916666666664</v>
      </c>
      <c r="U23" s="121">
        <f t="shared" si="50"/>
        <v>-36753.458333333328</v>
      </c>
      <c r="V23" s="121">
        <f t="shared" si="50"/>
        <v>-41825.749999999993</v>
      </c>
      <c r="W23" s="121">
        <f t="shared" si="50"/>
        <v>-57715.333333333343</v>
      </c>
      <c r="X23" s="121">
        <f t="shared" si="50"/>
        <v>-36862.000000000007</v>
      </c>
      <c r="Y23" s="121">
        <f t="shared" si="50"/>
        <v>-996.58333333334303</v>
      </c>
      <c r="Z23" s="121">
        <f t="shared" si="50"/>
        <v>6182.5833333333385</v>
      </c>
      <c r="AA23" s="121">
        <f t="shared" si="50"/>
        <v>13148.000000000005</v>
      </c>
      <c r="AB23" s="121">
        <f t="shared" si="50"/>
        <v>19737.583333333336</v>
      </c>
      <c r="AC23" s="121">
        <f t="shared" si="50"/>
        <v>30016.750000000004</v>
      </c>
      <c r="AD23" s="121">
        <f t="shared" si="50"/>
        <v>40982.166666666672</v>
      </c>
      <c r="AE23" s="121">
        <f t="shared" si="50"/>
        <v>51061.333333333336</v>
      </c>
      <c r="AF23" s="121">
        <f t="shared" si="50"/>
        <v>60250.916666666672</v>
      </c>
      <c r="AG23" s="121">
        <f t="shared" si="50"/>
        <v>71216.333333333343</v>
      </c>
      <c r="AH23" s="121">
        <f t="shared" si="50"/>
        <v>116471.75</v>
      </c>
      <c r="AI23" s="121">
        <f t="shared" si="50"/>
        <v>131127.24999999997</v>
      </c>
      <c r="AJ23" s="121">
        <f t="shared" si="50"/>
        <v>145120.66666666666</v>
      </c>
      <c r="AK23" s="121">
        <f t="shared" si="50"/>
        <v>156276.16666666666</v>
      </c>
      <c r="AL23" s="121">
        <f t="shared" si="50"/>
        <v>170845.41666666666</v>
      </c>
      <c r="AM23" s="121">
        <f t="shared" si="50"/>
        <v>185000.91666666666</v>
      </c>
      <c r="AN23" s="121">
        <f t="shared" si="50"/>
        <v>199594.33333333331</v>
      </c>
      <c r="AO23" s="121">
        <f t="shared" si="50"/>
        <v>215349.83333333331</v>
      </c>
      <c r="AP23" s="121">
        <f t="shared" si="50"/>
        <v>230519.08333333331</v>
      </c>
      <c r="AQ23" s="121">
        <f t="shared" si="50"/>
        <v>245274.58333333331</v>
      </c>
      <c r="AR23" s="121">
        <f t="shared" si="50"/>
        <v>260867.99999999997</v>
      </c>
      <c r="AS23" s="121">
        <f t="shared" si="50"/>
        <v>272190.16666666669</v>
      </c>
      <c r="AT23" s="121">
        <f t="shared" si="50"/>
        <v>352737.7333333334</v>
      </c>
      <c r="AU23" s="121">
        <f t="shared" si="50"/>
        <v>372605.29166666669</v>
      </c>
      <c r="AV23" s="121">
        <f t="shared" si="50"/>
        <v>391886.60000000003</v>
      </c>
      <c r="AW23" s="121">
        <f t="shared" si="50"/>
        <v>408729.15833333333</v>
      </c>
      <c r="AX23" s="121">
        <f t="shared" si="50"/>
        <v>428510.46666666673</v>
      </c>
      <c r="AY23" s="121">
        <f t="shared" si="50"/>
        <v>447878.02499999997</v>
      </c>
      <c r="AZ23" s="121">
        <f t="shared" si="50"/>
        <v>467990.33333333337</v>
      </c>
      <c r="BA23" s="121">
        <f t="shared" si="50"/>
        <v>489102.64166666655</v>
      </c>
      <c r="BB23" s="121">
        <f t="shared" si="50"/>
        <v>509801.2</v>
      </c>
      <c r="BC23" s="121">
        <f t="shared" si="50"/>
        <v>529913.50833333342</v>
      </c>
      <c r="BD23" s="121">
        <f t="shared" si="50"/>
        <v>551112.06666666665</v>
      </c>
      <c r="BE23" s="121">
        <f t="shared" si="50"/>
        <v>571724.375</v>
      </c>
      <c r="BF23" s="121">
        <f t="shared" si="50"/>
        <v>589649.10000000021</v>
      </c>
      <c r="BG23" s="121">
        <f t="shared" si="50"/>
        <v>612243.41666666674</v>
      </c>
      <c r="BH23" s="121">
        <f t="shared" si="50"/>
        <v>634837.73333333328</v>
      </c>
      <c r="BI23" s="121">
        <f t="shared" si="50"/>
        <v>657518.30000000016</v>
      </c>
      <c r="BJ23" s="121">
        <f t="shared" si="50"/>
        <v>680112.6166666667</v>
      </c>
      <c r="BK23" s="121">
        <f t="shared" si="50"/>
        <v>702706.93333333347</v>
      </c>
      <c r="BL23" s="121">
        <f t="shared" si="50"/>
        <v>726960.50000000012</v>
      </c>
      <c r="BM23" s="121">
        <f t="shared" si="50"/>
        <v>751127.81666666665</v>
      </c>
      <c r="BN23" s="121">
        <f t="shared" si="50"/>
        <v>775295.13333333342</v>
      </c>
      <c r="BO23" s="121">
        <f t="shared" si="50"/>
        <v>799548.70000000007</v>
      </c>
      <c r="BP23" s="121">
        <f t="shared" si="50"/>
        <v>823716.01666666684</v>
      </c>
      <c r="BQ23" s="121">
        <f t="shared" si="50"/>
        <v>847969.58333333326</v>
      </c>
    </row>
    <row r="24" spans="1:72">
      <c r="B24" s="4" t="s">
        <v>406</v>
      </c>
      <c r="J24" s="122">
        <f>MAX(J23,0)</f>
        <v>9123</v>
      </c>
      <c r="K24" s="122">
        <f t="shared" ref="K24:N24" si="51">MAX(K23,0)</f>
        <v>38538</v>
      </c>
      <c r="L24" s="122">
        <f t="shared" si="51"/>
        <v>0</v>
      </c>
      <c r="M24" s="122">
        <f t="shared" si="51"/>
        <v>0</v>
      </c>
      <c r="N24" s="122">
        <f t="shared" si="51"/>
        <v>0</v>
      </c>
      <c r="O24" s="122">
        <f t="shared" ref="O24" si="52">MAX(O23,0)</f>
        <v>17929</v>
      </c>
      <c r="P24" s="122">
        <f t="shared" ref="P24" si="53">MAX(P23,0)</f>
        <v>28409</v>
      </c>
      <c r="Q24" s="122">
        <f t="shared" ref="Q24:R24" si="54">MAX(Q23,0)</f>
        <v>0</v>
      </c>
      <c r="R24" s="122">
        <f t="shared" si="54"/>
        <v>0</v>
      </c>
      <c r="S24" s="122">
        <f t="shared" ref="S24" si="55">MAX(S23,0)</f>
        <v>0</v>
      </c>
      <c r="T24" s="122">
        <f t="shared" ref="T24" si="56">MAX(T23,0)</f>
        <v>0</v>
      </c>
      <c r="U24" s="122">
        <f t="shared" ref="U24:V24" si="57">MAX(U23,0)</f>
        <v>0</v>
      </c>
      <c r="V24" s="122">
        <f t="shared" si="57"/>
        <v>0</v>
      </c>
      <c r="W24" s="122">
        <f t="shared" ref="W24" si="58">MAX(W23,0)</f>
        <v>0</v>
      </c>
      <c r="X24" s="122">
        <f t="shared" ref="X24" si="59">MAX(X23,0)</f>
        <v>0</v>
      </c>
      <c r="Y24" s="122">
        <f t="shared" ref="Y24" si="60">MAX(Y23,0)</f>
        <v>0</v>
      </c>
      <c r="Z24" s="122">
        <f>MAX(Z23,0)</f>
        <v>6182.5833333333385</v>
      </c>
      <c r="AA24" s="122">
        <f>MAX(AA23,0)</f>
        <v>13148.000000000005</v>
      </c>
      <c r="AB24" s="122">
        <f t="shared" ref="AB24" si="61">MAX(AB23,0)</f>
        <v>19737.583333333336</v>
      </c>
      <c r="AC24" s="122">
        <f t="shared" ref="AC24:AD24" si="62">MAX(AC23,0)</f>
        <v>30016.750000000004</v>
      </c>
      <c r="AD24" s="122">
        <f t="shared" si="62"/>
        <v>40982.166666666672</v>
      </c>
      <c r="AE24" s="122">
        <f t="shared" ref="AE24" si="63">MAX(AE23,0)</f>
        <v>51061.333333333336</v>
      </c>
      <c r="AF24" s="122">
        <f t="shared" ref="AF24" si="64">MAX(AF23,0)</f>
        <v>60250.916666666672</v>
      </c>
      <c r="AG24" s="122">
        <f t="shared" ref="AG24:AH24" si="65">MAX(AG23,0)</f>
        <v>71216.333333333343</v>
      </c>
      <c r="AH24" s="122">
        <f t="shared" si="65"/>
        <v>116471.75</v>
      </c>
      <c r="AI24" s="122">
        <f t="shared" ref="AI24" si="66">MAX(AI23,0)</f>
        <v>131127.24999999997</v>
      </c>
      <c r="AJ24" s="122">
        <f t="shared" ref="AJ24" si="67">MAX(AJ23,0)</f>
        <v>145120.66666666666</v>
      </c>
      <c r="AK24" s="122">
        <f t="shared" ref="AK24:AL24" si="68">MAX(AK23,0)</f>
        <v>156276.16666666666</v>
      </c>
      <c r="AL24" s="122">
        <f t="shared" si="68"/>
        <v>170845.41666666666</v>
      </c>
      <c r="AM24" s="122">
        <f t="shared" ref="AM24" si="69">MAX(AM23,0)</f>
        <v>185000.91666666666</v>
      </c>
      <c r="AN24" s="122">
        <f t="shared" ref="AN24" si="70">MAX(AN23,0)</f>
        <v>199594.33333333331</v>
      </c>
      <c r="AO24" s="122">
        <f t="shared" ref="AO24:AP24" si="71">MAX(AO23,0)</f>
        <v>215349.83333333331</v>
      </c>
      <c r="AP24" s="122">
        <f t="shared" si="71"/>
        <v>230519.08333333331</v>
      </c>
      <c r="AQ24" s="122">
        <f t="shared" ref="AQ24" si="72">MAX(AQ23,0)</f>
        <v>245274.58333333331</v>
      </c>
      <c r="AR24" s="122">
        <f t="shared" ref="AR24" si="73">MAX(AR23,0)</f>
        <v>260867.99999999997</v>
      </c>
      <c r="AS24" s="122">
        <f t="shared" ref="AS24:AT24" si="74">MAX(AS23,0)</f>
        <v>272190.16666666669</v>
      </c>
      <c r="AT24" s="122">
        <f t="shared" si="74"/>
        <v>352737.7333333334</v>
      </c>
      <c r="AU24" s="122">
        <f t="shared" ref="AU24" si="75">MAX(AU23,0)</f>
        <v>372605.29166666669</v>
      </c>
      <c r="AV24" s="122">
        <f t="shared" ref="AV24" si="76">MAX(AV23,0)</f>
        <v>391886.60000000003</v>
      </c>
      <c r="AW24" s="122">
        <f t="shared" ref="AW24:AX24" si="77">MAX(AW23,0)</f>
        <v>408729.15833333333</v>
      </c>
      <c r="AX24" s="122">
        <f t="shared" si="77"/>
        <v>428510.46666666673</v>
      </c>
      <c r="AY24" s="122">
        <f t="shared" ref="AY24" si="78">MAX(AY23,0)</f>
        <v>447878.02499999997</v>
      </c>
      <c r="AZ24" s="122">
        <f t="shared" ref="AZ24" si="79">MAX(AZ23,0)</f>
        <v>467990.33333333337</v>
      </c>
      <c r="BA24" s="122">
        <f t="shared" ref="BA24:BB24" si="80">MAX(BA23,0)</f>
        <v>489102.64166666655</v>
      </c>
      <c r="BB24" s="122">
        <f t="shared" si="80"/>
        <v>509801.2</v>
      </c>
      <c r="BC24" s="122">
        <f t="shared" ref="BC24" si="81">MAX(BC23,0)</f>
        <v>529913.50833333342</v>
      </c>
      <c r="BD24" s="122">
        <f t="shared" ref="BD24" si="82">MAX(BD23,0)</f>
        <v>551112.06666666665</v>
      </c>
      <c r="BE24" s="122">
        <f t="shared" ref="BE24:BF24" si="83">MAX(BE23,0)</f>
        <v>571724.375</v>
      </c>
      <c r="BF24" s="122">
        <f t="shared" si="83"/>
        <v>589649.10000000021</v>
      </c>
      <c r="BG24" s="122">
        <f t="shared" ref="BG24" si="84">MAX(BG23,0)</f>
        <v>612243.41666666674</v>
      </c>
      <c r="BH24" s="122">
        <f t="shared" ref="BH24" si="85">MAX(BH23,0)</f>
        <v>634837.73333333328</v>
      </c>
      <c r="BI24" s="122">
        <f t="shared" ref="BI24:BJ24" si="86">MAX(BI23,0)</f>
        <v>657518.30000000016</v>
      </c>
      <c r="BJ24" s="122">
        <f t="shared" si="86"/>
        <v>680112.6166666667</v>
      </c>
      <c r="BK24" s="122">
        <f t="shared" ref="BK24" si="87">MAX(BK23,0)</f>
        <v>702706.93333333347</v>
      </c>
      <c r="BL24" s="122">
        <f t="shared" ref="BL24" si="88">MAX(BL23,0)</f>
        <v>726960.50000000012</v>
      </c>
      <c r="BM24" s="122">
        <f t="shared" ref="BM24:BN24" si="89">MAX(BM23,0)</f>
        <v>751127.81666666665</v>
      </c>
      <c r="BN24" s="122">
        <f t="shared" si="89"/>
        <v>775295.13333333342</v>
      </c>
      <c r="BO24" s="122">
        <f t="shared" ref="BO24" si="90">MAX(BO23,0)</f>
        <v>799548.70000000007</v>
      </c>
      <c r="BP24" s="122">
        <f t="shared" ref="BP24" si="91">MAX(BP23,0)</f>
        <v>823716.01666666684</v>
      </c>
      <c r="BQ24" s="122">
        <f t="shared" ref="BQ24" si="92">MAX(BQ23,0)</f>
        <v>847969.58333333326</v>
      </c>
    </row>
    <row r="25" spans="1:72">
      <c r="B25" s="4" t="s">
        <v>408</v>
      </c>
      <c r="J25" s="122">
        <f>MIN(J23,0)*-1</f>
        <v>0</v>
      </c>
      <c r="K25" s="122">
        <f t="shared" ref="K25:BQ25" si="93">MIN(K23,0)*-1</f>
        <v>0</v>
      </c>
      <c r="L25" s="122">
        <f t="shared" si="93"/>
        <v>35204</v>
      </c>
      <c r="M25" s="122">
        <f t="shared" si="93"/>
        <v>3020</v>
      </c>
      <c r="N25" s="122">
        <f t="shared" si="93"/>
        <v>9960</v>
      </c>
      <c r="O25" s="122">
        <f t="shared" si="93"/>
        <v>0</v>
      </c>
      <c r="P25" s="122">
        <f t="shared" si="93"/>
        <v>0</v>
      </c>
      <c r="Q25" s="122">
        <f t="shared" si="93"/>
        <v>42428</v>
      </c>
      <c r="R25" s="122">
        <f t="shared" si="93"/>
        <v>7648</v>
      </c>
      <c r="S25" s="122">
        <f t="shared" si="93"/>
        <v>62508.791666666679</v>
      </c>
      <c r="T25" s="122">
        <f t="shared" si="93"/>
        <v>54894.916666666664</v>
      </c>
      <c r="U25" s="122">
        <f t="shared" si="93"/>
        <v>36753.458333333328</v>
      </c>
      <c r="V25" s="122">
        <f t="shared" si="93"/>
        <v>41825.749999999993</v>
      </c>
      <c r="W25" s="122">
        <f t="shared" si="93"/>
        <v>57715.333333333343</v>
      </c>
      <c r="X25" s="122">
        <f t="shared" si="93"/>
        <v>36862.000000000007</v>
      </c>
      <c r="Y25" s="122">
        <f t="shared" si="93"/>
        <v>996.58333333334303</v>
      </c>
      <c r="Z25" s="122">
        <f t="shared" si="93"/>
        <v>0</v>
      </c>
      <c r="AA25" s="122">
        <f t="shared" si="93"/>
        <v>0</v>
      </c>
      <c r="AB25" s="122">
        <f t="shared" si="93"/>
        <v>0</v>
      </c>
      <c r="AC25" s="122">
        <f t="shared" si="93"/>
        <v>0</v>
      </c>
      <c r="AD25" s="122">
        <f t="shared" si="93"/>
        <v>0</v>
      </c>
      <c r="AE25" s="122">
        <f t="shared" si="93"/>
        <v>0</v>
      </c>
      <c r="AF25" s="122">
        <f t="shared" si="93"/>
        <v>0</v>
      </c>
      <c r="AG25" s="122">
        <f t="shared" si="93"/>
        <v>0</v>
      </c>
      <c r="AH25" s="122">
        <f t="shared" si="93"/>
        <v>0</v>
      </c>
      <c r="AI25" s="122">
        <f t="shared" si="93"/>
        <v>0</v>
      </c>
      <c r="AJ25" s="122">
        <f t="shared" si="93"/>
        <v>0</v>
      </c>
      <c r="AK25" s="122">
        <f t="shared" si="93"/>
        <v>0</v>
      </c>
      <c r="AL25" s="122">
        <f t="shared" si="93"/>
        <v>0</v>
      </c>
      <c r="AM25" s="122">
        <f t="shared" si="93"/>
        <v>0</v>
      </c>
      <c r="AN25" s="122">
        <f t="shared" si="93"/>
        <v>0</v>
      </c>
      <c r="AO25" s="122">
        <f t="shared" si="93"/>
        <v>0</v>
      </c>
      <c r="AP25" s="122">
        <f t="shared" si="93"/>
        <v>0</v>
      </c>
      <c r="AQ25" s="122">
        <f t="shared" si="93"/>
        <v>0</v>
      </c>
      <c r="AR25" s="122">
        <f t="shared" si="93"/>
        <v>0</v>
      </c>
      <c r="AS25" s="122">
        <f t="shared" si="93"/>
        <v>0</v>
      </c>
      <c r="AT25" s="122">
        <f t="shared" si="93"/>
        <v>0</v>
      </c>
      <c r="AU25" s="122">
        <f t="shared" si="93"/>
        <v>0</v>
      </c>
      <c r="AV25" s="122">
        <f t="shared" si="93"/>
        <v>0</v>
      </c>
      <c r="AW25" s="122">
        <f t="shared" si="93"/>
        <v>0</v>
      </c>
      <c r="AX25" s="122">
        <f t="shared" si="93"/>
        <v>0</v>
      </c>
      <c r="AY25" s="122">
        <f t="shared" si="93"/>
        <v>0</v>
      </c>
      <c r="AZ25" s="122">
        <f t="shared" si="93"/>
        <v>0</v>
      </c>
      <c r="BA25" s="122">
        <f t="shared" si="93"/>
        <v>0</v>
      </c>
      <c r="BB25" s="122">
        <f t="shared" si="93"/>
        <v>0</v>
      </c>
      <c r="BC25" s="122">
        <f t="shared" si="93"/>
        <v>0</v>
      </c>
      <c r="BD25" s="122">
        <f t="shared" si="93"/>
        <v>0</v>
      </c>
      <c r="BE25" s="122">
        <f t="shared" si="93"/>
        <v>0</v>
      </c>
      <c r="BF25" s="122">
        <f t="shared" si="93"/>
        <v>0</v>
      </c>
      <c r="BG25" s="122">
        <f t="shared" si="93"/>
        <v>0</v>
      </c>
      <c r="BH25" s="122">
        <f t="shared" si="93"/>
        <v>0</v>
      </c>
      <c r="BI25" s="122">
        <f t="shared" si="93"/>
        <v>0</v>
      </c>
      <c r="BJ25" s="122">
        <f t="shared" si="93"/>
        <v>0</v>
      </c>
      <c r="BK25" s="122">
        <f t="shared" si="93"/>
        <v>0</v>
      </c>
      <c r="BL25" s="122">
        <f t="shared" si="93"/>
        <v>0</v>
      </c>
      <c r="BM25" s="122">
        <f t="shared" si="93"/>
        <v>0</v>
      </c>
      <c r="BN25" s="122">
        <f t="shared" si="93"/>
        <v>0</v>
      </c>
      <c r="BO25" s="122">
        <f t="shared" si="93"/>
        <v>0</v>
      </c>
      <c r="BP25" s="122">
        <f t="shared" si="93"/>
        <v>0</v>
      </c>
      <c r="BQ25" s="122">
        <f t="shared" si="93"/>
        <v>0</v>
      </c>
    </row>
    <row r="28" spans="1:72">
      <c r="B28" t="str">
        <f>B24</f>
        <v>Current period taxable profits</v>
      </c>
      <c r="J28" s="48">
        <f>J24</f>
        <v>9123</v>
      </c>
      <c r="K28" s="48">
        <f t="shared" ref="K28:BQ28" si="94">K24</f>
        <v>38538</v>
      </c>
      <c r="L28" s="48">
        <f t="shared" si="94"/>
        <v>0</v>
      </c>
      <c r="M28" s="48">
        <f t="shared" si="94"/>
        <v>0</v>
      </c>
      <c r="N28" s="48">
        <f t="shared" si="94"/>
        <v>0</v>
      </c>
      <c r="O28" s="48">
        <f t="shared" si="94"/>
        <v>17929</v>
      </c>
      <c r="P28" s="48">
        <f t="shared" si="94"/>
        <v>28409</v>
      </c>
      <c r="Q28" s="48">
        <f t="shared" si="94"/>
        <v>0</v>
      </c>
      <c r="R28" s="48">
        <f t="shared" si="94"/>
        <v>0</v>
      </c>
      <c r="S28" s="48">
        <f t="shared" si="94"/>
        <v>0</v>
      </c>
      <c r="T28" s="48">
        <f t="shared" si="94"/>
        <v>0</v>
      </c>
      <c r="U28" s="48">
        <f t="shared" si="94"/>
        <v>0</v>
      </c>
      <c r="V28" s="48">
        <f t="shared" si="94"/>
        <v>0</v>
      </c>
      <c r="W28" s="48">
        <f t="shared" si="94"/>
        <v>0</v>
      </c>
      <c r="X28" s="48">
        <f t="shared" si="94"/>
        <v>0</v>
      </c>
      <c r="Y28" s="48">
        <f t="shared" si="94"/>
        <v>0</v>
      </c>
      <c r="Z28" s="48">
        <f t="shared" si="94"/>
        <v>6182.5833333333385</v>
      </c>
      <c r="AA28" s="48">
        <f t="shared" si="94"/>
        <v>13148.000000000005</v>
      </c>
      <c r="AB28" s="48">
        <f t="shared" si="94"/>
        <v>19737.583333333336</v>
      </c>
      <c r="AC28" s="48">
        <f t="shared" si="94"/>
        <v>30016.750000000004</v>
      </c>
      <c r="AD28" s="48">
        <f t="shared" si="94"/>
        <v>40982.166666666672</v>
      </c>
      <c r="AE28" s="48">
        <f t="shared" si="94"/>
        <v>51061.333333333336</v>
      </c>
      <c r="AF28" s="48">
        <f t="shared" si="94"/>
        <v>60250.916666666672</v>
      </c>
      <c r="AG28" s="48">
        <f t="shared" si="94"/>
        <v>71216.333333333343</v>
      </c>
      <c r="AH28" s="48">
        <f t="shared" si="94"/>
        <v>116471.75</v>
      </c>
      <c r="AI28" s="48">
        <f t="shared" si="94"/>
        <v>131127.24999999997</v>
      </c>
      <c r="AJ28" s="48">
        <f t="shared" si="94"/>
        <v>145120.66666666666</v>
      </c>
      <c r="AK28" s="48">
        <f t="shared" si="94"/>
        <v>156276.16666666666</v>
      </c>
      <c r="AL28" s="48">
        <f t="shared" si="94"/>
        <v>170845.41666666666</v>
      </c>
      <c r="AM28" s="48">
        <f t="shared" si="94"/>
        <v>185000.91666666666</v>
      </c>
      <c r="AN28" s="48">
        <f t="shared" si="94"/>
        <v>199594.33333333331</v>
      </c>
      <c r="AO28" s="48">
        <f t="shared" si="94"/>
        <v>215349.83333333331</v>
      </c>
      <c r="AP28" s="48">
        <f t="shared" si="94"/>
        <v>230519.08333333331</v>
      </c>
      <c r="AQ28" s="48">
        <f t="shared" si="94"/>
        <v>245274.58333333331</v>
      </c>
      <c r="AR28" s="48">
        <f t="shared" si="94"/>
        <v>260867.99999999997</v>
      </c>
      <c r="AS28" s="48">
        <f t="shared" si="94"/>
        <v>272190.16666666669</v>
      </c>
      <c r="AT28" s="48">
        <f t="shared" si="94"/>
        <v>352737.7333333334</v>
      </c>
      <c r="AU28" s="48">
        <f t="shared" si="94"/>
        <v>372605.29166666669</v>
      </c>
      <c r="AV28" s="48">
        <f t="shared" si="94"/>
        <v>391886.60000000003</v>
      </c>
      <c r="AW28" s="48">
        <f t="shared" si="94"/>
        <v>408729.15833333333</v>
      </c>
      <c r="AX28" s="48">
        <f t="shared" si="94"/>
        <v>428510.46666666673</v>
      </c>
      <c r="AY28" s="48">
        <f t="shared" si="94"/>
        <v>447878.02499999997</v>
      </c>
      <c r="AZ28" s="48">
        <f t="shared" si="94"/>
        <v>467990.33333333337</v>
      </c>
      <c r="BA28" s="48">
        <f t="shared" si="94"/>
        <v>489102.64166666655</v>
      </c>
      <c r="BB28" s="48">
        <f t="shared" si="94"/>
        <v>509801.2</v>
      </c>
      <c r="BC28" s="48">
        <f t="shared" si="94"/>
        <v>529913.50833333342</v>
      </c>
      <c r="BD28" s="48">
        <f t="shared" si="94"/>
        <v>551112.06666666665</v>
      </c>
      <c r="BE28" s="48">
        <f t="shared" si="94"/>
        <v>571724.375</v>
      </c>
      <c r="BF28" s="48">
        <f t="shared" si="94"/>
        <v>589649.10000000021</v>
      </c>
      <c r="BG28" s="48">
        <f t="shared" si="94"/>
        <v>612243.41666666674</v>
      </c>
      <c r="BH28" s="48">
        <f t="shared" si="94"/>
        <v>634837.73333333328</v>
      </c>
      <c r="BI28" s="48">
        <f t="shared" si="94"/>
        <v>657518.30000000016</v>
      </c>
      <c r="BJ28" s="48">
        <f t="shared" si="94"/>
        <v>680112.6166666667</v>
      </c>
      <c r="BK28" s="48">
        <f t="shared" si="94"/>
        <v>702706.93333333347</v>
      </c>
      <c r="BL28" s="48">
        <f t="shared" si="94"/>
        <v>726960.50000000012</v>
      </c>
      <c r="BM28" s="48">
        <f t="shared" si="94"/>
        <v>751127.81666666665</v>
      </c>
      <c r="BN28" s="48">
        <f t="shared" si="94"/>
        <v>775295.13333333342</v>
      </c>
      <c r="BO28" s="48">
        <f t="shared" si="94"/>
        <v>799548.70000000007</v>
      </c>
      <c r="BP28" s="48">
        <f t="shared" si="94"/>
        <v>823716.01666666684</v>
      </c>
      <c r="BQ28" s="48">
        <f t="shared" si="94"/>
        <v>847969.58333333326</v>
      </c>
      <c r="BR28" s="48">
        <v>0</v>
      </c>
      <c r="BS28" s="48">
        <v>0</v>
      </c>
      <c r="BT28" s="48">
        <v>0</v>
      </c>
    </row>
    <row r="29" spans="1:72">
      <c r="A29" t="s">
        <v>400</v>
      </c>
      <c r="B29" t="s">
        <v>401</v>
      </c>
      <c r="J29" s="48">
        <f>J20</f>
        <v>0</v>
      </c>
      <c r="K29" s="48">
        <f t="shared" ref="K29:BQ29" si="95">K20</f>
        <v>0</v>
      </c>
      <c r="L29" s="48">
        <f t="shared" si="95"/>
        <v>35204</v>
      </c>
      <c r="M29" s="48">
        <f t="shared" si="95"/>
        <v>3020</v>
      </c>
      <c r="N29" s="48">
        <f>N20</f>
        <v>9437</v>
      </c>
      <c r="O29" s="48">
        <f t="shared" si="95"/>
        <v>523</v>
      </c>
      <c r="P29" s="48">
        <f t="shared" si="95"/>
        <v>0</v>
      </c>
      <c r="Q29" s="48">
        <f t="shared" si="95"/>
        <v>42428</v>
      </c>
      <c r="R29" s="48">
        <f t="shared" si="95"/>
        <v>3387</v>
      </c>
      <c r="S29" s="48">
        <f t="shared" si="95"/>
        <v>0</v>
      </c>
      <c r="T29" s="48">
        <f t="shared" si="95"/>
        <v>0</v>
      </c>
      <c r="U29" s="48">
        <f t="shared" si="95"/>
        <v>0</v>
      </c>
      <c r="V29" s="48">
        <f t="shared" si="95"/>
        <v>0</v>
      </c>
      <c r="W29" s="48">
        <f t="shared" si="95"/>
        <v>0</v>
      </c>
      <c r="X29" s="48">
        <f t="shared" si="95"/>
        <v>0</v>
      </c>
      <c r="Y29" s="48">
        <f t="shared" si="95"/>
        <v>0</v>
      </c>
      <c r="Z29" s="48">
        <f t="shared" si="95"/>
        <v>6182.5833333333385</v>
      </c>
      <c r="AA29" s="48">
        <f t="shared" si="95"/>
        <v>13148.000000000005</v>
      </c>
      <c r="AB29" s="48">
        <f t="shared" si="95"/>
        <v>19737.583333333336</v>
      </c>
      <c r="AC29" s="48">
        <f t="shared" si="95"/>
        <v>30016.750000000004</v>
      </c>
      <c r="AD29" s="48">
        <f t="shared" si="95"/>
        <v>40982.166666666672</v>
      </c>
      <c r="AE29" s="48">
        <f t="shared" si="95"/>
        <v>51061.333333333336</v>
      </c>
      <c r="AF29" s="48">
        <f t="shared" si="95"/>
        <v>60250.916666666672</v>
      </c>
      <c r="AG29" s="48">
        <f t="shared" si="95"/>
        <v>71216.333333333343</v>
      </c>
      <c r="AH29" s="48">
        <f t="shared" si="95"/>
        <v>0</v>
      </c>
      <c r="AI29" s="48">
        <f t="shared" si="95"/>
        <v>0</v>
      </c>
      <c r="AJ29" s="48">
        <f t="shared" si="95"/>
        <v>0</v>
      </c>
      <c r="AK29" s="48">
        <f t="shared" si="95"/>
        <v>0</v>
      </c>
      <c r="AL29" s="48">
        <f t="shared" si="95"/>
        <v>0</v>
      </c>
      <c r="AM29" s="48">
        <f t="shared" si="95"/>
        <v>0</v>
      </c>
      <c r="AN29" s="48">
        <f t="shared" si="95"/>
        <v>0</v>
      </c>
      <c r="AO29" s="48">
        <f t="shared" si="95"/>
        <v>0</v>
      </c>
      <c r="AP29" s="48">
        <f t="shared" si="95"/>
        <v>0</v>
      </c>
      <c r="AQ29" s="48">
        <f t="shared" si="95"/>
        <v>0</v>
      </c>
      <c r="AR29" s="48">
        <f t="shared" si="95"/>
        <v>0</v>
      </c>
      <c r="AS29" s="48">
        <f t="shared" si="95"/>
        <v>0</v>
      </c>
      <c r="AT29" s="48">
        <f t="shared" si="95"/>
        <v>0</v>
      </c>
      <c r="AU29" s="48">
        <f t="shared" si="95"/>
        <v>0</v>
      </c>
      <c r="AV29" s="48">
        <f t="shared" si="95"/>
        <v>0</v>
      </c>
      <c r="AW29" s="48">
        <f t="shared" si="95"/>
        <v>0</v>
      </c>
      <c r="AX29" s="48">
        <f t="shared" si="95"/>
        <v>0</v>
      </c>
      <c r="AY29" s="48">
        <f t="shared" si="95"/>
        <v>0</v>
      </c>
      <c r="AZ29" s="48">
        <f t="shared" si="95"/>
        <v>0</v>
      </c>
      <c r="BA29" s="48">
        <f t="shared" si="95"/>
        <v>0</v>
      </c>
      <c r="BB29" s="48">
        <f t="shared" si="95"/>
        <v>0</v>
      </c>
      <c r="BC29" s="48">
        <f t="shared" si="95"/>
        <v>0</v>
      </c>
      <c r="BD29" s="48">
        <f t="shared" si="95"/>
        <v>0</v>
      </c>
      <c r="BE29" s="48">
        <f t="shared" si="95"/>
        <v>0</v>
      </c>
      <c r="BF29" s="48">
        <f t="shared" si="95"/>
        <v>0</v>
      </c>
      <c r="BG29" s="48">
        <f t="shared" si="95"/>
        <v>0</v>
      </c>
      <c r="BH29" s="48">
        <f t="shared" si="95"/>
        <v>0</v>
      </c>
      <c r="BI29" s="48">
        <f t="shared" si="95"/>
        <v>0</v>
      </c>
      <c r="BJ29" s="48">
        <f t="shared" si="95"/>
        <v>0</v>
      </c>
      <c r="BK29" s="48">
        <f t="shared" si="95"/>
        <v>0</v>
      </c>
      <c r="BL29" s="48">
        <f t="shared" si="95"/>
        <v>0</v>
      </c>
      <c r="BM29" s="48">
        <f t="shared" si="95"/>
        <v>0</v>
      </c>
      <c r="BN29" s="48">
        <f t="shared" si="95"/>
        <v>0</v>
      </c>
      <c r="BO29" s="48">
        <f t="shared" si="95"/>
        <v>0</v>
      </c>
      <c r="BP29" s="48">
        <f t="shared" si="95"/>
        <v>0</v>
      </c>
      <c r="BQ29" s="48">
        <f t="shared" si="95"/>
        <v>0</v>
      </c>
    </row>
    <row r="30" spans="1:72">
      <c r="B30" t="s">
        <v>402</v>
      </c>
      <c r="J30" s="48">
        <f>J28-J29</f>
        <v>9123</v>
      </c>
      <c r="K30" s="48">
        <f t="shared" ref="K30:BQ30" si="96">K28-K29</f>
        <v>38538</v>
      </c>
      <c r="L30" s="48">
        <f t="shared" si="96"/>
        <v>-35204</v>
      </c>
      <c r="M30" s="48">
        <f>M28-M29</f>
        <v>-3020</v>
      </c>
      <c r="N30" s="48">
        <f t="shared" si="96"/>
        <v>-9437</v>
      </c>
      <c r="O30" s="48">
        <f t="shared" si="96"/>
        <v>17406</v>
      </c>
      <c r="P30" s="48">
        <f t="shared" si="96"/>
        <v>28409</v>
      </c>
      <c r="Q30" s="48">
        <f t="shared" si="96"/>
        <v>-42428</v>
      </c>
      <c r="R30" s="48">
        <f t="shared" si="96"/>
        <v>-3387</v>
      </c>
      <c r="S30" s="48">
        <f t="shared" si="96"/>
        <v>0</v>
      </c>
      <c r="T30" s="48">
        <f t="shared" si="96"/>
        <v>0</v>
      </c>
      <c r="U30" s="48">
        <f t="shared" si="96"/>
        <v>0</v>
      </c>
      <c r="V30" s="48">
        <f t="shared" si="96"/>
        <v>0</v>
      </c>
      <c r="W30" s="48">
        <f t="shared" si="96"/>
        <v>0</v>
      </c>
      <c r="X30" s="48">
        <f t="shared" si="96"/>
        <v>0</v>
      </c>
      <c r="Y30" s="48">
        <f t="shared" si="96"/>
        <v>0</v>
      </c>
      <c r="Z30" s="48">
        <f t="shared" si="96"/>
        <v>0</v>
      </c>
      <c r="AA30" s="48">
        <f t="shared" si="96"/>
        <v>0</v>
      </c>
      <c r="AB30" s="48">
        <f t="shared" si="96"/>
        <v>0</v>
      </c>
      <c r="AC30" s="48">
        <f t="shared" si="96"/>
        <v>0</v>
      </c>
      <c r="AD30" s="48">
        <f t="shared" si="96"/>
        <v>0</v>
      </c>
      <c r="AE30" s="48">
        <f t="shared" si="96"/>
        <v>0</v>
      </c>
      <c r="AF30" s="48">
        <f t="shared" si="96"/>
        <v>0</v>
      </c>
      <c r="AG30" s="48">
        <f t="shared" si="96"/>
        <v>0</v>
      </c>
      <c r="AH30" s="48">
        <f t="shared" si="96"/>
        <v>116471.75</v>
      </c>
      <c r="AI30" s="48">
        <f t="shared" si="96"/>
        <v>131127.24999999997</v>
      </c>
      <c r="AJ30" s="48">
        <f t="shared" si="96"/>
        <v>145120.66666666666</v>
      </c>
      <c r="AK30" s="48">
        <f t="shared" si="96"/>
        <v>156276.16666666666</v>
      </c>
      <c r="AL30" s="48">
        <f t="shared" si="96"/>
        <v>170845.41666666666</v>
      </c>
      <c r="AM30" s="48">
        <f t="shared" si="96"/>
        <v>185000.91666666666</v>
      </c>
      <c r="AN30" s="48">
        <f t="shared" si="96"/>
        <v>199594.33333333331</v>
      </c>
      <c r="AO30" s="48">
        <f t="shared" si="96"/>
        <v>215349.83333333331</v>
      </c>
      <c r="AP30" s="48">
        <f t="shared" si="96"/>
        <v>230519.08333333331</v>
      </c>
      <c r="AQ30" s="48">
        <f t="shared" si="96"/>
        <v>245274.58333333331</v>
      </c>
      <c r="AR30" s="48">
        <f t="shared" si="96"/>
        <v>260867.99999999997</v>
      </c>
      <c r="AS30" s="48">
        <f t="shared" si="96"/>
        <v>272190.16666666669</v>
      </c>
      <c r="AT30" s="48">
        <f t="shared" si="96"/>
        <v>352737.7333333334</v>
      </c>
      <c r="AU30" s="48">
        <f t="shared" si="96"/>
        <v>372605.29166666669</v>
      </c>
      <c r="AV30" s="48">
        <f t="shared" si="96"/>
        <v>391886.60000000003</v>
      </c>
      <c r="AW30" s="48">
        <f t="shared" si="96"/>
        <v>408729.15833333333</v>
      </c>
      <c r="AX30" s="48">
        <f t="shared" si="96"/>
        <v>428510.46666666673</v>
      </c>
      <c r="AY30" s="48">
        <f t="shared" si="96"/>
        <v>447878.02499999997</v>
      </c>
      <c r="AZ30" s="48">
        <f t="shared" si="96"/>
        <v>467990.33333333337</v>
      </c>
      <c r="BA30" s="48">
        <f t="shared" si="96"/>
        <v>489102.64166666655</v>
      </c>
      <c r="BB30" s="48">
        <f t="shared" si="96"/>
        <v>509801.2</v>
      </c>
      <c r="BC30" s="48">
        <f t="shared" si="96"/>
        <v>529913.50833333342</v>
      </c>
      <c r="BD30" s="48">
        <f t="shared" si="96"/>
        <v>551112.06666666665</v>
      </c>
      <c r="BE30" s="48">
        <f t="shared" si="96"/>
        <v>571724.375</v>
      </c>
      <c r="BF30" s="48">
        <f t="shared" si="96"/>
        <v>589649.10000000021</v>
      </c>
      <c r="BG30" s="48">
        <f t="shared" si="96"/>
        <v>612243.41666666674</v>
      </c>
      <c r="BH30" s="48">
        <f t="shared" si="96"/>
        <v>634837.73333333328</v>
      </c>
      <c r="BI30" s="48">
        <f t="shared" si="96"/>
        <v>657518.30000000016</v>
      </c>
      <c r="BJ30" s="48">
        <f t="shared" si="96"/>
        <v>680112.6166666667</v>
      </c>
      <c r="BK30" s="48">
        <f t="shared" si="96"/>
        <v>702706.93333333347</v>
      </c>
      <c r="BL30" s="48">
        <f t="shared" si="96"/>
        <v>726960.50000000012</v>
      </c>
      <c r="BM30" s="48">
        <f t="shared" si="96"/>
        <v>751127.81666666665</v>
      </c>
      <c r="BN30" s="48">
        <f t="shared" si="96"/>
        <v>775295.13333333342</v>
      </c>
      <c r="BO30" s="48">
        <f t="shared" si="96"/>
        <v>799548.70000000007</v>
      </c>
      <c r="BP30" s="48">
        <f t="shared" si="96"/>
        <v>823716.01666666684</v>
      </c>
      <c r="BQ30" s="48">
        <f t="shared" si="96"/>
        <v>847969.58333333326</v>
      </c>
    </row>
    <row r="32" spans="1:72" s="124" customFormat="1">
      <c r="B32" s="124" t="s">
        <v>403</v>
      </c>
      <c r="J32" s="125">
        <f>Inputs!J27</f>
        <v>0.25</v>
      </c>
      <c r="K32" s="125">
        <f>Inputs!K27</f>
        <v>0.25</v>
      </c>
      <c r="L32" s="125">
        <f>Inputs!L27</f>
        <v>0.25</v>
      </c>
      <c r="M32" s="125">
        <f>Inputs!M27</f>
        <v>0.25</v>
      </c>
      <c r="N32" s="125">
        <f>Inputs!N27</f>
        <v>0.25</v>
      </c>
      <c r="O32" s="125">
        <f>Inputs!O27</f>
        <v>0.25</v>
      </c>
      <c r="P32" s="125">
        <f>Inputs!P27</f>
        <v>0.25</v>
      </c>
      <c r="Q32" s="125">
        <f>Inputs!Q27</f>
        <v>0.25</v>
      </c>
      <c r="R32" s="125">
        <f>Inputs!R27</f>
        <v>0.25</v>
      </c>
      <c r="S32" s="125">
        <f>Inputs!S27</f>
        <v>0.25</v>
      </c>
      <c r="T32" s="125">
        <f>Inputs!T27</f>
        <v>0.25</v>
      </c>
      <c r="U32" s="125">
        <f>Inputs!U27</f>
        <v>0.25</v>
      </c>
      <c r="V32" s="125">
        <f>Inputs!V27</f>
        <v>0.25</v>
      </c>
      <c r="W32" s="125">
        <f>Inputs!W27</f>
        <v>0.25</v>
      </c>
      <c r="X32" s="125">
        <f>Inputs!X27</f>
        <v>0.25</v>
      </c>
      <c r="Y32" s="125">
        <f>Inputs!Y27</f>
        <v>0.25</v>
      </c>
      <c r="Z32" s="125">
        <f>Inputs!Z27</f>
        <v>0.25</v>
      </c>
      <c r="AA32" s="125">
        <f>Inputs!AA27</f>
        <v>0.25</v>
      </c>
      <c r="AB32" s="125">
        <f>Inputs!AB27</f>
        <v>0.25</v>
      </c>
      <c r="AC32" s="125">
        <f>Inputs!AC27</f>
        <v>0.25</v>
      </c>
      <c r="AD32" s="125">
        <f>Inputs!AD27</f>
        <v>0.25</v>
      </c>
      <c r="AE32" s="125">
        <f>Inputs!AE27</f>
        <v>0.25</v>
      </c>
      <c r="AF32" s="125">
        <f>Inputs!AF27</f>
        <v>0.25</v>
      </c>
      <c r="AG32" s="125">
        <f>Inputs!AG27</f>
        <v>0.25</v>
      </c>
      <c r="AH32" s="125">
        <f>Inputs!AH27</f>
        <v>0.25</v>
      </c>
      <c r="AI32" s="125">
        <f>Inputs!AI27</f>
        <v>0.25</v>
      </c>
      <c r="AJ32" s="125">
        <f>Inputs!AJ27</f>
        <v>0.25</v>
      </c>
      <c r="AK32" s="125">
        <f>Inputs!AK27</f>
        <v>0.25</v>
      </c>
      <c r="AL32" s="125">
        <f>Inputs!AL27</f>
        <v>0.25</v>
      </c>
      <c r="AM32" s="125">
        <f>Inputs!AM27</f>
        <v>0.25</v>
      </c>
      <c r="AN32" s="125">
        <f>Inputs!AN27</f>
        <v>0.25</v>
      </c>
      <c r="AO32" s="125">
        <f>Inputs!AO27</f>
        <v>0.25</v>
      </c>
      <c r="AP32" s="125">
        <f>Inputs!AP27</f>
        <v>0.25</v>
      </c>
      <c r="AQ32" s="125">
        <f>Inputs!AQ27</f>
        <v>0.25</v>
      </c>
      <c r="AR32" s="125">
        <f>Inputs!AR27</f>
        <v>0.25</v>
      </c>
      <c r="AS32" s="125">
        <f>Inputs!AS27</f>
        <v>0.25</v>
      </c>
      <c r="AT32" s="125">
        <f>Inputs!AT27</f>
        <v>0.25</v>
      </c>
      <c r="AU32" s="125">
        <f>Inputs!AU27</f>
        <v>0.25</v>
      </c>
      <c r="AV32" s="125">
        <f>Inputs!AV27</f>
        <v>0.25</v>
      </c>
      <c r="AW32" s="125">
        <f>Inputs!AW27</f>
        <v>0.25</v>
      </c>
      <c r="AX32" s="125">
        <f>Inputs!AX27</f>
        <v>0.25</v>
      </c>
      <c r="AY32" s="125">
        <f>Inputs!AY27</f>
        <v>0.25</v>
      </c>
      <c r="AZ32" s="125">
        <f>Inputs!AZ27</f>
        <v>0.25</v>
      </c>
      <c r="BA32" s="125">
        <f>Inputs!BA27</f>
        <v>0.25</v>
      </c>
      <c r="BB32" s="125">
        <f>Inputs!BB27</f>
        <v>0.25</v>
      </c>
      <c r="BC32" s="125">
        <f>Inputs!BC27</f>
        <v>0.25</v>
      </c>
      <c r="BD32" s="125">
        <f>Inputs!BD27</f>
        <v>0.25</v>
      </c>
      <c r="BE32" s="125">
        <f>Inputs!BE27</f>
        <v>0.25</v>
      </c>
      <c r="BF32" s="125">
        <f>Inputs!BF27</f>
        <v>0.25</v>
      </c>
      <c r="BG32" s="125">
        <f>Inputs!BG27</f>
        <v>0.25</v>
      </c>
      <c r="BH32" s="125">
        <f>Inputs!BH27</f>
        <v>0.25</v>
      </c>
      <c r="BI32" s="125">
        <f>Inputs!BI27</f>
        <v>0.25</v>
      </c>
      <c r="BJ32" s="125">
        <f>Inputs!BJ27</f>
        <v>0.25</v>
      </c>
      <c r="BK32" s="125">
        <f>Inputs!BK27</f>
        <v>0.25</v>
      </c>
      <c r="BL32" s="125">
        <f>Inputs!BL27</f>
        <v>0.25</v>
      </c>
      <c r="BM32" s="125">
        <f>Inputs!BM27</f>
        <v>0.25</v>
      </c>
      <c r="BN32" s="125">
        <f>Inputs!BN27</f>
        <v>0.25</v>
      </c>
      <c r="BO32" s="125">
        <f>Inputs!BO27</f>
        <v>0.25</v>
      </c>
      <c r="BP32" s="125">
        <f>Inputs!BP27</f>
        <v>0.25</v>
      </c>
      <c r="BQ32" s="125">
        <f>Inputs!BQ27</f>
        <v>0.25</v>
      </c>
    </row>
    <row r="33" spans="2:69">
      <c r="B33" t="str">
        <f>B30</f>
        <v>Income subject to tax</v>
      </c>
      <c r="J33" s="48">
        <f>J30</f>
        <v>9123</v>
      </c>
      <c r="K33" s="48">
        <f t="shared" ref="K33:BQ33" si="97">K30</f>
        <v>38538</v>
      </c>
      <c r="L33" s="48">
        <f t="shared" si="97"/>
        <v>-35204</v>
      </c>
      <c r="M33" s="48">
        <f t="shared" si="97"/>
        <v>-3020</v>
      </c>
      <c r="N33" s="48">
        <f t="shared" si="97"/>
        <v>-9437</v>
      </c>
      <c r="O33" s="48">
        <f t="shared" si="97"/>
        <v>17406</v>
      </c>
      <c r="P33" s="48">
        <f t="shared" si="97"/>
        <v>28409</v>
      </c>
      <c r="Q33" s="48">
        <f t="shared" si="97"/>
        <v>-42428</v>
      </c>
      <c r="R33" s="48">
        <f t="shared" si="97"/>
        <v>-3387</v>
      </c>
      <c r="S33" s="48">
        <f t="shared" si="97"/>
        <v>0</v>
      </c>
      <c r="T33" s="48">
        <f t="shared" si="97"/>
        <v>0</v>
      </c>
      <c r="U33" s="48">
        <f t="shared" si="97"/>
        <v>0</v>
      </c>
      <c r="V33" s="48">
        <f t="shared" si="97"/>
        <v>0</v>
      </c>
      <c r="W33" s="48">
        <f t="shared" si="97"/>
        <v>0</v>
      </c>
      <c r="X33" s="48">
        <f t="shared" si="97"/>
        <v>0</v>
      </c>
      <c r="Y33" s="48">
        <f t="shared" si="97"/>
        <v>0</v>
      </c>
      <c r="Z33" s="48">
        <f t="shared" si="97"/>
        <v>0</v>
      </c>
      <c r="AA33" s="48">
        <f t="shared" si="97"/>
        <v>0</v>
      </c>
      <c r="AB33" s="48">
        <f t="shared" si="97"/>
        <v>0</v>
      </c>
      <c r="AC33" s="48">
        <f t="shared" si="97"/>
        <v>0</v>
      </c>
      <c r="AD33" s="48">
        <f t="shared" si="97"/>
        <v>0</v>
      </c>
      <c r="AE33" s="48">
        <f t="shared" si="97"/>
        <v>0</v>
      </c>
      <c r="AF33" s="48">
        <f t="shared" si="97"/>
        <v>0</v>
      </c>
      <c r="AG33" s="48">
        <f t="shared" si="97"/>
        <v>0</v>
      </c>
      <c r="AH33" s="48">
        <f t="shared" si="97"/>
        <v>116471.75</v>
      </c>
      <c r="AI33" s="48">
        <f t="shared" si="97"/>
        <v>131127.24999999997</v>
      </c>
      <c r="AJ33" s="48">
        <f t="shared" si="97"/>
        <v>145120.66666666666</v>
      </c>
      <c r="AK33" s="48">
        <f t="shared" si="97"/>
        <v>156276.16666666666</v>
      </c>
      <c r="AL33" s="48">
        <f t="shared" si="97"/>
        <v>170845.41666666666</v>
      </c>
      <c r="AM33" s="48">
        <f t="shared" si="97"/>
        <v>185000.91666666666</v>
      </c>
      <c r="AN33" s="48">
        <f t="shared" si="97"/>
        <v>199594.33333333331</v>
      </c>
      <c r="AO33" s="48">
        <f t="shared" si="97"/>
        <v>215349.83333333331</v>
      </c>
      <c r="AP33" s="48">
        <f t="shared" si="97"/>
        <v>230519.08333333331</v>
      </c>
      <c r="AQ33" s="48">
        <f t="shared" si="97"/>
        <v>245274.58333333331</v>
      </c>
      <c r="AR33" s="48">
        <f t="shared" si="97"/>
        <v>260867.99999999997</v>
      </c>
      <c r="AS33" s="48">
        <f t="shared" si="97"/>
        <v>272190.16666666669</v>
      </c>
      <c r="AT33" s="48">
        <f t="shared" si="97"/>
        <v>352737.7333333334</v>
      </c>
      <c r="AU33" s="48">
        <f t="shared" si="97"/>
        <v>372605.29166666669</v>
      </c>
      <c r="AV33" s="48">
        <f t="shared" si="97"/>
        <v>391886.60000000003</v>
      </c>
      <c r="AW33" s="48">
        <f t="shared" si="97"/>
        <v>408729.15833333333</v>
      </c>
      <c r="AX33" s="48">
        <f t="shared" si="97"/>
        <v>428510.46666666673</v>
      </c>
      <c r="AY33" s="48">
        <f t="shared" si="97"/>
        <v>447878.02499999997</v>
      </c>
      <c r="AZ33" s="48">
        <f t="shared" si="97"/>
        <v>467990.33333333337</v>
      </c>
      <c r="BA33" s="48">
        <f t="shared" si="97"/>
        <v>489102.64166666655</v>
      </c>
      <c r="BB33" s="48">
        <f t="shared" si="97"/>
        <v>509801.2</v>
      </c>
      <c r="BC33" s="48">
        <f t="shared" si="97"/>
        <v>529913.50833333342</v>
      </c>
      <c r="BD33" s="48">
        <f t="shared" si="97"/>
        <v>551112.06666666665</v>
      </c>
      <c r="BE33" s="48">
        <f t="shared" si="97"/>
        <v>571724.375</v>
      </c>
      <c r="BF33" s="48">
        <f t="shared" si="97"/>
        <v>589649.10000000021</v>
      </c>
      <c r="BG33" s="48">
        <f t="shared" si="97"/>
        <v>612243.41666666674</v>
      </c>
      <c r="BH33" s="48">
        <f t="shared" si="97"/>
        <v>634837.73333333328</v>
      </c>
      <c r="BI33" s="48">
        <f t="shared" si="97"/>
        <v>657518.30000000016</v>
      </c>
      <c r="BJ33" s="48">
        <f t="shared" si="97"/>
        <v>680112.6166666667</v>
      </c>
      <c r="BK33" s="48">
        <f t="shared" si="97"/>
        <v>702706.93333333347</v>
      </c>
      <c r="BL33" s="48">
        <f t="shared" si="97"/>
        <v>726960.50000000012</v>
      </c>
      <c r="BM33" s="48">
        <f t="shared" si="97"/>
        <v>751127.81666666665</v>
      </c>
      <c r="BN33" s="48">
        <f t="shared" si="97"/>
        <v>775295.13333333342</v>
      </c>
      <c r="BO33" s="48">
        <f t="shared" si="97"/>
        <v>799548.70000000007</v>
      </c>
      <c r="BP33" s="48">
        <f t="shared" si="97"/>
        <v>823716.01666666684</v>
      </c>
      <c r="BQ33" s="48">
        <f t="shared" si="97"/>
        <v>847969.58333333326</v>
      </c>
    </row>
    <row r="34" spans="2:69">
      <c r="B34" t="s">
        <v>404</v>
      </c>
      <c r="J34" s="48">
        <f>J32*J33</f>
        <v>2280.75</v>
      </c>
      <c r="K34" s="48">
        <f t="shared" ref="K34:BQ34" si="98">K32*K33</f>
        <v>9634.5</v>
      </c>
      <c r="L34" s="48">
        <f t="shared" si="98"/>
        <v>-8801</v>
      </c>
      <c r="M34" s="48">
        <f t="shared" si="98"/>
        <v>-755</v>
      </c>
      <c r="N34" s="48">
        <f t="shared" si="98"/>
        <v>-2359.25</v>
      </c>
      <c r="O34" s="48">
        <f t="shared" si="98"/>
        <v>4351.5</v>
      </c>
      <c r="P34" s="48">
        <f t="shared" si="98"/>
        <v>7102.25</v>
      </c>
      <c r="Q34" s="48">
        <f t="shared" si="98"/>
        <v>-10607</v>
      </c>
      <c r="R34" s="48">
        <f t="shared" si="98"/>
        <v>-846.75</v>
      </c>
      <c r="S34" s="123">
        <f t="shared" si="98"/>
        <v>0</v>
      </c>
      <c r="T34" s="123">
        <f t="shared" si="98"/>
        <v>0</v>
      </c>
      <c r="U34" s="123">
        <f t="shared" si="98"/>
        <v>0</v>
      </c>
      <c r="V34" s="123">
        <f t="shared" si="98"/>
        <v>0</v>
      </c>
      <c r="W34" s="123">
        <f t="shared" si="98"/>
        <v>0</v>
      </c>
      <c r="X34" s="123">
        <f t="shared" si="98"/>
        <v>0</v>
      </c>
      <c r="Y34" s="48">
        <f t="shared" si="98"/>
        <v>0</v>
      </c>
      <c r="Z34" s="48">
        <f t="shared" si="98"/>
        <v>0</v>
      </c>
      <c r="AA34" s="48">
        <f t="shared" si="98"/>
        <v>0</v>
      </c>
      <c r="AB34" s="48">
        <f t="shared" si="98"/>
        <v>0</v>
      </c>
      <c r="AC34" s="48">
        <f t="shared" si="98"/>
        <v>0</v>
      </c>
      <c r="AD34" s="48">
        <f t="shared" si="98"/>
        <v>0</v>
      </c>
      <c r="AE34" s="48">
        <f t="shared" si="98"/>
        <v>0</v>
      </c>
      <c r="AF34" s="48">
        <f t="shared" si="98"/>
        <v>0</v>
      </c>
      <c r="AG34" s="48">
        <f t="shared" si="98"/>
        <v>0</v>
      </c>
      <c r="AH34" s="48">
        <f t="shared" si="98"/>
        <v>29117.9375</v>
      </c>
      <c r="AI34" s="48">
        <f t="shared" si="98"/>
        <v>32781.812499999993</v>
      </c>
      <c r="AJ34" s="48">
        <f t="shared" si="98"/>
        <v>36280.166666666664</v>
      </c>
      <c r="AK34" s="48">
        <f t="shared" si="98"/>
        <v>39069.041666666664</v>
      </c>
      <c r="AL34" s="48">
        <f t="shared" si="98"/>
        <v>42711.354166666664</v>
      </c>
      <c r="AM34" s="48">
        <f t="shared" si="98"/>
        <v>46250.229166666664</v>
      </c>
      <c r="AN34" s="48">
        <f t="shared" si="98"/>
        <v>49898.583333333328</v>
      </c>
      <c r="AO34" s="48">
        <f t="shared" si="98"/>
        <v>53837.458333333328</v>
      </c>
      <c r="AP34" s="48">
        <f t="shared" si="98"/>
        <v>57629.770833333328</v>
      </c>
      <c r="AQ34" s="48">
        <f t="shared" si="98"/>
        <v>61318.645833333328</v>
      </c>
      <c r="AR34" s="48">
        <f t="shared" si="98"/>
        <v>65216.999999999993</v>
      </c>
      <c r="AS34" s="48">
        <f t="shared" si="98"/>
        <v>68047.541666666672</v>
      </c>
      <c r="AT34" s="48">
        <f t="shared" si="98"/>
        <v>88184.433333333349</v>
      </c>
      <c r="AU34" s="48">
        <f t="shared" si="98"/>
        <v>93151.322916666672</v>
      </c>
      <c r="AV34" s="48">
        <f t="shared" si="98"/>
        <v>97971.650000000009</v>
      </c>
      <c r="AW34" s="48">
        <f t="shared" si="98"/>
        <v>102182.28958333333</v>
      </c>
      <c r="AX34" s="48">
        <f t="shared" si="98"/>
        <v>107127.61666666668</v>
      </c>
      <c r="AY34" s="48">
        <f t="shared" si="98"/>
        <v>111969.50624999999</v>
      </c>
      <c r="AZ34" s="48">
        <f t="shared" si="98"/>
        <v>116997.58333333334</v>
      </c>
      <c r="BA34" s="48">
        <f t="shared" si="98"/>
        <v>122275.66041666664</v>
      </c>
      <c r="BB34" s="48">
        <f t="shared" si="98"/>
        <v>127450.3</v>
      </c>
      <c r="BC34" s="48">
        <f t="shared" si="98"/>
        <v>132478.37708333335</v>
      </c>
      <c r="BD34" s="48">
        <f t="shared" si="98"/>
        <v>137778.01666666666</v>
      </c>
      <c r="BE34" s="48">
        <f t="shared" si="98"/>
        <v>142931.09375</v>
      </c>
      <c r="BF34" s="48">
        <f t="shared" si="98"/>
        <v>147412.27500000005</v>
      </c>
      <c r="BG34" s="48">
        <f t="shared" si="98"/>
        <v>153060.85416666669</v>
      </c>
      <c r="BH34" s="48">
        <f t="shared" si="98"/>
        <v>158709.43333333332</v>
      </c>
      <c r="BI34" s="48">
        <f t="shared" si="98"/>
        <v>164379.57500000004</v>
      </c>
      <c r="BJ34" s="48">
        <f t="shared" si="98"/>
        <v>170028.15416666667</v>
      </c>
      <c r="BK34" s="48">
        <f t="shared" si="98"/>
        <v>175676.73333333337</v>
      </c>
      <c r="BL34" s="48">
        <f t="shared" si="98"/>
        <v>181740.12500000003</v>
      </c>
      <c r="BM34" s="48">
        <f t="shared" si="98"/>
        <v>187781.95416666666</v>
      </c>
      <c r="BN34" s="48">
        <f t="shared" si="98"/>
        <v>193823.78333333335</v>
      </c>
      <c r="BO34" s="48">
        <f t="shared" si="98"/>
        <v>199887.17500000002</v>
      </c>
      <c r="BP34" s="48">
        <f t="shared" si="98"/>
        <v>205929.00416666671</v>
      </c>
      <c r="BQ34" s="48">
        <f t="shared" si="98"/>
        <v>211992.39583333331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KPI's</vt:lpstr>
      <vt:lpstr>Financials Annual</vt:lpstr>
      <vt:lpstr>Financials Monthly</vt:lpstr>
      <vt:lpstr>Timing</vt:lpstr>
      <vt:lpstr>Inputs</vt:lpstr>
      <vt:lpstr>Revenue</vt:lpstr>
      <vt:lpstr>COS and Overheads</vt:lpstr>
      <vt:lpstr>Wages and Salaries</vt:lpstr>
      <vt:lpstr>Fixed Assets</vt:lpstr>
      <vt:lpstr>Working Capital</vt:lpstr>
      <vt:lpstr>Corporation 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 Beamish</dc:creator>
  <cp:lastModifiedBy>Ana.pavliceanu@outlook.com</cp:lastModifiedBy>
  <dcterms:created xsi:type="dcterms:W3CDTF">2023-10-05T10:11:27Z</dcterms:created>
  <dcterms:modified xsi:type="dcterms:W3CDTF">2023-12-18T02:18:45Z</dcterms:modified>
</cp:coreProperties>
</file>